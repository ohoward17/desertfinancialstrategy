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comments27.xml" ContentType="application/vnd.openxmlformats-officedocument.spreadsheetml.comments+xml"/>
  <Override PartName="/xl/comments25.xml" ContentType="application/vnd.openxmlformats-officedocument.spreadsheetml.comments+xml"/>
  <Override PartName="/xl/workbook.xml" ContentType="application/vnd.openxmlformats-officedocument.spreadsheetml.sheet.main+xml"/>
  <Override PartName="/xl/comments23.xml" ContentType="application/vnd.openxmlformats-officedocument.spreadsheetml.comments+xml"/>
  <Override PartName="/xl/comments22.xml" ContentType="application/vnd.openxmlformats-officedocument.spreadsheetml.comments+xml"/>
  <Override PartName="/xl/styles.xml" ContentType="application/vnd.openxmlformats-officedocument.spreadsheetml.styles+xml"/>
  <Override PartName="/xl/comments13.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7.xml" ContentType="application/vnd.openxmlformats-officedocument.spreadsheetml.comments+xml"/>
  <Override PartName="/xl/comments7.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5.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14.xml.rels" ContentType="application/vnd.openxmlformats-package.relationships+xml"/>
  <Override PartName="/xl/worksheets/_rels/sheet31.xml.rels" ContentType="application/vnd.openxmlformats-package.relationships+xml"/>
  <Override PartName="/xl/worksheets/_rels/sheet32.xml.rels" ContentType="application/vnd.openxmlformats-package.relationships+xml"/>
  <Override PartName="/xl/worksheets/_rels/sheet4.xml.rels" ContentType="application/vnd.openxmlformats-package.relationships+xml"/>
  <Override PartName="/xl/worksheets/_rels/sheet19.xml.rels" ContentType="application/vnd.openxmlformats-package.relationships+xml"/>
  <Override PartName="/xl/worksheets/_rels/sheet33.xml.rels" ContentType="application/vnd.openxmlformats-package.relationships+xml"/>
  <Override PartName="/xl/worksheets/_rels/sheet11.xml.rels" ContentType="application/vnd.openxmlformats-package.relationships+xml"/>
  <Override PartName="/xl/worksheets/_rels/sheet46.xml.rels" ContentType="application/vnd.openxmlformats-package.relationships+xml"/>
  <Override PartName="/xl/worksheets/_rels/sheet5.xml.rels" ContentType="application/vnd.openxmlformats-package.relationships+xml"/>
  <Override PartName="/xl/worksheets/_rels/sheet34.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_rels/sheet21.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16.xml.rels" ContentType="application/vnd.openxmlformats-package.relationships+xml"/>
  <Override PartName="/xl/worksheets/_rels/sheet28.xml.rels" ContentType="application/vnd.openxmlformats-package.relationships+xml"/>
  <Override PartName="/xl/worksheets/_rels/sheet17.xml.rels" ContentType="application/vnd.openxmlformats-package.relationships+xml"/>
  <Override PartName="/xl/worksheets/_rels/sheet29.xml.rels" ContentType="application/vnd.openxmlformats-package.relationships+xml"/>
  <Override PartName="/xl/worksheets/_rels/sheet35.xml.rels" ContentType="application/vnd.openxmlformats-package.relationships+xml"/>
  <Override PartName="/xl/worksheets/_rels/sheet6.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9.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42.xml.rels" ContentType="application/vnd.openxmlformats-package.relationships+xml"/>
  <Override PartName="/xl/worksheets/_rels/sheet43.xml.rels" ContentType="application/vnd.openxmlformats-package.relationships+xml"/>
  <Override PartName="/xl/worksheets/_rels/sheet44.xml.rels" ContentType="application/vnd.openxmlformats-package.relationships+xml"/>
  <Override PartName="/xl/worksheets/_rels/sheet45.xml.rels" ContentType="application/vnd.openxmlformats-package.relationships+xml"/>
  <Override PartName="/xl/worksheets/_rels/sheet10.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3.xml" ContentType="application/vnd.openxmlformats-officedocument.spreadsheetml.worksheet+xml"/>
  <Override PartName="/xl/worksheets/sheet44.xml" ContentType="application/vnd.openxmlformats-officedocument.spreadsheetml.worksheet+xml"/>
  <Override PartName="/xl/worksheets/sheet4.xml" ContentType="application/vnd.openxmlformats-officedocument.spreadsheetml.worksheet+xml"/>
  <Override PartName="/xl/worksheets/sheet45.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comments44.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comments8.xml" ContentType="application/vnd.openxmlformats-officedocument.spreadsheetml.comments+xml"/>
  <Override PartName="/xl/comments10.xml" ContentType="application/vnd.openxmlformats-officedocument.spreadsheetml.comments+xml"/>
  <Override PartName="/xl/comments32.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_rels/workbook.xml.rels" ContentType="application/vnd.openxmlformats-package.relationships+xml"/>
  <Override PartName="/xl/comments38.xml" ContentType="application/vnd.openxmlformats-officedocument.spreadsheetml.comments+xml"/>
  <Override PartName="/xl/comments40.xml" ContentType="application/vnd.openxmlformats-officedocument.spreadsheetml.comments+xml"/>
  <Override PartName="/xl/comments39.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33.xml" ContentType="application/vnd.openxmlformats-officedocument.spreadsheetml.comments+xml"/>
  <Override PartName="/xl/comments45.xml" ContentType="application/vnd.openxmlformats-officedocument.spreadsheetml.comments+xml"/>
  <Override PartName="/xl/comments34.xml" ContentType="application/vnd.openxmlformats-officedocument.spreadsheetml.comments+xml"/>
  <Override PartName="/xl/comments46.xml" ContentType="application/vnd.openxmlformats-officedocument.spreadsheetml.comments+xml"/>
  <Override PartName="/xl/comments31.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28.xml" ContentType="application/vnd.openxmlformats-officedocument.spreadsheetml.comments+xml"/>
  <Override PartName="/xl/theme/theme1.xml" ContentType="application/vnd.openxmlformats-officedocument.theme+xml"/>
  <Override PartName="/xl/comments18.xml" ContentType="application/vnd.openxmlformats-officedocument.spreadsheetml.comments+xml"/>
  <Override PartName="/xl/comments20.xml" ContentType="application/vnd.openxmlformats-officedocument.spreadsheetml.comments+xml"/>
  <Override PartName="/xl/comments6.xml" ContentType="application/vnd.openxmlformats-officedocument.spreadsheetml.comments+xml"/>
  <Override PartName="/xl/comments16.xml" ContentType="application/vnd.openxmlformats-officedocument.spreadsheetml.comments+xml"/>
  <Override PartName="/xl/comments5.xml" ContentType="application/vnd.openxmlformats-officedocument.spreadsheetml.comments+xml"/>
  <Override PartName="/xl/comments15.xml" ContentType="application/vnd.openxmlformats-officedocument.spreadsheetml.comments+xml"/>
  <Override PartName="/xl/comments41.xml" ContentType="application/vnd.openxmlformats-officedocument.spreadsheetml.comments+xml"/>
  <Override PartName="/xl/drawings/vmlDrawing29.vml" ContentType="application/vnd.openxmlformats-officedocument.vmlDrawing"/>
  <Override PartName="/xl/drawings/drawing4.xml" ContentType="application/vnd.openxmlformats-officedocument.drawing+xml"/>
  <Override PartName="/xl/drawings/drawing30.xml" ContentType="application/vnd.openxmlformats-officedocument.drawing+xml"/>
  <Override PartName="/xl/drawings/vmlDrawing28.vml" ContentType="application/vnd.openxmlformats-officedocument.vmlDrawing"/>
  <Override PartName="/xl/drawings/drawing3.xml" ContentType="application/vnd.openxmlformats-officedocument.drawing+xml"/>
  <Override PartName="/xl/drawings/vmlDrawing27.vml" ContentType="application/vnd.openxmlformats-officedocument.vmlDrawing"/>
  <Override PartName="/xl/drawings/drawing2.xml" ContentType="application/vnd.openxmlformats-officedocument.drawing+xml"/>
  <Override PartName="/xl/drawings/vmlDrawing26.vml" ContentType="application/vnd.openxmlformats-officedocument.vmlDrawing"/>
  <Override PartName="/xl/drawings/drawing1.xml" ContentType="application/vnd.openxmlformats-officedocument.drawing+xml"/>
  <Override PartName="/xl/drawings/vmlDrawing25.vml" ContentType="application/vnd.openxmlformats-officedocument.vmlDrawing"/>
  <Override PartName="/xl/drawings/vmlDrawing2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20.vml" ContentType="application/vnd.openxmlformats-officedocument.vmlDrawing"/>
  <Override PartName="/xl/drawings/vmlDrawing19.vml" ContentType="application/vnd.openxmlformats-officedocument.vmlDrawing"/>
  <Override PartName="/xl/drawings/drawing19.xml" ContentType="application/vnd.openxmlformats-officedocument.drawing+xml"/>
  <Override PartName="/xl/drawings/vmlDrawing18.vml" ContentType="application/vnd.openxmlformats-officedocument.vmlDrawing"/>
  <Override PartName="/xl/drawings/drawing18.xml" ContentType="application/vnd.openxmlformats-officedocument.drawing+xml"/>
  <Override PartName="/xl/drawings/vmlDrawing17.vml" ContentType="application/vnd.openxmlformats-officedocument.vmlDrawing"/>
  <Override PartName="/xl/drawings/drawing17.xml" ContentType="application/vnd.openxmlformats-officedocument.drawing+xml"/>
  <Override PartName="/xl/drawings/drawing29.xml" ContentType="application/vnd.openxmlformats-officedocument.drawing+xml"/>
  <Override PartName="/xl/drawings/vmlDrawing16.vml" ContentType="application/vnd.openxmlformats-officedocument.vmlDrawing"/>
  <Override PartName="/xl/drawings/drawing16.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26.xml" ContentType="application/vnd.openxmlformats-officedocument.drawing+xml"/>
  <Override PartName="/xl/drawings/vmlDrawing7.vml" ContentType="application/vnd.openxmlformats-officedocument.vmlDrawing"/>
  <Override PartName="/xl/drawings/drawing27.xml" ContentType="application/vnd.openxmlformats-officedocument.drawing+xml"/>
  <Override PartName="/xl/drawings/vmlDrawing8.vml" ContentType="application/vnd.openxmlformats-officedocument.vmlDrawing"/>
  <Override PartName="/xl/drawings/vmlDrawing14.vml" ContentType="application/vnd.openxmlformats-officedocument.vmlDrawing"/>
  <Override PartName="/xl/drawings/drawing31.xml" ContentType="application/vnd.openxmlformats-officedocument.drawing+xml"/>
  <Override PartName="/xl/drawings/drawing32.xml" ContentType="application/vnd.openxmlformats-officedocument.drawing+xml"/>
  <Override PartName="/xl/drawings/vmlDrawing31.vml" ContentType="application/vnd.openxmlformats-officedocument.vmlDrawing"/>
  <Override PartName="/xl/drawings/drawing33.xml" ContentType="application/vnd.openxmlformats-officedocument.drawing+xml"/>
  <Override PartName="/xl/drawings/vmlDrawing13.vml" ContentType="application/vnd.openxmlformats-officedocument.vmlDrawing"/>
  <Override PartName="/xl/drawings/drawing43.xml" ContentType="application/vnd.openxmlformats-officedocument.drawing+xml"/>
  <Override PartName="/xl/drawings/vmlDrawing30.vml" ContentType="application/vnd.openxmlformats-officedocument.vmlDrawing"/>
  <Override PartName="/xl/drawings/vmlDrawing32.vml" ContentType="application/vnd.openxmlformats-officedocument.vmlDrawing"/>
  <Override PartName="/xl/drawings/drawing34.xml" ContentType="application/vnd.openxmlformats-officedocument.drawing+xml"/>
  <Override PartName="/xl/drawings/vmlDrawing33.vml" ContentType="application/vnd.openxmlformats-officedocument.vmlDrawing"/>
  <Override PartName="/xl/drawings/drawing35.xml" ContentType="application/vnd.openxmlformats-officedocument.drawing+xml"/>
  <Override PartName="/xl/drawings/vmlDrawing42.vml" ContentType="application/vnd.openxmlformats-officedocument.vmlDrawing"/>
  <Override PartName="/xl/drawings/drawing8.xml" ContentType="application/vnd.openxmlformats-officedocument.drawing+xml"/>
  <Override PartName="/xl/drawings/vmlDrawing41.vml" ContentType="application/vnd.openxmlformats-officedocument.vmlDrawing"/>
  <Override PartName="/xl/drawings/vmlDrawing39.vml" ContentType="application/vnd.openxmlformats-officedocument.vmlDrawing"/>
  <Override PartName="/xl/drawings/drawing15.xml" ContentType="application/vnd.openxmlformats-officedocument.drawing+xml"/>
  <Override PartName="/xl/drawings/vmlDrawing40.vml" ContentType="application/vnd.openxmlformats-officedocument.vmlDrawing"/>
  <Override PartName="/xl/drawings/vmlDrawing38.vml" ContentType="application/vnd.openxmlformats-officedocument.vmlDrawing"/>
  <Override PartName="/xl/drawings/drawing14.xml" ContentType="application/vnd.openxmlformats-officedocument.drawing+xml"/>
  <Override PartName="/xl/drawings/drawing39.xml" ContentType="application/vnd.openxmlformats-officedocument.drawing+xml"/>
  <Override PartName="/xl/drawings/vmlDrawing37.vml" ContentType="application/vnd.openxmlformats-officedocument.vmlDrawing"/>
  <Override PartName="/xl/drawings/drawing13.xml" ContentType="application/vnd.openxmlformats-officedocument.drawing+xml"/>
  <Override PartName="/xl/drawings/drawing38.xml" ContentType="application/vnd.openxmlformats-officedocument.drawing+xml"/>
  <Override PartName="/xl/drawings/vmlDrawing36.vml" ContentType="application/vnd.openxmlformats-officedocument.vmlDrawing"/>
  <Override PartName="/xl/drawings/drawing12.xml" ContentType="application/vnd.openxmlformats-officedocument.drawing+xml"/>
  <Override PartName="/xl/drawings/drawing37.xml" ContentType="application/vnd.openxmlformats-officedocument.drawing+xml"/>
  <Override PartName="/xl/drawings/vmlDrawing35.vml" ContentType="application/vnd.openxmlformats-officedocument.vmlDrawing"/>
  <Override PartName="/xl/drawings/drawing11.xml" ContentType="application/vnd.openxmlformats-officedocument.drawing+xml"/>
  <Override PartName="/xl/drawings/drawing36.xml" ContentType="application/vnd.openxmlformats-officedocument.drawing+xml"/>
  <Override PartName="/xl/drawings/vmlDrawing34.vml" ContentType="application/vnd.openxmlformats-officedocument.vmlDrawing"/>
  <Override PartName="/xl/drawings/drawing10.xml" ContentType="application/vnd.openxmlformats-officedocument.drawing+xml"/>
  <Override PartName="/xl/drawings/drawing42.xml" ContentType="application/vnd.openxmlformats-officedocument.drawing+xml"/>
  <Override PartName="/xl/drawings/vmlDrawing12.vml" ContentType="application/vnd.openxmlformats-officedocument.vmlDrawing"/>
  <Override PartName="/xl/drawings/vmlDrawing6.vml" ContentType="application/vnd.openxmlformats-officedocument.vmlDrawing"/>
  <Override PartName="/xl/drawings/drawing25.xml" ContentType="application/vnd.openxmlformats-officedocument.drawing+xml"/>
  <Override PartName="/xl/drawings/drawing41.xml" ContentType="application/vnd.openxmlformats-officedocument.drawing+xml"/>
  <Override PartName="/xl/drawings/vmlDrawing11.vml" ContentType="application/vnd.openxmlformats-officedocument.vmlDrawing"/>
  <Override PartName="/xl/drawings/vmlDrawing5.vml" ContentType="application/vnd.openxmlformats-officedocument.vmlDrawing"/>
  <Override PartName="/xl/drawings/drawing24.xml" ContentType="application/vnd.openxmlformats-officedocument.drawing+xml"/>
  <Override PartName="/xl/drawings/drawing40.xml" ContentType="application/vnd.openxmlformats-officedocument.drawing+xml"/>
  <Override PartName="/xl/drawings/vmlDrawing10.vml" ContentType="application/vnd.openxmlformats-officedocument.vmlDrawing"/>
  <Override PartName="/xl/drawings/vmlDrawing4.vml" ContentType="application/vnd.openxmlformats-officedocument.vmlDrawing"/>
  <Override PartName="/xl/drawings/drawing23.xml" ContentType="application/vnd.openxmlformats-officedocument.drawing+xml"/>
  <Override PartName="/xl/drawings/vmlDrawing9.vml" ContentType="application/vnd.openxmlformats-officedocument.vmlDrawing"/>
  <Override PartName="/xl/drawings/vmlDrawing15.vml" ContentType="application/vnd.openxmlformats-officedocument.vmlDrawing"/>
  <Override PartName="/xl/drawings/drawing28.xml" ContentType="application/vnd.openxmlformats-officedocument.drawing+xml"/>
  <Override PartName="/xl/drawings/drawing9.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vmlDrawing2.vml" ContentType="application/vnd.openxmlformats-officedocument.vmlDrawing"/>
  <Override PartName="/xl/drawings/drawing21.xml" ContentType="application/vnd.openxmlformats-officedocument.drawing+xml"/>
  <Override PartName="/xl/drawings/vmlDrawing3.vml" ContentType="application/vnd.openxmlformats-officedocument.vmlDrawing"/>
  <Override PartName="/xl/drawings/drawing22.xml" ContentType="application/vnd.openxmlformats-officedocument.drawing+xml"/>
  <Override PartName="/xl/drawings/drawing5.xml" ContentType="application/vnd.openxmlformats-officedocument.drawing+xml"/>
  <Override PartName="/xl/comments24.xml" ContentType="application/vnd.openxmlformats-officedocument.spreadsheetml.comments+xml"/>
  <Override PartName="/xl/comments4.xml" ContentType="application/vnd.openxmlformats-officedocument.spreadsheetml.comments+xml"/>
  <Override PartName="/xl/comments1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summary" sheetId="2" state="visible" r:id="rId4"/>
    <sheet name="checks" sheetId="3" state="visible" r:id="rId5"/>
    <sheet name="meta" sheetId="4" state="visible" r:id="rId6"/>
    <sheet name="balance_sheet" sheetId="5" state="visible" r:id="rId7"/>
    <sheet name="income_statement" sheetId="6" state="visible" r:id="rId8"/>
    <sheet name="income_statement_totals" sheetId="7" state="visible" r:id="rId9"/>
    <sheet name="loans" sheetId="8" state="visible" r:id="rId10"/>
    <sheet name="deposits" sheetId="9" state="visible" r:id="rId11"/>
    <sheet name="cert_maturities" sheetId="10" state="visible" r:id="rId12"/>
    <sheet name="investments" sheetId="11" state="visible" r:id="rId13"/>
    <sheet name="securities_detail" sheetId="12" state="visible" r:id="rId14"/>
    <sheet name="investment_cashflows" sheetId="13" state="visible" r:id="rId15"/>
    <sheet name="repricing_gap" sheetId="14" state="visible" r:id="rId16"/>
    <sheet name="repricing_gap_detail" sheetId="15" state="visible" r:id="rId17"/>
    <sheet name="scenarios" sheetId="16" state="visible" r:id="rId18"/>
    <sheet name="rate_scenarios" sheetId="17" state="visible" r:id="rId19"/>
    <sheet name="nii_simulation" sheetId="18" state="visible" r:id="rId20"/>
    <sheet name="nii_attribution" sheetId="19" state="visible" r:id="rId21"/>
    <sheet name="nev" sheetId="20" state="visible" r:id="rId22"/>
    <sheet name="nev_test" sheetId="21" state="visible" r:id="rId23"/>
    <sheet name="assumptions" sheetId="22" state="visible" r:id="rId24"/>
    <sheet name="assumption_sensitivity" sheetId="23" state="visible" r:id="rId25"/>
    <sheet name="marginal_sensitivity" sheetId="24" state="visible" r:id="rId26"/>
    <sheet name="policy_limits" sheetId="25" state="visible" r:id="rId27"/>
    <sheet name="metric_values" sheetId="26" state="visible" r:id="rId28"/>
    <sheet name="metric_registry" sheetId="27" state="visible" r:id="rId29"/>
    <sheet name="liquidity_sources" sheetId="28" state="visible" r:id="rId30"/>
    <sheet name="liquidity_stress" sheetId="29" state="visible" r:id="rId31"/>
    <sheet name="capital" sheetId="30" state="visible" r:id="rId32"/>
    <sheet name="interchange" sheetId="31" state="visible" r:id="rId33"/>
    <sheet name="rates_history" sheetId="32" state="visible" r:id="rId34"/>
    <sheet name="history" sheetId="33" state="visible" r:id="rId35"/>
    <sheet name="peers" sheetId="34" state="visible" r:id="rId36"/>
    <sheet name="competitors" sheetId="35" state="visible" r:id="rId37"/>
    <sheet name="backtest" sheetId="36" state="visible" r:id="rId38"/>
    <sheet name="realized_betas" sheetId="37" state="visible" r:id="rId39"/>
    <sheet name="strategic_plan" sheetId="38" state="visible" r:id="rId40"/>
    <sheet name="initiatives" sheetId="39" state="visible" r:id="rId41"/>
    <sheet name="plan_scenarios" sheetId="40" state="visible" r:id="rId42"/>
    <sheet name="frontier_check" sheetId="41" state="visible" r:id="rId43"/>
    <sheet name="market" sheetId="42" state="visible" r:id="rId44"/>
    <sheet name="alco_log" sheetId="43" state="visible" r:id="rId45"/>
    <sheet name="data_dictionary" sheetId="44" state="visible" r:id="rId46"/>
    <sheet name="sources" sheetId="45" state="visible" r:id="rId47"/>
    <sheet name="notes" sheetId="46" state="visible" r:id="rId48"/>
  </sheets>
  <definedNames>
    <definedName function="false" hidden="true" localSheetId="42" name="_xlnm._FilterDatabase" vbProcedure="false">alco_log!$A$1:$H$10</definedName>
    <definedName function="false" hidden="true" localSheetId="22" name="_xlnm._FilterDatabase" vbProcedure="false">assumption_sensitivity!$A$1:$U$12</definedName>
    <definedName function="false" hidden="true" localSheetId="21" name="_xlnm._FilterDatabase" vbProcedure="false">assumptions!$A$1:$M$36</definedName>
    <definedName function="false" hidden="true" localSheetId="35" name="_xlnm._FilterDatabase" vbProcedure="false">backtest!$A$1:$K$4</definedName>
    <definedName function="false" hidden="true" localSheetId="4" name="_xlnm._FilterDatabase" vbProcedure="false">balance_sheet!$A$1:$Q$197</definedName>
    <definedName function="false" hidden="true" localSheetId="29" name="_xlnm._FilterDatabase" vbProcedure="false">capital!$A$1:$U$24</definedName>
    <definedName function="false" hidden="true" localSheetId="9" name="_xlnm._FilterDatabase" vbProcedure="false">cert_maturities!$A$1:$H$61</definedName>
    <definedName function="false" hidden="true" localSheetId="34" name="_xlnm._FilterDatabase" vbProcedure="false">competitors!$A$1:$L$4</definedName>
    <definedName function="false" hidden="true" localSheetId="43" name="_xlnm._FilterDatabase" vbProcedure="false">data_dictionary!$A$1:$F$496</definedName>
    <definedName function="false" hidden="true" localSheetId="8" name="_xlnm._FilterDatabase" vbProcedure="false">deposits!$A$1:$X$14</definedName>
    <definedName function="false" hidden="true" localSheetId="40" name="_xlnm._FilterDatabase" vbProcedure="false">frontier_check!$A$1:$J$65</definedName>
    <definedName function="false" hidden="true" localSheetId="32" name="_xlnm._FilterDatabase" vbProcedure="false">history!$A$1:$AF$24</definedName>
    <definedName function="false" hidden="true" localSheetId="5" name="_xlnm._FilterDatabase" vbProcedure="false">income_statement!$A$1:$G$188</definedName>
    <definedName function="false" hidden="true" localSheetId="6" name="_xlnm._FilterDatabase" vbProcedure="false">income_statement_totals!$A$1:$M$15</definedName>
    <definedName function="false" hidden="true" localSheetId="38" name="_xlnm._FilterDatabase" vbProcedure="false">initiatives!$A$1:$T$21</definedName>
    <definedName function="false" hidden="true" localSheetId="30" name="_xlnm._FilterDatabase" vbProcedure="false">interchange!$A$1:$N$8</definedName>
    <definedName function="false" hidden="true" localSheetId="12" name="_xlnm._FilterDatabase" vbProcedure="false">investment_cashflows!$A$1:$E$331</definedName>
    <definedName function="false" hidden="true" localSheetId="10" name="_xlnm._FilterDatabase" vbProcedure="false">investments!$A$1:$O$11</definedName>
    <definedName function="false" hidden="true" localSheetId="27" name="_xlnm._FilterDatabase" vbProcedure="false">liquidity_sources!$A$1:$K$12</definedName>
    <definedName function="false" hidden="true" localSheetId="28" name="_xlnm._FilterDatabase" vbProcedure="false">liquidity_stress!$A$1:$J$181</definedName>
    <definedName function="false" hidden="true" localSheetId="7" name="_xlnm._FilterDatabase" vbProcedure="false">loans!$A$1:$AJ$15</definedName>
    <definedName function="false" hidden="true" localSheetId="23" name="_xlnm._FilterDatabase" vbProcedure="false">marginal_sensitivity!$A$1:$L$23</definedName>
    <definedName function="false" hidden="true" localSheetId="41" name="_xlnm._FilterDatabase" vbProcedure="false">market!$A$1:$G$12</definedName>
    <definedName function="false" hidden="true" localSheetId="3" name="_xlnm._FilterDatabase" vbProcedure="false">meta!$A$1:$C$26</definedName>
    <definedName function="false" hidden="true" localSheetId="26" name="_xlnm._FilterDatabase" vbProcedure="false">metric_registry!$A$1:$H$27</definedName>
    <definedName function="false" hidden="true" localSheetId="25" name="_xlnm._FilterDatabase" vbProcedure="false">metric_values!$A$1:$D$79</definedName>
    <definedName function="false" hidden="true" localSheetId="19" name="_xlnm._FilterDatabase" vbProcedure="false">nev!$A$1:$I$612</definedName>
    <definedName function="false" hidden="true" localSheetId="20" name="_xlnm._FilterDatabase" vbProcedure="false">nev_test!$A$1:$L$17</definedName>
    <definedName function="false" hidden="true" localSheetId="18" name="_xlnm._FilterDatabase" vbProcedure="false">nii_attribution!$A$1:$D$571</definedName>
    <definedName function="false" hidden="true" localSheetId="17" name="_xlnm._FilterDatabase" vbProcedure="false">nii_simulation!$A$1:$K$481</definedName>
    <definedName function="false" hidden="true" localSheetId="45" name="_xlnm._FilterDatabase" vbProcedure="false">notes!$A$1:$C$27</definedName>
    <definedName function="false" hidden="true" localSheetId="33" name="_xlnm._FilterDatabase" vbProcedure="false">peers!$A$1:$H$45</definedName>
    <definedName function="false" hidden="true" localSheetId="39" name="_xlnm._FilterDatabase" vbProcedure="false">plan_scenarios!$A$1:$AB$121</definedName>
    <definedName function="false" hidden="true" localSheetId="24" name="_xlnm._FilterDatabase" vbProcedure="false">policy_limits!$A$1:$O$40</definedName>
    <definedName function="false" hidden="true" localSheetId="16" name="_xlnm._FilterDatabase" vbProcedure="false">rate_scenarios!$A$1:$G$7001</definedName>
    <definedName function="false" hidden="true" localSheetId="31" name="_xlnm._FilterDatabase" vbProcedure="false">rates_history!$A$1:$E$578</definedName>
    <definedName function="false" hidden="true" localSheetId="36" name="_xlnm._FilterDatabase" vbProcedure="false">realized_betas!$A$1:$I$12</definedName>
    <definedName function="false" hidden="true" localSheetId="13" name="_xlnm._FilterDatabase" vbProcedure="false">repricing_gap!$A$1:$D$29</definedName>
    <definedName function="false" hidden="true" localSheetId="14" name="_xlnm._FilterDatabase" vbProcedure="false">repricing_gap_detail!$A$1:$D$258</definedName>
    <definedName function="false" hidden="true" localSheetId="15" name="_xlnm._FilterDatabase" vbProcedure="false">scenarios!$A$1:$L$21</definedName>
    <definedName function="false" hidden="true" localSheetId="11" name="_xlnm._FilterDatabase" vbProcedure="false">securities_detail!$A$1:$S$12</definedName>
    <definedName function="false" hidden="true" localSheetId="44" name="_xlnm._FilterDatabase" vbProcedure="false">sources!$A$1:$D$25</definedName>
    <definedName function="false" hidden="true" localSheetId="37" name="_xlnm._FilterDatabase" vbProcedure="false">strategic_plan!$A$1:$F$108</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Settings for the app. Yellow cells are live levers used by formulas in this workbook.</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Year-ends: audited annual reports. 2026-03-31: partial call report + modeled lines. 2026-06-30: call report totals; splits and analytics from the ALM model. See provenance and source columns.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Annual: audited. H1 2026: call report. Quarterly rows: modeled allocation. Giveback split inferred (see notes).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Reported totals (audited / call report); quarterly rows modeled.</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Balances and counts: June 30, 2026 call report by line. Splits, yields, behavior and credit allocation modeled; FICO and LTV hypothetical.</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Product totals: call report. Tiers, rates, betas, decay, insured shares modeled.</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Modeled certificate ladder calibrated to the call report certificate and IRA balances.</t>
        </r>
      </text>
    </comment>
  </commentList>
</comments>
</file>

<file path=xl/comments1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AFS fair value and HTM amortized cost tie to the call report; composition and analytics modeled.</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Modeled instrument-level securities (ALM model).</t>
        </r>
      </text>
    </comment>
  </commentList>
</comments>
</file>

<file path=xl/comments1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Base-case runoff cash flows of the modeled securities portfolio (no reinvestment).</t>
        </r>
      </text>
    </comment>
  </commentList>
</comments>
</file>

<file path=xl/comments1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repricing schedule; reconciles to the June 30, 2026 balance sheet.</t>
        </r>
      </text>
    </comment>
  </commentList>
</comments>
</file>

<file path=xl/comments1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repricing schedule by instrument.</t>
        </r>
      </text>
    </comment>
  </commentList>
</comments>
</file>

<file path=xl/comments1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Scenario definitions (ALM model). Curves: Treasury June 30 and Sept 29, 2026.</t>
        </r>
      </text>
    </comment>
  </commentList>
</comments>
</file>

<file path=xl/comments1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scenario paths built on the Treasury par curve of June 30, 2026.</t>
        </r>
      </text>
    </comment>
  </commentList>
</comments>
</file>

<file path=xl/comments1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24-month constant balance sheet simulation. nii and net_income are formulas.</t>
        </r>
      </text>
    </comment>
  </commentList>
</comments>
</file>

<file path=xl/comments1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NII change vs. base by line item.</t>
        </r>
      </text>
    </comment>
  </commentList>
</comments>
</file>

<file path=xl/comments2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fair values by category and scenario (internal method; ncua_nev_test uses standardized NMS).</t>
        </r>
      </text>
    </comment>
  </commentList>
</comments>
</file>

<file path=xl/comments2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history uses reconstructed balance sheets. classification is a live formula.</t>
        </r>
      </text>
    </comment>
  </commentList>
</comments>
</file>

<file path=xl/comments2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Assumption register documenting the Python ALM model (hypothetical owners and review dates).</t>
        </r>
      </text>
    </comment>
  </commentList>
</comments>
</file>

<file path=xl/comments2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reruns at low/high assumption values.</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$100M of new volume at current offering rates, funded by (or invested in) cash.</t>
        </r>
      </text>
    </comment>
  </commentList>
</comments>
</file>

<file path=xl/comments2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Hypothetical board limits. current_value, utilization and status are live formulas.</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Metric definitions from the build prompt (section 7).</t>
        </r>
      </text>
    </comment>
  </commentList>
</comments>
</file>

<file path=xl/comments2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Cash and securities: call report / model. Contingent lines: hypothetical.</t>
        </r>
      </text>
    </comment>
  </commentList>
</comments>
</file>

<file path=xl/comments2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Hypothetical stress calibration; base amounts from the as-of model.</t>
        </r>
      </text>
    </comment>
  </commentList>
</comments>
</file>

<file path=xl/comments3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Net worth and assets: history. NWR four-quarter method. MBL cap and ratios are formulas.</t>
        </r>
      </text>
    </comment>
  </commentList>
</comments>
</file>

<file path=xl/comments3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Interchange income audited; debit split, counts, volume and Durbin estimates modeled.</t>
        </r>
      </text>
    </comment>
  </commentList>
</comments>
</file>

<file path=xl/comments3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Treasury daily par yield curve (2026, Mar 2025); earlier quarter-ends approximate (modeled).</t>
        </r>
      </text>
    </comment>
  </commentList>
</comments>
</file>

<file path=xl/comments3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Year-ends audited, 2026 quarters public, interior quarters modeled (see source column).</t>
        </r>
      </text>
    </comment>
  </commentList>
</comments>
</file>

<file path=xl/comments3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NCUA industry data (public); cu_5b_20b placeholders (hypothetical); named competitors (public).</t>
        </r>
      </text>
    </comment>
  </commentList>
</comments>
</file>

<file path=xl/comments3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Public releases and rankings (2025-2026).</t>
        </r>
      </text>
    </comment>
  </commentList>
</comments>
</file>

<file path=xl/comments3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ALM model projections from reconstructed starting balance sheets vs. actual NII.</t>
        </r>
      </text>
    </comment>
  </commentList>
</comments>
</file>

<file path=xl/comments3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All-shares betas derived from audited dividends; product betas estimated.</t>
        </r>
      </text>
    </comment>
  </commentList>
</comments>
</file>

<file path=xl/comments38.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2025 actuals public/audited; 2026-2030 hypothetical plan (sandbox base case).</t>
        </r>
      </text>
    </comment>
  </commentList>
</comments>
</file>

<file path=xl/comments39.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Hypothetical initiatives built on DFCU's published priorities.</t>
        </r>
      </text>
    </comment>
  </commentList>
</comments>
</file>

<file path=xl/comments40.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Sandbox estimate (section 7 engine), hypothetical plan assumptions.</t>
        </r>
      </text>
    </comment>
  </commentList>
</comments>
</file>

<file path=xl/comments41.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Reference values for the Give &amp; Grow Frontier formula (section 7).</t>
        </r>
      </text>
    </comment>
  </commentList>
</comments>
</file>

<file path=xl/comments4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Public sources listed per row.</t>
        </r>
      </text>
    </comment>
  </commentList>
</comments>
</file>

<file path=xl/comments43.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Hypothetical ALCO decisions.</t>
        </r>
      </text>
    </comment>
  </commentList>
</comments>
</file>

<file path=xl/comments44.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Column definitions for every tab.</t>
        </r>
      </text>
    </comment>
  </commentList>
</comments>
</file>

<file path=xl/comments45.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Sources used.</t>
        </r>
      </text>
    </comment>
  </commentList>
</comments>
</file>

<file path=xl/comments4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Methods, inferences and limitations.</t>
        </r>
      </text>
    </comment>
  </commentList>
</comments>
</file>

<file path=xl/sharedStrings.xml><?xml version="1.0" encoding="utf-8"?>
<sst xmlns="http://schemas.openxmlformats.org/spreadsheetml/2006/main" count="48616" uniqueCount="2370">
  <si>
    <t xml:space="preserve">Desert Financial ALM Command Center: financial workbook</t>
  </si>
  <si>
    <t xml:space="preserve">Hypothetical concept built from public data. Not affiliated with or endorsed by Desert Financial Credit Union.</t>
  </si>
  <si>
    <t xml:space="preserve">Purpose</t>
  </si>
  <si>
    <t xml:space="preserve">Data contract for the ALM Command Center build prompt (section 6): every tab the app reads, with real public figures where they exist and a documented ALM model where they do not.</t>
  </si>
  <si>
    <t xml:space="preserve">As-of date</t>
  </si>
  <si>
    <t xml:space="preserve">June 30, 2026 (latest NCUA 5300 call report). Market data through Sept 29, 2026 (rate-drift chip).</t>
  </si>
  <si>
    <t xml:space="preserve">Units</t>
  </si>
  <si>
    <t xml:space="preserve">Dollars in thousands. Rates and ratios as decimals (5.75% = 0.0575). Dates as ISO text (YYYY-MM-DD). Long (tidy) tables: one row per period and item.</t>
  </si>
  <si>
    <t xml:space="preserve">Provenance</t>
  </si>
  <si>
    <t xml:space="preserve">public = NCUA call report, Treasury, FOMC, press releases; audited = DFCU annual reports; modeled = this workbook's ALM model or a documented derivation; hypothetical = illustrative targets, limits, plans and placeholders.</t>
  </si>
  <si>
    <t xml:space="preserve">Colors</t>
  </si>
  <si>
    <t xml:space="preserve">Blue numbers = hardcoded data or inputs. Black = formulas on the same sheet. Green = formulas that pull from another sheet. Yellow fill = live levers in meta (capital target, watch thresholds, NEV Test thresholds, MBL parameters) that drive limit status, NEV Test class and the MBL cap. Model assumptions in the assumptions tab document the Python model; changing them there does not rerun it.</t>
  </si>
  <si>
    <t xml:space="preserve">Model</t>
  </si>
  <si>
    <t xml:space="preserve">Monthly cash-flow ALM model in Python (model/ folder; run build_all.py then build_workbook.py). Constant balance sheet NII for 24 months; instantaneous NEV with a bootstrapped Treasury zero curve; 20 scenarios.</t>
  </si>
  <si>
    <t xml:space="preserve">Data Health</t>
  </si>
  <si>
    <t xml:space="preserve">The checks tab reruns the ten validation checks from the build prompt plus extra reconciliations with live formulas.</t>
  </si>
  <si>
    <t xml:space="preserve">Key results (live)</t>
  </si>
  <si>
    <t xml:space="preserve">Data status</t>
  </si>
  <si>
    <t xml:space="preserve">Validation result from the checks tab</t>
  </si>
  <si>
    <t xml:space="preserve">Total assets ($K)</t>
  </si>
  <si>
    <t xml:space="preserve">June 30, 2026 call report</t>
  </si>
  <si>
    <t xml:space="preserve">Net worth ratio</t>
  </si>
  <si>
    <t xml:space="preserve">Four-quarter-average method; reported 12.1%</t>
  </si>
  <si>
    <t xml:space="preserve">Loan-to-share</t>
  </si>
  <si>
    <t xml:space="preserve">Industry 82.9% aggregate, 69% median (Q2 2026)</t>
  </si>
  <si>
    <t xml:space="preserve">AOCI loss / net worth</t>
  </si>
  <si>
    <t xml:space="preserve">Before the Q3 2026 rate rise</t>
  </si>
  <si>
    <t xml:space="preserve">Base Year 1 NII ($K)</t>
  </si>
  <si>
    <t xml:space="preserve">Constant balance sheet, rates flat at the June 30 curve; excludes giveback</t>
  </si>
  <si>
    <t xml:space="preserve">Year 1 NII change, +300bp</t>
  </si>
  <si>
    <t xml:space="preserve">Asset-sensitive in Year 1 (HELOCs at prime, cash); money market repricing and migration offset</t>
  </si>
  <si>
    <t xml:space="preserve">Year 1 NII change, -300bp</t>
  </si>
  <si>
    <t xml:space="preserve">Largest earnings risk is falling rates</t>
  </si>
  <si>
    <t xml:space="preserve">NEV ratio, base (internal)</t>
  </si>
  <si>
    <t xml:space="preserve">Includes non-maturity deposit franchise value</t>
  </si>
  <si>
    <t xml:space="preserve">NEV change, +300bp (internal)</t>
  </si>
  <si>
    <t xml:space="preserve">NCUA NEV Test post-shock ratio</t>
  </si>
  <si>
    <t xml:space="preserve">Standardized share values (approximation); 4% = High threshold</t>
  </si>
  <si>
    <t xml:space="preserve">NCUA NEV Test class</t>
  </si>
  <si>
    <t xml:space="preserve">Low &gt; 7% and &lt; 40%; High &lt; 4% or &gt; 65%</t>
  </si>
  <si>
    <t xml:space="preserve">Q3 2026 actual move: NEV change</t>
  </si>
  <si>
    <t xml:space="preserve">June 30 to Sept 29 curve (10-year +82bp); rate-drift estimate</t>
  </si>
  <si>
    <t xml:space="preserve">AFS fair value change since June 30 ($K)</t>
  </si>
  <si>
    <t xml:space="preserve">Rate-drift estimate at the Sept 29, 2026 curve (flows through AOCI)</t>
  </si>
  <si>
    <t xml:space="preserve">AOCI loss / net worth after Q3 move</t>
  </si>
  <si>
    <t xml:space="preserve">Estimate; Q3 call report will confirm</t>
  </si>
  <si>
    <t xml:space="preserve">MBL cap utilization</t>
  </si>
  <si>
    <t xml:space="preserve">1.75 x min(net worth, 7% of assets)</t>
  </si>
  <si>
    <t xml:space="preserve">Junior-lien home equity / loans</t>
  </si>
  <si>
    <t xml:space="preserve">Policy maximum 45% (hypothetical)</t>
  </si>
  <si>
    <t xml:space="preserve">Tab index</t>
  </si>
  <si>
    <t xml:space="preserve">Tab</t>
  </si>
  <si>
    <t xml:space="preserve">Contract</t>
  </si>
  <si>
    <t xml:space="preserve">What it holds</t>
  </si>
  <si>
    <t xml:space="preserve">summary</t>
  </si>
  <si>
    <t xml:space="preserve">extra</t>
  </si>
  <si>
    <t xml:space="preserve">Scenario results (NII, EaR, NEV), repricing gap summary, key metrics, liquidity survival: all formulas</t>
  </si>
  <si>
    <t xml:space="preserve">checks</t>
  </si>
  <si>
    <t xml:space="preserve">Data Health: the ten section 6 checks plus reconciliations to the call report</t>
  </si>
  <si>
    <t xml:space="preserve">meta</t>
  </si>
  <si>
    <t xml:space="preserve">R</t>
  </si>
  <si>
    <t xml:space="preserve">Settings: as-of date, units, NWR method, capital target, thresholds, disclaimer</t>
  </si>
  <si>
    <t xml:space="preserve">balance_sheet</t>
  </si>
  <si>
    <t xml:space="preserve">Audited year-ends 2020-2025, March 31, 2026 (partial call report), June 30, 2026 detail with yields, WAL, duration, convexity</t>
  </si>
  <si>
    <t xml:space="preserve">income_statement</t>
  </si>
  <si>
    <t xml:space="preserve">Audited FY2020-FY2025, H1 2026 call report, quarterly 2025-2026 (modeled allocation); Member Giveback as its own category</t>
  </si>
  <si>
    <t xml:space="preserve">income_statement_totals</t>
  </si>
  <si>
    <t xml:space="preserve">Reported totals used by the income identity checks</t>
  </si>
  <si>
    <t xml:space="preserve">loans</t>
  </si>
  <si>
    <t xml:space="preserve">14 products at June 30, 2026: balances and counts tie to the call report; yields, prepayment, credit and behavior modeled</t>
  </si>
  <si>
    <t xml:space="preserve">deposits</t>
  </si>
  <si>
    <t xml:space="preserve">13 products and tiers: betas, lags, decay, insured share, certificate rollover</t>
  </si>
  <si>
    <t xml:space="preserve">cert_maturities</t>
  </si>
  <si>
    <t xml:space="preserve">O</t>
  </si>
  <si>
    <t xml:space="preserve">Certificate and IRA certificate maturities by month (60 months)</t>
  </si>
  <si>
    <t xml:space="preserve">investments</t>
  </si>
  <si>
    <t xml:space="preserve">Security groups: book, market, yield, duration, convexity, WAL (AFS ties to call report)</t>
  </si>
  <si>
    <t xml:space="preserve">securities_detail</t>
  </si>
  <si>
    <t xml:space="preserve">Instrument-level securities with fair values in +300, -300 and Q3-actual</t>
  </si>
  <si>
    <t xml:space="preserve">investment_cashflows</t>
  </si>
  <si>
    <t xml:space="preserve">Monthly principal, interest and prepayments of the securities portfolio (base)</t>
  </si>
  <si>
    <t xml:space="preserve">repricing_gap</t>
  </si>
  <si>
    <t xml:space="preserve">Repricing gap by bucket and side (NMD beta-weighted hybrid); reconciles to the balance sheet</t>
  </si>
  <si>
    <t xml:space="preserve">repricing_gap_detail</t>
  </si>
  <si>
    <t xml:space="preserve">Gap by instrument</t>
  </si>
  <si>
    <t xml:space="preserve">scenarios</t>
  </si>
  <si>
    <t xml:space="preserve">Scenario definitions: type, order, shifts, credit stress, NEV applicability</t>
  </si>
  <si>
    <t xml:space="preserve">rate_scenarios</t>
  </si>
  <si>
    <t xml:space="preserve">20 scenarios x 25 months x 14 tenors (fed funds, prime, SOFR, CMT curve, mortgage)</t>
  </si>
  <si>
    <t xml:space="preserve">nii_simulation</t>
  </si>
  <si>
    <t xml:space="preserve">Monthly interest income, expense, NII, rate-sensitive fees and net income by scenario</t>
  </si>
  <si>
    <t xml:space="preserve">nii_attribution</t>
  </si>
  <si>
    <t xml:space="preserve">Year 1 and Year 2 NII change vs. base by line item</t>
  </si>
  <si>
    <t xml:space="preserve">nev</t>
  </si>
  <si>
    <t xml:space="preserve">Fair value by category and scenario, with effective duration and convexity</t>
  </si>
  <si>
    <t xml:space="preserve">nev_test</t>
  </si>
  <si>
    <t xml:space="preserve">Internal and NCUA-standardized NEV Test, eight quarters (reconstructed history)</t>
  </si>
  <si>
    <t xml:space="preserve">assumptions</t>
  </si>
  <si>
    <t xml:space="preserve">Assumption register with basis, owner, bias and ranges</t>
  </si>
  <si>
    <t xml:space="preserve">assumption_sensitivity</t>
  </si>
  <si>
    <t xml:space="preserve">Tornado: +300 Year 1 NII and NEV at low and high assumption values</t>
  </si>
  <si>
    <t xml:space="preserve">marginal_sensitivity</t>
  </si>
  <si>
    <t xml:space="preserve">NEV and NII change per $100M of new volume by product (capacity calculators)</t>
  </si>
  <si>
    <t xml:space="preserve">policy_limits</t>
  </si>
  <si>
    <t xml:space="preserve">Hypothetical board limits with live current value, utilization and status</t>
  </si>
  <si>
    <t xml:space="preserve">metric_values</t>
  </si>
  <si>
    <t xml:space="preserve">Current metric values by scenario used for limit status</t>
  </si>
  <si>
    <t xml:space="preserve">metric_registry</t>
  </si>
  <si>
    <t xml:space="preserve">Metric definitions, units, polarity, formulas</t>
  </si>
  <si>
    <t xml:space="preserve">liquidity_sources</t>
  </si>
  <si>
    <t xml:space="preserve">On-balance and contingent liquidity sources with haircuts and timing</t>
  </si>
  <si>
    <t xml:space="preserve">liquidity_stress</t>
  </si>
  <si>
    <t xml:space="preserve">Runoff and draw rates by stress scenario, category and horizon</t>
  </si>
  <si>
    <t xml:space="preserve">capital</t>
  </si>
  <si>
    <t xml:space="preserve">Quarterly net worth, NWR, AOCI, HTM unrealized, MBL cap and utilization, RBC estimate</t>
  </si>
  <si>
    <t xml:space="preserve">interchange</t>
  </si>
  <si>
    <t xml:space="preserve">Debit interchange history and Durbin scenarios</t>
  </si>
  <si>
    <t xml:space="preserve">rates_history</t>
  </si>
  <si>
    <t xml:space="preserve">Quarter-end and 2026 Treasury curves, fed funds, prime, SOFR, mortgage rate, FOMC log</t>
  </si>
  <si>
    <t xml:space="preserve">history</t>
  </si>
  <si>
    <t xml:space="preserve">Quarterly history Dec 2020 to June 2026 (year-ends audited; interior quarters modeled)</t>
  </si>
  <si>
    <t xml:space="preserve">peers</t>
  </si>
  <si>
    <t xml:space="preserve">NCUA industry benchmarks (public), illustrative $5B-$20B peer medians, named competitors</t>
  </si>
  <si>
    <t xml:space="preserve">competitors</t>
  </si>
  <si>
    <t xml:space="preserve">America First, Mountain America, OneAZ (public facts; rates not collected)</t>
  </si>
  <si>
    <t xml:space="preserve">backtest</t>
  </si>
  <si>
    <t xml:space="preserve">Constant-balance-sheet projections vs. actual NII (FY2024, FY2025, H1 2026)</t>
  </si>
  <si>
    <t xml:space="preserve">realized_betas</t>
  </si>
  <si>
    <t xml:space="preserve">Realized all-shares betas (derived) and product estimates by cycle</t>
  </si>
  <si>
    <t xml:space="preserve">strategic_plan</t>
  </si>
  <si>
    <t xml:space="preserve">2025 actuals and hypothetical 2026-2030 plan targets</t>
  </si>
  <si>
    <t xml:space="preserve">initiatives</t>
  </si>
  <si>
    <t xml:space="preserve">20 hypothetical initiatives across GROW, GIVE, DEPLOY, FORTIFY</t>
  </si>
  <si>
    <t xml:space="preserve">plan_scenarios</t>
  </si>
  <si>
    <t xml:space="preserve">Sandbox: 4 plans x 6 rate scenarios x 5 years</t>
  </si>
  <si>
    <t xml:space="preserve">frontier_check</t>
  </si>
  <si>
    <t xml:space="preserve">Reference values for the Give &amp; Grow Frontier formula</t>
  </si>
  <si>
    <t xml:space="preserve">market</t>
  </si>
  <si>
    <t xml:space="preserve">Phoenix and Arizona indicators</t>
  </si>
  <si>
    <t xml:space="preserve">alco_log</t>
  </si>
  <si>
    <t xml:space="preserve">Hypothetical ALCO decision log</t>
  </si>
  <si>
    <t xml:space="preserve">data_dictionary</t>
  </si>
  <si>
    <t xml:space="preserve">Every column: meaning, unit, contract status</t>
  </si>
  <si>
    <t xml:space="preserve">sources</t>
  </si>
  <si>
    <t xml:space="preserve">Source list with links</t>
  </si>
  <si>
    <t xml:space="preserve">notes</t>
  </si>
  <si>
    <t xml:space="preserve">Methods, inferences, transcription adjustments and known limitations</t>
  </si>
  <si>
    <t xml:space="preserve">Important caveats</t>
  </si>
  <si>
    <t xml:space="preserve">-</t>
  </si>
  <si>
    <t xml:space="preserve">Balance sheet and income totals are public or audited. Product splits, yields, deposit tiers, security composition, behavior assumptions, fair values of HTM securities, loans and deposits, and all forward-looking figures are modeled or hypothetical.</t>
  </si>
  <si>
    <t xml:space="preserve">The Member Giveback Bonus is inferred to be recorded within dividends in the quarter it is paid (Q1). If DFCU accrues it at year-end instead, the modeled regular deposit cost in H1 2026 would be higher and NII lower.</t>
  </si>
  <si>
    <t xml:space="preserve">The NCUA NEV Test uses standardized non-maturity share values approximated here as a 1% premium at base and 5% after +300bp. Confirm against NCUA's current NEV Supervisory Test documentation before relying on the class.</t>
  </si>
  <si>
    <t xml:space="preserve">Treasury curves before 2025 (except March 31, 2025) are approximate quarter-end levels compiled without live access; 2026 curves are from the Treasury daily par yield curve.</t>
  </si>
  <si>
    <t xml:space="preserve">Policy limits, the strategic plan, initiatives, ALCO decisions, peer medians and liquidity lines are illustrative and labeled hypothetical.</t>
  </si>
  <si>
    <t xml:space="preserve">Summary: scenario results, repricing gap, key metrics and liquidity survival (live formulas)</t>
  </si>
  <si>
    <t xml:space="preserve">All cells below are formulas over the data tabs. Green = cross-sheet links; black = same-sheet formulas. $ thousands; ratios as decimals.</t>
  </si>
  <si>
    <t xml:space="preserve">A. Scenario results (NII: 24-month constant balance sheet; NEV: instantaneous)</t>
  </si>
  <si>
    <t xml:space="preserve">scenario_key</t>
  </si>
  <si>
    <t xml:space="preserve">scenario_label</t>
  </si>
  <si>
    <t xml:space="preserve">type</t>
  </si>
  <si>
    <t xml:space="preserve">sort_order</t>
  </si>
  <si>
    <t xml:space="preserve">nev_applicable</t>
  </si>
  <si>
    <t xml:space="preserve">nii_y1</t>
  </si>
  <si>
    <t xml:space="preserve">nii_y2</t>
  </si>
  <si>
    <t xml:space="preserve">ear_y1</t>
  </si>
  <si>
    <t xml:space="preserve">ear_y2</t>
  </si>
  <si>
    <t xml:space="preserve">net_income_y1</t>
  </si>
  <si>
    <t xml:space="preserve">assets_fv</t>
  </si>
  <si>
    <t xml:space="preserve">liabilities_fv</t>
  </si>
  <si>
    <t xml:space="preserve">off_balance_fv</t>
  </si>
  <si>
    <t xml:space="preserve">nev_ratio</t>
  </si>
  <si>
    <t xml:space="preserve">nev_sensitivity</t>
  </si>
  <si>
    <t xml:space="preserve">shock_m300</t>
  </si>
  <si>
    <t xml:space="preserve">-300bp shock</t>
  </si>
  <si>
    <t xml:space="preserve">shock</t>
  </si>
  <si>
    <t xml:space="preserve">y</t>
  </si>
  <si>
    <t xml:space="preserve">shock_m200</t>
  </si>
  <si>
    <t xml:space="preserve">-200bp shock</t>
  </si>
  <si>
    <t xml:space="preserve">shock_m100</t>
  </si>
  <si>
    <t xml:space="preserve">-100bp shock</t>
  </si>
  <si>
    <t xml:space="preserve">base</t>
  </si>
  <si>
    <t xml:space="preserve">Base (flat rates)</t>
  </si>
  <si>
    <t xml:space="preserve">shock_p100</t>
  </si>
  <si>
    <t xml:space="preserve">+100bp shock</t>
  </si>
  <si>
    <t xml:space="preserve">shock_p200</t>
  </si>
  <si>
    <t xml:space="preserve">+200bp shock</t>
  </si>
  <si>
    <t xml:space="preserve">shock_p300</t>
  </si>
  <si>
    <t xml:space="preserve">+300bp shock</t>
  </si>
  <si>
    <t xml:space="preserve">shock_p400</t>
  </si>
  <si>
    <t xml:space="preserve">+400bp shock</t>
  </si>
  <si>
    <t xml:space="preserve">ramp_m200</t>
  </si>
  <si>
    <t xml:space="preserve">-200bp ramp (12 mo)</t>
  </si>
  <si>
    <t xml:space="preserve">ramp</t>
  </si>
  <si>
    <t xml:space="preserve">n</t>
  </si>
  <si>
    <t xml:space="preserve">ramp_m100</t>
  </si>
  <si>
    <t xml:space="preserve">-100bp ramp (12 mo)</t>
  </si>
  <si>
    <t xml:space="preserve">ramp_p100</t>
  </si>
  <si>
    <t xml:space="preserve">+100bp ramp (12 mo)</t>
  </si>
  <si>
    <t xml:space="preserve">ramp_p200</t>
  </si>
  <si>
    <t xml:space="preserve">+200bp ramp (12 mo)</t>
  </si>
  <si>
    <t xml:space="preserve">bear_steepener</t>
  </si>
  <si>
    <t xml:space="preserve">Bear steepener</t>
  </si>
  <si>
    <t xml:space="preserve">twist</t>
  </si>
  <si>
    <t xml:space="preserve">bull_flattener</t>
  </si>
  <si>
    <t xml:space="preserve">Bull flattener</t>
  </si>
  <si>
    <t xml:space="preserve">short_end_shock</t>
  </si>
  <si>
    <t xml:space="preserve">Short-end shock</t>
  </si>
  <si>
    <t xml:space="preserve">q3_actual</t>
  </si>
  <si>
    <t xml:space="preserve">Q3 2026 actual move (to Sep 29 curve)</t>
  </si>
  <si>
    <t xml:space="preserve">narrative</t>
  </si>
  <si>
    <t xml:space="preserve">higher_for_longer</t>
  </si>
  <si>
    <t xml:space="preserve">Higher for longer</t>
  </si>
  <si>
    <t xml:space="preserve">stagflation</t>
  </si>
  <si>
    <t xml:space="preserve">Stagflation</t>
  </si>
  <si>
    <t xml:space="preserve">recession_cuts</t>
  </si>
  <si>
    <t xml:space="preserve">Recession with cuts</t>
  </si>
  <si>
    <t xml:space="preserve">ncua_nev_test</t>
  </si>
  <si>
    <t xml:space="preserve">NCUA NEV Test (+300, standardized NMS)</t>
  </si>
  <si>
    <t xml:space="preserve">supervisory</t>
  </si>
  <si>
    <t xml:space="preserve">B. Repricing gap, June 30, 2026 (NMD beta-weighted hybrid)</t>
  </si>
  <si>
    <t xml:space="preserve">bucket</t>
  </si>
  <si>
    <t xml:space="preserve">assets</t>
  </si>
  <si>
    <t xml:space="preserve">liabilities</t>
  </si>
  <si>
    <t xml:space="preserve">equity</t>
  </si>
  <si>
    <t xml:space="preserve">gap</t>
  </si>
  <si>
    <t xml:space="preserve">cumulative_gap</t>
  </si>
  <si>
    <t xml:space="preserve">cumulative_gap_pct_assets</t>
  </si>
  <si>
    <t xml:space="preserve">0_3m</t>
  </si>
  <si>
    <t xml:space="preserve">3_12m</t>
  </si>
  <si>
    <t xml:space="preserve">1_3y</t>
  </si>
  <si>
    <t xml:space="preserve">3_5y</t>
  </si>
  <si>
    <t xml:space="preserve">5_10y</t>
  </si>
  <si>
    <t xml:space="preserve">10y_plus</t>
  </si>
  <si>
    <t xml:space="preserve">nonrate</t>
  </si>
  <si>
    <t xml:space="preserve">total</t>
  </si>
  <si>
    <t xml:space="preserve">C. Key metrics, June 30, 2026</t>
  </si>
  <si>
    <t xml:space="preserve">metric_key</t>
  </si>
  <si>
    <t xml:space="preserve">label</t>
  </si>
  <si>
    <t xml:space="preserve">value</t>
  </si>
  <si>
    <t xml:space="preserve">formula / source</t>
  </si>
  <si>
    <t xml:space="preserve">total_assets</t>
  </si>
  <si>
    <t xml:space="preserve">Loans ($K)</t>
  </si>
  <si>
    <t xml:space="preserve">shares</t>
  </si>
  <si>
    <t xml:space="preserve">Shares ($K)</t>
  </si>
  <si>
    <t xml:space="preserve">lts</t>
  </si>
  <si>
    <t xml:space="preserve">nwr</t>
  </si>
  <si>
    <t xml:space="preserve">Net worth ratio (4-quarter average method)</t>
  </si>
  <si>
    <t xml:space="preserve">nwr_quarter_end</t>
  </si>
  <si>
    <t xml:space="preserve">Net worth ratio (quarter-end assets)</t>
  </si>
  <si>
    <t xml:space="preserve">aoci_pct_nw</t>
  </si>
  <si>
    <t xml:space="preserve">AOCI loss as % of net worth</t>
  </si>
  <si>
    <t xml:space="preserve">roa</t>
  </si>
  <si>
    <t xml:space="preserve">ROA, year to date (annualized)</t>
  </si>
  <si>
    <t xml:space="preserve">pre_giveback_roa</t>
  </si>
  <si>
    <t xml:space="preserve">Pre-giveback ROA, YTD</t>
  </si>
  <si>
    <t xml:space="preserve">nim</t>
  </si>
  <si>
    <t xml:space="preserve">NIM, YTD (ex-giveback)</t>
  </si>
  <si>
    <t xml:space="preserve">efficiency</t>
  </si>
  <si>
    <t xml:space="preserve">Efficiency ratio, YTD</t>
  </si>
  <si>
    <t xml:space="preserve">delinq_60</t>
  </si>
  <si>
    <t xml:space="preserve">Delinquency (60+)</t>
  </si>
  <si>
    <t xml:space="preserve">nco</t>
  </si>
  <si>
    <t xml:space="preserve">Net charge-offs, YTD (annualized)</t>
  </si>
  <si>
    <t xml:space="preserve">cost_of_funds</t>
  </si>
  <si>
    <t xml:space="preserve">Cost of funds, YTD</t>
  </si>
  <si>
    <t xml:space="preserve">liquidity_ratio</t>
  </si>
  <si>
    <t xml:space="preserve">On-balance-sheet liquidity / shares</t>
  </si>
  <si>
    <t xml:space="preserve">balance_sheet, investments</t>
  </si>
  <si>
    <t xml:space="preserve">he_concentration</t>
  </si>
  <si>
    <t xml:space="preserve">mbl_utilization</t>
  </si>
  <si>
    <t xml:space="preserve">borrowings_to_assets</t>
  </si>
  <si>
    <t xml:space="preserve">Borrowings / assets</t>
  </si>
  <si>
    <t xml:space="preserve">brokered_to_shares</t>
  </si>
  <si>
    <t xml:space="preserve">Brokered deposits / shares</t>
  </si>
  <si>
    <t xml:space="preserve">none outstanding (assumed)</t>
  </si>
  <si>
    <t xml:space="preserve">uninsured_to_shares</t>
  </si>
  <si>
    <t xml:space="preserve">Uninsured shares / shares (estimate)</t>
  </si>
  <si>
    <t xml:space="preserve">nev_test_internal</t>
  </si>
  <si>
    <t xml:space="preserve">NEV Test class, internal method</t>
  </si>
  <si>
    <t xml:space="preserve">nev_test_ncua</t>
  </si>
  <si>
    <t xml:space="preserve">NEV Test class, NCUA standardized method</t>
  </si>
  <si>
    <t xml:space="preserve">afs_drift_q3</t>
  </si>
  <si>
    <t xml:space="preserve">AFS fair value change, June 30 to Sept 29 curve ($K)</t>
  </si>
  <si>
    <t xml:space="preserve">securities_detail (rate-drift estimate)</t>
  </si>
  <si>
    <t xml:space="preserve">htm_drift_q3</t>
  </si>
  <si>
    <t xml:space="preserve">HTM fair value change, June 30 to Sept 29 curve ($K)</t>
  </si>
  <si>
    <t xml:space="preserve">securities_detail (economic view)</t>
  </si>
  <si>
    <t xml:space="preserve">aoci_pct_nw_now</t>
  </si>
  <si>
    <t xml:space="preserve">AOCI loss / net worth after the Q3 move (estimate)</t>
  </si>
  <si>
    <t xml:space="preserve">history + AFS drift</t>
  </si>
  <si>
    <t xml:space="preserve">duration_of_equity</t>
  </si>
  <si>
    <t xml:space="preserve">Duration of equity, base (years)</t>
  </si>
  <si>
    <t xml:space="preserve">D. Liquidity stress: available liquidity vs. cumulative stressed outflows</t>
  </si>
  <si>
    <t xml:space="preserve">horizon_days</t>
  </si>
  <si>
    <t xml:space="preserve">outflows</t>
  </si>
  <si>
    <t xml:space="preserve">on_balance_available</t>
  </si>
  <si>
    <t xml:space="preserve">contingent_available</t>
  </si>
  <si>
    <t xml:space="preserve">total_available</t>
  </si>
  <si>
    <t xml:space="preserve">surplus</t>
  </si>
  <si>
    <t xml:space="preserve">liq_idiosyncratic</t>
  </si>
  <si>
    <t xml:space="preserve">survival_horizon_days</t>
  </si>
  <si>
    <t xml:space="preserve">liq_market_wide</t>
  </si>
  <si>
    <t xml:space="preserve">liq_combined_severe</t>
  </si>
  <si>
    <t xml:space="preserve">liq_rate_disintermediation</t>
  </si>
  <si>
    <t xml:space="preserve">Data Health: validation checks (section 6) and additional reconciliations</t>
  </si>
  <si>
    <t xml:space="preserve">Every result is a live formula. PASS / FAIL / WARN; tolerance shown per check.</t>
  </si>
  <si>
    <t xml:space="preserve">check_id</t>
  </si>
  <si>
    <t xml:space="preserve">check</t>
  </si>
  <si>
    <t xml:space="preserve">item</t>
  </si>
  <si>
    <t xml:space="preserve">value_a</t>
  </si>
  <si>
    <t xml:space="preserve">value_b</t>
  </si>
  <si>
    <t xml:space="preserve">difference</t>
  </si>
  <si>
    <t xml:space="preserve">tolerance</t>
  </si>
  <si>
    <t xml:space="preserve">result</t>
  </si>
  <si>
    <t xml:space="preserve">Balance sheet: assets = liabilities + equity (0.1%)</t>
  </si>
  <si>
    <t xml:space="preserve">2020-12-31</t>
  </si>
  <si>
    <t xml:space="preserve">2021-12-31</t>
  </si>
  <si>
    <t xml:space="preserve">2022-12-31</t>
  </si>
  <si>
    <t xml:space="preserve">2023-12-31</t>
  </si>
  <si>
    <t xml:space="preserve">2024-12-31</t>
  </si>
  <si>
    <t xml:space="preserve">2025-12-31</t>
  </si>
  <si>
    <t xml:space="preserve">2026-03-31</t>
  </si>
  <si>
    <t xml:space="preserve">2026-06-30</t>
  </si>
  <si>
    <t xml:space="preserve">Loan products sum to balance sheet loans (0.1%)</t>
  </si>
  <si>
    <t xml:space="preserve">Deposit products sum to balance sheet shares (0.1%)</t>
  </si>
  <si>
    <t xml:space="preserve">Repricing gap: asset buckets incl. nonrate = total assets</t>
  </si>
  <si>
    <t xml:space="preserve">Repricing gap: liability + equity buckets = liabilities + equity</t>
  </si>
  <si>
    <t xml:space="preserve">Income statement: NII = interest income - interest expense</t>
  </si>
  <si>
    <t xml:space="preserve">2020-12-31 ytd</t>
  </si>
  <si>
    <t xml:space="preserve">Income statement: net income ties to components</t>
  </si>
  <si>
    <t xml:space="preserve">2021-12-31 ytd</t>
  </si>
  <si>
    <t xml:space="preserve">2022-12-31 ytd</t>
  </si>
  <si>
    <t xml:space="preserve">2023-12-31 ytd</t>
  </si>
  <si>
    <t xml:space="preserve">2024-12-31 ytd</t>
  </si>
  <si>
    <t xml:space="preserve">2025-12-31 ytd</t>
  </si>
  <si>
    <t xml:space="preserve">2026-06-30 ytd</t>
  </si>
  <si>
    <t xml:space="preserve">2025-03-31 qtd</t>
  </si>
  <si>
    <t xml:space="preserve">2025-06-30 qtd</t>
  </si>
  <si>
    <t xml:space="preserve">2025-09-30 qtd</t>
  </si>
  <si>
    <t xml:space="preserve">2025-12-31 qtd</t>
  </si>
  <si>
    <t xml:space="preserve">2026-03-31 qtd</t>
  </si>
  <si>
    <t xml:space="preserve">2026-03-31 ytd</t>
  </si>
  <si>
    <t xml:space="preserve">2026-06-30 qtd</t>
  </si>
  <si>
    <t xml:space="preserve">NEV = asset FV - liability FV + off-balance (vs. nev_test)</t>
  </si>
  <si>
    <t xml:space="preserve">NEV ratio uses the same scenario's asset fair value</t>
  </si>
  <si>
    <t xml:space="preserve">Base Year 1 NII within 15% of trailing 12-month NII (warning only)</t>
  </si>
  <si>
    <t xml:space="preserve">base vs TTM</t>
  </si>
  <si>
    <t xml:space="preserve">Every policy limit references an existing metric</t>
  </si>
  <si>
    <t xml:space="preserve">Every policy limit references an existing scenario</t>
  </si>
  <si>
    <t xml:space="preserve">No duplicate product keys per period</t>
  </si>
  <si>
    <t xml:space="preserve">Mix shares sum to 100%</t>
  </si>
  <si>
    <t xml:space="preserve">History has no missing quarters (every step = 1 quarter)</t>
  </si>
  <si>
    <t xml:space="preserve">Rates dated after the as-of date (rate-drift chip)</t>
  </si>
  <si>
    <t xml:space="preserve">count of observations after as-of</t>
  </si>
  <si>
    <t xml:space="preserve">10-year Treasury drift since as-of (bp)</t>
  </si>
  <si>
    <t xml:space="preserve">latest curve vs. as-of curve</t>
  </si>
  <si>
    <t xml:space="preserve">AFS fair value (investments) = balance sheet AFS lines</t>
  </si>
  <si>
    <t xml:space="preserve">AFS fair value ties to call report ($1,958,274K)</t>
  </si>
  <si>
    <t xml:space="preserve">HTM amortized cost ties to call report ($1,348,404K)</t>
  </si>
  <si>
    <t xml:space="preserve">Certificate maturities = certificate + IRA certificate balances</t>
  </si>
  <si>
    <t xml:space="preserve">Investment cash flows: principal + prepayments = securities book (ex-equity)</t>
  </si>
  <si>
    <t xml:space="preserve">Net worth ratio (4-quarter method) matches reported 12.1% (within 5bp)</t>
  </si>
  <si>
    <t xml:space="preserve">rate_scenarios rows = scenarios x 25 months x 14 tenors</t>
  </si>
  <si>
    <t xml:space="preserve">nii_simulation rows = scenarios x 24 months</t>
  </si>
  <si>
    <t xml:space="preserve">Balance sheet equity = net worth + AOCI (capital tab)</t>
  </si>
  <si>
    <t xml:space="preserve">Checks failed</t>
  </si>
  <si>
    <t xml:space="preserve">Warnings</t>
  </si>
  <si>
    <t xml:space="preserve">Data status chip</t>
  </si>
  <si>
    <t xml:space="preserve">key</t>
  </si>
  <si>
    <t xml:space="preserve">description</t>
  </si>
  <si>
    <t xml:space="preserve">institution</t>
  </si>
  <si>
    <t xml:space="preserve">Desert Financial Credit Union (hypothetical concept; NCUA charter 68713)</t>
  </si>
  <si>
    <t xml:space="preserve">Subject institution. Hypothetical concept built from public data.</t>
  </si>
  <si>
    <t xml:space="preserve">as_of_date</t>
  </si>
  <si>
    <t xml:space="preserve">Balance sheet and model as-of date (latest call report)</t>
  </si>
  <si>
    <t xml:space="preserve">units</t>
  </si>
  <si>
    <t xml:space="preserve">USD thousands</t>
  </si>
  <si>
    <t xml:space="preserve">All dollar amounts are in thousands; rates and ratios are decimals</t>
  </si>
  <si>
    <t xml:space="preserve">nwr_method</t>
  </si>
  <si>
    <t xml:space="preserve">four_quarter_average</t>
  </si>
  <si>
    <t xml:space="preserve">Net worth / average of the current and three prior quarter-end total assets (matches reported 12.1% at June 30, 2026)</t>
  </si>
  <si>
    <t xml:space="preserve">capital_target_nwr</t>
  </si>
  <si>
    <t xml:space="preserve">Board capital target (hypothetical)</t>
  </si>
  <si>
    <t xml:space="preserve">watch_pct_default</t>
  </si>
  <si>
    <t xml:space="preserve">Utilization at which a maximum or max-decline limit turns Watch</t>
  </si>
  <si>
    <t xml:space="preserve">min_watch_buffer</t>
  </si>
  <si>
    <t xml:space="preserve">A minimum limit turns Watch within this fraction above the minimum</t>
  </si>
  <si>
    <t xml:space="preserve">peer_group</t>
  </si>
  <si>
    <t xml:space="preserve">cu_5b_20b</t>
  </si>
  <si>
    <t xml:space="preserve">Default peer set in peers (hypothetical placeholder values)</t>
  </si>
  <si>
    <t xml:space="preserve">disclaimer</t>
  </si>
  <si>
    <t xml:space="preserve">Show on every page and export</t>
  </si>
  <si>
    <t xml:space="preserve">model_version</t>
  </si>
  <si>
    <t xml:space="preserve">DFCU ALM model v1.0 (built 2026-09-30)</t>
  </si>
  <si>
    <t xml:space="preserve">Python model in model/ (run build_all.py)</t>
  </si>
  <si>
    <t xml:space="preserve">data_cutoff</t>
  </si>
  <si>
    <t xml:space="preserve">2026-09-29</t>
  </si>
  <si>
    <t xml:space="preserve">Latest market data used (Treasury curve Sept 29, 2026)</t>
  </si>
  <si>
    <t xml:space="preserve">rate_drift_curve_date</t>
  </si>
  <si>
    <t xml:space="preserve">Curve newer than the as-of date (drives the rate-drift chip)</t>
  </si>
  <si>
    <t xml:space="preserve">cculr_elected</t>
  </si>
  <si>
    <t xml:space="preserve">Complex credit union leverage ratio elected (CreditUnionsOnline)</t>
  </si>
  <si>
    <t xml:space="preserve">cculr_threshold</t>
  </si>
  <si>
    <t xml:space="preserve">CCULR well-capitalized net worth ratio</t>
  </si>
  <si>
    <t xml:space="preserve">well_capitalized_nwr</t>
  </si>
  <si>
    <t xml:space="preserve">Statutory well-capitalized NWR used in the MBL cap</t>
  </si>
  <si>
    <t xml:space="preserve">mbl_multiple</t>
  </si>
  <si>
    <t xml:space="preserve">MBL cap multiple (12 CFR 723.8)</t>
  </si>
  <si>
    <t xml:space="preserve">nev_test_low_ratio</t>
  </si>
  <si>
    <t xml:space="preserve">NEV Test: Low requires post-shock NEV ratio above 7%</t>
  </si>
  <si>
    <t xml:space="preserve">nev_test_high_ratio</t>
  </si>
  <si>
    <t xml:space="preserve">NEV Test: High if post-shock NEV ratio below 4%</t>
  </si>
  <si>
    <t xml:space="preserve">nev_test_low_sensitivity</t>
  </si>
  <si>
    <t xml:space="preserve">NEV Test: Low requires NEV decline under 40%</t>
  </si>
  <si>
    <t xml:space="preserve">nev_test_high_sensitivity</t>
  </si>
  <si>
    <t xml:space="preserve">NEV Test: High if NEV decline exceeds 65%</t>
  </si>
  <si>
    <t xml:space="preserve">threshold_10b</t>
  </si>
  <si>
    <t xml:space="preserve">Asset threshold for capital planning, Durbin coverage and CFPB ($K)</t>
  </si>
  <si>
    <t xml:space="preserve">nii_definition</t>
  </si>
  <si>
    <t xml:space="preserve">excludes Member Giveback Bonus</t>
  </si>
  <si>
    <t xml:space="preserve">NII = interest income - interest expense; the giveback is reported within dividends by DFCU but is its own category here</t>
  </si>
  <si>
    <t xml:space="preserve">giveback_recognition</t>
  </si>
  <si>
    <t xml:space="preserve">Q1 dividends when paid (inferred)</t>
  </si>
  <si>
    <t xml:space="preserve">See notes: consistent with the Q1 2026 earnings dip and dividend-cost dynamics</t>
  </si>
  <si>
    <t xml:space="preserve">scenario_start</t>
  </si>
  <si>
    <t xml:space="preserve">2026-07-01</t>
  </si>
  <si>
    <t xml:space="preserve">Month 1 of every scenario is July 2026</t>
  </si>
  <si>
    <t xml:space="preserve">fiscal_year_end</t>
  </si>
  <si>
    <t xml:space="preserve">12-31</t>
  </si>
  <si>
    <t xml:space="preserve">Calendar fiscal year</t>
  </si>
  <si>
    <t xml:space="preserve">period</t>
  </si>
  <si>
    <t xml:space="preserve">section</t>
  </si>
  <si>
    <t xml:space="preserve">category</t>
  </si>
  <si>
    <t xml:space="preserve">line_item</t>
  </si>
  <si>
    <t xml:space="preserve">balance</t>
  </si>
  <si>
    <t xml:space="preserve">avg_balance</t>
  </si>
  <si>
    <t xml:space="preserve">rate</t>
  </si>
  <si>
    <t xml:space="preserve">rate_type</t>
  </si>
  <si>
    <t xml:space="preserve">index</t>
  </si>
  <si>
    <t xml:space="preserve">wal_years</t>
  </si>
  <si>
    <t xml:space="preserve">eff_duration</t>
  </si>
  <si>
    <t xml:space="preserve">eff_convexity</t>
  </si>
  <si>
    <t xml:space="preserve">provenance</t>
  </si>
  <si>
    <t xml:space="preserve">source</t>
  </si>
  <si>
    <t xml:space="preserve">line_key</t>
  </si>
  <si>
    <t xml:space="preserve">amortized_cost</t>
  </si>
  <si>
    <t xml:space="preserve">fair_value_base</t>
  </si>
  <si>
    <t xml:space="preserve">asset</t>
  </si>
  <si>
    <t xml:space="preserve">cash</t>
  </si>
  <si>
    <t xml:space="preserve">Cash and cash equivalents</t>
  </si>
  <si>
    <t xml:space="preserve">none</t>
  </si>
  <si>
    <t xml:space="preserve">sofr</t>
  </si>
  <si>
    <t xml:space="preserve">audited</t>
  </si>
  <si>
    <t xml:space="preserve">Desert Financial 2021 Annual Report (audited FY2020)</t>
  </si>
  <si>
    <t xml:space="preserve">Equity securities</t>
  </si>
  <si>
    <t xml:space="preserve">Securities available for sale (fair value)</t>
  </si>
  <si>
    <t xml:space="preserve">Securities held to maturity (amortized cost)</t>
  </si>
  <si>
    <t xml:space="preserve">FHLB stock</t>
  </si>
  <si>
    <t xml:space="preserve">loans_hfs</t>
  </si>
  <si>
    <t xml:space="preserve">Loans held for sale</t>
  </si>
  <si>
    <t xml:space="preserve">Loans, net of allowance for credit losses</t>
  </si>
  <si>
    <t xml:space="preserve">fixed</t>
  </si>
  <si>
    <t xml:space="preserve">other_assets</t>
  </si>
  <si>
    <t xml:space="preserve">Accrued interest receivable</t>
  </si>
  <si>
    <t xml:space="preserve">Prepaid expenses and other assets</t>
  </si>
  <si>
    <t xml:space="preserve">Credit union-owned life insurance</t>
  </si>
  <si>
    <t xml:space="preserve">Mortgage servicing rights</t>
  </si>
  <si>
    <t xml:space="preserve">Premises and equipment, net</t>
  </si>
  <si>
    <t xml:space="preserve">NCUSIF deposit</t>
  </si>
  <si>
    <t xml:space="preserve">liability</t>
  </si>
  <si>
    <t xml:space="preserve">Members' shares and savings accounts</t>
  </si>
  <si>
    <t xml:space="preserve">variable</t>
  </si>
  <si>
    <t xml:space="preserve">borrowings</t>
  </si>
  <si>
    <t xml:space="preserve">Borrowed funds</t>
  </si>
  <si>
    <t xml:space="preserve">other_liabilities</t>
  </si>
  <si>
    <t xml:space="preserve">Accrued expenses and other liabilities</t>
  </si>
  <si>
    <t xml:space="preserve">Regular reserve</t>
  </si>
  <si>
    <t xml:space="preserve">Undivided earnings</t>
  </si>
  <si>
    <t xml:space="preserve">Accumulated other comprehensive income (loss)</t>
  </si>
  <si>
    <t xml:space="preserve">Desert Financial 2021 Annual Report (audited FY2021)</t>
  </si>
  <si>
    <t xml:space="preserve">Visa class B stock</t>
  </si>
  <si>
    <t xml:space="preserve">Desert Financial 2023 Annual Report (audited FY2022)</t>
  </si>
  <si>
    <t xml:space="preserve">Online and debit card clearing</t>
  </si>
  <si>
    <t xml:space="preserve">Desert Financial 2023 Annual Report (audited FY2023)</t>
  </si>
  <si>
    <t xml:space="preserve">Split-dollar life insurance arrangements</t>
  </si>
  <si>
    <t xml:space="preserve">Desert Financial 2025 Annual Report (audited FY2024)</t>
  </si>
  <si>
    <t xml:space="preserve">Loans, gross</t>
  </si>
  <si>
    <t xml:space="preserve">Desert Financial 2025 Annual Report (audited FY2024) (loans net plus allowance)</t>
  </si>
  <si>
    <t xml:space="preserve">acl</t>
  </si>
  <si>
    <t xml:space="preserve">Allowance for credit losses</t>
  </si>
  <si>
    <t xml:space="preserve">Desert Financial 2025 Annual Report (audited FY2025)</t>
  </si>
  <si>
    <t xml:space="preserve">Desert Financial 2025 Annual Report (audited FY2025) (loans net plus allowance)</t>
  </si>
  <si>
    <t xml:space="preserve">ACH settlement receivable</t>
  </si>
  <si>
    <t xml:space="preserve">modeled</t>
  </si>
  <si>
    <t xml:space="preserve">Modeled (balance-sheet plug)</t>
  </si>
  <si>
    <t xml:space="preserve">Modeled: amortized cost interpolated, fair value repriced to the March 31, 2026 curve</t>
  </si>
  <si>
    <t xml:space="preserve">Interpolated</t>
  </si>
  <si>
    <t xml:space="preserve">public</t>
  </si>
  <si>
    <t xml:space="preserve">NCUA 5300 call report, March 31, 2026 (partial: NCUSO summary and CUScore)</t>
  </si>
  <si>
    <t xml:space="preserve">Other assets (fixed assets, accrued interest, insurance, other)</t>
  </si>
  <si>
    <t xml:space="preserve">By difference to public total assets</t>
  </si>
  <si>
    <t xml:space="preserve">Regular shares</t>
  </si>
  <si>
    <t xml:space="preserve">Share drafts, money market, certificates, IRAs and other shares</t>
  </si>
  <si>
    <t xml:space="preserve">NCUA 5300 call report, March 31, 2026 (partial: NCUSO summary and CUScore) (total shares less regular shares)</t>
  </si>
  <si>
    <t xml:space="preserve">Accrued dividends, accounts payable and other liabilities</t>
  </si>
  <si>
    <t xml:space="preserve">By difference</t>
  </si>
  <si>
    <t xml:space="preserve">Undivided earnings (beginning of year)</t>
  </si>
  <si>
    <t xml:space="preserve">Net income, year to date</t>
  </si>
  <si>
    <t xml:space="preserve">Modeled AFS unrealized loss plus other OCI</t>
  </si>
  <si>
    <t xml:space="preserve">Cash on deposit (Federal Reserve and correspondents)</t>
  </si>
  <si>
    <t xml:space="preserve">NCUA 5300 call report, June 30, 2026 (ncuso.org/credit-union/68713/financials)</t>
  </si>
  <si>
    <t xml:space="preserve">cash_fed</t>
  </si>
  <si>
    <t xml:space="preserve">Cash on hand (vault and ATM)</t>
  </si>
  <si>
    <t xml:space="preserve">cash_vault</t>
  </si>
  <si>
    <t xml:space="preserve">Equity securities (deferred compensation funds)</t>
  </si>
  <si>
    <t xml:space="preserve">equity_securities</t>
  </si>
  <si>
    <t xml:space="preserve">Perpetual contributed capital (corporate credit union)</t>
  </si>
  <si>
    <t xml:space="preserve">pcc</t>
  </si>
  <si>
    <t xml:space="preserve">treasury</t>
  </si>
  <si>
    <t xml:space="preserve">Foreclosed and repossessed assets</t>
  </si>
  <si>
    <t xml:space="preserve">foreclosed</t>
  </si>
  <si>
    <t xml:space="preserve">Land and building</t>
  </si>
  <si>
    <t xml:space="preserve">land_building</t>
  </si>
  <si>
    <t xml:space="preserve">Other fixed assets</t>
  </si>
  <si>
    <t xml:space="preserve">other_fixed_assets</t>
  </si>
  <si>
    <t xml:space="preserve">NCUSIF capitalization deposit</t>
  </si>
  <si>
    <t xml:space="preserve">ncusif</t>
  </si>
  <si>
    <t xml:space="preserve">NCUA 5300 call report, June 30, 2026 (ncuso.org/credit-union/68713/financials); split and analytics modeled (DFCU ALM model v1.0 (hypothetical; model/run_model.py))</t>
  </si>
  <si>
    <t xml:space="preserve">accrued_interest</t>
  </si>
  <si>
    <t xml:space="preserve">fhlb_stock</t>
  </si>
  <si>
    <t xml:space="preserve">Visa class B/C stock</t>
  </si>
  <si>
    <t xml:space="preserve">visa_stock</t>
  </si>
  <si>
    <t xml:space="preserve">Credit union-owned life insurance (cash surrender value)</t>
  </si>
  <si>
    <t xml:space="preserve">life_insurance</t>
  </si>
  <si>
    <t xml:space="preserve">split_dollar</t>
  </si>
  <si>
    <t xml:space="preserve">msr</t>
  </si>
  <si>
    <t xml:space="preserve">Prepaid expenses, ACH settlement and other assets</t>
  </si>
  <si>
    <t xml:space="preserve">prepaid_other</t>
  </si>
  <si>
    <t xml:space="preserve">U.S. Treasury notes</t>
  </si>
  <si>
    <t xml:space="preserve">afs_ust</t>
  </si>
  <si>
    <t xml:space="preserve">Agency debentures (non-callable and seasoned callables)</t>
  </si>
  <si>
    <t xml:space="preserve">afs_agency</t>
  </si>
  <si>
    <t xml:space="preserve">Agency MBS pass-throughs, 2020-2021 vintage (2.0% coupon)</t>
  </si>
  <si>
    <t xml:space="preserve">afs_mbs_low</t>
  </si>
  <si>
    <t xml:space="preserve">Agency MBS pass-throughs, 2023-2024 vintage (5.25% coupon)</t>
  </si>
  <si>
    <t xml:space="preserve">afs_mbs_high</t>
  </si>
  <si>
    <t xml:space="preserve">Agency CMOs (sequential and PAC tranches)</t>
  </si>
  <si>
    <t xml:space="preserve">afs_cmo</t>
  </si>
  <si>
    <t xml:space="preserve">Taxable municipal bonds</t>
  </si>
  <si>
    <t xml:space="preserve">afs_muni</t>
  </si>
  <si>
    <t xml:space="preserve">SBA 7(a) pools (prime-indexed floaters)</t>
  </si>
  <si>
    <t xml:space="preserve">prime</t>
  </si>
  <si>
    <t xml:space="preserve">afs_sba</t>
  </si>
  <si>
    <t xml:space="preserve">Agency MBS pass-throughs, 15/20-year (1.9% coupon)</t>
  </si>
  <si>
    <t xml:space="preserve">htm_mbs</t>
  </si>
  <si>
    <t xml:space="preserve">Agency multifamily CMBS (DUS), bullet-like</t>
  </si>
  <si>
    <t xml:space="preserve">htm_cmbs</t>
  </si>
  <si>
    <t xml:space="preserve">Municipal bonds (HTM)</t>
  </si>
  <si>
    <t xml:space="preserve">htm_muni</t>
  </si>
  <si>
    <t xml:space="preserve">Agency debentures (HTM, 2024 purchase)</t>
  </si>
  <si>
    <t xml:space="preserve">htm_agency</t>
  </si>
  <si>
    <t xml:space="preserve">Home equity lines of credit (HELOC)</t>
  </si>
  <si>
    <t xml:space="preserve">heloc</t>
  </si>
  <si>
    <t xml:space="preserve">Home equity loans, fixed</t>
  </si>
  <si>
    <t xml:space="preserve">he_fixed</t>
  </si>
  <si>
    <t xml:space="preserve">Used vehicle loans</t>
  </si>
  <si>
    <t xml:space="preserve">auto_used</t>
  </si>
  <si>
    <t xml:space="preserve">New vehicle loans</t>
  </si>
  <si>
    <t xml:space="preserve">auto_new</t>
  </si>
  <si>
    <t xml:space="preserve">First mortgages, fixed rate (portfolio)</t>
  </si>
  <si>
    <t xml:space="preserve">mortgage_fixed</t>
  </si>
  <si>
    <t xml:space="preserve">First mortgages, adjustable (hybrid ARM)</t>
  </si>
  <si>
    <t xml:space="preserve">mortgage_arm</t>
  </si>
  <si>
    <t xml:space="preserve">Commercial real estate, fixed-to-reset</t>
  </si>
  <si>
    <t xml:space="preserve">cre_reset</t>
  </si>
  <si>
    <t xml:space="preserve">Commercial real estate, floating</t>
  </si>
  <si>
    <t xml:space="preserve">cre_float</t>
  </si>
  <si>
    <t xml:space="preserve">Commercial and industrial (non-RE)</t>
  </si>
  <si>
    <t xml:space="preserve">commercial_non_re</t>
  </si>
  <si>
    <t xml:space="preserve">Personal loans, unsecured fixed</t>
  </si>
  <si>
    <t xml:space="preserve">unsecured_fixed</t>
  </si>
  <si>
    <t xml:space="preserve">Personal lines of credit</t>
  </si>
  <si>
    <t xml:space="preserve">unsecured_loc</t>
  </si>
  <si>
    <t xml:space="preserve">Other secured consumer (RV, boat, share-secured)</t>
  </si>
  <si>
    <t xml:space="preserve">other_secured</t>
  </si>
  <si>
    <t xml:space="preserve">Private student loans</t>
  </si>
  <si>
    <t xml:space="preserve">student</t>
  </si>
  <si>
    <t xml:space="preserve">Other real estate loans</t>
  </si>
  <si>
    <t xml:space="preserve">other_re</t>
  </si>
  <si>
    <t xml:space="preserve">Accrued dividends and interest payable</t>
  </si>
  <si>
    <t xml:space="preserve">accrued_dividends</t>
  </si>
  <si>
    <t xml:space="preserve">Accounts payable and other liabilities</t>
  </si>
  <si>
    <t xml:space="preserve">ap_other</t>
  </si>
  <si>
    <t xml:space="preserve">Share drafts (checking), consumer</t>
  </si>
  <si>
    <t xml:space="preserve">share_drafts__consumer</t>
  </si>
  <si>
    <t xml:space="preserve">Share drafts (checking), business</t>
  </si>
  <si>
    <t xml:space="preserve">share_drafts__business</t>
  </si>
  <si>
    <t xml:space="preserve">Regular shares (savings), consumer</t>
  </si>
  <si>
    <t xml:space="preserve">regular_shares__consumer</t>
  </si>
  <si>
    <t xml:space="preserve">Regular shares (savings), business</t>
  </si>
  <si>
    <t xml:space="preserve">regular_shares__business</t>
  </si>
  <si>
    <t xml:space="preserve">Money market, under $25K</t>
  </si>
  <si>
    <t xml:space="preserve">money_market__t1_under_25k</t>
  </si>
  <si>
    <t xml:space="preserve">Money market, $25K to $100K</t>
  </si>
  <si>
    <t xml:space="preserve">money_market__t2_25k_100k</t>
  </si>
  <si>
    <t xml:space="preserve">Money market, $100K to $250K</t>
  </si>
  <si>
    <t xml:space="preserve">money_market__t3_100k_250k</t>
  </si>
  <si>
    <t xml:space="preserve">Money market, $250K and over (incl. business)</t>
  </si>
  <si>
    <t xml:space="preserve">money_market__t4_250k_plus</t>
  </si>
  <si>
    <t xml:space="preserve">IRA/Keogh savings</t>
  </si>
  <si>
    <t xml:space="preserve">ira__ira_savings</t>
  </si>
  <si>
    <t xml:space="preserve">Other shares (club, escrow, HSA)</t>
  </si>
  <si>
    <t xml:space="preserve">other_shares__all</t>
  </si>
  <si>
    <t xml:space="preserve">Share certificates, under $100K</t>
  </si>
  <si>
    <t xml:space="preserve">certificates__under_100k</t>
  </si>
  <si>
    <t xml:space="preserve">Share certificates, $100K and over</t>
  </si>
  <si>
    <t xml:space="preserve">certificates__100k_plus</t>
  </si>
  <si>
    <t xml:space="preserve">IRA/Keogh certificates</t>
  </si>
  <si>
    <t xml:space="preserve">ira__ira_certificates</t>
  </si>
  <si>
    <t xml:space="preserve">Undivided earnings (beginning of year, incl. regular reserve)</t>
  </si>
  <si>
    <t xml:space="preserve">undivided_earnings_boy</t>
  </si>
  <si>
    <t xml:space="preserve">net_income_ytd</t>
  </si>
  <si>
    <t xml:space="preserve">AOCI: unrealized losses on AFS securities</t>
  </si>
  <si>
    <t xml:space="preserve">aoci_afs</t>
  </si>
  <si>
    <t xml:space="preserve">AOCI: other comprehensive income</t>
  </si>
  <si>
    <t xml:space="preserve">aoci_other</t>
  </si>
  <si>
    <t xml:space="preserve">basis</t>
  </si>
  <si>
    <t xml:space="preserve">amount</t>
  </si>
  <si>
    <t xml:space="preserve">ytd</t>
  </si>
  <si>
    <t xml:space="preserve">interest_income</t>
  </si>
  <si>
    <t xml:space="preserve">Interest on loans</t>
  </si>
  <si>
    <t xml:space="preserve">Interest on investments (incl. cash)</t>
  </si>
  <si>
    <t xml:space="preserve">interest_expense</t>
  </si>
  <si>
    <t xml:space="preserve">Dividends on shares, excluding Member Giveback Bonus</t>
  </si>
  <si>
    <t xml:space="preserve">Desert Financial 2021 Annual Report (audited FY2020); audited dividends less the giveback paid in the year (classification inferred)</t>
  </si>
  <si>
    <t xml:space="preserve">Interest on borrowed funds</t>
  </si>
  <si>
    <t xml:space="preserve">member_giveback</t>
  </si>
  <si>
    <t xml:space="preserve">Member Giveback Bonus (paid in February; within dividends as reported)</t>
  </si>
  <si>
    <t xml:space="preserve">Desert Financial annual reports and press releases (amount); classification inferred</t>
  </si>
  <si>
    <t xml:space="preserve">provision</t>
  </si>
  <si>
    <t xml:space="preserve">Provision for credit losses</t>
  </si>
  <si>
    <t xml:space="preserve">noninterest_income</t>
  </si>
  <si>
    <t xml:space="preserve">Fees and service charges</t>
  </si>
  <si>
    <t xml:space="preserve">Interchange income</t>
  </si>
  <si>
    <t xml:space="preserve">Gains on sales of loans</t>
  </si>
  <si>
    <t xml:space="preserve">Other miscellaneous income</t>
  </si>
  <si>
    <t xml:space="preserve">Sales of insurance and investment products</t>
  </si>
  <si>
    <t xml:space="preserve">Gains on capitalization of mortgage servicing rights</t>
  </si>
  <si>
    <t xml:space="preserve">Increase in cash surrender value of life insurance</t>
  </si>
  <si>
    <t xml:space="preserve">noninterest_expense</t>
  </si>
  <si>
    <t xml:space="preserve">Compensation and benefits</t>
  </si>
  <si>
    <t xml:space="preserve">Office operations</t>
  </si>
  <si>
    <t xml:space="preserve">Member education and marketing</t>
  </si>
  <si>
    <t xml:space="preserve">Occupancy</t>
  </si>
  <si>
    <t xml:space="preserve">Professional and outside services</t>
  </si>
  <si>
    <t xml:space="preserve">Operating expenses</t>
  </si>
  <si>
    <t xml:space="preserve">Loan servicing</t>
  </si>
  <si>
    <t xml:space="preserve">Desert Financial 2021 Annual Report (audited FY2021); audited dividends less the giveback paid in the year (classification inferred)</t>
  </si>
  <si>
    <t xml:space="preserve">one_time</t>
  </si>
  <si>
    <t xml:space="preserve">Gains on Visa stock</t>
  </si>
  <si>
    <t xml:space="preserve">Desert Financial 2023 Annual Report (audited FY2022); audited dividends less the giveback paid in the year (classification inferred)</t>
  </si>
  <si>
    <t xml:space="preserve">Member capital account refund</t>
  </si>
  <si>
    <t xml:space="preserve">Loss on Visa stock</t>
  </si>
  <si>
    <t xml:space="preserve">Desert Financial 2023 Annual Report (audited FY2022) (expense shown as a negative one-time item)</t>
  </si>
  <si>
    <t xml:space="preserve">Non-operating expenses</t>
  </si>
  <si>
    <t xml:space="preserve">Desert Financial 2023 Annual Report (audited FY2023); audited dividends less the giveback paid in the year (classification inferred)</t>
  </si>
  <si>
    <t xml:space="preserve">Interest on investments</t>
  </si>
  <si>
    <t xml:space="preserve">Interest on cash and deposits</t>
  </si>
  <si>
    <t xml:space="preserve">Desert Financial 2025 Annual Report (audited FY2024); audited dividends less the giveback paid in the year (classification inferred)</t>
  </si>
  <si>
    <t xml:space="preserve">Other non-interest income</t>
  </si>
  <si>
    <t xml:space="preserve">Fees and charges</t>
  </si>
  <si>
    <t xml:space="preserve">Commission income</t>
  </si>
  <si>
    <t xml:space="preserve">Gain on Visa stock</t>
  </si>
  <si>
    <t xml:space="preserve">Compensation and employee benefits</t>
  </si>
  <si>
    <t xml:space="preserve">Operations expense</t>
  </si>
  <si>
    <t xml:space="preserve">Advertising and promotion expense</t>
  </si>
  <si>
    <t xml:space="preserve">Legal and professional expense</t>
  </si>
  <si>
    <t xml:space="preserve">Desert Financial 2025 Annual Report (audited FY2025); audited dividends less the giveback paid in the year (classification inferred)</t>
  </si>
  <si>
    <t xml:space="preserve">Income from investments (incl. interest on deposits)</t>
  </si>
  <si>
    <t xml:space="preserve">NCUA 5300 call report, June 30, 2026 (ncuso.org/credit-union/68713/financials); less the $16M February 2026 giveback (inferred)</t>
  </si>
  <si>
    <t xml:space="preserve">Member Giveback Bonus (paid February 2026)</t>
  </si>
  <si>
    <t xml:space="preserve">Desert Financial press release, Feb 2, 2026 ($16M); classification inferred</t>
  </si>
  <si>
    <t xml:space="preserve">Credit loss expense</t>
  </si>
  <si>
    <t xml:space="preserve">Fee income</t>
  </si>
  <si>
    <t xml:space="preserve">Other non-interest income (interchange, commissions, other)</t>
  </si>
  <si>
    <t xml:space="preserve">NCUA 5300 call report, June 30, 2026 (ncuso.org/credit-union/68713/financials) (by difference)</t>
  </si>
  <si>
    <t xml:space="preserve">Gain (loss) on derivatives</t>
  </si>
  <si>
    <t xml:space="preserve">Gain (loss) on disposition of fixed assets</t>
  </si>
  <si>
    <t xml:space="preserve">Employee compensation and benefits</t>
  </si>
  <si>
    <t xml:space="preserve">Travel and conference</t>
  </si>
  <si>
    <t xml:space="preserve">Office occupancy</t>
  </si>
  <si>
    <t xml:space="preserve">Educational and promotional</t>
  </si>
  <si>
    <t xml:space="preserve">Operating fees</t>
  </si>
  <si>
    <t xml:space="preserve">Miscellaneous operating expenses</t>
  </si>
  <si>
    <t xml:space="preserve">2025-03-31</t>
  </si>
  <si>
    <t xml:space="preserve">qtd</t>
  </si>
  <si>
    <t xml:space="preserve">Modeled quarterly allocation (smooth path to audited/public totals)</t>
  </si>
  <si>
    <t xml:space="preserve">Income from investments and cash</t>
  </si>
  <si>
    <t xml:space="preserve">Member Giveback Bonus</t>
  </si>
  <si>
    <t xml:space="preserve">Giveback amount public; quarter of recognition inferred</t>
  </si>
  <si>
    <t xml:space="preserve">Non-interest income</t>
  </si>
  <si>
    <t xml:space="preserve">Non-interest expense</t>
  </si>
  <si>
    <t xml:space="preserve">2025-06-30</t>
  </si>
  <si>
    <t xml:space="preserve">One-time items (Visa gains, other)</t>
  </si>
  <si>
    <t xml:space="preserve">2025-09-30</t>
  </si>
  <si>
    <t xml:space="preserve">interest_expense_reported</t>
  </si>
  <si>
    <t xml:space="preserve">nii_reported</t>
  </si>
  <si>
    <t xml:space="preserve">noninterest_income_reported</t>
  </si>
  <si>
    <t xml:space="preserve">noninterest_expense_reported</t>
  </si>
  <si>
    <t xml:space="preserve">net_income_reported</t>
  </si>
  <si>
    <t xml:space="preserve">nii_ex_giveback</t>
  </si>
  <si>
    <t xml:space="preserve">NCUA 5300 call report, March 31, 2026 (partial: NCUSO summary and CUScore) (net income and provision); other lines modeled</t>
  </si>
  <si>
    <t xml:space="preserve">product_key</t>
  </si>
  <si>
    <t xml:space="preserve">product_label</t>
  </si>
  <si>
    <t xml:space="preserve">count</t>
  </si>
  <si>
    <t xml:space="preserve">yield</t>
  </si>
  <si>
    <t xml:space="preserve">pct_fixed</t>
  </si>
  <si>
    <t xml:space="preserve">floor_rate</t>
  </si>
  <si>
    <t xml:space="preserve">cap_rate</t>
  </si>
  <si>
    <t xml:space="preserve">prepay_base</t>
  </si>
  <si>
    <t xml:space="preserve">prepay_up</t>
  </si>
  <si>
    <t xml:space="preserve">prepay_down</t>
  </si>
  <si>
    <t xml:space="preserve">prepay_unit</t>
  </si>
  <si>
    <t xml:space="preserve">delinq_30</t>
  </si>
  <si>
    <t xml:space="preserve">nco_rate</t>
  </si>
  <si>
    <t xml:space="preserve">avg_fico</t>
  </si>
  <si>
    <t xml:space="preserve">avg_ltv_cltv</t>
  </si>
  <si>
    <t xml:space="preserve">originations_ytd</t>
  </si>
  <si>
    <t xml:space="preserve">indirect_share</t>
  </si>
  <si>
    <t xml:space="preserve">unfunded_commitments</t>
  </si>
  <si>
    <t xml:space="preserve">line_utilization</t>
  </si>
  <si>
    <t xml:space="preserve">call_report_line</t>
  </si>
  <si>
    <t xml:space="preserve">call_report_rate</t>
  </si>
  <si>
    <t xml:space="preserve">offer_rate</t>
  </si>
  <si>
    <t xml:space="preserve">disc_spread</t>
  </si>
  <si>
    <t xml:space="preserve">reprice_wal_years</t>
  </si>
  <si>
    <t xml:space="preserve">dup_count</t>
  </si>
  <si>
    <t xml:space="preserve">mix_share</t>
  </si>
  <si>
    <t xml:space="preserve">cpr</t>
  </si>
  <si>
    <t xml:space="preserve">junior_lien_re</t>
  </si>
  <si>
    <t xml:space="preserve">NCUA 5300 call report, June 30, 2026 (ncuso.org/credit-union/68713/financials) (balance and count by call report line); product split, yields, behavior and credit allocation modeled; avg_fico and avg_ltv_cltv hypothetical</t>
  </si>
  <si>
    <t xml:space="preserve">used_vehicle</t>
  </si>
  <si>
    <t xml:space="preserve">new_vehicle</t>
  </si>
  <si>
    <t xml:space="preserve">first_mortgage</t>
  </si>
  <si>
    <t xml:space="preserve">commercial_re</t>
  </si>
  <si>
    <t xml:space="preserve">unsecured_other</t>
  </si>
  <si>
    <t xml:space="preserve">tier</t>
  </si>
  <si>
    <t xml:space="preserve">accounts</t>
  </si>
  <si>
    <t xml:space="preserve">beta_up</t>
  </si>
  <si>
    <t xml:space="preserve">beta_down</t>
  </si>
  <si>
    <t xml:space="preserve">beta_lag_months</t>
  </si>
  <si>
    <t xml:space="preserve">decay_wal_years</t>
  </si>
  <si>
    <t xml:space="preserve">insured_share_est</t>
  </si>
  <si>
    <t xml:space="preserve">cert_rollover_base</t>
  </si>
  <si>
    <t xml:space="preserve">cert_rollover_stress</t>
  </si>
  <si>
    <t xml:space="preserve">decay_rate</t>
  </si>
  <si>
    <t xml:space="preserve">rate_floor</t>
  </si>
  <si>
    <t xml:space="preserve">servicing_cost</t>
  </si>
  <si>
    <t xml:space="preserve">migration_per_100bp</t>
  </si>
  <si>
    <t xml:space="preserve">share_drafts</t>
  </si>
  <si>
    <t xml:space="preserve">consumer</t>
  </si>
  <si>
    <t xml:space="preserve">NCUA 5300 call report, June 30, 2026 (ncuso.org/credit-union/68713/financials) (product totals); tiers, rates and behavior modeled</t>
  </si>
  <si>
    <t xml:space="preserve">business</t>
  </si>
  <si>
    <t xml:space="preserve">regular_shares</t>
  </si>
  <si>
    <t xml:space="preserve">money_market</t>
  </si>
  <si>
    <t xml:space="preserve">t1_under_25k</t>
  </si>
  <si>
    <t xml:space="preserve">t2_25k_100k</t>
  </si>
  <si>
    <t xml:space="preserve">t3_100k_250k</t>
  </si>
  <si>
    <t xml:space="preserve">t4_250k_plus</t>
  </si>
  <si>
    <t xml:space="preserve">ira</t>
  </si>
  <si>
    <t xml:space="preserve">ira_savings</t>
  </si>
  <si>
    <t xml:space="preserve">other_shares</t>
  </si>
  <si>
    <t xml:space="preserve">all</t>
  </si>
  <si>
    <t xml:space="preserve">certificates</t>
  </si>
  <si>
    <t xml:space="preserve">under_100k</t>
  </si>
  <si>
    <t xml:space="preserve">NCUA 5300 call report, June 30, 2026 (ncuso.org/credit-union/68713/financials) (certificate totals, $100K+ split); maturity ladder and rates modeled</t>
  </si>
  <si>
    <t xml:space="preserve">100k_plus</t>
  </si>
  <si>
    <t xml:space="preserve">ira_certificates</t>
  </si>
  <si>
    <t xml:space="preserve">month_bucket</t>
  </si>
  <si>
    <t xml:space="preserve">maturity_month</t>
  </si>
  <si>
    <t xml:space="preserve">balance_under_100k</t>
  </si>
  <si>
    <t xml:space="preserve">balance_100k_plus</t>
  </si>
  <si>
    <t xml:space="preserve">balance_ira</t>
  </si>
  <si>
    <t xml:space="preserve">2026-07-31</t>
  </si>
  <si>
    <t xml:space="preserve">2026-08-31</t>
  </si>
  <si>
    <t xml:space="preserve">2026-09-30</t>
  </si>
  <si>
    <t xml:space="preserve">2026-10-31</t>
  </si>
  <si>
    <t xml:space="preserve">2026-11-30</t>
  </si>
  <si>
    <t xml:space="preserve">2026-12-31</t>
  </si>
  <si>
    <t xml:space="preserve">2027-01-31</t>
  </si>
  <si>
    <t xml:space="preserve">2027-02-28</t>
  </si>
  <si>
    <t xml:space="preserve">2027-03-31</t>
  </si>
  <si>
    <t xml:space="preserve">2027-04-30</t>
  </si>
  <si>
    <t xml:space="preserve">2027-05-31</t>
  </si>
  <si>
    <t xml:space="preserve">2027-06-30</t>
  </si>
  <si>
    <t xml:space="preserve">2027-07-31</t>
  </si>
  <si>
    <t xml:space="preserve">2027-08-31</t>
  </si>
  <si>
    <t xml:space="preserve">2027-09-30</t>
  </si>
  <si>
    <t xml:space="preserve">2027-10-31</t>
  </si>
  <si>
    <t xml:space="preserve">2027-11-30</t>
  </si>
  <si>
    <t xml:space="preserve">2027-12-31</t>
  </si>
  <si>
    <t xml:space="preserve">2028-01-31</t>
  </si>
  <si>
    <t xml:space="preserve">2028-02-29</t>
  </si>
  <si>
    <t xml:space="preserve">2028-03-31</t>
  </si>
  <si>
    <t xml:space="preserve">2028-04-30</t>
  </si>
  <si>
    <t xml:space="preserve">2028-05-31</t>
  </si>
  <si>
    <t xml:space="preserve">2028-06-30</t>
  </si>
  <si>
    <t xml:space="preserve">2028-07-31</t>
  </si>
  <si>
    <t xml:space="preserve">2028-08-31</t>
  </si>
  <si>
    <t xml:space="preserve">2028-09-30</t>
  </si>
  <si>
    <t xml:space="preserve">2028-10-31</t>
  </si>
  <si>
    <t xml:space="preserve">2028-11-30</t>
  </si>
  <si>
    <t xml:space="preserve">2028-12-31</t>
  </si>
  <si>
    <t xml:space="preserve">2029-01-31</t>
  </si>
  <si>
    <t xml:space="preserve">2029-02-28</t>
  </si>
  <si>
    <t xml:space="preserve">2029-03-31</t>
  </si>
  <si>
    <t xml:space="preserve">2029-04-30</t>
  </si>
  <si>
    <t xml:space="preserve">2029-05-31</t>
  </si>
  <si>
    <t xml:space="preserve">2029-06-30</t>
  </si>
  <si>
    <t xml:space="preserve">2029-07-31</t>
  </si>
  <si>
    <t xml:space="preserve">2029-08-31</t>
  </si>
  <si>
    <t xml:space="preserve">2029-09-30</t>
  </si>
  <si>
    <t xml:space="preserve">2029-10-31</t>
  </si>
  <si>
    <t xml:space="preserve">2029-11-30</t>
  </si>
  <si>
    <t xml:space="preserve">2029-12-31</t>
  </si>
  <si>
    <t xml:space="preserve">2030-01-31</t>
  </si>
  <si>
    <t xml:space="preserve">2030-02-28</t>
  </si>
  <si>
    <t xml:space="preserve">2030-03-31</t>
  </si>
  <si>
    <t xml:space="preserve">2030-04-30</t>
  </si>
  <si>
    <t xml:space="preserve">2030-05-31</t>
  </si>
  <si>
    <t xml:space="preserve">2030-06-30</t>
  </si>
  <si>
    <t xml:space="preserve">2030-07-31</t>
  </si>
  <si>
    <t xml:space="preserve">2030-08-31</t>
  </si>
  <si>
    <t xml:space="preserve">2030-09-30</t>
  </si>
  <si>
    <t xml:space="preserve">2030-10-31</t>
  </si>
  <si>
    <t xml:space="preserve">2030-11-30</t>
  </si>
  <si>
    <t xml:space="preserve">2030-12-31</t>
  </si>
  <si>
    <t xml:space="preserve">2031-01-31</t>
  </si>
  <si>
    <t xml:space="preserve">2031-02-28</t>
  </si>
  <si>
    <t xml:space="preserve">2031-03-31</t>
  </si>
  <si>
    <t xml:space="preserve">2031-04-30</t>
  </si>
  <si>
    <t xml:space="preserve">2031-05-31</t>
  </si>
  <si>
    <t xml:space="preserve">2031-06-30</t>
  </si>
  <si>
    <t xml:space="preserve">group</t>
  </si>
  <si>
    <t xml:space="preserve">classification</t>
  </si>
  <si>
    <t xml:space="preserve">book</t>
  </si>
  <si>
    <t xml:space="preserve">pledged</t>
  </si>
  <si>
    <t xml:space="preserve">unrealized_gain_loss</t>
  </si>
  <si>
    <t xml:space="preserve">other</t>
  </si>
  <si>
    <t xml:space="preserve">ust</t>
  </si>
  <si>
    <t xml:space="preserve">afs</t>
  </si>
  <si>
    <t xml:space="preserve">NCUA 5300 call report, June 30, 2026 (ncuso.org/credit-union/68713/financials); AFS fair value total ties to call report; composition modeled</t>
  </si>
  <si>
    <t xml:space="preserve">agency</t>
  </si>
  <si>
    <t xml:space="preserve">agency_mbs</t>
  </si>
  <si>
    <t xml:space="preserve">Agency MBS pass-throughs, 2020-2021 vintage (2.0% coupon); Agency MBS pass-throughs, 2023-2024 vintage (5.25% coupon)</t>
  </si>
  <si>
    <t xml:space="preserve">cmo</t>
  </si>
  <si>
    <t xml:space="preserve">muni</t>
  </si>
  <si>
    <t xml:space="preserve">htm</t>
  </si>
  <si>
    <t xml:space="preserve">Agency MBS pass-throughs, 15/20-year (1.9% coupon); Agency multifamily CMBS (DUS), bullet-like</t>
  </si>
  <si>
    <t xml:space="preserve">NCUA 5300 call report, June 30, 2026 (ncuso.org/credit-union/68713/financials); HTM amortized cost total ties to call report; composition and fair value modeled</t>
  </si>
  <si>
    <t xml:space="preserve">security_key</t>
  </si>
  <si>
    <t xml:space="preserve">price</t>
  </si>
  <si>
    <t xml:space="preserve">book_yield</t>
  </si>
  <si>
    <t xml:space="preserve">cpr_base</t>
  </si>
  <si>
    <t xml:space="preserve">fv_plus300</t>
  </si>
  <si>
    <t xml:space="preserve">fv_minus300</t>
  </si>
  <si>
    <t xml:space="preserve">fv_q3_actual</t>
  </si>
  <si>
    <t xml:space="preserve">DFCU ALM model v1.0 (hypothetical; model/run_model.py)</t>
  </si>
  <si>
    <t xml:space="preserve">month</t>
  </si>
  <si>
    <t xml:space="preserve">principal</t>
  </si>
  <si>
    <t xml:space="preserve">interest</t>
  </si>
  <si>
    <t xml:space="preserve">prepayments</t>
  </si>
  <si>
    <t xml:space="preserve">total_cash_flow</t>
  </si>
  <si>
    <t xml:space="preserve">side</t>
  </si>
  <si>
    <t xml:space="preserve">off_balance</t>
  </si>
  <si>
    <t xml:space="preserve">shift_2y_bp_month0</t>
  </si>
  <si>
    <t xml:space="preserve">shift_10y_bp_month0</t>
  </si>
  <si>
    <t xml:space="preserve">shift_2y_bp_month12</t>
  </si>
  <si>
    <t xml:space="preserve">shift_10y_bp_month12</t>
  </si>
  <si>
    <t xml:space="preserve">fed_funds_shift_bp_month12</t>
  </si>
  <si>
    <t xml:space="preserve">credit_stress</t>
  </si>
  <si>
    <t xml:space="preserve">Instantaneous, sustained parallel shift of -300bp (rates floored at 0.01%)</t>
  </si>
  <si>
    <t xml:space="preserve">Instantaneous, sustained parallel shift of -200bp (rates floored at 0.01%)</t>
  </si>
  <si>
    <t xml:space="preserve">Instantaneous, sustained parallel shift of -100bp (rates floored at 0.01%)</t>
  </si>
  <si>
    <t xml:space="preserve">Rates held flat at the June 30, 2026 curve</t>
  </si>
  <si>
    <t xml:space="preserve">Instantaneous, sustained parallel shift of +100bp</t>
  </si>
  <si>
    <t xml:space="preserve">Instantaneous, sustained parallel shift of +200bp</t>
  </si>
  <si>
    <t xml:space="preserve">Instantaneous, sustained parallel shift of +300bp</t>
  </si>
  <si>
    <t xml:space="preserve">Instantaneous, sustained parallel shift of +400bp</t>
  </si>
  <si>
    <t xml:space="preserve">Parallel -200bp phased in evenly over 12 months, then held</t>
  </si>
  <si>
    <t xml:space="preserve">Parallel -100bp phased in evenly over 12 months, then held</t>
  </si>
  <si>
    <t xml:space="preserve">Parallel +100bp phased in evenly over 12 months, then held</t>
  </si>
  <si>
    <t xml:space="preserve">Parallel +200bp phased in evenly over 12 months, then held</t>
  </si>
  <si>
    <t xml:space="preserve">Short end +50bp, 10-year and longer +150bp, linear in between (instantaneous)</t>
  </si>
  <si>
    <t xml:space="preserve">Short end unchanged, 10-year and longer -100bp (instantaneous)</t>
  </si>
  <si>
    <t xml:space="preserve">+200bp at 1 year and shorter, fading to +50bp at 10 years and longer (instantaneous)</t>
  </si>
  <si>
    <t xml:space="preserve">Instantaneous move from the June 30 curve to the Sept 29, 2026 curve (10-year +82bp, 2-year +75bp, fed funds +25bp), held flat</t>
  </si>
  <si>
    <t xml:space="preserve">Q3 move by month 3, then fed funds +50bp more by month 6 and the 10-year to ~5.75% by month 12; held</t>
  </si>
  <si>
    <t xml:space="preserve">Fed funds +150bp and 10-year +180bp over 12 months; net charge-offs double; 25bp reserve build</t>
  </si>
  <si>
    <t xml:space="preserve">NCO x2.0 by month 12; +25bp reserve build</t>
  </si>
  <si>
    <t xml:space="preserve">Fed funds -200bp and 10-year -100bp over 12 months; net charge-offs 2.5x; 40bp reserve build</t>
  </si>
  <si>
    <t xml:space="preserve">NCO x2.5 by month 12; +40bp reserve build</t>
  </si>
  <si>
    <t xml:space="preserve">+300bp instantaneous shock with NCUA standardized non-maturity share values (approximated as a 1% premium at base and 5% after the shock)</t>
  </si>
  <si>
    <t xml:space="preserve">tenor</t>
  </si>
  <si>
    <t xml:space="preserve">fed_funds</t>
  </si>
  <si>
    <t xml:space="preserve">3m</t>
  </si>
  <si>
    <t xml:space="preserve">6m</t>
  </si>
  <si>
    <t xml:space="preserve">1y</t>
  </si>
  <si>
    <t xml:space="preserve">2y</t>
  </si>
  <si>
    <t xml:space="preserve">3y</t>
  </si>
  <si>
    <t xml:space="preserve">5y</t>
  </si>
  <si>
    <t xml:space="preserve">7y</t>
  </si>
  <si>
    <t xml:space="preserve">10y</t>
  </si>
  <si>
    <t xml:space="preserve">20y</t>
  </si>
  <si>
    <t xml:space="preserve">30y</t>
  </si>
  <si>
    <t xml:space="preserve">mortgage_30y</t>
  </si>
  <si>
    <t xml:space="preserve">nii</t>
  </si>
  <si>
    <t xml:space="preserve">fee_income_rate_sensitive</t>
  </si>
  <si>
    <t xml:space="preserve">net_income</t>
  </si>
  <si>
    <t xml:space="preserve">noninterest_income_other</t>
  </si>
  <si>
    <t xml:space="preserve">horizon</t>
  </si>
  <si>
    <t xml:space="preserve">nii_change</t>
  </si>
  <si>
    <t xml:space="preserve">y1</t>
  </si>
  <si>
    <t xml:space="preserve">Cash and equivalents</t>
  </si>
  <si>
    <t xml:space="preserve">Securities, fixed rate</t>
  </si>
  <si>
    <t xml:space="preserve">Securities, floating (SBA pools)</t>
  </si>
  <si>
    <t xml:space="preserve">HELOC</t>
  </si>
  <si>
    <t xml:space="preserve">Vehicle loans</t>
  </si>
  <si>
    <t xml:space="preserve">First mortgages</t>
  </si>
  <si>
    <t xml:space="preserve">Commercial real estate</t>
  </si>
  <si>
    <t xml:space="preserve">Commercial and industrial</t>
  </si>
  <si>
    <t xml:space="preserve">Consumer, other</t>
  </si>
  <si>
    <t xml:space="preserve">FHLB stock dividends</t>
  </si>
  <si>
    <t xml:space="preserve">Checking, savings and other shares</t>
  </si>
  <si>
    <t xml:space="preserve">Money market</t>
  </si>
  <si>
    <t xml:space="preserve">Certificates and IRAs</t>
  </si>
  <si>
    <t xml:space="preserve">Money market migration to certificates</t>
  </si>
  <si>
    <t xml:space="preserve">y2</t>
  </si>
  <si>
    <t xml:space="preserve">fair_value</t>
  </si>
  <si>
    <t xml:space="preserve">method</t>
  </si>
  <si>
    <t xml:space="preserve">Cash</t>
  </si>
  <si>
    <t xml:space="preserve">internal</t>
  </si>
  <si>
    <t xml:space="preserve">AFS: U.S. Treasury notes</t>
  </si>
  <si>
    <t xml:space="preserve">Securities</t>
  </si>
  <si>
    <t xml:space="preserve">AFS: Agency debentures</t>
  </si>
  <si>
    <t xml:space="preserve">AFS: Agency MBS, 2.0% coupon</t>
  </si>
  <si>
    <t xml:space="preserve">AFS: Agency MBS, 5.25% coupon</t>
  </si>
  <si>
    <t xml:space="preserve">AFS: Agency CMOs</t>
  </si>
  <si>
    <t xml:space="preserve">AFS: Taxable municipals</t>
  </si>
  <si>
    <t xml:space="preserve">AFS: SBA floating pools</t>
  </si>
  <si>
    <t xml:space="preserve">HTM: Agency MBS</t>
  </si>
  <si>
    <t xml:space="preserve">HTM: Agency multifamily CMBS</t>
  </si>
  <si>
    <t xml:space="preserve">HTM: Municipals</t>
  </si>
  <si>
    <t xml:space="preserve">HTM: Agency debentures</t>
  </si>
  <si>
    <t xml:space="preserve">Equity securities and PCC</t>
  </si>
  <si>
    <t xml:space="preserve">Other assets</t>
  </si>
  <si>
    <t xml:space="preserve">Loans: HELOC</t>
  </si>
  <si>
    <t xml:space="preserve">Loans</t>
  </si>
  <si>
    <t xml:space="preserve">Loans: Home equity, fixed</t>
  </si>
  <si>
    <t xml:space="preserve">Loans: Used vehicle</t>
  </si>
  <si>
    <t xml:space="preserve">Loans: New vehicle</t>
  </si>
  <si>
    <t xml:space="preserve">Loans: First mortgage, fixed</t>
  </si>
  <si>
    <t xml:space="preserve">Loans: First mortgage, hybrid ARM</t>
  </si>
  <si>
    <t xml:space="preserve">Loans: CRE fixed-to-reset</t>
  </si>
  <si>
    <t xml:space="preserve">Loans: CRE floating</t>
  </si>
  <si>
    <t xml:space="preserve">Loans: Commercial and industrial</t>
  </si>
  <si>
    <t xml:space="preserve">Loans: Personal, fixed</t>
  </si>
  <si>
    <t xml:space="preserve">Loans: Personal lines</t>
  </si>
  <si>
    <t xml:space="preserve">Loans: Other secured consumer</t>
  </si>
  <si>
    <t xml:space="preserve">Loans: Student</t>
  </si>
  <si>
    <t xml:space="preserve">Loans: Other real estate</t>
  </si>
  <si>
    <t xml:space="preserve">Other non-rate assets</t>
  </si>
  <si>
    <t xml:space="preserve">Share drafts, consumer</t>
  </si>
  <si>
    <t xml:space="preserve">Non-maturity shares</t>
  </si>
  <si>
    <t xml:space="preserve">Share drafts, business</t>
  </si>
  <si>
    <t xml:space="preserve">Regular shares, consumer</t>
  </si>
  <si>
    <t xml:space="preserve">Regular shares, business</t>
  </si>
  <si>
    <t xml:space="preserve">Money market, $250K and over</t>
  </si>
  <si>
    <t xml:space="preserve">IRA savings</t>
  </si>
  <si>
    <t xml:space="preserve">Other shares</t>
  </si>
  <si>
    <t xml:space="preserve">Certificates, under $100K</t>
  </si>
  <si>
    <t xml:space="preserve">Certificates</t>
  </si>
  <si>
    <t xml:space="preserve">Certificates, $100K and over</t>
  </si>
  <si>
    <t xml:space="preserve">IRA certificates</t>
  </si>
  <si>
    <t xml:space="preserve">Other liabilities</t>
  </si>
  <si>
    <t xml:space="preserve">Fixed-rate loan commitments (pipeline)</t>
  </si>
  <si>
    <t xml:space="preserve">Off-balance sheet</t>
  </si>
  <si>
    <t xml:space="preserve">ncua_test</t>
  </si>
  <si>
    <t xml:space="preserve">base_nev</t>
  </si>
  <si>
    <t xml:space="preserve">base_nev_ratio</t>
  </si>
  <si>
    <t xml:space="preserve">post_shock_nev</t>
  </si>
  <si>
    <t xml:space="preserve">post_shock_nev_ratio</t>
  </si>
  <si>
    <t xml:space="preserve">afs_fair_value_model</t>
  </si>
  <si>
    <t xml:space="preserve">sensitivity</t>
  </si>
  <si>
    <t xml:space="preserve">row_key</t>
  </si>
  <si>
    <t xml:space="preserve">2024-09-30</t>
  </si>
  <si>
    <t xml:space="preserve">Reconstructed balance sheet (June 2026 mix scaled to period balances, repriced to the period curve); AFS spread interpolated between calibrated dates</t>
  </si>
  <si>
    <t xml:space="preserve">Reconstructed balance sheet (June 2026 mix scaled to period balances, repriced to the period curve); AFS fair value calibrated to reported value</t>
  </si>
  <si>
    <t xml:space="preserve">DFCU ALM model v1.0 (hypothetical; model/run_model.py); standardized non-maturity share values (approximation)</t>
  </si>
  <si>
    <t xml:space="preserve">assumption_key</t>
  </si>
  <si>
    <t xml:space="preserve">unit</t>
  </si>
  <si>
    <t xml:space="preserve">last_reviewed</t>
  </si>
  <si>
    <t xml:space="preserve">owner</t>
  </si>
  <si>
    <t xml:space="preserve">bias_up</t>
  </si>
  <si>
    <t xml:space="preserve">bias_down</t>
  </si>
  <si>
    <t xml:space="preserve">low</t>
  </si>
  <si>
    <t xml:space="preserve">high</t>
  </si>
  <si>
    <t xml:space="preserve">mm_beta_up</t>
  </si>
  <si>
    <t xml:space="preserve">Money market beta, rising rates (balance-weighted across 4 tiers)</t>
  </si>
  <si>
    <t xml:space="preserve">beta</t>
  </si>
  <si>
    <t xml:space="preserve">Tiered: 0.15 / 0.40 / 0.55 / 0.70. All-shares realized up-cycle beta 2022-2024 was ~0.30 (derived from audited dividend expense); money market assumed above the all-shares figure</t>
  </si>
  <si>
    <t xml:space="preserve">2026-07-21</t>
  </si>
  <si>
    <t xml:space="preserve">Chief Deposit Officer</t>
  </si>
  <si>
    <t xml:space="preserve">penalizes</t>
  </si>
  <si>
    <t xml:space="preserve">neutral</t>
  </si>
  <si>
    <t xml:space="preserve">mm_beta_down</t>
  </si>
  <si>
    <t xml:space="preserve">Money market beta, falling rates (balance-weighted)</t>
  </si>
  <si>
    <t xml:space="preserve">Down-cycle 2024 to H1 2026 all-shares realized beta ~0.18 (derived); money market tiers cut faster</t>
  </si>
  <si>
    <t xml:space="preserve">flatters</t>
  </si>
  <si>
    <t xml:space="preserve">mm_lag_months</t>
  </si>
  <si>
    <t xml:space="preserve">Money market repricing lag (balance-weighted)</t>
  </si>
  <si>
    <t xml:space="preserve">months</t>
  </si>
  <si>
    <t xml:space="preserve">Tier 1 three months; tier 2 two months; tiers 3 and 4 one month</t>
  </si>
  <si>
    <t xml:space="preserve">checking_beta</t>
  </si>
  <si>
    <t xml:space="preserve">Share draft beta</t>
  </si>
  <si>
    <t xml:space="preserve">Consumer checking largely non-interest bearing</t>
  </si>
  <si>
    <t xml:space="preserve">savings_beta</t>
  </si>
  <si>
    <t xml:space="preserve">Regular share beta</t>
  </si>
  <si>
    <t xml:space="preserve">Administered savings rate near the floor</t>
  </si>
  <si>
    <t xml:space="preserve">nmd_decay_weighted</t>
  </si>
  <si>
    <t xml:space="preserve">Non-maturity share decay (balance-weighted annual runoff)</t>
  </si>
  <si>
    <t xml:space="preserve">fraction per year</t>
  </si>
  <si>
    <t xml:space="preserve">Checking and savings 14%; money market 20% to 40% by tier; IRA savings 10%</t>
  </si>
  <si>
    <t xml:space="preserve">Treasurer / ALM Manager</t>
  </si>
  <si>
    <t xml:space="preserve">nmd_migration_per_100bp</t>
  </si>
  <si>
    <t xml:space="preserve">Money market and savings migration to certificates per +100bp</t>
  </si>
  <si>
    <t xml:space="preserve">fraction of balance by month 12</t>
  </si>
  <si>
    <t xml:space="preserve">Tier-specific 1% to 5% per +100bp; migrated balances earn the 12-month certificate rate</t>
  </si>
  <si>
    <t xml:space="preserve">cert_offer_spread_12m</t>
  </si>
  <si>
    <t xml:space="preserve">12-month certificate offering rate vs. 1-year CMT</t>
  </si>
  <si>
    <t xml:space="preserve">rate spread</t>
  </si>
  <si>
    <t xml:space="preserve">Specials priced near the 1-year Treasury (3.93% at June 30, 2026)</t>
  </si>
  <si>
    <t xml:space="preserve">Certificate retention at maturity (base)</t>
  </si>
  <si>
    <t xml:space="preserve">fraction</t>
  </si>
  <si>
    <t xml:space="preserve">Constant balance sheet assumes full retention in NII; 85% is the liquidity-planning retention</t>
  </si>
  <si>
    <t xml:space="preserve">share_cost_runrate</t>
  </si>
  <si>
    <t xml:space="preserve">Cost of shares, June 2026 run rate</t>
  </si>
  <si>
    <t xml:space="preserve">Calibrated to H1 2026 dividends ex-giveback / average shares (1.51%)</t>
  </si>
  <si>
    <t xml:space="preserve">Chief Financial Officer</t>
  </si>
  <si>
    <t xml:space="preserve">valuation</t>
  </si>
  <si>
    <t xml:space="preserve">nmd_discount_spread</t>
  </si>
  <si>
    <t xml:space="preserve">NMD discount spread over Treasury (alternative funding curve)</t>
  </si>
  <si>
    <t xml:space="preserve">FHLB-like marginal funding; drives deposit franchise value in internal NEV</t>
  </si>
  <si>
    <t xml:space="preserve">cert_discount_spread</t>
  </si>
  <si>
    <t xml:space="preserve">Certificate discount spread over Treasury</t>
  </si>
  <si>
    <t xml:space="preserve">Discount near the certificate offering curve</t>
  </si>
  <si>
    <t xml:space="preserve">loan_discount_method</t>
  </si>
  <si>
    <t xml:space="preserve">Loan discount spreads</t>
  </si>
  <si>
    <t xml:space="preserve">Spreads solved so a new loan at today's offering rate is worth par; held constant in shocks</t>
  </si>
  <si>
    <t xml:space="preserve">afs_spread_addon</t>
  </si>
  <si>
    <t xml:space="preserve">AFS spread add-on solved to reported fair value</t>
  </si>
  <si>
    <t xml:space="preserve">Group spreads (UST 0, agency 15bp, MBS 55bp, CMO 65bp, muni 70bp, SBA 60bp) plus this add-on reproduce the reported AFS fair value</t>
  </si>
  <si>
    <t xml:space="preserve">ncua_std_nms_base</t>
  </si>
  <si>
    <t xml:space="preserve">NCUA NEV Test: standardized NMS premium at base</t>
  </si>
  <si>
    <t xml:space="preserve">fraction of balance</t>
  </si>
  <si>
    <t xml:space="preserve">Approximation of NCUA standardized NMS values; confirm against the current NEV Supervisory Test documentation</t>
  </si>
  <si>
    <t xml:space="preserve">ncua_std_nms_shock</t>
  </si>
  <si>
    <t xml:space="preserve">NCUA NEV Test: standardized NMS premium after +300bp</t>
  </si>
  <si>
    <t xml:space="preserve">Approximation (see above)</t>
  </si>
  <si>
    <t xml:space="preserve">heloc_margin</t>
  </si>
  <si>
    <t xml:space="preserve">HELOC margin to prime (portfolio average)</t>
  </si>
  <si>
    <t xml:space="preserve">Prime 6.75% at June 30, 2026; intro rates amortize into yield (0.26% yield adjustment)</t>
  </si>
  <si>
    <t xml:space="preserve">Chief Lending Officer</t>
  </si>
  <si>
    <t xml:space="preserve">heloc_floor</t>
  </si>
  <si>
    <t xml:space="preserve">HELOC average floor rate</t>
  </si>
  <si>
    <t xml:space="preserve">Floors protect the -300bp scenario</t>
  </si>
  <si>
    <t xml:space="preserve">heloc_paydown_cpr</t>
  </si>
  <si>
    <t xml:space="preserve">HELOC paydown / payoff rate</t>
  </si>
  <si>
    <t xml:space="preserve">CPR</t>
  </si>
  <si>
    <t xml:space="preserve">Draw-period payments and payoffs</t>
  </si>
  <si>
    <t xml:space="preserve">heloc_utilization</t>
  </si>
  <si>
    <t xml:space="preserve">HELOC line utilization</t>
  </si>
  <si>
    <t xml:space="preserve">Unfunded lines ~$1.24B</t>
  </si>
  <si>
    <t xml:space="preserve">auto_cpr</t>
  </si>
  <si>
    <t xml:space="preserve">Vehicle loan prepayment (base)</t>
  </si>
  <si>
    <t xml:space="preserve">Roughly 1.5% ABS; 3% CPR per 1% of out-of-market incentive</t>
  </si>
  <si>
    <t xml:space="preserve">mortgage_cpr_base</t>
  </si>
  <si>
    <t xml:space="preserve">Portfolio fixed mortgage prepayment (base, out of the money)</t>
  </si>
  <si>
    <t xml:space="preserve">Rate lock-in: 4.30% book vs. 6.49% market; 3.5% turnover floor</t>
  </si>
  <si>
    <t xml:space="preserve">mortgage_refi_sensitivity</t>
  </si>
  <si>
    <t xml:space="preserve">Mortgage refinancing response</t>
  </si>
  <si>
    <t xml:space="preserve">CPR per 1% incentive above 0.5%</t>
  </si>
  <si>
    <t xml:space="preserve">Standard S-curve approximation</t>
  </si>
  <si>
    <t xml:space="preserve">cre_cpr</t>
  </si>
  <si>
    <t xml:space="preserve">CRE prepayment (base)</t>
  </si>
  <si>
    <t xml:space="preserve">Prepayment penalties limit refinancing</t>
  </si>
  <si>
    <t xml:space="preserve">cre_reset_margin</t>
  </si>
  <si>
    <t xml:space="preserve">CRE reset margin over 5-year CMT</t>
  </si>
  <si>
    <t xml:space="preserve">Resets spread evenly over the next 60 months</t>
  </si>
  <si>
    <t xml:space="preserve">securities</t>
  </si>
  <si>
    <t xml:space="preserve">mbs_cpr_low_coupon</t>
  </si>
  <si>
    <t xml:space="preserve">2.0% MBS prepayment (base)</t>
  </si>
  <si>
    <t xml:space="preserve">Deep discount; turnover only</t>
  </si>
  <si>
    <t xml:space="preserve">reinvestment</t>
  </si>
  <si>
    <t xml:space="preserve">Securities cash flows reinvested</t>
  </si>
  <si>
    <t xml:space="preserve">Like-for-like at new-volume yields in the constant balance sheet NII simulation</t>
  </si>
  <si>
    <t xml:space="preserve">prime_spread</t>
  </si>
  <si>
    <t xml:space="preserve">Prime vs. effective fed funds</t>
  </si>
  <si>
    <t xml:space="preserve">Prime = fed funds upper bound + 3%; EFFR ~ upper - 12bp</t>
  </si>
  <si>
    <t xml:space="preserve">mortgage_spread</t>
  </si>
  <si>
    <t xml:space="preserve">30-year mortgage rate vs. 10-year CMT</t>
  </si>
  <si>
    <t xml:space="preserve">Calibrated to PMMS ~6.5% at June 30, 2026</t>
  </si>
  <si>
    <t xml:space="preserve">effr_asof</t>
  </si>
  <si>
    <t xml:space="preserve">Effective fed funds at as-of date</t>
  </si>
  <si>
    <t xml:space="preserve">Target range 3.50%-3.75% (approximation: upper bound - 12bp)</t>
  </si>
  <si>
    <t xml:space="preserve">earnings</t>
  </si>
  <si>
    <t xml:space="preserve">nco_rate_base</t>
  </si>
  <si>
    <t xml:space="preserve">Net charge-off rate (base)</t>
  </si>
  <si>
    <t xml:space="preserve">H1 2026 provision less ACL change, annualized over average loans (derived)</t>
  </si>
  <si>
    <t xml:space="preserve">opex_inflation</t>
  </si>
  <si>
    <t xml:space="preserve">Operating expense inflation (constant balance sheet)</t>
  </si>
  <si>
    <t xml:space="preserve">Applied to the H1 2026 run rate</t>
  </si>
  <si>
    <t xml:space="preserve">giveback_annual</t>
  </si>
  <si>
    <t xml:space="preserve">Member Giveback Bonus (annual, paid in February)</t>
  </si>
  <si>
    <t xml:space="preserve">$ thousands</t>
  </si>
  <si>
    <t xml:space="preserve">Board decision; $16M paid Feb 2026 (public); held flat in all scenarios</t>
  </si>
  <si>
    <t xml:space="preserve">fee_rate_sensitive</t>
  </si>
  <si>
    <t xml:space="preserve">Rate-sensitive fee income (mortgage banking) per month</t>
  </si>
  <si>
    <t xml:space="preserve">-30% per +100bp in mortgage rates, +30% per -100bp (bounded)</t>
  </si>
  <si>
    <t xml:space="preserve">Board capital target (net worth ratio)</t>
  </si>
  <si>
    <t xml:space="preserve">ratio</t>
  </si>
  <si>
    <t xml:space="preserve">Hypothetical target; regulatory well-capitalized under CCULR is 9%</t>
  </si>
  <si>
    <t xml:space="preserve">low_value</t>
  </si>
  <si>
    <t xml:space="preserve">high_value</t>
  </si>
  <si>
    <t xml:space="preserve">nii_y1_plus300_low</t>
  </si>
  <si>
    <t xml:space="preserve">nii_y1_plus300_high</t>
  </si>
  <si>
    <t xml:space="preserve">nev_plus300_low</t>
  </si>
  <si>
    <t xml:space="preserve">nev_plus300_high</t>
  </si>
  <si>
    <t xml:space="preserve">base_value</t>
  </si>
  <si>
    <t xml:space="preserve">nii_y1_plus300_base</t>
  </si>
  <si>
    <t xml:space="preserve">nev_plus300_base</t>
  </si>
  <si>
    <t xml:space="preserve">ncua_ratio_low</t>
  </si>
  <si>
    <t xml:space="preserve">ncua_ratio_high</t>
  </si>
  <si>
    <t xml:space="preserve">ncua_ratio_base</t>
  </si>
  <si>
    <t xml:space="preserve">nev_base_low</t>
  </si>
  <si>
    <t xml:space="preserve">nev_base_high</t>
  </si>
  <si>
    <t xml:space="preserve">swing_nii</t>
  </si>
  <si>
    <t xml:space="preserve">swing_nev</t>
  </si>
  <si>
    <t xml:space="preserve">nmd_migration_scale</t>
  </si>
  <si>
    <t xml:space="preserve">Money market-to-certificate migration in rising rates (scale)</t>
  </si>
  <si>
    <t xml:space="preserve">multiplier</t>
  </si>
  <si>
    <t xml:space="preserve">mm_beta_scale</t>
  </si>
  <si>
    <t xml:space="preserve">Money market deposit betas (scale on tier betas; weighted up-beta 0.43)</t>
  </si>
  <si>
    <t xml:space="preserve">deposit_lag_shift</t>
  </si>
  <si>
    <t xml:space="preserve">Money market repricing lag (months added)</t>
  </si>
  <si>
    <t xml:space="preserve">checking_savings_beta</t>
  </si>
  <si>
    <t xml:space="preserve">Checking and regular share beta (balance-weighted base 0.042)</t>
  </si>
  <si>
    <t xml:space="preserve">mortgage_prepay_scale</t>
  </si>
  <si>
    <t xml:space="preserve">Mortgage and MBS prepayment speeds (scale on base CPR and refi response)</t>
  </si>
  <si>
    <t xml:space="preserve">auto_prepay_shift</t>
  </si>
  <si>
    <t xml:space="preserve">Vehicle loan prepayment speed (CPR shift)</t>
  </si>
  <si>
    <t xml:space="preserve">cert_offer_shift</t>
  </si>
  <si>
    <t xml:space="preserve">Certificate offering rates vs. Treasury (shift)</t>
  </si>
  <si>
    <t xml:space="preserve">percent points</t>
  </si>
  <si>
    <t xml:space="preserve">cre_prepay_scale</t>
  </si>
  <si>
    <t xml:space="preserve">Commercial real estate prepayment speed (scale)</t>
  </si>
  <si>
    <t xml:space="preserve">nmd_decay_scale</t>
  </si>
  <si>
    <t xml:space="preserve">Non-maturity share decay rates (scale)</t>
  </si>
  <si>
    <t xml:space="preserve">NMD discount spread over Treasury (alternative funding cost)</t>
  </si>
  <si>
    <t xml:space="preserve">NCUA NEV Test standardized NMS premium after +300bp</t>
  </si>
  <si>
    <t xml:space="preserve">nev_change_per_100m_plus300</t>
  </si>
  <si>
    <t xml:space="preserve">nii_y1_change_per_100m_plus300</t>
  </si>
  <si>
    <t xml:space="preserve">nii_y1_base_per_100m</t>
  </si>
  <si>
    <t xml:space="preserve">nev_base_per_100m</t>
  </si>
  <si>
    <t xml:space="preserve">funding_assumption</t>
  </si>
  <si>
    <t xml:space="preserve">Home equity lines of credit (HELOC) (new volume)</t>
  </si>
  <si>
    <t xml:space="preserve">cash (overnight)</t>
  </si>
  <si>
    <t xml:space="preserve">Commercial real estate, floating (new volume)</t>
  </si>
  <si>
    <t xml:space="preserve">Commercial and industrial (non-RE) (new volume)</t>
  </si>
  <si>
    <t xml:space="preserve">Home equity loans, fixed (new volume)</t>
  </si>
  <si>
    <t xml:space="preserve">Used vehicle loans (new volume)</t>
  </si>
  <si>
    <t xml:space="preserve">New vehicle loans (new volume)</t>
  </si>
  <si>
    <t xml:space="preserve">First mortgages, fixed rate (portfolio) (new volume)</t>
  </si>
  <si>
    <t xml:space="preserve">Personal loans, unsecured fixed (new volume)</t>
  </si>
  <si>
    <t xml:space="preserve">Other secured consumer (RV, boat, share-secured) (new volume)</t>
  </si>
  <si>
    <t xml:space="preserve">First mortgages, adjustable (hybrid ARM) (new volume)</t>
  </si>
  <si>
    <t xml:space="preserve">Commercial real estate, fixed-to-reset (new volume)</t>
  </si>
  <si>
    <t xml:space="preserve">sec_ust_2y</t>
  </si>
  <si>
    <t xml:space="preserve">2-year U.S. Treasury note</t>
  </si>
  <si>
    <t xml:space="preserve">sec_agency_3y</t>
  </si>
  <si>
    <t xml:space="preserve">3-year agency debenture</t>
  </si>
  <si>
    <t xml:space="preserve">sec_agency_mbs_cc</t>
  </si>
  <si>
    <t xml:space="preserve">Agency MBS, current coupon 30-year</t>
  </si>
  <si>
    <t xml:space="preserve">sec_muni_10y</t>
  </si>
  <si>
    <t xml:space="preserve">10-year taxable municipal</t>
  </si>
  <si>
    <t xml:space="preserve">Money market, $250K and over (new balances)</t>
  </si>
  <si>
    <t xml:space="preserve">invested in cash (overnight)</t>
  </si>
  <si>
    <t xml:space="preserve">Money market, $25K to $100K (new balances)</t>
  </si>
  <si>
    <t xml:space="preserve">cert_12m</t>
  </si>
  <si>
    <t xml:space="preserve">12-month share certificate</t>
  </si>
  <si>
    <t xml:space="preserve">cert_36m</t>
  </si>
  <si>
    <t xml:space="preserve">36-month share certificate</t>
  </si>
  <si>
    <t xml:space="preserve">fhlb_1y</t>
  </si>
  <si>
    <t xml:space="preserve">FHLB advance, 1-year fixed</t>
  </si>
  <si>
    <t xml:space="preserve">fhlb_5y</t>
  </si>
  <si>
    <t xml:space="preserve">FHLB advance, 5-year fixed</t>
  </si>
  <si>
    <t xml:space="preserve">brokered_cd_2y</t>
  </si>
  <si>
    <t xml:space="preserve">Brokered certificate, 2-year</t>
  </si>
  <si>
    <t xml:space="preserve">limit_value</t>
  </si>
  <si>
    <t xml:space="preserve">limit_type</t>
  </si>
  <si>
    <t xml:space="preserve">watch_pct</t>
  </si>
  <si>
    <t xml:space="preserve">approved_date</t>
  </si>
  <si>
    <t xml:space="preserve">metric_exists</t>
  </si>
  <si>
    <t xml:space="preserve">scenario_exists</t>
  </si>
  <si>
    <t xml:space="preserve">current_value</t>
  </si>
  <si>
    <t xml:space="preserve">utilization</t>
  </si>
  <si>
    <t xml:space="preserve">status</t>
  </si>
  <si>
    <t xml:space="preserve">max_decline</t>
  </si>
  <si>
    <t xml:space="preserve">2026-01-27</t>
  </si>
  <si>
    <t xml:space="preserve">Year 1 NII change vs. base</t>
  </si>
  <si>
    <t xml:space="preserve">percent</t>
  </si>
  <si>
    <t xml:space="preserve">hypothetical</t>
  </si>
  <si>
    <t xml:space="preserve">Year 2 NII change vs. base</t>
  </si>
  <si>
    <t xml:space="preserve">Year 1 NII change vs. base (ramp)</t>
  </si>
  <si>
    <t xml:space="preserve">NEV change vs. base (internal)</t>
  </si>
  <si>
    <t xml:space="preserve">min</t>
  </si>
  <si>
    <t xml:space="preserve">Post-shock NEV ratio (internal)</t>
  </si>
  <si>
    <t xml:space="preserve">NCUA NEV Test post-shock NEV ratio</t>
  </si>
  <si>
    <t xml:space="preserve">Below 4% is High risk under Supervisory Letter 22-01; board goal is Low (7%+)</t>
  </si>
  <si>
    <t xml:space="preserve">NCUA NEV Test sensitivity</t>
  </si>
  <si>
    <t xml:space="preserve">A decline above 65% is High risk; board goal is Low (under 40%)</t>
  </si>
  <si>
    <t xml:space="preserve">Net worth ratio (policy floor)</t>
  </si>
  <si>
    <t xml:space="preserve">Regulatory well-capitalized CCULR threshold is 9%; board capital target 11% (meta)</t>
  </si>
  <si>
    <t xml:space="preserve">On-balance-sheet liquidity / total shares</t>
  </si>
  <si>
    <t xml:space="preserve">Survival horizon, combined severe stress</t>
  </si>
  <si>
    <t xml:space="preserve">days</t>
  </si>
  <si>
    <t xml:space="preserve">max</t>
  </si>
  <si>
    <t xml:space="preserve">Loan-to-share ratio</t>
  </si>
  <si>
    <t xml:space="preserve">Junior-lien home equity as % of loans</t>
  </si>
  <si>
    <t xml:space="preserve">Member business loans as % of statutory cap</t>
  </si>
  <si>
    <t xml:space="preserve">60+ day delinquency ratio</t>
  </si>
  <si>
    <t xml:space="preserve">Net charge-off ratio</t>
  </si>
  <si>
    <t xml:space="preserve">Borrowings as % of assets</t>
  </si>
  <si>
    <t xml:space="preserve">Brokered deposits as % of shares</t>
  </si>
  <si>
    <t xml:space="preserve">Uninsured shares as % of total shares (estimate)</t>
  </si>
  <si>
    <t xml:space="preserve">reference</t>
  </si>
  <si>
    <t xml:space="preserve">summary!$H$5</t>
  </si>
  <si>
    <t xml:space="preserve">summary!$H$6</t>
  </si>
  <si>
    <t xml:space="preserve">summary!$H$7</t>
  </si>
  <si>
    <t xml:space="preserve">summary!$H$9</t>
  </si>
  <si>
    <t xml:space="preserve">summary!$H$10</t>
  </si>
  <si>
    <t xml:space="preserve">summary!$H$11</t>
  </si>
  <si>
    <t xml:space="preserve">summary!$H$12</t>
  </si>
  <si>
    <t xml:space="preserve">summary!$I$5</t>
  </si>
  <si>
    <t xml:space="preserve">summary!$I$6</t>
  </si>
  <si>
    <t xml:space="preserve">summary!$I$10</t>
  </si>
  <si>
    <t xml:space="preserve">summary!$I$11</t>
  </si>
  <si>
    <t xml:space="preserve">summary!$H$13</t>
  </si>
  <si>
    <t xml:space="preserve">summary!$H$14</t>
  </si>
  <si>
    <t xml:space="preserve">summary!$H$15</t>
  </si>
  <si>
    <t xml:space="preserve">summary!$H$16</t>
  </si>
  <si>
    <t xml:space="preserve">summary!$P$5</t>
  </si>
  <si>
    <t xml:space="preserve">summary!$P$6</t>
  </si>
  <si>
    <t xml:space="preserve">summary!$P$7</t>
  </si>
  <si>
    <t xml:space="preserve">summary!$P$9</t>
  </si>
  <si>
    <t xml:space="preserve">summary!$P$10</t>
  </si>
  <si>
    <t xml:space="preserve">summary!$P$11</t>
  </si>
  <si>
    <t xml:space="preserve">summary!$P$12</t>
  </si>
  <si>
    <t xml:space="preserve">summary!$O$8</t>
  </si>
  <si>
    <t xml:space="preserve">summary!$O$11</t>
  </si>
  <si>
    <t xml:space="preserve">summary!$O$12</t>
  </si>
  <si>
    <t xml:space="preserve">summary!$O$24</t>
  </si>
  <si>
    <t xml:space="preserve">summary!$P$24</t>
  </si>
  <si>
    <t xml:space="preserve">summary!$C$43</t>
  </si>
  <si>
    <t xml:space="preserve">summary!$C$53</t>
  </si>
  <si>
    <t xml:space="preserve">summary!$C$85</t>
  </si>
  <si>
    <t xml:space="preserve">summary!$C$42</t>
  </si>
  <si>
    <t xml:space="preserve">summary!$C$45</t>
  </si>
  <si>
    <t xml:space="preserve">summary!$C$54</t>
  </si>
  <si>
    <t xml:space="preserve">summary!$C$55</t>
  </si>
  <si>
    <t xml:space="preserve">summary!$C$50</t>
  </si>
  <si>
    <t xml:space="preserve">summary!$C$51</t>
  </si>
  <si>
    <t xml:space="preserve">summary!$C$56</t>
  </si>
  <si>
    <t xml:space="preserve">summary!$C$57</t>
  </si>
  <si>
    <t xml:space="preserve">summary!$C$58</t>
  </si>
  <si>
    <t xml:space="preserve">summary!$I$7</t>
  </si>
  <si>
    <t xml:space="preserve">summary!$H$8</t>
  </si>
  <si>
    <t xml:space="preserve">summary!$I$8</t>
  </si>
  <si>
    <t xml:space="preserve">summary!$I$9</t>
  </si>
  <si>
    <t xml:space="preserve">summary!$I$12</t>
  </si>
  <si>
    <t xml:space="preserve">summary!$I$13</t>
  </si>
  <si>
    <t xml:space="preserve">summary!$I$14</t>
  </si>
  <si>
    <t xml:space="preserve">summary!$I$15</t>
  </si>
  <si>
    <t xml:space="preserve">summary!$I$16</t>
  </si>
  <si>
    <t xml:space="preserve">summary!$H$17</t>
  </si>
  <si>
    <t xml:space="preserve">summary!$I$17</t>
  </si>
  <si>
    <t xml:space="preserve">summary!$H$18</t>
  </si>
  <si>
    <t xml:space="preserve">summary!$I$18</t>
  </si>
  <si>
    <t xml:space="preserve">summary!$H$19</t>
  </si>
  <si>
    <t xml:space="preserve">summary!$I$19</t>
  </si>
  <si>
    <t xml:space="preserve">summary!$H$20</t>
  </si>
  <si>
    <t xml:space="preserve">summary!$I$20</t>
  </si>
  <si>
    <t xml:space="preserve">summary!$H$21</t>
  </si>
  <si>
    <t xml:space="preserve">summary!$I$21</t>
  </si>
  <si>
    <t xml:space="preserve">summary!$H$22</t>
  </si>
  <si>
    <t xml:space="preserve">summary!$I$22</t>
  </si>
  <si>
    <t xml:space="preserve">summary!$H$23</t>
  </si>
  <si>
    <t xml:space="preserve">summary!$I$23</t>
  </si>
  <si>
    <t xml:space="preserve">summary!$H$24</t>
  </si>
  <si>
    <t xml:space="preserve">summary!$I$24</t>
  </si>
  <si>
    <t xml:space="preserve">summary!$O$5</t>
  </si>
  <si>
    <t xml:space="preserve">summary!$O$6</t>
  </si>
  <si>
    <t xml:space="preserve">summary!$O$7</t>
  </si>
  <si>
    <t xml:space="preserve">summary!$P$8</t>
  </si>
  <si>
    <t xml:space="preserve">summary!$O$9</t>
  </si>
  <si>
    <t xml:space="preserve">summary!$O$10</t>
  </si>
  <si>
    <t xml:space="preserve">summary!$P$17</t>
  </si>
  <si>
    <t xml:space="preserve">summary!$O$17</t>
  </si>
  <si>
    <t xml:space="preserve">summary!$P$18</t>
  </si>
  <si>
    <t xml:space="preserve">summary!$O$18</t>
  </si>
  <si>
    <t xml:space="preserve">summary!$P$19</t>
  </si>
  <si>
    <t xml:space="preserve">summary!$O$19</t>
  </si>
  <si>
    <t xml:space="preserve">summary!$P$20</t>
  </si>
  <si>
    <t xml:space="preserve">summary!$O$20</t>
  </si>
  <si>
    <t xml:space="preserve">format</t>
  </si>
  <si>
    <t xml:space="preserve">polarity</t>
  </si>
  <si>
    <t xml:space="preserve">formula</t>
  </si>
  <si>
    <t xml:space="preserve">inputs</t>
  </si>
  <si>
    <t xml:space="preserve">glossary</t>
  </si>
  <si>
    <t xml:space="preserve">Net interest margin (NCUA basis, ex-giveback)</t>
  </si>
  <si>
    <t xml:space="preserve">0.00%</t>
  </si>
  <si>
    <t xml:space="preserve">higher is better</t>
  </si>
  <si>
    <t xml:space="preserve">(interest income - interest expense), annualized / average assets</t>
  </si>
  <si>
    <t xml:space="preserve">income_statement, history</t>
  </si>
  <si>
    <t xml:space="preserve">Net interest income as a share of average assets. The Member Giveback Bonus is excluded here.</t>
  </si>
  <si>
    <t xml:space="preserve">Return on assets</t>
  </si>
  <si>
    <t xml:space="preserve">net income, annualized / average assets</t>
  </si>
  <si>
    <t xml:space="preserve">Net income relative to average assets.</t>
  </si>
  <si>
    <t xml:space="preserve">Pre-giveback ROA</t>
  </si>
  <si>
    <t xml:space="preserve">(net income + member giveback), annualized / average assets</t>
  </si>
  <si>
    <t xml:space="preserve">Earnings power before giving.</t>
  </si>
  <si>
    <t xml:space="preserve">Efficiency ratio</t>
  </si>
  <si>
    <t xml:space="preserve">0.0%</t>
  </si>
  <si>
    <t xml:space="preserve">lower is better</t>
  </si>
  <si>
    <t xml:space="preserve">non-interest expense / (NII + non-interest income)</t>
  </si>
  <si>
    <t xml:space="preserve">Cost per dollar of revenue.</t>
  </si>
  <si>
    <t xml:space="preserve">Cost of funds</t>
  </si>
  <si>
    <t xml:space="preserve">interest expense (ex-giveback), annualized / average interest-bearing liabilities</t>
  </si>
  <si>
    <t xml:space="preserve">target band</t>
  </si>
  <si>
    <t xml:space="preserve">total loans / total shares</t>
  </si>
  <si>
    <t xml:space="preserve">How much of member savings is lent back to members.</t>
  </si>
  <si>
    <t xml:space="preserve">net worth / average of four quarter-end total assets (meta.nwr_method)</t>
  </si>
  <si>
    <t xml:space="preserve">history, capital</t>
  </si>
  <si>
    <t xml:space="preserve">Regulatory capital ratio; CCULR well-capitalized at 9%.</t>
  </si>
  <si>
    <t xml:space="preserve">-AOCI / net worth</t>
  </si>
  <si>
    <t xml:space="preserve">Unrealized AFS losses relative to net worth.</t>
  </si>
  <si>
    <t xml:space="preserve">Delinquency (60+ days)</t>
  </si>
  <si>
    <t xml:space="preserve">loans 60+ days past due / total loans</t>
  </si>
  <si>
    <t xml:space="preserve">history, loans</t>
  </si>
  <si>
    <t xml:space="preserve">net charge-offs, annualized / average loans</t>
  </si>
  <si>
    <t xml:space="preserve">On-balance-sheet liquidity</t>
  </si>
  <si>
    <t xml:space="preserve">(cash + unencumbered securities at market value) / total shares</t>
  </si>
  <si>
    <t xml:space="preserve">Includes HTM at estimated market value (pledgeable).</t>
  </si>
  <si>
    <t xml:space="preserve">Survival horizon</t>
  </si>
  <si>
    <t xml:space="preserve">#,##0</t>
  </si>
  <si>
    <t xml:space="preserve">first stress horizon at which cumulative stressed outflows exceed available liquidity (365 = survives the year)</t>
  </si>
  <si>
    <t xml:space="preserve">summary, liquidity_sources, liquidity_stress</t>
  </si>
  <si>
    <t xml:space="preserve">Earnings at risk, Year 1</t>
  </si>
  <si>
    <t xml:space="preserve">limit-based</t>
  </si>
  <si>
    <t xml:space="preserve">(scenario Year 1 NII - base Year 1 NII) / base Year 1 NII</t>
  </si>
  <si>
    <t xml:space="preserve">nii_simulation, summary</t>
  </si>
  <si>
    <t xml:space="preserve">Earnings at risk, Year 2</t>
  </si>
  <si>
    <t xml:space="preserve">(scenario Year 2 NII - base Year 2 NII) / base Year 2 NII</t>
  </si>
  <si>
    <t xml:space="preserve">Net economic value</t>
  </si>
  <si>
    <t xml:space="preserve">fair value of assets - fair value of liabilities + off-balance-sheet items</t>
  </si>
  <si>
    <t xml:space="preserve">NEV ratio</t>
  </si>
  <si>
    <t xml:space="preserve">NEV / fair value of assets in the same scenario</t>
  </si>
  <si>
    <t xml:space="preserve">nev, summary</t>
  </si>
  <si>
    <t xml:space="preserve">NEV sensitivity</t>
  </si>
  <si>
    <t xml:space="preserve">(scenario NEV - base NEV) / base NEV</t>
  </si>
  <si>
    <t xml:space="preserve">nev_test_class</t>
  </si>
  <si>
    <t xml:space="preserve">class</t>
  </si>
  <si>
    <t xml:space="preserve">text</t>
  </si>
  <si>
    <t xml:space="preserve">lower risk is better</t>
  </si>
  <si>
    <t xml:space="preserve">Low if post-shock ratio &gt; 7% and decline &lt; 40%; High if ratio &lt; 4% or decline &gt; 65%; else Moderate</t>
  </si>
  <si>
    <t xml:space="preserve">Supervisory Letter 22-01</t>
  </si>
  <si>
    <t xml:space="preserve">Duration of equity</t>
  </si>
  <si>
    <t xml:space="preserve">years</t>
  </si>
  <si>
    <t xml:space="preserve">0.0</t>
  </si>
  <si>
    <t xml:space="preserve">context</t>
  </si>
  <si>
    <t xml:space="preserve">(D_A x FV_A - D_L x FV_L) / NEV</t>
  </si>
  <si>
    <t xml:space="preserve">realized_beta</t>
  </si>
  <si>
    <t xml:space="preserve">Realized beta</t>
  </si>
  <si>
    <t xml:space="preserve">0.00</t>
  </si>
  <si>
    <t xml:space="preserve">change in product rate / change in fed funds over the cycle window</t>
  </si>
  <si>
    <t xml:space="preserve">member business loans / (1.75 x min(net worth, 7% of assets))</t>
  </si>
  <si>
    <t xml:space="preserve">12 CFR 723.8</t>
  </si>
  <si>
    <t xml:space="preserve">Home equity concentration</t>
  </si>
  <si>
    <t xml:space="preserve">junior-lien home equity (HELOC + fixed) / total loans</t>
  </si>
  <si>
    <t xml:space="preserve">Borrowings to assets</t>
  </si>
  <si>
    <t xml:space="preserve">borrowed funds / total assets</t>
  </si>
  <si>
    <t xml:space="preserve">Brokered deposits to shares</t>
  </si>
  <si>
    <t xml:space="preserve">brokered deposits / total shares</t>
  </si>
  <si>
    <t xml:space="preserve">None outstanding at June 30, 2026 (assumed)</t>
  </si>
  <si>
    <t xml:space="preserve">Uninsured shares (estimate)</t>
  </si>
  <si>
    <t xml:space="preserve">sum(balance x (1 - insured_share_est)) / total shares</t>
  </si>
  <si>
    <t xml:space="preserve">member_value</t>
  </si>
  <si>
    <t xml:space="preserve">Member value per member</t>
  </si>
  <si>
    <t xml:space="preserve">$ per member</t>
  </si>
  <si>
    <t xml:space="preserve">(giveback + rate advantage + fee savings) / members</t>
  </si>
  <si>
    <t xml:space="preserve">history, strategic_plan</t>
  </si>
  <si>
    <t xml:space="preserve">source_key</t>
  </si>
  <si>
    <t xml:space="preserve">amount_available</t>
  </si>
  <si>
    <t xml:space="preserve">haircut</t>
  </si>
  <si>
    <t xml:space="preserve">encumbered</t>
  </si>
  <si>
    <t xml:space="preserve">contingent</t>
  </si>
  <si>
    <t xml:space="preserve">timing_days</t>
  </si>
  <si>
    <t xml:space="preserve">net_available</t>
  </si>
  <si>
    <t xml:space="preserve">Cash on hand (vault and ATM; operationally required)</t>
  </si>
  <si>
    <t xml:space="preserve">NCUA 5300 call report, June 30, 2026 (ncuso.org/credit-union/68713/financials); 75% haircut is a modeled operating need</t>
  </si>
  <si>
    <t xml:space="preserve">afs_securities</t>
  </si>
  <si>
    <t xml:space="preserve">AFS securities at fair value (sale or repo)</t>
  </si>
  <si>
    <t xml:space="preserve">NCUA 5300 call report, June 30, 2026 (ncuso.org/credit-union/68713/financials); haircut modeled (agency MBS repo / pledge haircut); sales realize AOCI losses</t>
  </si>
  <si>
    <t xml:space="preserve">htm_securities_pledge</t>
  </si>
  <si>
    <t xml:space="preserve">HTM securities at estimated fair value (pledge only; sale would taint HTM)</t>
  </si>
  <si>
    <t xml:space="preserve">DFCU ALM model v1.0 (hypothetical; model/run_model.py); fair value is a model estimate</t>
  </si>
  <si>
    <t xml:space="preserve">fhlb_advances</t>
  </si>
  <si>
    <t xml:space="preserve">FHLB of San Francisco advance capacity (pledged 1-4 family and home equity loans)</t>
  </si>
  <si>
    <t xml:space="preserve">Hypothetical lendable value after collateral haircuts; no advances outstanding at June 30, 2026 (call report)</t>
  </si>
  <si>
    <t xml:space="preserve">frb_discount_window</t>
  </si>
  <si>
    <t xml:space="preserve">Federal Reserve discount window (Borrower-in-Custody consumer loans)</t>
  </si>
  <si>
    <t xml:space="preserve">Hypothetical lendable value of vehicle loans pledged under BIC</t>
  </si>
  <si>
    <t xml:space="preserve">clf</t>
  </si>
  <si>
    <t xml:space="preserve">NCUA Central Liquidity Facility (through corporate agent)</t>
  </si>
  <si>
    <t xml:space="preserve">Hypothetical; backup federal liquidity source required under 12 CFR 741.12</t>
  </si>
  <si>
    <t xml:space="preserve">corporate_line</t>
  </si>
  <si>
    <t xml:space="preserve">Corporate credit union line of credit</t>
  </si>
  <si>
    <t xml:space="preserve">Hypothetical unsecured line</t>
  </si>
  <si>
    <t xml:space="preserve">fed_funds_lines</t>
  </si>
  <si>
    <t xml:space="preserve">Correspondent fed funds lines</t>
  </si>
  <si>
    <t xml:space="preserve">Hypothetical</t>
  </si>
  <si>
    <t xml:space="preserve">brokered_deposits</t>
  </si>
  <si>
    <t xml:space="preserve">Brokered and listing-service certificates (policy cap 5% of shares)</t>
  </si>
  <si>
    <t xml:space="preserve">Policy cap hypothetical; availability falls in idiosyncratic stress</t>
  </si>
  <si>
    <t xml:space="preserve">loan_participations</t>
  </si>
  <si>
    <t xml:space="preserve">Vehicle loan participation sales</t>
  </si>
  <si>
    <t xml:space="preserve">Hypothetical; 2% price concession</t>
  </si>
  <si>
    <t xml:space="preserve">runoff_rate</t>
  </si>
  <si>
    <t xml:space="preserve">base_amount</t>
  </si>
  <si>
    <t xml:space="preserve">direction</t>
  </si>
  <si>
    <t xml:space="preserve">stressed_amount</t>
  </si>
  <si>
    <t xml:space="preserve">insured_retail_nmd</t>
  </si>
  <si>
    <t xml:space="preserve">Idiosyncratic (reputational) stress</t>
  </si>
  <si>
    <t xml:space="preserve">outflow</t>
  </si>
  <si>
    <t xml:space="preserve">Hypothetical stress calibration informed by 2023 regional-bank outflows; base amounts from the as-of model</t>
  </si>
  <si>
    <t xml:space="preserve">uninsured_deposits</t>
  </si>
  <si>
    <t xml:space="preserve">business_deposits</t>
  </si>
  <si>
    <t xml:space="preserve">money_market_high_balance</t>
  </si>
  <si>
    <t xml:space="preserve">certificates_maturing</t>
  </si>
  <si>
    <t xml:space="preserve">heloc_line_draws</t>
  </si>
  <si>
    <t xml:space="preserve">other_commitment_draws</t>
  </si>
  <si>
    <t xml:space="preserve">securities_value_haircut</t>
  </si>
  <si>
    <t xml:space="preserve">liquidity reduction</t>
  </si>
  <si>
    <t xml:space="preserve">contingent_source_availability</t>
  </si>
  <si>
    <t xml:space="preserve">Market-wide stress (2023-style)</t>
  </si>
  <si>
    <t xml:space="preserve">Combined severe stress</t>
  </si>
  <si>
    <t xml:space="preserve">Rate-driven disintermediation (+300bp)</t>
  </si>
  <si>
    <t xml:space="preserve">net_worth</t>
  </si>
  <si>
    <t xml:space="preserve">rbc_ratio</t>
  </si>
  <si>
    <t xml:space="preserve">aoci</t>
  </si>
  <si>
    <t xml:space="preserve">htm_unrealized</t>
  </si>
  <si>
    <t xml:space="preserve">mbl_balance</t>
  </si>
  <si>
    <t xml:space="preserve">mbl_cap</t>
  </si>
  <si>
    <t xml:space="preserve">internal_target</t>
  </si>
  <si>
    <t xml:space="preserve">obs_exposure</t>
  </si>
  <si>
    <t xml:space="preserve">goodwill_intangibles</t>
  </si>
  <si>
    <t xml:space="preserve">cculr_cushion</t>
  </si>
  <si>
    <t xml:space="preserve">target_cushion</t>
  </si>
  <si>
    <t xml:space="preserve">economic_net_worth</t>
  </si>
  <si>
    <t xml:space="preserve">Net worth and total assets per history; NWR = net worth / average of the last four quarter-end total assets; MBL cap = 1.75 x min(net worth, 7% of assets); MBL balance = commercial loans (share modeled before 2026); CCULR election date assumed Q1 2022</t>
  </si>
  <si>
    <t xml:space="preserve">2021-03-31</t>
  </si>
  <si>
    <t xml:space="preserve">2021-06-30</t>
  </si>
  <si>
    <t xml:space="preserve">2021-09-30</t>
  </si>
  <si>
    <t xml:space="preserve">2022-03-31</t>
  </si>
  <si>
    <t xml:space="preserve">2022-06-30</t>
  </si>
  <si>
    <t xml:space="preserve">2022-09-30</t>
  </si>
  <si>
    <t xml:space="preserve">2023-03-31</t>
  </si>
  <si>
    <t xml:space="preserve">2023-06-30</t>
  </si>
  <si>
    <t xml:space="preserve">2023-09-30</t>
  </si>
  <si>
    <t xml:space="preserve">2024-03-31</t>
  </si>
  <si>
    <t xml:space="preserve">2024-06-30</t>
  </si>
  <si>
    <t xml:space="preserve">year</t>
  </si>
  <si>
    <t xml:space="preserve">debit_transactions</t>
  </si>
  <si>
    <t xml:space="preserve">debit_volume</t>
  </si>
  <si>
    <t xml:space="preserve">debit_interchange</t>
  </si>
  <si>
    <t xml:space="preserve">credit_revenue_share</t>
  </si>
  <si>
    <t xml:space="preserve">interchange_income_reported</t>
  </si>
  <si>
    <t xml:space="preserve">avg_ticket</t>
  </si>
  <si>
    <t xml:space="preserve">interchange_per_txn</t>
  </si>
  <si>
    <t xml:space="preserve">regulated_current_reg_ii</t>
  </si>
  <si>
    <t xml:space="preserve">regulated_2023_proposal</t>
  </si>
  <si>
    <t xml:space="preserve">durbin_impact_current</t>
  </si>
  <si>
    <t xml:space="preserve">durbin_impact_proposal</t>
  </si>
  <si>
    <t xml:space="preserve">2020</t>
  </si>
  <si>
    <t xml:space="preserve">Desert Financial 2021 Annual Report (audited FY2020) (interchange income); debit split, counts and volume modeled</t>
  </si>
  <si>
    <t xml:space="preserve">2021</t>
  </si>
  <si>
    <t xml:space="preserve">Desert Financial 2021 Annual Report (audited FY2021) (interchange income); debit split, counts and volume modeled</t>
  </si>
  <si>
    <t xml:space="preserve">2022</t>
  </si>
  <si>
    <t xml:space="preserve">Desert Financial 2023 Annual Report (audited FY2022) (interchange income); debit split, counts and volume modeled</t>
  </si>
  <si>
    <t xml:space="preserve">2023</t>
  </si>
  <si>
    <t xml:space="preserve">Desert Financial 2023 Annual Report (audited FY2023) (interchange income); debit split, counts and volume modeled</t>
  </si>
  <si>
    <t xml:space="preserve">2024</t>
  </si>
  <si>
    <t xml:space="preserve">Desert Financial 2025 Annual Report (audited FY2024) (interchange income); debit split, counts and volume modeled</t>
  </si>
  <si>
    <t xml:space="preserve">2025</t>
  </si>
  <si>
    <t xml:space="preserve">Desert Financial 2025 Annual Report (audited FY2025) (interchange income); debit split, counts and volume modeled</t>
  </si>
  <si>
    <t xml:space="preserve">2026</t>
  </si>
  <si>
    <t xml:space="preserve">2026 estimate: 2025 interchange grown 4% (member growth)</t>
  </si>
  <si>
    <t xml:space="preserve">date</t>
  </si>
  <si>
    <t xml:space="preserve">2020-03-16</t>
  </si>
  <si>
    <t xml:space="preserve">fomc_decision_upper</t>
  </si>
  <si>
    <t xml:space="preserve">FOMC statement (target range upper bound after decision)</t>
  </si>
  <si>
    <t xml:space="preserve">Approximate quarter-end level compiled without live access; verify against Treasury CMT</t>
  </si>
  <si>
    <t xml:space="preserve">1m</t>
  </si>
  <si>
    <t xml:space="preserve">Effective fed funds approximated as upper bound - 12bp (upper - 17bp at zero bound)</t>
  </si>
  <si>
    <t xml:space="preserve">fed_funds_upper</t>
  </si>
  <si>
    <t xml:space="preserve">FOMC target range decisions (upper bound)</t>
  </si>
  <si>
    <t xml:space="preserve">WSJ prime = fed funds upper bound + 3%</t>
  </si>
  <si>
    <t xml:space="preserve">SOFR approximated as effective fed funds - 2bp</t>
  </si>
  <si>
    <t xml:space="preserve">Approximate PMMS level; verify against Freddie Mac</t>
  </si>
  <si>
    <t xml:space="preserve">2022-03-17</t>
  </si>
  <si>
    <t xml:space="preserve">2022-05-05</t>
  </si>
  <si>
    <t xml:space="preserve">2022-06-16</t>
  </si>
  <si>
    <t xml:space="preserve">2022-07-28</t>
  </si>
  <si>
    <t xml:space="preserve">2022-09-22</t>
  </si>
  <si>
    <t xml:space="preserve">2022-11-03</t>
  </si>
  <si>
    <t xml:space="preserve">2022-12-15</t>
  </si>
  <si>
    <t xml:space="preserve">2023-02-02</t>
  </si>
  <si>
    <t xml:space="preserve">2023-03-23</t>
  </si>
  <si>
    <t xml:space="preserve">2023-05-04</t>
  </si>
  <si>
    <t xml:space="preserve">2023-07-27</t>
  </si>
  <si>
    <t xml:space="preserve">2024-09-19</t>
  </si>
  <si>
    <t xml:space="preserve">2024-11-08</t>
  </si>
  <si>
    <t xml:space="preserve">2024-12-19</t>
  </si>
  <si>
    <t xml:space="preserve">U.S. Treasury daily par yield curve (home.treasury.gov)</t>
  </si>
  <si>
    <t xml:space="preserve">2025-09-18</t>
  </si>
  <si>
    <t xml:space="preserve">2025-10-30</t>
  </si>
  <si>
    <t xml:space="preserve">2025-12-11</t>
  </si>
  <si>
    <t xml:space="preserve">2026-01-02</t>
  </si>
  <si>
    <t xml:space="preserve">1.5m</t>
  </si>
  <si>
    <t xml:space="preserve">2m</t>
  </si>
  <si>
    <t xml:space="preserve">4m</t>
  </si>
  <si>
    <t xml:space="preserve">2026-01-30</t>
  </si>
  <si>
    <t xml:space="preserve">2026-02-27</t>
  </si>
  <si>
    <t xml:space="preserve">2026-04-30</t>
  </si>
  <si>
    <t xml:space="preserve">2026-05-29</t>
  </si>
  <si>
    <t xml:space="preserve">Freddie Mac PMMS 30-year fixed (weekly)</t>
  </si>
  <si>
    <t xml:space="preserve">2026-09-15</t>
  </si>
  <si>
    <t xml:space="preserve">2026-09-17</t>
  </si>
  <si>
    <t xml:space="preserve">2026-09-28</t>
  </si>
  <si>
    <t xml:space="preserve">members</t>
  </si>
  <si>
    <t xml:space="preserve">employees</t>
  </si>
  <si>
    <t xml:space="preserve">branches</t>
  </si>
  <si>
    <t xml:space="preserve">nii_ytd</t>
  </si>
  <si>
    <t xml:space="preserve">loan_yield</t>
  </si>
  <si>
    <t xml:space="preserve">giveback</t>
  </si>
  <si>
    <t xml:space="preserve">nim_ncua_basis</t>
  </si>
  <si>
    <t xml:space="preserve">provision_ytd</t>
  </si>
  <si>
    <t xml:space="preserve">nco_ytd</t>
  </si>
  <si>
    <t xml:space="preserve">quarter_index</t>
  </si>
  <si>
    <t xml:space="preserve">quarter_step</t>
  </si>
  <si>
    <t xml:space="preserve">Desert Financial 2021 Annual Report (audited FY2020); annual totals audited; Audited year-end balance sheet</t>
  </si>
  <si>
    <t xml:space="preserve">Interpolated between audited year-ends (modeled); quarterly income allocated by smooth path to audited annual totals; Interpolated between audited year-ends</t>
  </si>
  <si>
    <t xml:space="preserve">Interpolated between audited year-ends (modeled); quarterly income allocated by smooth path to audited annual totals; total assets approximate public (CreditUnions.com, ~$7.8B)</t>
  </si>
  <si>
    <t xml:space="preserve">Desert Financial 2021 Annual Report (audited FY2021); annual totals audited; Audited year-end balance sheet</t>
  </si>
  <si>
    <t xml:space="preserve">Desert Financial 2023 Annual Report (audited FY2022); annual totals audited; Audited year-end balance sheet</t>
  </si>
  <si>
    <t xml:space="preserve">Desert Financial 2023 Annual Report (audited FY2023); annual totals audited; Audited year-end balance sheet</t>
  </si>
  <si>
    <t xml:space="preserve">Interpolated between audited year-ends (modeled); quarterly income allocated by smooth path to audited annual totals; total assets derived from reported NWR 11.57% under the four-quarter average method</t>
  </si>
  <si>
    <t xml:space="preserve">Desert Financial 2025 Annual Report (audited FY2024); annual totals audited; Audited year-end balance sheet</t>
  </si>
  <si>
    <t xml:space="preserve">Interpolated between audited year-ends (modeled); quarterly income allocated by smooth path to audited annual totals; total assets derived from reported NWR (12.01% at Dec 2025) under the four-quarter average method</t>
  </si>
  <si>
    <t xml:space="preserve">Interpolated between audited year-ends (modeled); quarterly income allocated by smooth path to audited annual totals; total assets derived from reported NWR (12.01% at Mar 2026) under the four-quarter average method</t>
  </si>
  <si>
    <t xml:space="preserve">Interpolated between audited year-ends (modeled); quarterly income allocated by smooth path to audited annual totals; total assets approximate public (~$9.2B, rounded)</t>
  </si>
  <si>
    <t xml:space="preserve">Desert Financial 2025 Annual Report (audited FY2025); annual totals audited; Audited year-end balance sheet</t>
  </si>
  <si>
    <t xml:space="preserve">NCUA 5300 call report, March 31, 2026 (partial: NCUSO summary and CUScore); quarterly income allocated by smooth path to audited annual totals; Call report (partial); cash, securities and AOCI modeled</t>
  </si>
  <si>
    <t xml:space="preserve">NCUA 5300 call report, June 30, 2026 (ncuso.org/credit-union/68713/financials); quarterly income allocated by smooth path to audited annual totals; Call report</t>
  </si>
  <si>
    <t xml:space="preserve">peer_set</t>
  </si>
  <si>
    <t xml:space="preserve">percentile</t>
  </si>
  <si>
    <t xml:space="preserve">industry</t>
  </si>
  <si>
    <t xml:space="preserve">aggregate, YTD annualized</t>
  </si>
  <si>
    <t xml:space="preserve">NCUA Quarterly Credit Union Data Summary, 2026 Q2 / press release (Sept 2026)</t>
  </si>
  <si>
    <t xml:space="preserve">aggregate net interest margin, % of average assets</t>
  </si>
  <si>
    <t xml:space="preserve">nim_median</t>
  </si>
  <si>
    <t xml:space="preserve">median credit union</t>
  </si>
  <si>
    <t xml:space="preserve">roa_median</t>
  </si>
  <si>
    <t xml:space="preserve">aggregate loan-to-share</t>
  </si>
  <si>
    <t xml:space="preserve">lts_median</t>
  </si>
  <si>
    <t xml:space="preserve">delinq</t>
  </si>
  <si>
    <t xml:space="preserve">aggregate delinquency rate</t>
  </si>
  <si>
    <t xml:space="preserve">delinq_median</t>
  </si>
  <si>
    <t xml:space="preserve">aggregate net charge-off ratio</t>
  </si>
  <si>
    <t xml:space="preserve">asset_growth</t>
  </si>
  <si>
    <t xml:space="preserve">4-quarter growth, aggregate</t>
  </si>
  <si>
    <t xml:space="preserve">loan_growth</t>
  </si>
  <si>
    <t xml:space="preserve">share_growth</t>
  </si>
  <si>
    <t xml:space="preserve">4-quarter growth, aggregate (insured shares and deposits)</t>
  </si>
  <si>
    <t xml:space="preserve">delinq_re_noncommercial</t>
  </si>
  <si>
    <t xml:space="preserve">non-commercial real estate delinquency</t>
  </si>
  <si>
    <t xml:space="preserve">delinq_auto</t>
  </si>
  <si>
    <t xml:space="preserve">auto loan delinquency</t>
  </si>
  <si>
    <t xml:space="preserve">delinq_commercial</t>
  </si>
  <si>
    <t xml:space="preserve">commercial delinquency, excluding unfunded commitments</t>
  </si>
  <si>
    <t xml:space="preserve">delinq_credit_card</t>
  </si>
  <si>
    <t xml:space="preserve">credit card delinquency</t>
  </si>
  <si>
    <t xml:space="preserve">aggregate, % of average assets</t>
  </si>
  <si>
    <t xml:space="preserve">NCUA Quarterly Credit Union Data Summary, 2026 Q1</t>
  </si>
  <si>
    <t xml:space="preserve">aggregate</t>
  </si>
  <si>
    <t xml:space="preserve">median</t>
  </si>
  <si>
    <t xml:space="preserve">cost_of_funds_median</t>
  </si>
  <si>
    <t xml:space="preserve">median credit union average cost of funds</t>
  </si>
  <si>
    <t xml:space="preserve">loan_yield_median</t>
  </si>
  <si>
    <t xml:space="preserve">median credit union average yield on loans</t>
  </si>
  <si>
    <t xml:space="preserve">aggregate net worth ratio</t>
  </si>
  <si>
    <t xml:space="preserve">NCUA Quarterly Credit Union Data Summary, 2025 Q2</t>
  </si>
  <si>
    <t xml:space="preserve">Illustrative median for credit unions with $5B to $20B in assets</t>
  </si>
  <si>
    <t xml:space="preserve">Placeholder; replace with an NCUA custom peer query (5300 call report data)</t>
  </si>
  <si>
    <t xml:space="preserve">named</t>
  </si>
  <si>
    <t xml:space="preserve">assets__America First Credit Union</t>
  </si>
  <si>
    <t xml:space="preserve">America First Credit Union assets</t>
  </si>
  <si>
    <t xml:space="preserve">https://finance.yahoo.com/small-business/articles/america-first-credit-union-expands-100000467.html</t>
  </si>
  <si>
    <t xml:space="preserve">members__America First Credit Union</t>
  </si>
  <si>
    <t xml:space="preserve">America First Credit Union members</t>
  </si>
  <si>
    <t xml:space="preserve">assets__Mountain America Credit Union</t>
  </si>
  <si>
    <t xml:space="preserve">Mountain America Credit Union assets</t>
  </si>
  <si>
    <t xml:space="preserve">https://www.bankrate.com/banking/biggest-credit-unions-in-america/</t>
  </si>
  <si>
    <t xml:space="preserve">members__Mountain America Credit Union</t>
  </si>
  <si>
    <t xml:space="preserve">Mountain America Credit Union members</t>
  </si>
  <si>
    <t xml:space="preserve">assets__OneAZ Credit Union</t>
  </si>
  <si>
    <t xml:space="preserve">OneAZ Credit Union assets</t>
  </si>
  <si>
    <t xml:space="preserve">https://azbigmedia.com/business/excellence-in-banking-2026/excellence-in-banking-credit-unions-of-the-year/</t>
  </si>
  <si>
    <t xml:space="preserve">members__OneAZ Credit Union</t>
  </si>
  <si>
    <t xml:space="preserve">OneAZ Credit Union members</t>
  </si>
  <si>
    <t xml:space="preserve">name</t>
  </si>
  <si>
    <t xml:space="preserve">az_members</t>
  </si>
  <si>
    <t xml:space="preserve">az_branches</t>
  </si>
  <si>
    <t xml:space="preserve">mm_rate</t>
  </si>
  <si>
    <t xml:space="preserve">cert_12m_rate</t>
  </si>
  <si>
    <t xml:space="preserve">auto_rate</t>
  </si>
  <si>
    <t xml:space="preserve">heloc_rate</t>
  </si>
  <si>
    <t xml:space="preserve">total_members</t>
  </si>
  <si>
    <t xml:space="preserve">America First Credit Union</t>
  </si>
  <si>
    <t xml:space="preserve">Utah-based; fourth new Arizona branch in a year (Glendale, July 2026); North Scottsdale, South Scottsdale and Surprise planned; eight new AZ branches targeted by 2027; 118 locations across six states</t>
  </si>
  <si>
    <t xml:space="preserve">Mountain America Credit Union</t>
  </si>
  <si>
    <t xml:space="preserve">Utah-based; 100+ branches in UT, AZ, ID, NV, MT; expanding across Arizona; ASU partnerships</t>
  </si>
  <si>
    <t xml:space="preserve">OneAZ Credit Union</t>
  </si>
  <si>
    <t xml:space="preserve">Arizona-based since 1951; 11,000 business members</t>
  </si>
  <si>
    <t xml:space="preserve">quarter</t>
  </si>
  <si>
    <t xml:space="preserve">projected_nii</t>
  </si>
  <si>
    <t xml:space="preserve">actual_nii</t>
  </si>
  <si>
    <t xml:space="preserve">horizon_quarters</t>
  </si>
  <si>
    <t xml:space="preserve">note</t>
  </si>
  <si>
    <t xml:space="preserve">projected_nii_growth_adj</t>
  </si>
  <si>
    <t xml:space="preserve">start_period</t>
  </si>
  <si>
    <t xml:space="preserve">error_pct</t>
  </si>
  <si>
    <t xml:space="preserve">error_pct_growth_adj</t>
  </si>
  <si>
    <t xml:space="preserve">Constant balance sheet from 2023-12-31, actual rate path; growth-adjusted projection 194.8M vs actual 217.7M (-10.5%)</t>
  </si>
  <si>
    <t xml:space="preserve">audited NII plus giveback reclassification (modeled split)</t>
  </si>
  <si>
    <t xml:space="preserve">Constant balance sheet from 2024-12-31, actual rate path; growth-adjusted projection 238.5M vs actual 257.4M (-7.4%)</t>
  </si>
  <si>
    <t xml:space="preserve">Constant balance sheet from 2025-12-31, actual rate path; growth-adjusted projection 148.8M vs actual 155.6M (-4.4%)</t>
  </si>
  <si>
    <t xml:space="preserve">public call report NII plus giveback reclassification (modeled split)</t>
  </si>
  <si>
    <t xml:space="preserve">cycle</t>
  </si>
  <si>
    <t xml:space="preserve">fed_funds_change</t>
  </si>
  <si>
    <t xml:space="preserve">product_rate_change</t>
  </si>
  <si>
    <t xml:space="preserve">window</t>
  </si>
  <si>
    <t xml:space="preserve">model_beta</t>
  </si>
  <si>
    <t xml:space="preserve">all_shares</t>
  </si>
  <si>
    <t xml:space="preserve">up_2022_23</t>
  </si>
  <si>
    <t xml:space="preserve">FY2021 avg to FY2024 avg</t>
  </si>
  <si>
    <t xml:space="preserve">Derived: audited dividends less giveback / average shares; average effective fed funds</t>
  </si>
  <si>
    <t xml:space="preserve">down_2024_25</t>
  </si>
  <si>
    <t xml:space="preserve">FY2024 avg to H1 2026 avg</t>
  </si>
  <si>
    <t xml:space="preserve">Derived: dividends less giveback / average shares (H1 2026 call report)</t>
  </si>
  <si>
    <t xml:space="preserve">up_2026</t>
  </si>
  <si>
    <t xml:space="preserve">Sept 17, 2026 hike onward (in progress)</t>
  </si>
  <si>
    <t xml:space="preserve">FOMC Sept 2026 (+25bp); first observation with Q3 2026 call report</t>
  </si>
  <si>
    <t xml:space="preserve">Estimate (product rates are not reported on the 5300); consistent with all-shares realized beta and product mix</t>
  </si>
  <si>
    <t xml:space="preserve">Estimate (see above)</t>
  </si>
  <si>
    <t xml:space="preserve">Members</t>
  </si>
  <si>
    <t xml:space="preserve">NCUA 5300 call report, Dec 31, 2025</t>
  </si>
  <si>
    <t xml:space="preserve">Desert Financial 2025 Annual Report (audited) / call report</t>
  </si>
  <si>
    <t xml:space="preserve">ROA</t>
  </si>
  <si>
    <t xml:space="preserve">Desert Financial 2025 Annual Report (audited) / call report; average assets from quarter-ends</t>
  </si>
  <si>
    <t xml:space="preserve">NIM (ex-giveback)</t>
  </si>
  <si>
    <t xml:space="preserve">NII excluding giveback / average assets</t>
  </si>
  <si>
    <t xml:space="preserve">Four-quarter-average method</t>
  </si>
  <si>
    <t xml:space="preserve">Member Giveback ($K)</t>
  </si>
  <si>
    <t xml:space="preserve">Press release, Feb 2, 2026 ($16M paid Feb 2026 for 2025)</t>
  </si>
  <si>
    <t xml:space="preserve">Branches</t>
  </si>
  <si>
    <t xml:space="preserve">NCUA 5300 call report (offices)</t>
  </si>
  <si>
    <t xml:space="preserve">community_giving</t>
  </si>
  <si>
    <t xml:space="preserve">Community giving ($K)</t>
  </si>
  <si>
    <t xml:space="preserve">2025 Annual Report ($4.7M to nonprofits)</t>
  </si>
  <si>
    <t xml:space="preserve">heloc_originations_count</t>
  </si>
  <si>
    <t xml:space="preserve">HELOCs originated</t>
  </si>
  <si>
    <t xml:space="preserve">2025 Annual Report</t>
  </si>
  <si>
    <t xml:space="preserve">zelle_active_users</t>
  </si>
  <si>
    <t xml:space="preserve">Zelle active users</t>
  </si>
  <si>
    <t xml:space="preserve">partner_debit_cards</t>
  </si>
  <si>
    <t xml:space="preserve">Partner debit cards issued</t>
  </si>
  <si>
    <t xml:space="preserve">kickstart_accounts</t>
  </si>
  <si>
    <t xml:space="preserve">Kickstart youth accounts opened</t>
  </si>
  <si>
    <t xml:space="preserve">online_loan_applications</t>
  </si>
  <si>
    <t xml:space="preserve">Online loan applications</t>
  </si>
  <si>
    <t xml:space="preserve">Hypothetical base plan (sandbox base scenario)</t>
  </si>
  <si>
    <t xml:space="preserve">Hypothetical base plan (sandbox base scenario) (quarter-end basis)</t>
  </si>
  <si>
    <t xml:space="preserve">2027</t>
  </si>
  <si>
    <t xml:space="preserve">2028</t>
  </si>
  <si>
    <t xml:space="preserve">2029</t>
  </si>
  <si>
    <t xml:space="preserve">2030</t>
  </si>
  <si>
    <t xml:space="preserve">Hypothetical target</t>
  </si>
  <si>
    <t xml:space="preserve">nev_test_class_target</t>
  </si>
  <si>
    <t xml:space="preserve">Low</t>
  </si>
  <si>
    <t xml:space="preserve">NCUA NEV Test class target</t>
  </si>
  <si>
    <t xml:space="preserve">roa_target_min</t>
  </si>
  <si>
    <t xml:space="preserve">ROA floor target</t>
  </si>
  <si>
    <t xml:space="preserve">nwr_target_min</t>
  </si>
  <si>
    <t xml:space="preserve">Board capital target</t>
  </si>
  <si>
    <t xml:space="preserve">efficiency_target_max</t>
  </si>
  <si>
    <t xml:space="preserve">Efficiency ratio ceiling</t>
  </si>
  <si>
    <t xml:space="preserve">2034</t>
  </si>
  <si>
    <t xml:space="preserve">One million members milestone</t>
  </si>
  <si>
    <t xml:space="preserve">Goal of one million members is public (CEO letter, 2025 Annual Report); the 2034 year is hypothetical</t>
  </si>
  <si>
    <t xml:space="preserve">id</t>
  </si>
  <si>
    <t xml:space="preserve">pillar</t>
  </si>
  <si>
    <t xml:space="preserve">start</t>
  </si>
  <si>
    <t xml:space="preserve">end</t>
  </si>
  <si>
    <t xml:space="preserve">kpi_key</t>
  </si>
  <si>
    <t xml:space="preserve">kpi_baseline</t>
  </si>
  <si>
    <t xml:space="preserve">kpi_target</t>
  </si>
  <si>
    <t xml:space="preserve">kpi_actual</t>
  </si>
  <si>
    <t xml:space="preserve">loan_impact</t>
  </si>
  <si>
    <t xml:space="preserve">deposit_impact</t>
  </si>
  <si>
    <t xml:space="preserve">fee_impact</t>
  </si>
  <si>
    <t xml:space="preserve">opex_impact</t>
  </si>
  <si>
    <t xml:space="preserve">capex</t>
  </si>
  <si>
    <t xml:space="preserve">risk_tags</t>
  </si>
  <si>
    <t xml:space="preserve">G1</t>
  </si>
  <si>
    <t xml:space="preserve">grow</t>
  </si>
  <si>
    <t xml:space="preserve">Branch expansion: Northern Arizona and West Valley</t>
  </si>
  <si>
    <t xml:space="preserve">Chief Retail Officer</t>
  </si>
  <si>
    <t xml:space="preserve">On track</t>
  </si>
  <si>
    <t xml:space="preserve">2025-01-01</t>
  </si>
  <si>
    <t xml:space="preserve">opex|deposit_pricing|execution</t>
  </si>
  <si>
    <t xml:space="preserve">2025 openings: Gilbert, Baseline, Verrado, NAU campus (public)</t>
  </si>
  <si>
    <t xml:space="preserve">Hypothetical initiative built on DFCU's published priorities; owners are role titles; impacts in $K at run rate</t>
  </si>
  <si>
    <t xml:space="preserve">G2</t>
  </si>
  <si>
    <t xml:space="preserve">Hispanic banking outreach campaign</t>
  </si>
  <si>
    <t xml:space="preserve">Chief Marketing Officer</t>
  </si>
  <si>
    <t xml:space="preserve">2026-01-01</t>
  </si>
  <si>
    <t xml:space="preserve">hispanic_new_members</t>
  </si>
  <si>
    <t xml:space="preserve">compliance|brand|execution</t>
  </si>
  <si>
    <t xml:space="preserve">Named 2026 priority (2025 Annual Report)</t>
  </si>
  <si>
    <t xml:space="preserve">G3</t>
  </si>
  <si>
    <t xml:space="preserve">Campus and partnership pipeline (ASU, NAU, Arizona Cardinals)</t>
  </si>
  <si>
    <t xml:space="preserve">Chief Growth Officer</t>
  </si>
  <si>
    <t xml:space="preserve">2024-07-01</t>
  </si>
  <si>
    <t xml:space="preserve">sponsorship_cost|member_quality</t>
  </si>
  <si>
    <t xml:space="preserve">15,653 partner debit cards in 2025 (public)</t>
  </si>
  <si>
    <t xml:space="preserve">G4</t>
  </si>
  <si>
    <t xml:space="preserve">Kickstart youth checking</t>
  </si>
  <si>
    <t xml:space="preserve">At risk</t>
  </si>
  <si>
    <t xml:space="preserve">member_quality|fraud</t>
  </si>
  <si>
    <t xml:space="preserve">7,500 accounts in 2025 (public)</t>
  </si>
  <si>
    <t xml:space="preserve">G5</t>
  </si>
  <si>
    <t xml:space="preserve">Digital account opening and Zelle adoption</t>
  </si>
  <si>
    <t xml:space="preserve">Chief Digital Officer</t>
  </si>
  <si>
    <t xml:space="preserve">2025-07-01</t>
  </si>
  <si>
    <t xml:space="preserve">cyber|fraud|vendor</t>
  </si>
  <si>
    <t xml:space="preserve">92,000+ Zelle users (public)</t>
  </si>
  <si>
    <t xml:space="preserve">G6</t>
  </si>
  <si>
    <t xml:space="preserve">Digital Investing with fractional shares</t>
  </si>
  <si>
    <t xml:space="preserve">President, Wealth Management</t>
  </si>
  <si>
    <t xml:space="preserve">digital_investing_accounts</t>
  </si>
  <si>
    <t xml:space="preserve">market|compliance|disintermediation</t>
  </si>
  <si>
    <t xml:space="preserve">Expanded July 2026 (public); deposit impact negative</t>
  </si>
  <si>
    <t xml:space="preserve">V1</t>
  </si>
  <si>
    <t xml:space="preserve">give</t>
  </si>
  <si>
    <t xml:space="preserve">Member Giveback Bonus and Relationship Rewards</t>
  </si>
  <si>
    <t xml:space="preserve">members_receiving_giveback</t>
  </si>
  <si>
    <t xml:space="preserve">capital|earnings</t>
  </si>
  <si>
    <t xml:space="preserve">$16M to ~180,000 members in Feb 2026 (public)</t>
  </si>
  <si>
    <t xml:space="preserve">V2</t>
  </si>
  <si>
    <t xml:space="preserve">Desert Safe Spend (Bank On certified access account)</t>
  </si>
  <si>
    <t xml:space="preserve">safe_spend_accounts</t>
  </si>
  <si>
    <t xml:space="preserve">fraud|overdraft_regulation</t>
  </si>
  <si>
    <t xml:space="preserve">Named 2026 priority (public)</t>
  </si>
  <si>
    <t xml:space="preserve">V3</t>
  </si>
  <si>
    <t xml:space="preserve">Financial well-being and Flex Funds small-dollar loans</t>
  </si>
  <si>
    <t xml:space="preserve">flex_funds_volume</t>
  </si>
  <si>
    <t xml:space="preserve">credit|compliance</t>
  </si>
  <si>
    <t xml:space="preserve">Baselines hypothetical</t>
  </si>
  <si>
    <t xml:space="preserve">V4</t>
  </si>
  <si>
    <t xml:space="preserve">Community grants and volunteerism</t>
  </si>
  <si>
    <t xml:space="preserve">Chief Community Officer</t>
  </si>
  <si>
    <t xml:space="preserve">reputation</t>
  </si>
  <si>
    <t xml:space="preserve">$4.7M to nonprofits in 2025; $520K grant commitment Sept 2026 (public)</t>
  </si>
  <si>
    <t xml:space="preserve">D1</t>
  </si>
  <si>
    <t xml:space="preserve">deploy</t>
  </si>
  <si>
    <t xml:space="preserve">Redeploy securities runoff into member loans</t>
  </si>
  <si>
    <t xml:space="preserve">Treasurer</t>
  </si>
  <si>
    <t xml:space="preserve">credit|liquidity|irr</t>
  </si>
  <si>
    <t xml:space="preserve">Securities cash flows ~$250M a year plus excess cash</t>
  </si>
  <si>
    <t xml:space="preserve">D2</t>
  </si>
  <si>
    <t xml:space="preserve">HELOC growth with CLTV discipline</t>
  </si>
  <si>
    <t xml:space="preserve">concentration|home_price|floors</t>
  </si>
  <si>
    <t xml:space="preserve">Junior liens already 39.7% of loans (watch vs. 45% limit)</t>
  </si>
  <si>
    <t xml:space="preserve">D3</t>
  </si>
  <si>
    <t xml:space="preserve">Indirect auto optimization (dealer pricing and risk tiers)</t>
  </si>
  <si>
    <t xml:space="preserve">VP Consumer Lending</t>
  </si>
  <si>
    <t xml:space="preserve">2026-04-01</t>
  </si>
  <si>
    <t xml:space="preserve">auto_yield_net</t>
  </si>
  <si>
    <t xml:space="preserve">credit|dealer_concentration</t>
  </si>
  <si>
    <t xml:space="preserve">Used auto net yield 7.10% vs. 7.65% new-volume</t>
  </si>
  <si>
    <t xml:space="preserve">D4</t>
  </si>
  <si>
    <t xml:space="preserve">Member business lending within the MBL cap</t>
  </si>
  <si>
    <t xml:space="preserve">Chief Commercial Officer</t>
  </si>
  <si>
    <t xml:space="preserve">mbl_cap|cre_concentration|credit</t>
  </si>
  <si>
    <t xml:space="preserve">Cap = 1.75 x min(net worth, 7% of assets)</t>
  </si>
  <si>
    <t xml:space="preserve">F1</t>
  </si>
  <si>
    <t xml:space="preserve">fortify</t>
  </si>
  <si>
    <t xml:space="preserve">$10B readiness: capital plan, CFPB, IRR workbook</t>
  </si>
  <si>
    <t xml:space="preserve">Chief Risk Officer</t>
  </si>
  <si>
    <t xml:space="preserve">readiness_milestones</t>
  </si>
  <si>
    <t xml:space="preserve">regulatory|timeline</t>
  </si>
  <si>
    <t xml:space="preserve">Capital planning applies if assets &gt;= $10B at March 31</t>
  </si>
  <si>
    <t xml:space="preserve">F2</t>
  </si>
  <si>
    <t xml:space="preserve">Durbin interchange mitigation (debit rewards, credit card strategy)</t>
  </si>
  <si>
    <t xml:space="preserve">Chief Payments Officer</t>
  </si>
  <si>
    <t xml:space="preserve">Not started</t>
  </si>
  <si>
    <t xml:space="preserve">2026-10-01</t>
  </si>
  <si>
    <t xml:space="preserve">fee_income_offset</t>
  </si>
  <si>
    <t xml:space="preserve">revenue|regulatory</t>
  </si>
  <si>
    <t xml:space="preserve">Debit interchange at risk ~$24M-$32M a year once covered</t>
  </si>
  <si>
    <t xml:space="preserve">F3</t>
  </si>
  <si>
    <t xml:space="preserve">Payments modernization (Alacriti Orbipay, instant payments)</t>
  </si>
  <si>
    <t xml:space="preserve">Chief Operating Officer</t>
  </si>
  <si>
    <t xml:space="preserve">2026-02-19</t>
  </si>
  <si>
    <t xml:space="preserve">instant_payments_monthly</t>
  </si>
  <si>
    <t xml:space="preserve">cyber|operational</t>
  </si>
  <si>
    <t xml:space="preserve">Alacriti partnership announced Feb 2026 (public)</t>
  </si>
  <si>
    <t xml:space="preserve">F4</t>
  </si>
  <si>
    <t xml:space="preserve">Deposit pricing discipline and money market tier redesign</t>
  </si>
  <si>
    <t xml:space="preserve">deposit_attrition|competition</t>
  </si>
  <si>
    <t xml:space="preserve">America First and Mountain America expanding in metro Phoenix</t>
  </si>
  <si>
    <t xml:space="preserve">F5</t>
  </si>
  <si>
    <t xml:space="preserve">AFS restructuring analysis (sell 2.0% MBS, reinvest)</t>
  </si>
  <si>
    <t xml:space="preserve">earnings|capital|irr</t>
  </si>
  <si>
    <t xml:space="preserve">Earn-back = realized loss / annual NII pickup</t>
  </si>
  <si>
    <t xml:space="preserve">F6</t>
  </si>
  <si>
    <t xml:space="preserve">Contingent liquidity: FHLB and discount window collateral</t>
  </si>
  <si>
    <t xml:space="preserve">contingent_capacity</t>
  </si>
  <si>
    <t xml:space="preserve">liquidity</t>
  </si>
  <si>
    <t xml:space="preserve">Capacity in $K (hypothetical)</t>
  </si>
  <si>
    <t xml:space="preserve">plan_key</t>
  </si>
  <si>
    <t xml:space="preserve">securities_book</t>
  </si>
  <si>
    <t xml:space="preserve">fees</t>
  </si>
  <si>
    <t xml:space="preserve">opex</t>
  </si>
  <si>
    <t xml:space="preserve">durbin_impact</t>
  </si>
  <si>
    <t xml:space="preserve">nev_test_ratio</t>
  </si>
  <si>
    <t xml:space="preserve">nev_test_sensitivity</t>
  </si>
  <si>
    <t xml:space="preserve">base_plan</t>
  </si>
  <si>
    <t xml:space="preserve">Moderate</t>
  </si>
  <si>
    <t xml:space="preserve">Sandbox estimate (annual steps; section 7 engine); plan assumptions hypothetical</t>
  </si>
  <si>
    <t xml:space="preserve">High</t>
  </si>
  <si>
    <t xml:space="preserve">accelerated_growth</t>
  </si>
  <si>
    <t xml:space="preserve">max_giveback</t>
  </si>
  <si>
    <t xml:space="preserve">defensive</t>
  </si>
  <si>
    <t xml:space="preserve">capital_target</t>
  </si>
  <si>
    <t xml:space="preserve">horizon_years</t>
  </si>
  <si>
    <t xml:space="preserve">max_annual_giveback</t>
  </si>
  <si>
    <t xml:space="preserve">nw0</t>
  </si>
  <si>
    <t xml:space="preserve">assets0</t>
  </si>
  <si>
    <t xml:space="preserve">Section 7 frontier formula; r_s from nii_simulation Year 1</t>
  </si>
  <si>
    <t xml:space="preserve">metric</t>
  </si>
  <si>
    <t xml:space="preserve">geography</t>
  </si>
  <si>
    <t xml:space="preserve">population</t>
  </si>
  <si>
    <t xml:space="preserve">Phoenix metro</t>
  </si>
  <si>
    <t xml:space="preserve">https://www.mogul.club/post/phoenix-real-estate-investing</t>
  </si>
  <si>
    <t xml:space="preserve">approx. 5.2M residents, adding ~85,000 a year</t>
  </si>
  <si>
    <t xml:space="preserve">population_growth_annual</t>
  </si>
  <si>
    <t xml:space="preserve">annual net addition</t>
  </si>
  <si>
    <t xml:space="preserve">2026-01-31</t>
  </si>
  <si>
    <t xml:space="preserve">net_migration_annual</t>
  </si>
  <si>
    <t xml:space="preserve">https://www.phoenixhomes.com/january-2025-phoenix-housing-market-report/</t>
  </si>
  <si>
    <t xml:space="preserve">net in-migration per year</t>
  </si>
  <si>
    <t xml:space="preserve">job_growth</t>
  </si>
  <si>
    <t xml:space="preserve">Arizona</t>
  </si>
  <si>
    <t xml:space="preserve">2.1% to 2.5% annual job growth (midpoint)</t>
  </si>
  <si>
    <t xml:space="preserve">home_price_index_yoy</t>
  </si>
  <si>
    <t xml:space="preserve">https://sunbeltpulse.com/metros/phoenix</t>
  </si>
  <si>
    <t xml:space="preserve">home prices +2.4% YoY, +0.8% QoQ (Q1 2026)</t>
  </si>
  <si>
    <t xml:space="preserve">home_value_yoy</t>
  </si>
  <si>
    <t xml:space="preserve">Phoenix city (Zillow)</t>
  </si>
  <si>
    <t xml:space="preserve">Zillow Home Value Index ~$410,169, -2.7% YoY (early 2026)</t>
  </si>
  <si>
    <t xml:space="preserve">median_household_income</t>
  </si>
  <si>
    <t xml:space="preserve">Greater Phoenix</t>
  </si>
  <si>
    <t xml:space="preserve">approx.</t>
  </si>
  <si>
    <t xml:space="preserve">2026-09-26</t>
  </si>
  <si>
    <t xml:space="preserve">inflation_expectations_1y</t>
  </si>
  <si>
    <t xml:space="preserve">US (UMich)</t>
  </si>
  <si>
    <t xml:space="preserve">https://www.cnbc.com/2026/09/26/10-year-treasury-yield-is-at-its-highest-in-19-years-how-we-got-here.html</t>
  </si>
  <si>
    <t xml:space="preserve">year-ahead inflation expectations, September 2026</t>
  </si>
  <si>
    <t xml:space="preserve">2026-09-24</t>
  </si>
  <si>
    <t xml:space="preserve">mortgage_30y_mnd</t>
  </si>
  <si>
    <t xml:space="preserve">US (Mortgage News Daily)</t>
  </si>
  <si>
    <t xml:space="preserve">https://finance.yahoo.com/personal-finance/mortgages/article/mortgage-rates-surge-to-highest-level-in-over-two-years-mortgage-and-refinance-interest-rates-today-100000456.html</t>
  </si>
  <si>
    <t xml:space="preserve">30-year fixed average</t>
  </si>
  <si>
    <t xml:space="preserve">2026-09-03</t>
  </si>
  <si>
    <t xml:space="preserve">mortgage_30y_pmms</t>
  </si>
  <si>
    <t xml:space="preserve">US (Freddie Mac)</t>
  </si>
  <si>
    <t xml:space="preserve">https://www.nevadarealestategroup.com/blog/how-the-10-year-treasury-moves-mortgage-rates-2026/</t>
  </si>
  <si>
    <t xml:space="preserve">weekly average</t>
  </si>
  <si>
    <t xml:space="preserve">tsmc_commitment_usd</t>
  </si>
  <si>
    <t xml:space="preserve">Phoenix (north)</t>
  </si>
  <si>
    <t xml:space="preserve">https://www.cbre.com/insights/reports/phoenix-2026-u-s-real-estate-market-outlook-midyear-review</t>
  </si>
  <si>
    <t xml:space="preserve">TSMC expanded $100B+ plan</t>
  </si>
  <si>
    <t xml:space="preserve">decision</t>
  </si>
  <si>
    <t xml:space="preserve">rationale</t>
  </si>
  <si>
    <t xml:space="preserve">due</t>
  </si>
  <si>
    <t xml:space="preserve">scenario_ref</t>
  </si>
  <si>
    <t xml:space="preserve">2026-04-21</t>
  </si>
  <si>
    <t xml:space="preserve">Hold money market tiers; extend 13-month certificate special at 3.95%</t>
  </si>
  <si>
    <t xml:space="preserve">Rates flat since December; share growth strong; certificate maturities concentrated in Q3</t>
  </si>
  <si>
    <t xml:space="preserve">2026-05-19</t>
  </si>
  <si>
    <t xml:space="preserve">Complete</t>
  </si>
  <si>
    <t xml:space="preserve">Report the NCUA NEV Test alongside internal NEV to the board every quarter</t>
  </si>
  <si>
    <t xml:space="preserve">Standardized share values put the post-shock NEV ratio near 4% (Moderate/High border)</t>
  </si>
  <si>
    <t xml:space="preserve">2026-06-16</t>
  </si>
  <si>
    <t xml:space="preserve">Target a 65% loan-to-share ratio by June 2027 by redeploying securities runoff and excess cash</t>
  </si>
  <si>
    <t xml:space="preserve">Loan-to-share 60% vs. 83% industry; each $100M moved from cash to auto loans adds ~$3M of NII before credit</t>
  </si>
  <si>
    <t xml:space="preserve">Open</t>
  </si>
  <si>
    <t xml:space="preserve">Re-underwrite deposit assumptions: money market tier 4 up-beta 0.70; migration 5% per +100bp</t>
  </si>
  <si>
    <t xml:space="preserve">Q2 review of realized betas; money market migration is the largest EaR assumption</t>
  </si>
  <si>
    <t xml:space="preserve">2026-08-18</t>
  </si>
  <si>
    <t xml:space="preserve">Commission an AFS restructuring analysis ($300M of 2.0% MBS)</t>
  </si>
  <si>
    <t xml:space="preserve">AOCI is ~22% of net worth; test earn-back under base and higher-for-longer</t>
  </si>
  <si>
    <t xml:space="preserve">2026-10-20</t>
  </si>
  <si>
    <t xml:space="preserve">Pledge additional HELOC collateral to the FHLB to raise contingent capacity to $2.0B</t>
  </si>
  <si>
    <t xml:space="preserve">Survival horizon in combined stress and $10B readiness</t>
  </si>
  <si>
    <t xml:space="preserve">2026-12-15</t>
  </si>
  <si>
    <t xml:space="preserve">2026-09-22</t>
  </si>
  <si>
    <t xml:space="preserve">After the Sept 16 hike: raise money market tiers 3-4 by 10bp; hold checking and savings</t>
  </si>
  <si>
    <t xml:space="preserve">Competitor pricing moved; protect high-balance tiers while limiting cost</t>
  </si>
  <si>
    <t xml:space="preserve">Run higher-for-longer and stagflation scenarios for the Q4 board packet</t>
  </si>
  <si>
    <t xml:space="preserve">10-year at 5.26%, highest since 2007; test EaR, NEV and capital</t>
  </si>
  <si>
    <t xml:space="preserve">Approve the $10B readiness work plan (capital plan if assets &gt;= $10B at March 31, 2027)</t>
  </si>
  <si>
    <t xml:space="preserve">Assets $9.89B at June 30, 2026 and growing ~7% a year</t>
  </si>
  <si>
    <t xml:space="preserve">tab</t>
  </si>
  <si>
    <t xml:space="preserve">tab_status</t>
  </si>
  <si>
    <t xml:space="preserve">column</t>
  </si>
  <si>
    <t xml:space="preserve">contract_column</t>
  </si>
  <si>
    <t xml:space="preserve">Setting</t>
  </si>
  <si>
    <t xml:space="preserve">Value (unit per row)</t>
  </si>
  <si>
    <t xml:space="preserve">Description</t>
  </si>
  <si>
    <t xml:space="preserve">Quarter-end or as-of date (ISO text)</t>
  </si>
  <si>
    <t xml:space="preserve">asset, liability or equity</t>
  </si>
  <si>
    <t xml:space="preserve">Grouping used for roll-ups</t>
  </si>
  <si>
    <t xml:space="preserve">Line item label</t>
  </si>
  <si>
    <t xml:space="preserve">Balance ($K)</t>
  </si>
  <si>
    <t xml:space="preserve">Average balance over the period ($K)</t>
  </si>
  <si>
    <t xml:space="preserve">decimal (percent)</t>
  </si>
  <si>
    <t xml:space="preserve">Rate or yield (decimal)</t>
  </si>
  <si>
    <t xml:space="preserve">fixed, variable or none</t>
  </si>
  <si>
    <t xml:space="preserve">Repricing index (prime, sofr, treasury, none)</t>
  </si>
  <si>
    <t xml:space="preserve">Weighted average life of principal cash flows (years)</t>
  </si>
  <si>
    <t xml:space="preserve">Effective duration from +/-50bp parallel shifts (years)</t>
  </si>
  <si>
    <t xml:space="preserve">Effective convexity from +/-50bp shifts</t>
  </si>
  <si>
    <t xml:space="preserve">public, audited, modeled or hypothetical</t>
  </si>
  <si>
    <t xml:space="preserve">Source or method</t>
  </si>
  <si>
    <t xml:space="preserve">Instrument key (model)</t>
  </si>
  <si>
    <t xml:space="preserve">Amortized cost ($K)</t>
  </si>
  <si>
    <t xml:space="preserve">Base fair value ($K)</t>
  </si>
  <si>
    <t xml:space="preserve">qtd or ytd</t>
  </si>
  <si>
    <t xml:space="preserve">Amount ($K); one_time items signed (+ gain)</t>
  </si>
  <si>
    <t xml:space="preserve">n/a</t>
  </si>
  <si>
    <t xml:space="preserve">Interest income ($K)</t>
  </si>
  <si>
    <t xml:space="preserve">interest expense reported</t>
  </si>
  <si>
    <t xml:space="preserve">nii reported</t>
  </si>
  <si>
    <t xml:space="preserve">member giveback</t>
  </si>
  <si>
    <t xml:space="preserve">noninterest income reported</t>
  </si>
  <si>
    <t xml:space="preserve">noninterest expense reported</t>
  </si>
  <si>
    <t xml:space="preserve">net income reported</t>
  </si>
  <si>
    <t xml:space="preserve">nii ex giveback</t>
  </si>
  <si>
    <t xml:space="preserve">Product identifier</t>
  </si>
  <si>
    <t xml:space="preserve">Product label</t>
  </si>
  <si>
    <t xml:space="preserve">Number of loans</t>
  </si>
  <si>
    <t xml:space="preserve">Portfolio yield net of deferred fees/costs (decimal)</t>
  </si>
  <si>
    <t xml:space="preserve">Share fixed-rate (or fixed until reset)</t>
  </si>
  <si>
    <t xml:space="preserve">Contract floor (decimal)</t>
  </si>
  <si>
    <t xml:space="preserve">Contract cap (decimal)</t>
  </si>
  <si>
    <t xml:space="preserve">Base CPR</t>
  </si>
  <si>
    <t xml:space="preserve">CPR in +300bp</t>
  </si>
  <si>
    <t xml:space="preserve">CPR in -300bp</t>
  </si>
  <si>
    <t xml:space="preserve">cpr (annual prepayment rate)</t>
  </si>
  <si>
    <t xml:space="preserve">30+ day delinquency rate</t>
  </si>
  <si>
    <t xml:space="preserve">60+ day delinquency rate</t>
  </si>
  <si>
    <t xml:space="preserve">Net charge-off rate, annualized</t>
  </si>
  <si>
    <t xml:space="preserve">Allowance for credit losses allocated ($K)</t>
  </si>
  <si>
    <t xml:space="preserve">Average credit score (hypothetical)</t>
  </si>
  <si>
    <t xml:space="preserve">Average LTV/CLTV (hypothetical)</t>
  </si>
  <si>
    <t xml:space="preserve">Originations year to date ($K)</t>
  </si>
  <si>
    <t xml:space="preserve">Share originated through dealers</t>
  </si>
  <si>
    <t xml:space="preserve">Unfunded lines and commitments ($K)</t>
  </si>
  <si>
    <t xml:space="preserve">Drawn / committed</t>
  </si>
  <si>
    <t xml:space="preserve">call report line</t>
  </si>
  <si>
    <t xml:space="preserve">Rate reported on the call report line</t>
  </si>
  <si>
    <t xml:space="preserve">Current offering (new-volume) rate</t>
  </si>
  <si>
    <t xml:space="preserve">Discount spread over Treasury zero curve</t>
  </si>
  <si>
    <t xml:space="preserve">Weighted average time to repricing (years)</t>
  </si>
  <si>
    <t xml:space="preserve">Helper: rows sharing this key (must be 1)</t>
  </si>
  <si>
    <t xml:space="preserve">Helper: share of the period total</t>
  </si>
  <si>
    <t xml:space="preserve">Balance tier or sub-product</t>
  </si>
  <si>
    <t xml:space="preserve">Number of accounts (modeled)</t>
  </si>
  <si>
    <t xml:space="preserve">Share of a fed funds increase passed through</t>
  </si>
  <si>
    <t xml:space="preserve">Share of a decrease passed through</t>
  </si>
  <si>
    <t xml:space="preserve">Months before rate changes pass through (certificates: weighted maturity)</t>
  </si>
  <si>
    <t xml:space="preserve">Runoff-based WAL (years)</t>
  </si>
  <si>
    <t xml:space="preserve">Estimated NCUSIF-insured share</t>
  </si>
  <si>
    <t xml:space="preserve">Retention at maturity (base)</t>
  </si>
  <si>
    <t xml:space="preserve">Retention at maturity (stress)</t>
  </si>
  <si>
    <t xml:space="preserve">decay rate</t>
  </si>
  <si>
    <t xml:space="preserve">rate floor</t>
  </si>
  <si>
    <t xml:space="preserve">servicing cost</t>
  </si>
  <si>
    <t xml:space="preserve">migration per 100bp</t>
  </si>
  <si>
    <t xml:space="preserve">Months from the as-of date</t>
  </si>
  <si>
    <t xml:space="preserve">maturity month</t>
  </si>
  <si>
    <t xml:space="preserve">balance under 100k</t>
  </si>
  <si>
    <t xml:space="preserve">balance 100k plus</t>
  </si>
  <si>
    <t xml:space="preserve">balance ira</t>
  </si>
  <si>
    <t xml:space="preserve">Security group</t>
  </si>
  <si>
    <t xml:space="preserve">afs, htm or equity</t>
  </si>
  <si>
    <t xml:space="preserve">Book value / amortized cost ($K)</t>
  </si>
  <si>
    <t xml:space="preserve">Market (fair) value ($K)</t>
  </si>
  <si>
    <t xml:space="preserve">Pledged ($K)</t>
  </si>
  <si>
    <t xml:space="preserve">Label</t>
  </si>
  <si>
    <t xml:space="preserve">Market - book ($K)</t>
  </si>
  <si>
    <t xml:space="preserve">security key</t>
  </si>
  <si>
    <t xml:space="preserve">book yield</t>
  </si>
  <si>
    <t xml:space="preserve">cpr base</t>
  </si>
  <si>
    <t xml:space="preserve">fv plus300</t>
  </si>
  <si>
    <t xml:space="preserve">fv minus300</t>
  </si>
  <si>
    <t xml:space="preserve">fv q3 actual</t>
  </si>
  <si>
    <t xml:space="preserve">Month index (1 = July 2026; rate_scenarios month 0 = scenario start)</t>
  </si>
  <si>
    <t xml:space="preserve">Scheduled principal and maturities ($K)</t>
  </si>
  <si>
    <t xml:space="preserve">Interest ($K)</t>
  </si>
  <si>
    <t xml:space="preserve">Prepayments ($K)</t>
  </si>
  <si>
    <t xml:space="preserve">Principal + interest + prepayments ($K)</t>
  </si>
  <si>
    <t xml:space="preserve">Repricing bucket</t>
  </si>
  <si>
    <t xml:space="preserve">asset, liability, equity or off_balance</t>
  </si>
  <si>
    <t xml:space="preserve">Scenario identifier</t>
  </si>
  <si>
    <t xml:space="preserve">Scenario label</t>
  </si>
  <si>
    <t xml:space="preserve">shock, ramp, twist, narrative or supervisory</t>
  </si>
  <si>
    <t xml:space="preserve">Display order (lowest to highest rate path)</t>
  </si>
  <si>
    <t xml:space="preserve">nev applicable</t>
  </si>
  <si>
    <t xml:space="preserve">shift 2y bp month0</t>
  </si>
  <si>
    <t xml:space="preserve">shift 10y bp month0</t>
  </si>
  <si>
    <t xml:space="preserve">shift 2y bp month12</t>
  </si>
  <si>
    <t xml:space="preserve">shift 10y bp month12</t>
  </si>
  <si>
    <t xml:space="preserve">fed funds shift bp month12</t>
  </si>
  <si>
    <t xml:space="preserve">credit stress</t>
  </si>
  <si>
    <t xml:space="preserve">Rate tenor</t>
  </si>
  <si>
    <t xml:space="preserve">Interest expense excluding giveback ($K)</t>
  </si>
  <si>
    <t xml:space="preserve">Net interest income ($K)</t>
  </si>
  <si>
    <t xml:space="preserve">Rate-sensitive fee income (mortgage banking) ($K)</t>
  </si>
  <si>
    <t xml:space="preserve">Net income ($K)</t>
  </si>
  <si>
    <t xml:space="preserve">noninterest income other</t>
  </si>
  <si>
    <t xml:space="preserve">noninterest expense</t>
  </si>
  <si>
    <t xml:space="preserve">y1 or y2</t>
  </si>
  <si>
    <t xml:space="preserve">NII change vs. base ($K)</t>
  </si>
  <si>
    <t xml:space="preserve">Fair value ($K)</t>
  </si>
  <si>
    <t xml:space="preserve">internal or ncua_test</t>
  </si>
  <si>
    <t xml:space="preserve">Base NEV ($K)</t>
  </si>
  <si>
    <t xml:space="preserve">Base NEV / asset fair value</t>
  </si>
  <si>
    <t xml:space="preserve">NEV after +300bp ($K)</t>
  </si>
  <si>
    <t xml:space="preserve">Post-shock NEV / post-shock asset fair value</t>
  </si>
  <si>
    <t xml:space="preserve">afs fair value model</t>
  </si>
  <si>
    <t xml:space="preserve">Post-shock NEV / base NEV - 1</t>
  </si>
  <si>
    <t xml:space="preserve">row key</t>
  </si>
  <si>
    <t xml:space="preserve">Assumption identifier</t>
  </si>
  <si>
    <t xml:space="preserve">Unit</t>
  </si>
  <si>
    <t xml:space="preserve">Last ALCO review</t>
  </si>
  <si>
    <t xml:space="preserve">Owner (role)</t>
  </si>
  <si>
    <t xml:space="preserve">Effect on up-rate results vs. evidence</t>
  </si>
  <si>
    <t xml:space="preserve">Effect on down-rate results vs. evidence</t>
  </si>
  <si>
    <t xml:space="preserve">Low end of plausible range</t>
  </si>
  <si>
    <t xml:space="preserve">High end of plausible range</t>
  </si>
  <si>
    <t xml:space="preserve">Low assumption value</t>
  </si>
  <si>
    <t xml:space="preserve">High assumption value</t>
  </si>
  <si>
    <t xml:space="preserve">+300 Year 1 NII change at low value</t>
  </si>
  <si>
    <t xml:space="preserve">+300 Year 1 NII change at high value</t>
  </si>
  <si>
    <t xml:space="preserve">+300 NEV change at low value</t>
  </si>
  <si>
    <t xml:space="preserve">+300 NEV change at high value</t>
  </si>
  <si>
    <t xml:space="preserve">base value</t>
  </si>
  <si>
    <t xml:space="preserve">nii y1 plus300 base</t>
  </si>
  <si>
    <t xml:space="preserve">nev plus300 base</t>
  </si>
  <si>
    <t xml:space="preserve">ncua ratio low</t>
  </si>
  <si>
    <t xml:space="preserve">ncua ratio high</t>
  </si>
  <si>
    <t xml:space="preserve">ncua ratio base</t>
  </si>
  <si>
    <t xml:space="preserve">nev base low</t>
  </si>
  <si>
    <t xml:space="preserve">nev base high</t>
  </si>
  <si>
    <t xml:space="preserve">Absolute NII swing across the range</t>
  </si>
  <si>
    <t xml:space="preserve">Absolute NEV swing across the range</t>
  </si>
  <si>
    <t xml:space="preserve">Change in the +300 NEV result per $100M of the product ($K)</t>
  </si>
  <si>
    <t xml:space="preserve">Change in the +300 Year 1 NII change per $100M ($K)</t>
  </si>
  <si>
    <t xml:space="preserve">nii y1 base per 100m</t>
  </si>
  <si>
    <t xml:space="preserve">nev base per 100m</t>
  </si>
  <si>
    <t xml:space="preserve">funding assumption</t>
  </si>
  <si>
    <t xml:space="preserve">Metric identifier (metric_registry)</t>
  </si>
  <si>
    <t xml:space="preserve">Limit (decimal; days for survival horizon)</t>
  </si>
  <si>
    <t xml:space="preserve">max_decline, min or max</t>
  </si>
  <si>
    <t xml:space="preserve">Utilization that triggers Watch</t>
  </si>
  <si>
    <t xml:space="preserve">Board approval date</t>
  </si>
  <si>
    <t xml:space="preserve">Notes</t>
  </si>
  <si>
    <t xml:space="preserve">Helper: metric found in metric_registry</t>
  </si>
  <si>
    <t xml:space="preserve">Helper: scenario exists</t>
  </si>
  <si>
    <t xml:space="preserve">Live current value (metric_values)</t>
  </si>
  <si>
    <t xml:space="preserve">Live utilization of the limit</t>
  </si>
  <si>
    <t xml:space="preserve">On track, At risk, Off track, Complete, Not started (initiatives) / Within limit, Watch, Breach (limits)</t>
  </si>
  <si>
    <t xml:space="preserve">Liquidity source identifier</t>
  </si>
  <si>
    <t xml:space="preserve">Gross amount available ($K)</t>
  </si>
  <si>
    <t xml:space="preserve">Haircut (decimal)</t>
  </si>
  <si>
    <t xml:space="preserve">Encumbered ($K)</t>
  </si>
  <si>
    <t xml:space="preserve">y = contingent (borrowing capacity); n = on balance sheet</t>
  </si>
  <si>
    <t xml:space="preserve">Days to access</t>
  </si>
  <si>
    <t xml:space="preserve">Amount x (1 - haircut) - encumbered ($K)</t>
  </si>
  <si>
    <t xml:space="preserve">Stress horizon (days)</t>
  </si>
  <si>
    <t xml:space="preserve">Cumulative runoff / draw / reduction rate at the horizon</t>
  </si>
  <si>
    <t xml:space="preserve">base amount</t>
  </si>
  <si>
    <t xml:space="preserve">Runoff rate x base amount ($K)</t>
  </si>
  <si>
    <t xml:space="preserve">Net worth ($K)</t>
  </si>
  <si>
    <t xml:space="preserve">Net worth ratio (four-quarter average method)</t>
  </si>
  <si>
    <t xml:space="preserve">CCULR elected (y/n)</t>
  </si>
  <si>
    <t xml:space="preserve">Risk-based capital ratio (illustrative estimate)</t>
  </si>
  <si>
    <t xml:space="preserve">Accumulated other comprehensive income ($K)</t>
  </si>
  <si>
    <t xml:space="preserve">HTM unrealized gain (loss), modeled ($K)</t>
  </si>
  <si>
    <t xml:space="preserve">Member business loans ($K)</t>
  </si>
  <si>
    <t xml:space="preserve">Statutory MBL cap ($K)</t>
  </si>
  <si>
    <t xml:space="preserve">Board NWR target</t>
  </si>
  <si>
    <t xml:space="preserve">Off-balance-sheet commitments ($K)</t>
  </si>
  <si>
    <t xml:space="preserve">Goodwill and intangibles ($K)</t>
  </si>
  <si>
    <t xml:space="preserve">Net worth / quarter-end total assets</t>
  </si>
  <si>
    <t xml:space="preserve">NWR minus 9%</t>
  </si>
  <si>
    <t xml:space="preserve">NWR minus the board target</t>
  </si>
  <si>
    <t xml:space="preserve">Net worth + AOCI + HTM unrealized ($K)</t>
  </si>
  <si>
    <t xml:space="preserve">MBL balance / cap</t>
  </si>
  <si>
    <t xml:space="preserve">Calendar year (text)</t>
  </si>
  <si>
    <t xml:space="preserve">Debit transactions (modeled)</t>
  </si>
  <si>
    <t xml:space="preserve">Debit purchase volume ($K, modeled)</t>
  </si>
  <si>
    <t xml:space="preserve">Debit interchange ($K)</t>
  </si>
  <si>
    <t xml:space="preserve">Credit card program revenue share ($K, modeled)</t>
  </si>
  <si>
    <t xml:space="preserve">interchange income reported</t>
  </si>
  <si>
    <t xml:space="preserve">avg ticket</t>
  </si>
  <si>
    <t xml:space="preserve">interchange per txn</t>
  </si>
  <si>
    <t xml:space="preserve">regulated current reg ii</t>
  </si>
  <si>
    <t xml:space="preserve">regulated 2023 proposal</t>
  </si>
  <si>
    <t xml:space="preserve">Debit interchange minus the current Regulation II cap ($K)</t>
  </si>
  <si>
    <t xml:space="preserve">Debit interchange minus the 2023 proposal cap ($K)</t>
  </si>
  <si>
    <t xml:space="preserve">Observation date (ISO text)</t>
  </si>
  <si>
    <t xml:space="preserve">Total loans ($K)</t>
  </si>
  <si>
    <t xml:space="preserve">Total shares ($K)</t>
  </si>
  <si>
    <t xml:space="preserve">Employees</t>
  </si>
  <si>
    <t xml:space="preserve">Branches / offices</t>
  </si>
  <si>
    <t xml:space="preserve">Net income year to date ($K)</t>
  </si>
  <si>
    <t xml:space="preserve">NII year to date, ex-giveback ($K)</t>
  </si>
  <si>
    <t xml:space="preserve">ROA, YTD annualized</t>
  </si>
  <si>
    <t xml:space="preserve">NIM, YTD annualized (ex-giveback)</t>
  </si>
  <si>
    <t xml:space="preserve">Net charge-off ratio, YTD annualized</t>
  </si>
  <si>
    <t xml:space="preserve">Cost of funds, YTD annualized</t>
  </si>
  <si>
    <t xml:space="preserve">Loan yield, YTD annualized</t>
  </si>
  <si>
    <t xml:space="preserve">Member Giveback recognized ($K)</t>
  </si>
  <si>
    <t xml:space="preserve">NIM after the giveback (as reported)</t>
  </si>
  <si>
    <t xml:space="preserve">ROA before the giveback</t>
  </si>
  <si>
    <t xml:space="preserve">provision ytd</t>
  </si>
  <si>
    <t xml:space="preserve">nco ytd</t>
  </si>
  <si>
    <t xml:space="preserve">Helper: year x 4 + quarter</t>
  </si>
  <si>
    <t xml:space="preserve">Helper: quarters since the previous row (must be 1)</t>
  </si>
  <si>
    <t xml:space="preserve">industry, cu_5b_20b, arizona or named</t>
  </si>
  <si>
    <t xml:space="preserve">DFCU percentile in the peer set (not computed)</t>
  </si>
  <si>
    <t xml:space="preserve">Competitor</t>
  </si>
  <si>
    <t xml:space="preserve">Arizona members</t>
  </si>
  <si>
    <t xml:space="preserve">Arizona branches</t>
  </si>
  <si>
    <t xml:space="preserve">Money market rate</t>
  </si>
  <si>
    <t xml:space="preserve">12-month certificate rate</t>
  </si>
  <si>
    <t xml:space="preserve">Auto loan rate</t>
  </si>
  <si>
    <t xml:space="preserve">HELOC rate</t>
  </si>
  <si>
    <t xml:space="preserve">total members</t>
  </si>
  <si>
    <t xml:space="preserve">End of the projection window</t>
  </si>
  <si>
    <t xml:space="preserve">Projected NII, constant balance sheet ($K)</t>
  </si>
  <si>
    <t xml:space="preserve">Actual NII ex-giveback ($K)</t>
  </si>
  <si>
    <t xml:space="preserve">Quarters in the window</t>
  </si>
  <si>
    <t xml:space="preserve">Explanation</t>
  </si>
  <si>
    <t xml:space="preserve">projected nii growth adj</t>
  </si>
  <si>
    <t xml:space="preserve">start period</t>
  </si>
  <si>
    <t xml:space="preserve">Projected / actual - 1</t>
  </si>
  <si>
    <t xml:space="preserve">Growth-adjusted projected / actual - 1</t>
  </si>
  <si>
    <t xml:space="preserve">Rate cycle window</t>
  </si>
  <si>
    <t xml:space="preserve">Change in effective fed funds (decimal)</t>
  </si>
  <si>
    <t xml:space="preserve">Change in product rate</t>
  </si>
  <si>
    <t xml:space="preserve">model beta</t>
  </si>
  <si>
    <t xml:space="preserve">Initiative id</t>
  </si>
  <si>
    <t xml:space="preserve">grow, give, deploy or fortify</t>
  </si>
  <si>
    <t xml:space="preserve">Start date</t>
  </si>
  <si>
    <t xml:space="preserve">End date</t>
  </si>
  <si>
    <t xml:space="preserve">KPI identifier</t>
  </si>
  <si>
    <t xml:space="preserve">KPI baseline</t>
  </si>
  <si>
    <t xml:space="preserve">KPI target</t>
  </si>
  <si>
    <t xml:space="preserve">KPI latest actual</t>
  </si>
  <si>
    <t xml:space="preserve">Loan impact at run rate ($K)</t>
  </si>
  <si>
    <t xml:space="preserve">Deposit impact ($K)</t>
  </si>
  <si>
    <t xml:space="preserve">Annual fee impact ($K)</t>
  </si>
  <si>
    <t xml:space="preserve">Annual opex impact ($K)</t>
  </si>
  <si>
    <t xml:space="preserve">Capital expenditure ($K)</t>
  </si>
  <si>
    <t xml:space="preserve">Risk tags (pipe-separated)</t>
  </si>
  <si>
    <t xml:space="preserve">Plan variant</t>
  </si>
  <si>
    <t xml:space="preserve">Sandbox NEV Test class</t>
  </si>
  <si>
    <t xml:space="preserve">securities book</t>
  </si>
  <si>
    <t xml:space="preserve">durbin impact</t>
  </si>
  <si>
    <t xml:space="preserve">nev test ratio</t>
  </si>
  <si>
    <t xml:space="preserve">nev test sensitivity</t>
  </si>
  <si>
    <t xml:space="preserve">asset growth</t>
  </si>
  <si>
    <t xml:space="preserve">capital target</t>
  </si>
  <si>
    <t xml:space="preserve">horizon years</t>
  </si>
  <si>
    <t xml:space="preserve">max annual giveback</t>
  </si>
  <si>
    <t xml:space="preserve">Market metric</t>
  </si>
  <si>
    <t xml:space="preserve">Geography</t>
  </si>
  <si>
    <t xml:space="preserve">ALCO decision</t>
  </si>
  <si>
    <t xml:space="preserve">Rationale</t>
  </si>
  <si>
    <t xml:space="preserve">Due date</t>
  </si>
  <si>
    <t xml:space="preserve">Related scenario</t>
  </si>
  <si>
    <t xml:space="preserve">source_id</t>
  </si>
  <si>
    <t xml:space="preserve">url</t>
  </si>
  <si>
    <t xml:space="preserve">used_in</t>
  </si>
  <si>
    <t xml:space="preserve">S1</t>
  </si>
  <si>
    <t xml:space="preserve">NCUA 5300 call report, June 30, 2026 (NCUSO financials page)</t>
  </si>
  <si>
    <t xml:space="preserve">https://ncuso.org/credit-union/68713/financials/</t>
  </si>
  <si>
    <t xml:space="preserve">balance_sheet, loans, deposits, income_statement, capital, history</t>
  </si>
  <si>
    <t xml:space="preserve">S2</t>
  </si>
  <si>
    <t xml:space="preserve">NCUSO institution summary (Q1 2026 figures)</t>
  </si>
  <si>
    <t xml:space="preserve">https://ncuso.org/credit-union/68713/</t>
  </si>
  <si>
    <t xml:space="preserve">history, balance_sheet</t>
  </si>
  <si>
    <t xml:space="preserve">S3</t>
  </si>
  <si>
    <t xml:space="preserve">Desert Financial 2025 Annual Report (audited FY2025, FY2024)</t>
  </si>
  <si>
    <t xml:space="preserve">https://www.desertfinancial.com/globalassets/files/campaigns/annual-reports/2025-annual-report.pdf</t>
  </si>
  <si>
    <t xml:space="preserve">balance_sheet, income_statement, history, strategic_plan, initiatives</t>
  </si>
  <si>
    <t xml:space="preserve">S4</t>
  </si>
  <si>
    <t xml:space="preserve">Desert Financial annual report archive (2021 and 2023 annual reports)</t>
  </si>
  <si>
    <t xml:space="preserve">https://www.desertfinancial.com/en/who-we-are/our-story/annual-report/</t>
  </si>
  <si>
    <t xml:space="preserve">balance_sheet, income_statement, history</t>
  </si>
  <si>
    <t xml:space="preserve">S5</t>
  </si>
  <si>
    <t xml:space="preserve">Member Giveback Bonus press release, Feb 2, 2026</t>
  </si>
  <si>
    <t xml:space="preserve">https://www.prnewswire.com/news-releases/desert-financial-members-receive-16m-in-giveback-bonuses-302676757.html</t>
  </si>
  <si>
    <t xml:space="preserve">income_statement, strategic_plan</t>
  </si>
  <si>
    <t xml:space="preserve">S6</t>
  </si>
  <si>
    <t xml:space="preserve">CreditUnionsOnline financial report (CCULR election; Q1 2024 figures)</t>
  </si>
  <si>
    <t xml:space="preserve">https://www.creditunionsonline.com/credit-union-financials-278.html</t>
  </si>
  <si>
    <t xml:space="preserve">capital, notes</t>
  </si>
  <si>
    <t xml:space="preserve">S7</t>
  </si>
  <si>
    <t xml:space="preserve">U.S. Treasury daily par yield curve rates</t>
  </si>
  <si>
    <t xml:space="preserve">https://home.treasury.gov/resource-center/data-chart-center/interest-rates/TextView?type=daily_treasury_yield_curve</t>
  </si>
  <si>
    <t xml:space="preserve">rates_history, rate_scenarios</t>
  </si>
  <si>
    <t xml:space="preserve">S8</t>
  </si>
  <si>
    <t xml:space="preserve">FOMC decisions (Sept 2026 hike, Schwab summary)</t>
  </si>
  <si>
    <t xml:space="preserve">https://www.schwab.com/learn/story/fomc-meeting</t>
  </si>
  <si>
    <t xml:space="preserve">S9</t>
  </si>
  <si>
    <t xml:space="preserve">Fed meeting and prime rate history (PrimeRates)</t>
  </si>
  <si>
    <t xml:space="preserve">https://primerates.com/primerate/fed-meeting-schedule/</t>
  </si>
  <si>
    <t xml:space="preserve">S10</t>
  </si>
  <si>
    <t xml:space="preserve">NCUA Q2 2026 credit union system performance</t>
  </si>
  <si>
    <t xml:space="preserve">https://ncua.gov/newsroom/press-release/2026/ncua-releases-second-quarter-2026-credit-union-system-performance-data</t>
  </si>
  <si>
    <t xml:space="preserve">S11</t>
  </si>
  <si>
    <t xml:space="preserve">NCUA Quarterly Credit Union Data Summary 2026 Q2</t>
  </si>
  <si>
    <t xml:space="preserve">https://espanol.ncua.gov/files/publications/analysis/quarterly-data-summary-2026-Q2.pdf</t>
  </si>
  <si>
    <t xml:space="preserve">S12</t>
  </si>
  <si>
    <t xml:space="preserve">NCUA Supervisory Letter 22-01 (IRR framework, NEV Test)</t>
  </si>
  <si>
    <t xml:space="preserve">https://ncua.gov/regulation-supervision/letters-credit-unions-other-guidance/updates-interest-rate-risk-supervisory-framework-0</t>
  </si>
  <si>
    <t xml:space="preserve">nev_test, meta, policy_limits</t>
  </si>
  <si>
    <t xml:space="preserve">S13</t>
  </si>
  <si>
    <t xml:space="preserve">12 CFR 702.102 capital classification</t>
  </si>
  <si>
    <t xml:space="preserve">https://www.ecfr.gov/current/title-12/chapter-VII/subchapter-A/part-702/subpart-A/section-702.102</t>
  </si>
  <si>
    <t xml:space="preserve">capital, meta</t>
  </si>
  <si>
    <t xml:space="preserve">S14</t>
  </si>
  <si>
    <t xml:space="preserve">NCUA capital planning and stress testing resources</t>
  </si>
  <si>
    <t xml:space="preserve">https://ncua.gov/regulation-supervision/regulatory-compliance-resources/capital-planning-stress-testing-resources</t>
  </si>
  <si>
    <t xml:space="preserve">meta, initiatives</t>
  </si>
  <si>
    <t xml:space="preserve">S15</t>
  </si>
  <si>
    <t xml:space="preserve">Durbin / Regulation II status (ABA one-pager, June 2026)</t>
  </si>
  <si>
    <t xml:space="preserve">https://www.aba.com/-/media/documents/advocacy/what-we-stand-for/issue-backgrounders/debit-and-credit-card-interchange-one-pager.pdf</t>
  </si>
  <si>
    <t xml:space="preserve">S16</t>
  </si>
  <si>
    <t xml:space="preserve">America First Credit Union Arizona expansion (July 29, 2026)</t>
  </si>
  <si>
    <t xml:space="preserve">competitors, peers</t>
  </si>
  <si>
    <t xml:space="preserve">S17</t>
  </si>
  <si>
    <t xml:space="preserve">Largest U.S. credit unions (Bankrate)</t>
  </si>
  <si>
    <t xml:space="preserve">S18</t>
  </si>
  <si>
    <t xml:space="preserve">Arizona credit unions of the year (AZ Big Media)</t>
  </si>
  <si>
    <t xml:space="preserve">S19</t>
  </si>
  <si>
    <t xml:space="preserve">10-year Treasury at 19-year high (CNBC, Sept 26, 2026)</t>
  </si>
  <si>
    <t xml:space="preserve">S20</t>
  </si>
  <si>
    <t xml:space="preserve">Mortgage rates (Yahoo Finance / Mortgage News Daily, Sept 2026)</t>
  </si>
  <si>
    <t xml:space="preserve">market, rates_history</t>
  </si>
  <si>
    <t xml:space="preserve">S21</t>
  </si>
  <si>
    <t xml:space="preserve">Phoenix 2026 midyear outlook (CBRE)</t>
  </si>
  <si>
    <t xml:space="preserve">S22</t>
  </si>
  <si>
    <t xml:space="preserve">Phoenix market data (Mogul, Sunbelt Pulse, PhoenixHomes)</t>
  </si>
  <si>
    <t xml:space="preserve">S23</t>
  </si>
  <si>
    <t xml:space="preserve">CreditUnions.com CU Quick Facts (Sept 30, 2021)</t>
  </si>
  <si>
    <t xml:space="preserve">https://creditunions.com/features/desert-financial-leads-with-heart-to-conquer-new-markets-2/</t>
  </si>
  <si>
    <t xml:space="preserve">S24</t>
  </si>
  <si>
    <t xml:space="preserve">DFCU ALM model v1.0 (this workbook's Python model)</t>
  </si>
  <si>
    <t xml:space="preserve">model/ folder delivered with this workbook</t>
  </si>
  <si>
    <t xml:space="preserve">all modeled tabs</t>
  </si>
  <si>
    <t xml:space="preserve">note_id</t>
  </si>
  <si>
    <t xml:space="preserve">topic</t>
  </si>
  <si>
    <t xml:space="preserve">Scope</t>
  </si>
  <si>
    <t xml:space="preserve">Built for the Desert Financial ALM Command Center build prompt (section 6 data contract). All section 6 tabs are present with the contract columns; extra columns and tabs are additive.</t>
  </si>
  <si>
    <t xml:space="preserve">Reconciliation</t>
  </si>
  <si>
    <t xml:space="preserve">June 30, 2026 balances tie to the call report to the dollar (total assets $9,887,845,027; loans $5,305,440,524; shares $8,855,600,325; AFS fair value $1,958,274,313; HTM $1,348,403,710; net worth $1,161,628,104). Year-end balance sheets and income statements 2020-2025 tie to the audited totals.</t>
  </si>
  <si>
    <t xml:space="preserve">Transcription adjustments</t>
  </si>
  <si>
    <t xml:space="preserve">2021 annual report: 'Other miscellaneous income' set to $13,460,056 (printed 13,406,056) and 2021 prepaid and other assets to $62,288,362 (printed 62,282,362) so the components tie to the audited totals (digit transpositions).</t>
  </si>
  <si>
    <t xml:space="preserve">Member Giveback</t>
  </si>
  <si>
    <t xml:space="preserve">Recognized within dividends in Q1 when paid (inferred). Evidence: Q1 2026 net income $21.2M vs Q2 $33.6M with similar provisions; ex-giveback dividend cost falls from 1.78% (2025) to 1.51% (H1 2026) after 75bp of late-2025 cuts, while including it would imply a rising cost. Alternative: a year-end accrual would raise the H1 2026 regular deposit cost to ~1.87% and lower the NII run rate by ~$32M a year. Workbook NII excludes the giveback; history.nim_ncua_basis shows the as-reported basis.</t>
  </si>
  <si>
    <t xml:space="preserve">NWR method</t>
  </si>
  <si>
    <t xml:space="preserve">The reported 12.1% (June 2026) and 12.01% (March 2026 and Dec 2025) match net worth divided by the average of the last four quarter-end total assets; quarter-end ratios are 11.75%, 11.52% and 11.61%. 2025 interior quarter assets were derived from this method.</t>
  </si>
  <si>
    <t xml:space="preserve">Unreconciled third-party points</t>
  </si>
  <si>
    <t xml:space="preserve">CreditUnionsOnline shows net worth of $999.2M (NWR 11.57%) at March 31, 2024, which would imply Q1 2024 net income of ~$39M. That conflicts with Q1 giveback recognition and is not used. A third-party Q3 2025 NWR of 11.25% is also not used.</t>
  </si>
  <si>
    <t xml:space="preserve">2023 equity adjustment</t>
  </si>
  <si>
    <t xml:space="preserve">Year-end 2023 net worth is $19.2M below 2022 net worth plus 2023 net income (CECL adoption charged to undivided earnings). Modeled as a Q1 2023 adjustment; $6.0M of it is assumed to be the allowance increase for net charge-off math.</t>
  </si>
  <si>
    <t xml:space="preserve">Quarterly income</t>
  </si>
  <si>
    <t xml:space="preserve">Interior quarters are the smoothest quarterly path (minimum second difference) that reproduces each audited annual total and the H1 2026 total; Q1 2026 is pinned to the reported $21.2M net income and $6.2M provision. Visa gains and other one-time items are placed in a single quarter (2024 in Q2, after Visa's exchange offer).</t>
  </si>
  <si>
    <t xml:space="preserve">Balances and counts by call report line are public. Splits (HELOC 72% / fixed home equity 28%; first mortgages 60% fixed / 40% hybrid ARM; CRE 85% fixed-to-reset / 15% floating; unsecured 60% fixed / 40% lines) and portfolio yields are modeled. Call report rates look like new-volume rates; portfolio yields are calibrated so the run-rate loan yield (6.37%) sits just above the realized H1 2026 yield (6.32%). Credit allocations (delinquency, NCO, ACL) tie to call report totals.</t>
  </si>
  <si>
    <t xml:space="preserve">Deposits</t>
  </si>
  <si>
    <t xml:space="preserve">Product totals are public; business balances, money market tiers, the certificate ladder and every rate and behavior are modeled. The June 2026 cost of shares is calibrated to 1.48% (H1 2026 realized ex-giveback 1.51%).</t>
  </si>
  <si>
    <t xml:space="preserve">AFS and HTM totals are public. Composition is modeled; book yields are calibrated to H1 2026 investment income. Group spreads plus a common add-on reproduce the reported AFS fair value (add-on -0.0889%); HTM fair value (unrealized loss $166.0M) is a model estimate.</t>
  </si>
  <si>
    <t xml:space="preserve">NII simulation</t>
  </si>
  <si>
    <t xml:space="preserve">Constant balance sheet for 24 months: runoff replaced like-for-like at scenario offering rates; non-maturity shares reprice with betas, lags and floors; money market and savings migrate to 12-month certificates in rising paths; certificates reprice at maturity. Net income adds H1 2026 run-rate fees and opex (3% inflation), NCO at 0.36% (with scenario multipliers and reserve builds) and a $16M giveback each February.</t>
  </si>
  <si>
    <t xml:space="preserve">Earnings level</t>
  </si>
  <si>
    <t xml:space="preserve">Base-case Year 1 net income (~$141.5M, ROA ~1.4%) reflects the June 2026 run rate: Q2 2026 net income annualizes to $134M, and H1 2026 NII ex-giveback annualizes to $311M before growth to the June 30 balance sheet. The constant balance sheet adds no growth; opex grows 3% a year.</t>
  </si>
  <si>
    <t xml:space="preserve">NEV</t>
  </si>
  <si>
    <t xml:space="preserve">Cash flows discounted on a bootstrapped Treasury zero curve plus constant spreads: loans at spreads that price a new loan at par; certificates near the offering curve; non-maturity shares as decaying balances with rate plus servicing cost at Treasury + 35bp (internal). The NCUA method replaces non-maturity share values with standardized premiums (1% base, 5% after +300bp; an approximation). MSRs gain value when rates rise; a $60M fixed-rate pipeline is the off-balance item. The allowance is carried at book.</t>
  </si>
  <si>
    <t xml:space="preserve">Scenarios</t>
  </si>
  <si>
    <t xml:space="preserve">Instantaneous shocks and twists apply at month 0 and are held; ramps phase in over 12 months; narratives follow the definitions in the scenarios tab. q3_actual moves the June 30 curve to the Sept 29, 2026 curve (10-year +82bp, fed funds +25bp). rate_scenarios month 0 is the scenario starting level.</t>
  </si>
  <si>
    <t xml:space="preserve">Repricing gap</t>
  </si>
  <si>
    <t xml:space="preserve">Non-maturity shares use a beta-weighted hybrid: the up-beta share reprices in 0-3 months (3-12 months if the lag exceeds two months); the core share is spread by decay. AFS is carried at fair value; reset loans are bucketed at their next reset.</t>
  </si>
  <si>
    <t xml:space="preserve">NEV Test history</t>
  </si>
  <si>
    <t xml:space="preserve">Eight quarters are reconstructed by scaling the June 2026 mix to each quarter's balances, repricing to that quarter's curve and calibrating run-rate yields and costs. AFS spreads are calibrated to reported fair values at Dec 2024, Dec 2025 and June 2026 and interpolated between.</t>
  </si>
  <si>
    <t xml:space="preserve">Backtest</t>
  </si>
  <si>
    <t xml:space="preserve">Constant-balance-sheet projections from reconstructed starting books with the actual rate path. Differences mostly reflect balance growth and mix changes not in a constant-balance projection.</t>
  </si>
  <si>
    <t xml:space="preserve">Realized betas</t>
  </si>
  <si>
    <t xml:space="preserve">All-shares realized beta: 0.25% cost (2021) to 1.78% (2024) as fed funds averaged 0.08% to 5.19%; then 1.51% in H1 2026 at 3.63%. Product-level betas are estimates (the 5300 does not report product rates).</t>
  </si>
  <si>
    <t xml:space="preserve">Rates</t>
  </si>
  <si>
    <t xml:space="preserve">2026 Treasury curves come from the Treasury daily par yield curve. Quarter-end curves before 2025 (except March 31, 2025) are approximate levels compiled without live access (provenance modeled). Effective fed funds = upper bound - 12bp; SOFR = EFFR - 2bp; prime = upper bound + 3%.</t>
  </si>
  <si>
    <t xml:space="preserve">Liquidity</t>
  </si>
  <si>
    <t xml:space="preserve">Cash and securities are public; contingent lines (FHLB, discount window, CLF, corporate, brokered, participations) and stress rates are hypothetical. Survival horizon is computed live in summary block D.</t>
  </si>
  <si>
    <t xml:space="preserve">Capital</t>
  </si>
  <si>
    <t xml:space="preserve">MBL balance = commercial real estate plus commercial and industrial loans (commercial share interpolated before 2026). The RBC ratio is an illustrative estimate; DFCU elected CCULR, so RBC is not reported.</t>
  </si>
  <si>
    <t xml:space="preserve">Interchange</t>
  </si>
  <si>
    <t xml:space="preserve">Interchange income is audited. The debit split, transactions, volume and credit card revenue share are modeled. Durbin: current Reg II (21c + 1c fraud + 5bp) and the 2023 proposal (14.4c + 1.3c + 4bp).</t>
  </si>
  <si>
    <t xml:space="preserve">Strategy</t>
  </si>
  <si>
    <t xml:space="preserve">The strategic plan (2026-2030), initiatives, plan variants and ALCO log are hypothetical and built on DFCU's published priorities. plan_scenarios come from the section 7 sandbox engine (annual steps; growth priced at new-volume rates; legacy deposit costs drift toward marginal pricing at 12% of the gap a year; Durbin from the July after year-end assets reach $10B).</t>
  </si>
  <si>
    <t xml:space="preserve">Peers</t>
  </si>
  <si>
    <t xml:space="preserve">Industry rows are NCUA public data. cu_5b_20b rows are placeholders (hypothetical) to replace with an NCUA custom peer query. Competitor deposit and loan rates were not collected.</t>
  </si>
  <si>
    <t xml:space="preserve">Reproduce</t>
  </si>
  <si>
    <t xml:space="preserve">Python 3 with numpy, pandas, scipy and openpyxl: run model/build_all.py, then model/build_workbook.py; recalculate formulas in Excel or LibreOffice.</t>
  </si>
</sst>
</file>

<file path=xl/styles.xml><?xml version="1.0" encoding="utf-8"?>
<styleSheet xmlns="http://schemas.openxmlformats.org/spreadsheetml/2006/main">
  <numFmts count="10">
    <numFmt numFmtId="164" formatCode="General"/>
    <numFmt numFmtId="165" formatCode="#,##0;\(#,##0\);\-"/>
    <numFmt numFmtId="166" formatCode="0.00%;\(0.00%\);\-"/>
    <numFmt numFmtId="167" formatCode="0.000%;\(0.000%\);\-"/>
    <numFmt numFmtId="168" formatCode="0.00;\(0.00\);\-"/>
    <numFmt numFmtId="169" formatCode="#,##0.0;\(#,##0.0\);\-"/>
    <numFmt numFmtId="170" formatCode="@"/>
    <numFmt numFmtId="171" formatCode="0.000;\(0.000\);\-"/>
    <numFmt numFmtId="172" formatCode="0.00\x;\(0.00&quot;x)&quot;;\-"/>
    <numFmt numFmtId="173" formatCode="0.0000;\(0.0000\);\-"/>
  </numFmts>
  <fonts count="13">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10"/>
      <color rgb="FFC83E3A"/>
      <name val="Arial"/>
      <family val="0"/>
      <charset val="1"/>
    </font>
    <font>
      <b val="true"/>
      <sz val="10"/>
      <color rgb="FF000000"/>
      <name val="Arial"/>
      <family val="0"/>
      <charset val="1"/>
    </font>
    <font>
      <sz val="10"/>
      <color rgb="FF000000"/>
      <name val="Arial"/>
      <family val="0"/>
      <charset val="1"/>
    </font>
    <font>
      <b val="true"/>
      <sz val="11"/>
      <color rgb="FF1F2A44"/>
      <name val="Arial"/>
      <family val="0"/>
      <charset val="1"/>
    </font>
    <font>
      <sz val="10"/>
      <color rgb="FF008000"/>
      <name val="Arial"/>
      <family val="0"/>
      <charset val="1"/>
    </font>
    <font>
      <b val="true"/>
      <sz val="10"/>
      <color rgb="FFFFFFFF"/>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2A44"/>
        <bgColor rgb="FF003366"/>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8" fontId="11" fillId="3" borderId="0" xfId="0" applyFont="true" applyBorder="fals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70"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bgColor rgb="FFD5F0E0"/>
        </patternFill>
      </fill>
    </dxf>
    <dxf>
      <fill>
        <patternFill>
          <bgColor rgb="FFF8D4D3"/>
        </patternFill>
      </fill>
    </dxf>
    <dxf>
      <fill>
        <patternFill>
          <bgColor rgb="FFFCE8C3"/>
        </patternFill>
      </fill>
    </dxf>
    <dxf>
      <fill>
        <patternFill patternType="solid">
          <fgColor rgb="FF1F2A4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D5F0E0"/>
          <bgColor rgb="FF000000"/>
        </patternFill>
      </fill>
    </dxf>
    <dxf>
      <fill>
        <patternFill patternType="solid">
          <fgColor rgb="FFF8D4D3"/>
          <bgColor rgb="FF000000"/>
        </patternFill>
      </fill>
    </dxf>
    <dxf>
      <fill>
        <patternFill patternType="solid">
          <fgColor rgb="FFFCE8C3"/>
          <bgColor rgb="FF000000"/>
        </patternFill>
      </fill>
    </dxf>
    <dxf>
      <fill>
        <patternFill patternType="solid">
          <fgColor rgb="FF008000"/>
          <bgColor rgb="FF000000"/>
        </patternFill>
      </fill>
    </dxf>
    <dxf>
      <fill>
        <patternFill>
          <bgColor rgb="FFE6E8EC"/>
        </patternFill>
      </fill>
    </dxf>
    <dxf>
      <fill>
        <patternFill patternType="solid">
          <fgColor rgb="FFE6E8E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83E3A"/>
      <rgbColor rgb="FFFCE8C3"/>
      <rgbColor rgb="FFE6E8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5F0E0"/>
      <rgbColor rgb="FFFFFF99"/>
      <rgbColor rgb="FF99CCFF"/>
      <rgbColor rgb="FFFF99CC"/>
      <rgbColor rgb="FFCC99FF"/>
      <rgbColor rgb="FFF8D4D3"/>
      <rgbColor rgb="FF3366FF"/>
      <rgbColor rgb="FF33CCCC"/>
      <rgbColor rgb="FF99CC00"/>
      <rgbColor rgb="FFFFCC00"/>
      <rgbColor rgb="FFFF9900"/>
      <rgbColor rgb="FFFF6600"/>
      <rgbColor rgb="FF666699"/>
      <rgbColor rgb="FF9AA6BF"/>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6.xml"/><Relationship Id="rId3" Type="http://schemas.openxmlformats.org/officeDocument/2006/relationships/vmlDrawing" Target="../drawings/vmlDrawing6.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7.xml"/><Relationship Id="rId3" Type="http://schemas.openxmlformats.org/officeDocument/2006/relationships/vmlDrawing" Target="../drawings/vmlDrawing7.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8.xml"/><Relationship Id="rId3" Type="http://schemas.openxmlformats.org/officeDocument/2006/relationships/vmlDrawing" Target="../drawings/vmlDrawing8.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9.xml"/><Relationship Id="rId3" Type="http://schemas.openxmlformats.org/officeDocument/2006/relationships/vmlDrawing" Target="../drawings/vmlDrawing9.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0.xml"/><Relationship Id="rId3" Type="http://schemas.openxmlformats.org/officeDocument/2006/relationships/vmlDrawing" Target="../drawings/vmlDrawing10.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1.xml"/><Relationship Id="rId3" Type="http://schemas.openxmlformats.org/officeDocument/2006/relationships/vmlDrawing" Target="../drawings/vmlDrawing11.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2.xml"/><Relationship Id="rId3" Type="http://schemas.openxmlformats.org/officeDocument/2006/relationships/vmlDrawing" Target="../drawings/vmlDrawing12.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3.xml"/><Relationship Id="rId3" Type="http://schemas.openxmlformats.org/officeDocument/2006/relationships/vmlDrawing" Target="../drawings/vmlDrawing13.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4.xml"/><Relationship Id="rId3" Type="http://schemas.openxmlformats.org/officeDocument/2006/relationships/vmlDrawing" Target="../drawings/vmlDrawing14.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5.xml"/><Relationship Id="rId3" Type="http://schemas.openxmlformats.org/officeDocument/2006/relationships/vmlDrawing" Target="../drawings/vmlDrawing1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16.xml"/><Relationship Id="rId3" Type="http://schemas.openxmlformats.org/officeDocument/2006/relationships/vmlDrawing" Target="../drawings/vmlDrawing1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17.xml"/><Relationship Id="rId3" Type="http://schemas.openxmlformats.org/officeDocument/2006/relationships/vmlDrawing" Target="../drawings/vmlDrawing17.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18.xml"/><Relationship Id="rId3" Type="http://schemas.openxmlformats.org/officeDocument/2006/relationships/vmlDrawing" Target="../drawings/vmlDrawing18.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19.xml"/><Relationship Id="rId3" Type="http://schemas.openxmlformats.org/officeDocument/2006/relationships/vmlDrawing" Target="../drawings/vmlDrawing19.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0.xml"/><Relationship Id="rId3" Type="http://schemas.openxmlformats.org/officeDocument/2006/relationships/vmlDrawing" Target="../drawings/vmlDrawing20.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1.xml"/><Relationship Id="rId3" Type="http://schemas.openxmlformats.org/officeDocument/2006/relationships/vmlDrawing" Target="../drawings/vmlDrawing21.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2.xml"/><Relationship Id="rId3" Type="http://schemas.openxmlformats.org/officeDocument/2006/relationships/vmlDrawing" Target="../drawings/vmlDrawing22.vml"/>
</Relationships>
</file>

<file path=xl/worksheets/_rels/sheet26.xml.rels><?xml version="1.0" encoding="UTF-8"?>
<Relationships xmlns="http://schemas.openxmlformats.org/package/2006/relationships"><Relationship Id="rId1" Type="http://schemas.openxmlformats.org/officeDocument/2006/relationships/drawing" Target="../drawings/drawing23.x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4.xml"/><Relationship Id="rId3" Type="http://schemas.openxmlformats.org/officeDocument/2006/relationships/vmlDrawing" Target="../drawings/vmlDrawing23.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5.xml"/><Relationship Id="rId3" Type="http://schemas.openxmlformats.org/officeDocument/2006/relationships/vmlDrawing" Target="../drawings/vmlDrawing24.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26.xml"/><Relationship Id="rId3" Type="http://schemas.openxmlformats.org/officeDocument/2006/relationships/vmlDrawing" Target="../drawings/vmlDrawing25.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27.xml"/><Relationship Id="rId3" Type="http://schemas.openxmlformats.org/officeDocument/2006/relationships/vmlDrawing" Target="../drawings/vmlDrawing26.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28.xml"/><Relationship Id="rId3" Type="http://schemas.openxmlformats.org/officeDocument/2006/relationships/vmlDrawing" Target="../drawings/vmlDrawing27.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29.xml"/><Relationship Id="rId3" Type="http://schemas.openxmlformats.org/officeDocument/2006/relationships/vmlDrawing" Target="../drawings/vmlDrawing28.vml"/>
</Relationships>
</file>

<file path=xl/worksheets/_rels/sheet33.xml.rels><?xml version="1.0" encoding="UTF-8"?>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0.xml"/><Relationship Id="rId3" Type="http://schemas.openxmlformats.org/officeDocument/2006/relationships/vmlDrawing" Target="../drawings/vmlDrawing29.vml"/>
</Relationships>
</file>

<file path=xl/worksheets/_rels/sheet34.xml.rels><?xml version="1.0" encoding="UTF-8"?>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1.xml"/><Relationship Id="rId3" Type="http://schemas.openxmlformats.org/officeDocument/2006/relationships/vmlDrawing" Target="../drawings/vmlDrawing30.vml"/>
</Relationships>
</file>

<file path=xl/worksheets/_rels/sheet35.xml.rels><?xml version="1.0" encoding="UTF-8"?>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2.xml"/><Relationship Id="rId3" Type="http://schemas.openxmlformats.org/officeDocument/2006/relationships/vmlDrawing" Target="../drawings/vmlDrawing31.vml"/>
</Relationships>
</file>

<file path=xl/worksheets/_rels/sheet36.xml.rels><?xml version="1.0" encoding="UTF-8"?>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3.xml"/><Relationship Id="rId3" Type="http://schemas.openxmlformats.org/officeDocument/2006/relationships/vmlDrawing" Target="../drawings/vmlDrawing32.vml"/>
</Relationships>
</file>

<file path=xl/worksheets/_rels/sheet37.xml.rels><?xml version="1.0" encoding="UTF-8"?>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4.xml"/><Relationship Id="rId3" Type="http://schemas.openxmlformats.org/officeDocument/2006/relationships/vmlDrawing" Target="../drawings/vmlDrawing33.vml"/>
</Relationships>
</file>

<file path=xl/worksheets/_rels/sheet38.xml.rels><?xml version="1.0" encoding="UTF-8"?>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5.xml"/><Relationship Id="rId3" Type="http://schemas.openxmlformats.org/officeDocument/2006/relationships/vmlDrawing" Target="../drawings/vmlDrawing34.vml"/>
</Relationships>
</file>

<file path=xl/worksheets/_rels/sheet39.xml.rels><?xml version="1.0" encoding="UTF-8"?>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36.xml"/><Relationship Id="rId3" Type="http://schemas.openxmlformats.org/officeDocument/2006/relationships/vmlDrawing" Target="../drawings/vmlDrawing35.vml"/>
</Relationships>
</file>

<file path=xl/worksheets/_rels/sheet40.xml.rels><?xml version="1.0" encoding="UTF-8"?>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37.xml"/><Relationship Id="rId3" Type="http://schemas.openxmlformats.org/officeDocument/2006/relationships/vmlDrawing" Target="../drawings/vmlDrawing36.vml"/>
</Relationships>
</file>

<file path=xl/worksheets/_rels/sheet41.xml.rels><?xml version="1.0" encoding="UTF-8"?>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38.xml"/><Relationship Id="rId3" Type="http://schemas.openxmlformats.org/officeDocument/2006/relationships/vmlDrawing" Target="../drawings/vmlDrawing37.vml"/>
</Relationships>
</file>

<file path=xl/worksheets/_rels/sheet42.xml.rels><?xml version="1.0" encoding="UTF-8"?>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39.xml"/><Relationship Id="rId3" Type="http://schemas.openxmlformats.org/officeDocument/2006/relationships/vmlDrawing" Target="../drawings/vmlDrawing38.vml"/>
</Relationships>
</file>

<file path=xl/worksheets/_rels/sheet43.xml.rels><?xml version="1.0" encoding="UTF-8"?>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0.xml"/><Relationship Id="rId3" Type="http://schemas.openxmlformats.org/officeDocument/2006/relationships/vmlDrawing" Target="../drawings/vmlDrawing39.vml"/>
</Relationships>
</file>

<file path=xl/worksheets/_rels/sheet44.xml.rels><?xml version="1.0" encoding="UTF-8"?>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1.xml"/><Relationship Id="rId3" Type="http://schemas.openxmlformats.org/officeDocument/2006/relationships/vmlDrawing" Target="../drawings/vmlDrawing40.vml"/>
</Relationships>
</file>

<file path=xl/worksheets/_rels/sheet45.xml.rels><?xml version="1.0" encoding="UTF-8"?>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2.xml"/><Relationship Id="rId3" Type="http://schemas.openxmlformats.org/officeDocument/2006/relationships/vmlDrawing" Target="../drawings/vmlDrawing41.vml"/>
</Relationships>
</file>

<file path=xl/worksheets/_rels/sheet46.xml.rels><?xml version="1.0" encoding="UTF-8"?>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3.xml"/><Relationship Id="rId3" Type="http://schemas.openxmlformats.org/officeDocument/2006/relationships/vmlDrawing" Target="../drawings/vmlDrawing4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1:D8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22"/>
    <col collapsed="false" customWidth="true" hidden="false" outlineLevel="0" max="4" min="4" style="0" width="110"/>
  </cols>
  <sheetData>
    <row r="1" customFormat="false" ht="17.35" hidden="false" customHeight="false" outlineLevel="0" collapsed="false">
      <c r="B1" s="1" t="s">
        <v>0</v>
      </c>
    </row>
    <row r="2" customFormat="false" ht="15" hidden="false" customHeight="false" outlineLevel="0" collapsed="false">
      <c r="B2" s="2" t="s">
        <v>1</v>
      </c>
    </row>
    <row r="4" customFormat="false" ht="23.85" hidden="false" customHeight="false" outlineLevel="0" collapsed="false">
      <c r="B4" s="3" t="s">
        <v>2</v>
      </c>
      <c r="D4" s="4" t="s">
        <v>3</v>
      </c>
    </row>
    <row r="5" customFormat="false" ht="15" hidden="false" customHeight="false" outlineLevel="0" collapsed="false">
      <c r="B5" s="3" t="s">
        <v>4</v>
      </c>
      <c r="D5" s="4" t="s">
        <v>5</v>
      </c>
    </row>
    <row r="6" customFormat="false" ht="23.85" hidden="false" customHeight="false" outlineLevel="0" collapsed="false">
      <c r="B6" s="3" t="s">
        <v>6</v>
      </c>
      <c r="D6" s="4" t="s">
        <v>7</v>
      </c>
    </row>
    <row r="7" customFormat="false" ht="23.85" hidden="false" customHeight="false" outlineLevel="0" collapsed="false">
      <c r="B7" s="3" t="s">
        <v>8</v>
      </c>
      <c r="D7" s="4" t="s">
        <v>9</v>
      </c>
    </row>
    <row r="8" customFormat="false" ht="35.05" hidden="false" customHeight="false" outlineLevel="0" collapsed="false">
      <c r="B8" s="3" t="s">
        <v>10</v>
      </c>
      <c r="D8" s="4" t="s">
        <v>11</v>
      </c>
    </row>
    <row r="9" customFormat="false" ht="23.85" hidden="false" customHeight="false" outlineLevel="0" collapsed="false">
      <c r="B9" s="3" t="s">
        <v>12</v>
      </c>
      <c r="D9" s="4" t="s">
        <v>13</v>
      </c>
    </row>
    <row r="10" customFormat="false" ht="15" hidden="false" customHeight="false" outlineLevel="0" collapsed="false">
      <c r="B10" s="3" t="s">
        <v>14</v>
      </c>
      <c r="D10" s="4" t="s">
        <v>15</v>
      </c>
    </row>
    <row r="12" customFormat="false" ht="15" hidden="false" customHeight="false" outlineLevel="0" collapsed="false">
      <c r="B12" s="5" t="s">
        <v>16</v>
      </c>
    </row>
    <row r="13" customFormat="false" ht="15" hidden="false" customHeight="false" outlineLevel="0" collapsed="false">
      <c r="B13" s="6" t="s">
        <v>17</v>
      </c>
      <c r="C13" s="7" t="str">
        <f aca="false">checks!$D$74</f>
        <v>Validated</v>
      </c>
      <c r="D13" s="6" t="s">
        <v>18</v>
      </c>
    </row>
    <row r="14" customFormat="false" ht="15" hidden="false" customHeight="false" outlineLevel="0" collapsed="false">
      <c r="B14" s="6" t="s">
        <v>19</v>
      </c>
      <c r="C14" s="8" t="n">
        <f aca="false">summary!$C$39</f>
        <v>9887845.027</v>
      </c>
      <c r="D14" s="6" t="s">
        <v>20</v>
      </c>
    </row>
    <row r="15" customFormat="false" ht="15" hidden="false" customHeight="false" outlineLevel="0" collapsed="false">
      <c r="B15" s="6" t="s">
        <v>21</v>
      </c>
      <c r="C15" s="9" t="n">
        <f aca="false">summary!$C$43</f>
        <v>0.120958211693501</v>
      </c>
      <c r="D15" s="6" t="s">
        <v>22</v>
      </c>
    </row>
    <row r="16" customFormat="false" ht="15" hidden="false" customHeight="false" outlineLevel="0" collapsed="false">
      <c r="B16" s="6" t="s">
        <v>23</v>
      </c>
      <c r="C16" s="9" t="n">
        <f aca="false">summary!$C$42</f>
        <v>0.599105687846182</v>
      </c>
      <c r="D16" s="6" t="s">
        <v>24</v>
      </c>
    </row>
    <row r="17" customFormat="false" ht="15" hidden="false" customHeight="false" outlineLevel="0" collapsed="false">
      <c r="B17" s="6" t="s">
        <v>25</v>
      </c>
      <c r="C17" s="9" t="n">
        <f aca="false">summary!$C$45</f>
        <v>0.218487825084507</v>
      </c>
      <c r="D17" s="6" t="s">
        <v>26</v>
      </c>
    </row>
    <row r="18" customFormat="false" ht="15" hidden="false" customHeight="false" outlineLevel="0" collapsed="false">
      <c r="B18" s="6" t="s">
        <v>27</v>
      </c>
      <c r="C18" s="8" t="n">
        <f aca="false">summary!$F$8</f>
        <v>327538.495184951</v>
      </c>
      <c r="D18" s="6" t="s">
        <v>28</v>
      </c>
    </row>
    <row r="19" customFormat="false" ht="15" hidden="false" customHeight="false" outlineLevel="0" collapsed="false">
      <c r="B19" s="6" t="s">
        <v>29</v>
      </c>
      <c r="C19" s="9" t="n">
        <f aca="false">summary!$H$11</f>
        <v>0.027888349947288</v>
      </c>
      <c r="D19" s="6" t="s">
        <v>30</v>
      </c>
    </row>
    <row r="20" customFormat="false" ht="15" hidden="false" customHeight="false" outlineLevel="0" collapsed="false">
      <c r="B20" s="6" t="s">
        <v>31</v>
      </c>
      <c r="C20" s="9" t="n">
        <f aca="false">summary!$H$5</f>
        <v>-0.110325742925539</v>
      </c>
      <c r="D20" s="6" t="s">
        <v>32</v>
      </c>
    </row>
    <row r="21" customFormat="false" ht="15" hidden="false" customHeight="false" outlineLevel="0" collapsed="false">
      <c r="B21" s="6" t="s">
        <v>33</v>
      </c>
      <c r="C21" s="9" t="n">
        <f aca="false">summary!$O$8</f>
        <v>0.171761101764702</v>
      </c>
      <c r="D21" s="6" t="s">
        <v>34</v>
      </c>
    </row>
    <row r="22" customFormat="false" ht="15" hidden="false" customHeight="false" outlineLevel="0" collapsed="false">
      <c r="B22" s="6" t="s">
        <v>35</v>
      </c>
      <c r="C22" s="9" t="n">
        <f aca="false">summary!$P$11</f>
        <v>-0.106802730811907</v>
      </c>
      <c r="D22" s="6"/>
    </row>
    <row r="23" customFormat="false" ht="15" hidden="false" customHeight="false" outlineLevel="0" collapsed="false">
      <c r="B23" s="6" t="s">
        <v>36</v>
      </c>
      <c r="C23" s="9" t="n">
        <f aca="false">summary!$O$24</f>
        <v>0.0405126356960686</v>
      </c>
      <c r="D23" s="6" t="s">
        <v>37</v>
      </c>
    </row>
    <row r="24" customFormat="false" ht="15" hidden="false" customHeight="false" outlineLevel="0" collapsed="false">
      <c r="B24" s="6" t="s">
        <v>38</v>
      </c>
      <c r="C24" s="7" t="str">
        <f aca="false">summary!$C$60</f>
        <v>Moderate</v>
      </c>
      <c r="D24" s="6" t="s">
        <v>39</v>
      </c>
    </row>
    <row r="25" customFormat="false" ht="15" hidden="false" customHeight="false" outlineLevel="0" collapsed="false">
      <c r="B25" s="6" t="s">
        <v>40</v>
      </c>
      <c r="C25" s="9" t="n">
        <f aca="false">summary!$P$20</f>
        <v>-0.034791766884114</v>
      </c>
      <c r="D25" s="6" t="s">
        <v>41</v>
      </c>
    </row>
    <row r="26" customFormat="false" ht="15" hidden="false" customHeight="false" outlineLevel="0" collapsed="false">
      <c r="B26" s="6" t="s">
        <v>42</v>
      </c>
      <c r="C26" s="8" t="n">
        <f aca="false">summary!$C$61</f>
        <v>-78226.4569345771</v>
      </c>
      <c r="D26" s="6" t="s">
        <v>43</v>
      </c>
    </row>
    <row r="27" customFormat="false" ht="15" hidden="false" customHeight="false" outlineLevel="0" collapsed="false">
      <c r="B27" s="6" t="s">
        <v>44</v>
      </c>
      <c r="C27" s="9" t="n">
        <f aca="false">summary!$C$63</f>
        <v>0.285829908721438</v>
      </c>
      <c r="D27" s="6" t="s">
        <v>45</v>
      </c>
    </row>
    <row r="28" customFormat="false" ht="15" hidden="false" customHeight="false" outlineLevel="0" collapsed="false">
      <c r="B28" s="6" t="s">
        <v>46</v>
      </c>
      <c r="C28" s="9" t="n">
        <f aca="false">summary!$C$55</f>
        <v>0.716936017643624</v>
      </c>
      <c r="D28" s="6" t="s">
        <v>47</v>
      </c>
    </row>
    <row r="29" customFormat="false" ht="15" hidden="false" customHeight="false" outlineLevel="0" collapsed="false">
      <c r="B29" s="6" t="s">
        <v>48</v>
      </c>
      <c r="C29" s="9" t="n">
        <f aca="false">summary!$C$54</f>
        <v>0.396807949589974</v>
      </c>
      <c r="D29" s="6" t="s">
        <v>49</v>
      </c>
    </row>
    <row r="31" customFormat="false" ht="15" hidden="false" customHeight="false" outlineLevel="0" collapsed="false">
      <c r="B31" s="5" t="s">
        <v>50</v>
      </c>
    </row>
    <row r="32" customFormat="false" ht="15" hidden="false" customHeight="false" outlineLevel="0" collapsed="false">
      <c r="B32" s="10" t="s">
        <v>51</v>
      </c>
      <c r="C32" s="10" t="s">
        <v>52</v>
      </c>
      <c r="D32" s="10" t="s">
        <v>53</v>
      </c>
    </row>
    <row r="33" customFormat="false" ht="15" hidden="false" customHeight="false" outlineLevel="0" collapsed="false">
      <c r="B33" s="6" t="s">
        <v>54</v>
      </c>
      <c r="C33" s="6" t="s">
        <v>55</v>
      </c>
      <c r="D33" s="4" t="s">
        <v>56</v>
      </c>
    </row>
    <row r="34" customFormat="false" ht="15" hidden="false" customHeight="false" outlineLevel="0" collapsed="false">
      <c r="B34" s="6" t="s">
        <v>57</v>
      </c>
      <c r="C34" s="6" t="s">
        <v>55</v>
      </c>
      <c r="D34" s="4" t="s">
        <v>58</v>
      </c>
    </row>
    <row r="35" customFormat="false" ht="15" hidden="false" customHeight="false" outlineLevel="0" collapsed="false">
      <c r="B35" s="11" t="s">
        <v>59</v>
      </c>
      <c r="C35" s="6" t="s">
        <v>60</v>
      </c>
      <c r="D35" s="4" t="s">
        <v>61</v>
      </c>
    </row>
    <row r="36" customFormat="false" ht="15" hidden="false" customHeight="false" outlineLevel="0" collapsed="false">
      <c r="B36" s="11" t="s">
        <v>62</v>
      </c>
      <c r="C36" s="6" t="s">
        <v>60</v>
      </c>
      <c r="D36" s="4" t="s">
        <v>63</v>
      </c>
    </row>
    <row r="37" customFormat="false" ht="15" hidden="false" customHeight="false" outlineLevel="0" collapsed="false">
      <c r="B37" s="11" t="s">
        <v>64</v>
      </c>
      <c r="C37" s="6" t="s">
        <v>60</v>
      </c>
      <c r="D37" s="4" t="s">
        <v>65</v>
      </c>
    </row>
    <row r="38" customFormat="false" ht="15" hidden="false" customHeight="false" outlineLevel="0" collapsed="false">
      <c r="B38" s="6" t="s">
        <v>66</v>
      </c>
      <c r="C38" s="6" t="s">
        <v>55</v>
      </c>
      <c r="D38" s="4" t="s">
        <v>67</v>
      </c>
    </row>
    <row r="39" customFormat="false" ht="15" hidden="false" customHeight="false" outlineLevel="0" collapsed="false">
      <c r="B39" s="11" t="s">
        <v>68</v>
      </c>
      <c r="C39" s="6" t="s">
        <v>60</v>
      </c>
      <c r="D39" s="4" t="s">
        <v>69</v>
      </c>
    </row>
    <row r="40" customFormat="false" ht="15" hidden="false" customHeight="false" outlineLevel="0" collapsed="false">
      <c r="B40" s="11" t="s">
        <v>70</v>
      </c>
      <c r="C40" s="6" t="s">
        <v>60</v>
      </c>
      <c r="D40" s="4" t="s">
        <v>71</v>
      </c>
    </row>
    <row r="41" customFormat="false" ht="15" hidden="false" customHeight="false" outlineLevel="0" collapsed="false">
      <c r="B41" s="11" t="s">
        <v>72</v>
      </c>
      <c r="C41" s="6" t="s">
        <v>73</v>
      </c>
      <c r="D41" s="4" t="s">
        <v>74</v>
      </c>
    </row>
    <row r="42" customFormat="false" ht="15" hidden="false" customHeight="false" outlineLevel="0" collapsed="false">
      <c r="B42" s="11" t="s">
        <v>75</v>
      </c>
      <c r="C42" s="6" t="s">
        <v>60</v>
      </c>
      <c r="D42" s="4" t="s">
        <v>76</v>
      </c>
    </row>
    <row r="43" customFormat="false" ht="15" hidden="false" customHeight="false" outlineLevel="0" collapsed="false">
      <c r="B43" s="6" t="s">
        <v>77</v>
      </c>
      <c r="C43" s="6" t="s">
        <v>55</v>
      </c>
      <c r="D43" s="4" t="s">
        <v>78</v>
      </c>
    </row>
    <row r="44" customFormat="false" ht="15" hidden="false" customHeight="false" outlineLevel="0" collapsed="false">
      <c r="B44" s="11" t="s">
        <v>79</v>
      </c>
      <c r="C44" s="6" t="s">
        <v>73</v>
      </c>
      <c r="D44" s="4" t="s">
        <v>80</v>
      </c>
    </row>
    <row r="45" customFormat="false" ht="15" hidden="false" customHeight="false" outlineLevel="0" collapsed="false">
      <c r="B45" s="11" t="s">
        <v>81</v>
      </c>
      <c r="C45" s="6" t="s">
        <v>60</v>
      </c>
      <c r="D45" s="4" t="s">
        <v>82</v>
      </c>
    </row>
    <row r="46" customFormat="false" ht="15" hidden="false" customHeight="false" outlineLevel="0" collapsed="false">
      <c r="B46" s="6" t="s">
        <v>83</v>
      </c>
      <c r="C46" s="6" t="s">
        <v>55</v>
      </c>
      <c r="D46" s="4" t="s">
        <v>84</v>
      </c>
    </row>
    <row r="47" customFormat="false" ht="15" hidden="false" customHeight="false" outlineLevel="0" collapsed="false">
      <c r="B47" s="6" t="s">
        <v>85</v>
      </c>
      <c r="C47" s="6" t="s">
        <v>55</v>
      </c>
      <c r="D47" s="4" t="s">
        <v>86</v>
      </c>
    </row>
    <row r="48" customFormat="false" ht="15" hidden="false" customHeight="false" outlineLevel="0" collapsed="false">
      <c r="B48" s="11" t="s">
        <v>87</v>
      </c>
      <c r="C48" s="6" t="s">
        <v>60</v>
      </c>
      <c r="D48" s="4" t="s">
        <v>88</v>
      </c>
    </row>
    <row r="49" customFormat="false" ht="15" hidden="false" customHeight="false" outlineLevel="0" collapsed="false">
      <c r="B49" s="11" t="s">
        <v>89</v>
      </c>
      <c r="C49" s="6" t="s">
        <v>60</v>
      </c>
      <c r="D49" s="4" t="s">
        <v>90</v>
      </c>
    </row>
    <row r="50" customFormat="false" ht="15" hidden="false" customHeight="false" outlineLevel="0" collapsed="false">
      <c r="B50" s="11" t="s">
        <v>91</v>
      </c>
      <c r="C50" s="6" t="s">
        <v>73</v>
      </c>
      <c r="D50" s="4" t="s">
        <v>92</v>
      </c>
    </row>
    <row r="51" customFormat="false" ht="15" hidden="false" customHeight="false" outlineLevel="0" collapsed="false">
      <c r="B51" s="11" t="s">
        <v>93</v>
      </c>
      <c r="C51" s="6" t="s">
        <v>60</v>
      </c>
      <c r="D51" s="4" t="s">
        <v>94</v>
      </c>
    </row>
    <row r="52" customFormat="false" ht="15" hidden="false" customHeight="false" outlineLevel="0" collapsed="false">
      <c r="B52" s="11" t="s">
        <v>95</v>
      </c>
      <c r="C52" s="6" t="s">
        <v>73</v>
      </c>
      <c r="D52" s="4" t="s">
        <v>96</v>
      </c>
    </row>
    <row r="53" customFormat="false" ht="15" hidden="false" customHeight="false" outlineLevel="0" collapsed="false">
      <c r="B53" s="11" t="s">
        <v>97</v>
      </c>
      <c r="C53" s="6" t="s">
        <v>60</v>
      </c>
      <c r="D53" s="4" t="s">
        <v>98</v>
      </c>
    </row>
    <row r="54" customFormat="false" ht="15" hidden="false" customHeight="false" outlineLevel="0" collapsed="false">
      <c r="B54" s="11" t="s">
        <v>99</v>
      </c>
      <c r="C54" s="6" t="s">
        <v>73</v>
      </c>
      <c r="D54" s="4" t="s">
        <v>100</v>
      </c>
    </row>
    <row r="55" customFormat="false" ht="15" hidden="false" customHeight="false" outlineLevel="0" collapsed="false">
      <c r="B55" s="11" t="s">
        <v>101</v>
      </c>
      <c r="C55" s="6" t="s">
        <v>73</v>
      </c>
      <c r="D55" s="4" t="s">
        <v>102</v>
      </c>
    </row>
    <row r="56" customFormat="false" ht="15" hidden="false" customHeight="false" outlineLevel="0" collapsed="false">
      <c r="B56" s="11" t="s">
        <v>103</v>
      </c>
      <c r="C56" s="6" t="s">
        <v>60</v>
      </c>
      <c r="D56" s="4" t="s">
        <v>104</v>
      </c>
    </row>
    <row r="57" customFormat="false" ht="15" hidden="false" customHeight="false" outlineLevel="0" collapsed="false">
      <c r="B57" s="6" t="s">
        <v>105</v>
      </c>
      <c r="C57" s="6" t="s">
        <v>55</v>
      </c>
      <c r="D57" s="4" t="s">
        <v>106</v>
      </c>
    </row>
    <row r="58" customFormat="false" ht="15" hidden="false" customHeight="false" outlineLevel="0" collapsed="false">
      <c r="B58" s="6" t="s">
        <v>107</v>
      </c>
      <c r="C58" s="6" t="s">
        <v>55</v>
      </c>
      <c r="D58" s="4" t="s">
        <v>108</v>
      </c>
    </row>
    <row r="59" customFormat="false" ht="15" hidden="false" customHeight="false" outlineLevel="0" collapsed="false">
      <c r="B59" s="11" t="s">
        <v>109</v>
      </c>
      <c r="C59" s="6" t="s">
        <v>60</v>
      </c>
      <c r="D59" s="4" t="s">
        <v>110</v>
      </c>
    </row>
    <row r="60" customFormat="false" ht="15" hidden="false" customHeight="false" outlineLevel="0" collapsed="false">
      <c r="B60" s="11" t="s">
        <v>111</v>
      </c>
      <c r="C60" s="6" t="s">
        <v>73</v>
      </c>
      <c r="D60" s="4" t="s">
        <v>112</v>
      </c>
    </row>
    <row r="61" customFormat="false" ht="15" hidden="false" customHeight="false" outlineLevel="0" collapsed="false">
      <c r="B61" s="11" t="s">
        <v>113</v>
      </c>
      <c r="C61" s="6" t="s">
        <v>60</v>
      </c>
      <c r="D61" s="4" t="s">
        <v>114</v>
      </c>
    </row>
    <row r="62" customFormat="false" ht="15" hidden="false" customHeight="false" outlineLevel="0" collapsed="false">
      <c r="B62" s="11" t="s">
        <v>115</v>
      </c>
      <c r="C62" s="6" t="s">
        <v>73</v>
      </c>
      <c r="D62" s="4" t="s">
        <v>116</v>
      </c>
    </row>
    <row r="63" customFormat="false" ht="15" hidden="false" customHeight="false" outlineLevel="0" collapsed="false">
      <c r="B63" s="11" t="s">
        <v>117</v>
      </c>
      <c r="C63" s="6" t="s">
        <v>60</v>
      </c>
      <c r="D63" s="4" t="s">
        <v>118</v>
      </c>
    </row>
    <row r="64" customFormat="false" ht="15" hidden="false" customHeight="false" outlineLevel="0" collapsed="false">
      <c r="B64" s="11" t="s">
        <v>119</v>
      </c>
      <c r="C64" s="6" t="s">
        <v>60</v>
      </c>
      <c r="D64" s="4" t="s">
        <v>120</v>
      </c>
    </row>
    <row r="65" customFormat="false" ht="15" hidden="false" customHeight="false" outlineLevel="0" collapsed="false">
      <c r="B65" s="11" t="s">
        <v>121</v>
      </c>
      <c r="C65" s="6" t="s">
        <v>73</v>
      </c>
      <c r="D65" s="4" t="s">
        <v>122</v>
      </c>
    </row>
    <row r="66" customFormat="false" ht="15" hidden="false" customHeight="false" outlineLevel="0" collapsed="false">
      <c r="B66" s="11" t="s">
        <v>123</v>
      </c>
      <c r="C66" s="6" t="s">
        <v>73</v>
      </c>
      <c r="D66" s="4" t="s">
        <v>124</v>
      </c>
    </row>
    <row r="67" customFormat="false" ht="15" hidden="false" customHeight="false" outlineLevel="0" collapsed="false">
      <c r="B67" s="11" t="s">
        <v>125</v>
      </c>
      <c r="C67" s="6" t="s">
        <v>73</v>
      </c>
      <c r="D67" s="4" t="s">
        <v>126</v>
      </c>
    </row>
    <row r="68" customFormat="false" ht="15" hidden="false" customHeight="false" outlineLevel="0" collapsed="false">
      <c r="B68" s="11" t="s">
        <v>127</v>
      </c>
      <c r="C68" s="6" t="s">
        <v>73</v>
      </c>
      <c r="D68" s="4" t="s">
        <v>128</v>
      </c>
    </row>
    <row r="69" customFormat="false" ht="15" hidden="false" customHeight="false" outlineLevel="0" collapsed="false">
      <c r="B69" s="11" t="s">
        <v>129</v>
      </c>
      <c r="C69" s="6" t="s">
        <v>60</v>
      </c>
      <c r="D69" s="4" t="s">
        <v>130</v>
      </c>
    </row>
    <row r="70" customFormat="false" ht="15" hidden="false" customHeight="false" outlineLevel="0" collapsed="false">
      <c r="B70" s="11" t="s">
        <v>131</v>
      </c>
      <c r="C70" s="6" t="s">
        <v>60</v>
      </c>
      <c r="D70" s="4" t="s">
        <v>132</v>
      </c>
    </row>
    <row r="71" customFormat="false" ht="15" hidden="false" customHeight="false" outlineLevel="0" collapsed="false">
      <c r="B71" s="11" t="s">
        <v>133</v>
      </c>
      <c r="C71" s="6" t="s">
        <v>73</v>
      </c>
      <c r="D71" s="4" t="s">
        <v>134</v>
      </c>
    </row>
    <row r="72" customFormat="false" ht="15" hidden="false" customHeight="false" outlineLevel="0" collapsed="false">
      <c r="B72" s="6" t="s">
        <v>135</v>
      </c>
      <c r="C72" s="6" t="s">
        <v>55</v>
      </c>
      <c r="D72" s="4" t="s">
        <v>136</v>
      </c>
    </row>
    <row r="73" customFormat="false" ht="15" hidden="false" customHeight="false" outlineLevel="0" collapsed="false">
      <c r="B73" s="11" t="s">
        <v>137</v>
      </c>
      <c r="C73" s="6" t="s">
        <v>73</v>
      </c>
      <c r="D73" s="4" t="s">
        <v>138</v>
      </c>
    </row>
    <row r="74" customFormat="false" ht="15" hidden="false" customHeight="false" outlineLevel="0" collapsed="false">
      <c r="B74" s="11" t="s">
        <v>139</v>
      </c>
      <c r="C74" s="6" t="s">
        <v>73</v>
      </c>
      <c r="D74" s="4" t="s">
        <v>140</v>
      </c>
    </row>
    <row r="75" customFormat="false" ht="15" hidden="false" customHeight="false" outlineLevel="0" collapsed="false">
      <c r="B75" s="6" t="s">
        <v>141</v>
      </c>
      <c r="C75" s="6" t="s">
        <v>55</v>
      </c>
      <c r="D75" s="4" t="s">
        <v>142</v>
      </c>
    </row>
    <row r="76" customFormat="false" ht="15" hidden="false" customHeight="false" outlineLevel="0" collapsed="false">
      <c r="B76" s="6" t="s">
        <v>143</v>
      </c>
      <c r="C76" s="6" t="s">
        <v>55</v>
      </c>
      <c r="D76" s="4" t="s">
        <v>144</v>
      </c>
    </row>
    <row r="77" customFormat="false" ht="15" hidden="false" customHeight="false" outlineLevel="0" collapsed="false">
      <c r="B77" s="6" t="s">
        <v>145</v>
      </c>
      <c r="C77" s="6" t="s">
        <v>55</v>
      </c>
      <c r="D77" s="4" t="s">
        <v>146</v>
      </c>
    </row>
    <row r="79" customFormat="false" ht="15" hidden="false" customHeight="false" outlineLevel="0" collapsed="false">
      <c r="B79" s="5" t="s">
        <v>147</v>
      </c>
    </row>
    <row r="80" customFormat="false" ht="23.85" hidden="false" customHeight="false" outlineLevel="0" collapsed="false">
      <c r="B80" s="6" t="s">
        <v>148</v>
      </c>
      <c r="D80" s="4" t="s">
        <v>149</v>
      </c>
    </row>
    <row r="81" customFormat="false" ht="23.85" hidden="false" customHeight="false" outlineLevel="0" collapsed="false">
      <c r="B81" s="6" t="s">
        <v>148</v>
      </c>
      <c r="D81" s="4" t="s">
        <v>150</v>
      </c>
    </row>
    <row r="82" customFormat="false" ht="23.85" hidden="false" customHeight="false" outlineLevel="0" collapsed="false">
      <c r="B82" s="6" t="s">
        <v>148</v>
      </c>
      <c r="D82" s="4" t="s">
        <v>151</v>
      </c>
    </row>
    <row r="83" customFormat="false" ht="23.85" hidden="false" customHeight="false" outlineLevel="0" collapsed="false">
      <c r="B83" s="6" t="s">
        <v>148</v>
      </c>
      <c r="D83" s="4" t="s">
        <v>152</v>
      </c>
    </row>
    <row r="84" customFormat="false" ht="15" hidden="false" customHeight="false" outlineLevel="0" collapsed="false">
      <c r="B84" s="6" t="s">
        <v>148</v>
      </c>
      <c r="D84" s="4"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P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16"/>
    <col collapsed="false" customWidth="true" hidden="false" outlineLevel="0" max="5" min="4" style="0" width="18"/>
    <col collapsed="false" customWidth="true" hidden="false" outlineLevel="0" max="7" min="6" style="0" width="16"/>
    <col collapsed="false" customWidth="true" hidden="false" outlineLevel="0" max="9" min="8" style="0" width="10"/>
    <col collapsed="false" customWidth="true" hidden="false" outlineLevel="0" max="12" min="10" style="0" width="14"/>
    <col collapsed="false" customWidth="true" hidden="false" outlineLevel="0" max="13" min="13" style="0" width="13"/>
    <col collapsed="false" customWidth="true" hidden="false" outlineLevel="0" max="14" min="14" style="0" width="14"/>
    <col collapsed="false" customWidth="true" hidden="false" outlineLevel="0" max="15" min="15" style="0" width="10"/>
    <col collapsed="false" customWidth="true" hidden="false" outlineLevel="0" max="16" min="16" style="0" width="12"/>
  </cols>
  <sheetData>
    <row r="1" customFormat="false" ht="17.35" hidden="false" customHeight="false" outlineLevel="0" collapsed="false">
      <c r="A1" s="1" t="s">
        <v>154</v>
      </c>
    </row>
    <row r="2" customFormat="false" ht="15" hidden="false" customHeight="false" outlineLevel="0" collapsed="false">
      <c r="A2" s="6" t="s">
        <v>155</v>
      </c>
    </row>
    <row r="3" customFormat="false" ht="15" hidden="false" customHeight="false" outlineLevel="0" collapsed="false">
      <c r="A3" s="5" t="s">
        <v>156</v>
      </c>
    </row>
    <row r="4" customFormat="false" ht="23.85" hidden="false" customHeight="false" outlineLevel="0" collapsed="false">
      <c r="A4" s="12" t="s">
        <v>157</v>
      </c>
      <c r="B4" s="12" t="s">
        <v>158</v>
      </c>
      <c r="C4" s="12" t="s">
        <v>159</v>
      </c>
      <c r="D4" s="12" t="s">
        <v>160</v>
      </c>
      <c r="E4" s="12" t="s">
        <v>161</v>
      </c>
      <c r="F4" s="12" t="s">
        <v>162</v>
      </c>
      <c r="G4" s="12" t="s">
        <v>163</v>
      </c>
      <c r="H4" s="12" t="s">
        <v>164</v>
      </c>
      <c r="I4" s="12" t="s">
        <v>165</v>
      </c>
      <c r="J4" s="12" t="s">
        <v>166</v>
      </c>
      <c r="K4" s="12" t="s">
        <v>167</v>
      </c>
      <c r="L4" s="12" t="s">
        <v>168</v>
      </c>
      <c r="M4" s="12" t="s">
        <v>169</v>
      </c>
      <c r="N4" s="12" t="s">
        <v>93</v>
      </c>
      <c r="O4" s="12" t="s">
        <v>170</v>
      </c>
      <c r="P4" s="12" t="s">
        <v>171</v>
      </c>
    </row>
    <row r="5" customFormat="false" ht="15" hidden="false" customHeight="false" outlineLevel="0" collapsed="false">
      <c r="A5" s="6" t="s">
        <v>172</v>
      </c>
      <c r="B5" s="6" t="s">
        <v>173</v>
      </c>
      <c r="C5" s="6" t="s">
        <v>174</v>
      </c>
      <c r="D5" s="13" t="n">
        <v>1</v>
      </c>
      <c r="E5" s="6" t="s">
        <v>175</v>
      </c>
      <c r="F5" s="8" t="n">
        <f aca="false">SUMIFS(nii_simulation!$E:$E,nii_simulation!$A:$A,$A5,nii_simulation!$B:$B,"&lt;=12")</f>
        <v>291402.567366959</v>
      </c>
      <c r="G5" s="8" t="n">
        <f aca="false">SUMIFS(nii_simulation!$E:$E,nii_simulation!$A:$A,$A5,nii_simulation!$B:$B,"&gt;12")</f>
        <v>290452.055911206</v>
      </c>
      <c r="H5" s="14" t="n">
        <f aca="false">F5/F$8-1</f>
        <v>-0.110325742925539</v>
      </c>
      <c r="I5" s="14" t="n">
        <f aca="false">G5/G$8-1</f>
        <v>-0.142896236233592</v>
      </c>
      <c r="J5" s="8" t="n">
        <f aca="false">SUMIFS(nii_simulation!$G:$G,nii_simulation!$A:$A,$A5,nii_simulation!$B:$B,"&lt;=12")</f>
        <v>110261.187181337</v>
      </c>
      <c r="K5" s="8" t="n">
        <f aca="false">IF($E5="y",SUMIFS(nev!$E:$E,nev!$A:$A,$A5,nev!$C:$C,"asset"),"")</f>
        <v>10416466.2492877</v>
      </c>
      <c r="L5" s="8" t="n">
        <f aca="false">IF($E5="y",SUMIFS(nev!$E:$E,nev!$A:$A,$A5,nev!$C:$C,"liability"),"")</f>
        <v>8690955.5799389</v>
      </c>
      <c r="M5" s="8" t="n">
        <f aca="false">IF($E5="y",SUMIFS(nev!$E:$E,nev!$A:$A,$A5,nev!$C:$C,"off_balance"),"")</f>
        <v>2700</v>
      </c>
      <c r="N5" s="15" t="n">
        <f aca="false">IF($E5="y",K5-L5+M5,"")</f>
        <v>1728210.66934883</v>
      </c>
      <c r="O5" s="14" t="n">
        <f aca="false">IF($E5="y",N5/K5,"")</f>
        <v>0.165911416404484</v>
      </c>
      <c r="P5" s="14" t="n">
        <f aca="false">IF($E5="y",N5/N$8-1,"")</f>
        <v>0.0441380663407842</v>
      </c>
    </row>
    <row r="6" customFormat="false" ht="15" hidden="false" customHeight="false" outlineLevel="0" collapsed="false">
      <c r="A6" s="6" t="s">
        <v>176</v>
      </c>
      <c r="B6" s="6" t="s">
        <v>177</v>
      </c>
      <c r="C6" s="6" t="s">
        <v>174</v>
      </c>
      <c r="D6" s="13" t="n">
        <v>2</v>
      </c>
      <c r="E6" s="6" t="s">
        <v>175</v>
      </c>
      <c r="F6" s="8" t="n">
        <f aca="false">SUMIFS(nii_simulation!$E:$E,nii_simulation!$A:$A,$A6,nii_simulation!$B:$B,"&lt;=12")</f>
        <v>304033.385556802</v>
      </c>
      <c r="G6" s="8" t="n">
        <f aca="false">SUMIFS(nii_simulation!$E:$E,nii_simulation!$A:$A,$A6,nii_simulation!$B:$B,"&gt;12")</f>
        <v>309019.442585883</v>
      </c>
      <c r="H6" s="14" t="n">
        <f aca="false">F6/F$8-1</f>
        <v>-0.0717628919155806</v>
      </c>
      <c r="I6" s="14" t="n">
        <f aca="false">G6/G$8-1</f>
        <v>-0.088105172860859</v>
      </c>
      <c r="J6" s="8" t="n">
        <f aca="false">SUMIFS(nii_simulation!$G:$G,nii_simulation!$A:$A,$A6,nii_simulation!$B:$B,"&lt;=12")</f>
        <v>121272.00537118</v>
      </c>
      <c r="K6" s="8" t="n">
        <f aca="false">IF($E6="y",SUMIFS(nev!$E:$E,nev!$A:$A,$A6,nev!$C:$C,"asset"),"")</f>
        <v>10151662.1808301</v>
      </c>
      <c r="L6" s="8" t="n">
        <f aca="false">IF($E6="y",SUMIFS(nev!$E:$E,nev!$A:$A,$A6,nev!$C:$C,"liability"),"")</f>
        <v>8429216.33926938</v>
      </c>
      <c r="M6" s="8" t="n">
        <f aca="false">IF($E6="y",SUMIFS(nev!$E:$E,nev!$A:$A,$A6,nev!$C:$C,"off_balance"),"")</f>
        <v>1800</v>
      </c>
      <c r="N6" s="15" t="n">
        <f aca="false">IF($E6="y",K6-L6+M6,"")</f>
        <v>1724245.84156069</v>
      </c>
      <c r="O6" s="14" t="n">
        <f aca="false">IF($E6="y",N6/K6,"")</f>
        <v>0.169848622900068</v>
      </c>
      <c r="P6" s="14" t="n">
        <f aca="false">IF($E6="y",N6/N$8-1,"")</f>
        <v>0.0417426248049169</v>
      </c>
    </row>
    <row r="7" customFormat="false" ht="15" hidden="false" customHeight="false" outlineLevel="0" collapsed="false">
      <c r="A7" s="6" t="s">
        <v>178</v>
      </c>
      <c r="B7" s="6" t="s">
        <v>179</v>
      </c>
      <c r="C7" s="6" t="s">
        <v>174</v>
      </c>
      <c r="D7" s="13" t="n">
        <v>3</v>
      </c>
      <c r="E7" s="6" t="s">
        <v>175</v>
      </c>
      <c r="F7" s="8" t="n">
        <f aca="false">SUMIFS(nii_simulation!$E:$E,nii_simulation!$A:$A,$A7,nii_simulation!$B:$B,"&lt;=12")</f>
        <v>316744.651759234</v>
      </c>
      <c r="G7" s="8" t="n">
        <f aca="false">SUMIFS(nii_simulation!$E:$E,nii_simulation!$A:$A,$A7,nii_simulation!$B:$B,"&gt;12")</f>
        <v>325888.469672691</v>
      </c>
      <c r="H7" s="14" t="n">
        <f aca="false">F7/F$8-1</f>
        <v>-0.0329544269891778</v>
      </c>
      <c r="I7" s="14" t="n">
        <f aca="false">G7/G$8-1</f>
        <v>-0.0383258502052798</v>
      </c>
      <c r="J7" s="8" t="n">
        <f aca="false">SUMIFS(nii_simulation!$G:$G,nii_simulation!$A:$A,$A7,nii_simulation!$B:$B,"&lt;=12")</f>
        <v>132363.271573612</v>
      </c>
      <c r="K7" s="8" t="n">
        <f aca="false">IF($E7="y",SUMIFS(nev!$E:$E,nev!$A:$A,$A7,nev!$C:$C,"asset"),"")</f>
        <v>9896730.22721095</v>
      </c>
      <c r="L7" s="8" t="n">
        <f aca="false">IF($E7="y",SUMIFS(nev!$E:$E,nev!$A:$A,$A7,nev!$C:$C,"liability"),"")</f>
        <v>8192917.44996851</v>
      </c>
      <c r="M7" s="8" t="n">
        <f aca="false">IF($E7="y",SUMIFS(nev!$E:$E,nev!$A:$A,$A7,nev!$C:$C,"off_balance"),"")</f>
        <v>900</v>
      </c>
      <c r="N7" s="15" t="n">
        <f aca="false">IF($E7="y",K7-L7+M7,"")</f>
        <v>1704712.77724244</v>
      </c>
      <c r="O7" s="14" t="n">
        <f aca="false">IF($E7="y",N7/K7,"")</f>
        <v>0.172250100599423</v>
      </c>
      <c r="P7" s="14" t="n">
        <f aca="false">IF($E7="y",N7/N$8-1,"")</f>
        <v>0.0299412765267868</v>
      </c>
    </row>
    <row r="8" customFormat="false" ht="15" hidden="false" customHeight="false" outlineLevel="0" collapsed="false">
      <c r="A8" s="6" t="s">
        <v>180</v>
      </c>
      <c r="B8" s="6" t="s">
        <v>181</v>
      </c>
      <c r="C8" s="6" t="s">
        <v>174</v>
      </c>
      <c r="D8" s="13" t="n">
        <v>4</v>
      </c>
      <c r="E8" s="6" t="s">
        <v>175</v>
      </c>
      <c r="F8" s="8" t="n">
        <f aca="false">SUMIFS(nii_simulation!$E:$E,nii_simulation!$A:$A,$A8,nii_simulation!$B:$B,"&lt;=12")</f>
        <v>327538.495184951</v>
      </c>
      <c r="G8" s="8" t="n">
        <f aca="false">SUMIFS(nii_simulation!$E:$E,nii_simulation!$A:$A,$A8,nii_simulation!$B:$B,"&gt;12")</f>
        <v>338876.187679845</v>
      </c>
      <c r="H8" s="14" t="n">
        <f aca="false">F8/F$8-1</f>
        <v>0</v>
      </c>
      <c r="I8" s="14" t="n">
        <f aca="false">G8/G$8-1</f>
        <v>0</v>
      </c>
      <c r="J8" s="8" t="n">
        <f aca="false">SUMIFS(nii_simulation!$G:$G,nii_simulation!$A:$A,$A8,nii_simulation!$B:$B,"&lt;=12")</f>
        <v>141537.114999329</v>
      </c>
      <c r="K8" s="8" t="n">
        <f aca="false">IF($E8="y",SUMIFS(nev!$E:$E,nev!$A:$A,$A8,nev!$C:$C,"asset"),"")</f>
        <v>9636380.39857326</v>
      </c>
      <c r="L8" s="8" t="n">
        <f aca="false">IF($E8="y",SUMIFS(nev!$E:$E,nev!$A:$A,$A8,nev!$C:$C,"liability"),"")</f>
        <v>7981225.08429054</v>
      </c>
      <c r="M8" s="8" t="n">
        <f aca="false">IF($E8="y",SUMIFS(nev!$E:$E,nev!$A:$A,$A8,nev!$C:$C,"off_balance"),"")</f>
        <v>0</v>
      </c>
      <c r="N8" s="15" t="n">
        <f aca="false">IF($E8="y",K8-L8+M8,"")</f>
        <v>1655155.31428272</v>
      </c>
      <c r="O8" s="14" t="n">
        <f aca="false">IF($E8="y",N8/K8,"")</f>
        <v>0.171761101764702</v>
      </c>
      <c r="P8" s="14" t="n">
        <f aca="false">IF($E8="y",N8/N$8-1,"")</f>
        <v>0</v>
      </c>
    </row>
    <row r="9" customFormat="false" ht="15" hidden="false" customHeight="false" outlineLevel="0" collapsed="false">
      <c r="A9" s="6" t="s">
        <v>182</v>
      </c>
      <c r="B9" s="6" t="s">
        <v>183</v>
      </c>
      <c r="C9" s="6" t="s">
        <v>174</v>
      </c>
      <c r="D9" s="13" t="n">
        <v>5</v>
      </c>
      <c r="E9" s="6" t="s">
        <v>175</v>
      </c>
      <c r="F9" s="8" t="n">
        <f aca="false">SUMIFS(nii_simulation!$E:$E,nii_simulation!$A:$A,$A9,nii_simulation!$B:$B,"&lt;=12")</f>
        <v>332046.541768293</v>
      </c>
      <c r="G9" s="8" t="n">
        <f aca="false">SUMIFS(nii_simulation!$E:$E,nii_simulation!$A:$A,$A9,nii_simulation!$B:$B,"&gt;12")</f>
        <v>342032.365407852</v>
      </c>
      <c r="H9" s="14" t="n">
        <f aca="false">F9/F$8-1</f>
        <v>0.0137634099490989</v>
      </c>
      <c r="I9" s="14" t="n">
        <f aca="false">G9/G$8-1</f>
        <v>0.0093136603950148</v>
      </c>
      <c r="J9" s="8" t="n">
        <f aca="false">SUMIFS(nii_simulation!$G:$G,nii_simulation!$A:$A,$A9,nii_simulation!$B:$B,"&lt;=12")</f>
        <v>144425.161582671</v>
      </c>
      <c r="K9" s="8" t="n">
        <f aca="false">IF($E9="y",SUMIFS(nev!$E:$E,nev!$A:$A,$A9,nev!$C:$C,"asset"),"")</f>
        <v>9392467.75631703</v>
      </c>
      <c r="L9" s="8" t="n">
        <f aca="false">IF($E9="y",SUMIFS(nev!$E:$E,nev!$A:$A,$A9,nev!$C:$C,"liability"),"")</f>
        <v>7795467.87709992</v>
      </c>
      <c r="M9" s="8" t="n">
        <f aca="false">IF($E9="y",SUMIFS(nev!$E:$E,nev!$A:$A,$A9,nev!$C:$C,"off_balance"),"")</f>
        <v>-1440</v>
      </c>
      <c r="N9" s="15" t="n">
        <f aca="false">IF($E9="y",K9-L9+M9,"")</f>
        <v>1595559.87921711</v>
      </c>
      <c r="O9" s="14" t="n">
        <f aca="false">IF($E9="y",N9/K9,"")</f>
        <v>0.169876535178308</v>
      </c>
      <c r="P9" s="14" t="n">
        <f aca="false">IF($E9="y",N9/N$8-1,"")</f>
        <v>-0.0360059473279319</v>
      </c>
    </row>
    <row r="10" customFormat="false" ht="15" hidden="false" customHeight="false" outlineLevel="0" collapsed="false">
      <c r="A10" s="6" t="s">
        <v>184</v>
      </c>
      <c r="B10" s="6" t="s">
        <v>185</v>
      </c>
      <c r="C10" s="6" t="s">
        <v>174</v>
      </c>
      <c r="D10" s="13" t="n">
        <v>6</v>
      </c>
      <c r="E10" s="6" t="s">
        <v>175</v>
      </c>
      <c r="F10" s="8" t="n">
        <f aca="false">SUMIFS(nii_simulation!$E:$E,nii_simulation!$A:$A,$A10,nii_simulation!$B:$B,"&lt;=12")</f>
        <v>334873.414657981</v>
      </c>
      <c r="G10" s="8" t="n">
        <f aca="false">SUMIFS(nii_simulation!$E:$E,nii_simulation!$A:$A,$A10,nii_simulation!$B:$B,"&gt;12")</f>
        <v>341860.890406652</v>
      </c>
      <c r="H10" s="14" t="n">
        <f aca="false">F10/F$8-1</f>
        <v>0.0223940684251116</v>
      </c>
      <c r="I10" s="14" t="n">
        <f aca="false">G10/G$8-1</f>
        <v>0.00880764962342773</v>
      </c>
      <c r="J10" s="8" t="n">
        <f aca="false">SUMIFS(nii_simulation!$G:$G,nii_simulation!$A:$A,$A10,nii_simulation!$B:$B,"&lt;=12")</f>
        <v>145632.034472359</v>
      </c>
      <c r="K10" s="8" t="n">
        <f aca="false">IF($E10="y",SUMIFS(nev!$E:$E,nev!$A:$A,$A10,nev!$C:$C,"asset"),"")</f>
        <v>9160585.43925807</v>
      </c>
      <c r="L10" s="8" t="n">
        <f aca="false">IF($E10="y",SUMIFS(nev!$E:$E,nev!$A:$A,$A10,nev!$C:$C,"liability"),"")</f>
        <v>7624316.76595827</v>
      </c>
      <c r="M10" s="8" t="n">
        <f aca="false">IF($E10="y",SUMIFS(nev!$E:$E,nev!$A:$A,$A10,nev!$C:$C,"off_balance"),"")</f>
        <v>-2880</v>
      </c>
      <c r="N10" s="15" t="n">
        <f aca="false">IF($E10="y",K10-L10+M10,"")</f>
        <v>1533388.6732998</v>
      </c>
      <c r="O10" s="14" t="n">
        <f aca="false">IF($E10="y",N10/K10,"")</f>
        <v>0.167389811870363</v>
      </c>
      <c r="P10" s="14" t="n">
        <f aca="false">IF($E10="y",N10/N$8-1,"")</f>
        <v>-0.0735681056225783</v>
      </c>
    </row>
    <row r="11" customFormat="false" ht="15" hidden="false" customHeight="false" outlineLevel="0" collapsed="false">
      <c r="A11" s="6" t="s">
        <v>186</v>
      </c>
      <c r="B11" s="6" t="s">
        <v>187</v>
      </c>
      <c r="C11" s="6" t="s">
        <v>174</v>
      </c>
      <c r="D11" s="13" t="n">
        <v>7</v>
      </c>
      <c r="E11" s="6" t="s">
        <v>175</v>
      </c>
      <c r="F11" s="8" t="n">
        <f aca="false">SUMIFS(nii_simulation!$E:$E,nii_simulation!$A:$A,$A11,nii_simulation!$B:$B,"&lt;=12")</f>
        <v>336673.003359877</v>
      </c>
      <c r="G11" s="8" t="n">
        <f aca="false">SUMIFS(nii_simulation!$E:$E,nii_simulation!$A:$A,$A11,nii_simulation!$B:$B,"&gt;12")</f>
        <v>339925.468704796</v>
      </c>
      <c r="H11" s="14" t="n">
        <f aca="false">F11/F$8-1</f>
        <v>0.027888349947288</v>
      </c>
      <c r="I11" s="14" t="n">
        <f aca="false">G11/G$8-1</f>
        <v>0.00309635513824613</v>
      </c>
      <c r="J11" s="8" t="n">
        <f aca="false">SUMIFS(nii_simulation!$G:$G,nii_simulation!$A:$A,$A11,nii_simulation!$B:$B,"&lt;=12")</f>
        <v>146621.623174255</v>
      </c>
      <c r="K11" s="8" t="n">
        <f aca="false">IF($E11="y",SUMIFS(nev!$E:$E,nev!$A:$A,$A11,nev!$C:$C,"asset"),"")</f>
        <v>8948733.27835566</v>
      </c>
      <c r="L11" s="8" t="n">
        <f aca="false">IF($E11="y",SUMIFS(nev!$E:$E,nev!$A:$A,$A11,nev!$C:$C,"liability"),"")</f>
        <v>7466033.07155618</v>
      </c>
      <c r="M11" s="8" t="n">
        <f aca="false">IF($E11="y",SUMIFS(nev!$E:$E,nev!$A:$A,$A11,nev!$C:$C,"off_balance"),"")</f>
        <v>-4320</v>
      </c>
      <c r="N11" s="15" t="n">
        <f aca="false">IF($E11="y",K11-L11+M11,"")</f>
        <v>1478380.20679949</v>
      </c>
      <c r="O11" s="14" t="n">
        <f aca="false">IF($E11="y",N11/K11,"")</f>
        <v>0.165205528069012</v>
      </c>
      <c r="P11" s="14" t="n">
        <f aca="false">IF($E11="y",N11/N$8-1,"")</f>
        <v>-0.106802730811907</v>
      </c>
    </row>
    <row r="12" customFormat="false" ht="15" hidden="false" customHeight="false" outlineLevel="0" collapsed="false">
      <c r="A12" s="6" t="s">
        <v>188</v>
      </c>
      <c r="B12" s="6" t="s">
        <v>189</v>
      </c>
      <c r="C12" s="6" t="s">
        <v>174</v>
      </c>
      <c r="D12" s="13" t="n">
        <v>8</v>
      </c>
      <c r="E12" s="6" t="s">
        <v>175</v>
      </c>
      <c r="F12" s="8" t="n">
        <f aca="false">SUMIFS(nii_simulation!$E:$E,nii_simulation!$A:$A,$A12,nii_simulation!$B:$B,"&lt;=12")</f>
        <v>337181.825034078</v>
      </c>
      <c r="G12" s="8" t="n">
        <f aca="false">SUMIFS(nii_simulation!$E:$E,nii_simulation!$A:$A,$A12,nii_simulation!$B:$B,"&gt;12")</f>
        <v>335695.317485142</v>
      </c>
      <c r="H12" s="14" t="n">
        <f aca="false">F12/F$8-1</f>
        <v>0.0294418213153276</v>
      </c>
      <c r="I12" s="14" t="n">
        <f aca="false">G12/G$8-1</f>
        <v>-0.00938652614242486</v>
      </c>
      <c r="J12" s="8" t="n">
        <f aca="false">SUMIFS(nii_simulation!$G:$G,nii_simulation!$A:$A,$A12,nii_simulation!$B:$B,"&lt;=12")</f>
        <v>147130.444848456</v>
      </c>
      <c r="K12" s="8" t="n">
        <f aca="false">IF($E12="y",SUMIFS(nev!$E:$E,nev!$A:$A,$A12,nev!$C:$C,"asset"),"")</f>
        <v>8752158.47607948</v>
      </c>
      <c r="L12" s="8" t="n">
        <f aca="false">IF($E12="y",SUMIFS(nev!$E:$E,nev!$A:$A,$A12,nev!$C:$C,"liability"),"")</f>
        <v>7319145.65845933</v>
      </c>
      <c r="M12" s="8" t="n">
        <f aca="false">IF($E12="y",SUMIFS(nev!$E:$E,nev!$A:$A,$A12,nev!$C:$C,"off_balance"),"")</f>
        <v>-5760</v>
      </c>
      <c r="N12" s="15" t="n">
        <f aca="false">IF($E12="y",K12-L12+M12,"")</f>
        <v>1427252.81762015</v>
      </c>
      <c r="O12" s="14" t="n">
        <f aca="false">IF($E12="y",N12/K12,"")</f>
        <v>0.163074380053901</v>
      </c>
      <c r="P12" s="14" t="n">
        <f aca="false">IF($E12="y",N12/N$8-1,"")</f>
        <v>-0.137692514228693</v>
      </c>
    </row>
    <row r="13" customFormat="false" ht="15" hidden="false" customHeight="false" outlineLevel="0" collapsed="false">
      <c r="A13" s="6" t="s">
        <v>190</v>
      </c>
      <c r="B13" s="6" t="s">
        <v>191</v>
      </c>
      <c r="C13" s="6" t="s">
        <v>192</v>
      </c>
      <c r="D13" s="13" t="n">
        <v>9</v>
      </c>
      <c r="E13" s="6" t="s">
        <v>193</v>
      </c>
      <c r="F13" s="8" t="n">
        <f aca="false">SUMIFS(nii_simulation!$E:$E,nii_simulation!$A:$A,$A13,nii_simulation!$B:$B,"&lt;=12")</f>
        <v>314725.676267437</v>
      </c>
      <c r="G13" s="8" t="n">
        <f aca="false">SUMIFS(nii_simulation!$E:$E,nii_simulation!$A:$A,$A13,nii_simulation!$B:$B,"&gt;12")</f>
        <v>314702.027738935</v>
      </c>
      <c r="H13" s="14" t="n">
        <f aca="false">F13/F$8-1</f>
        <v>-0.0391185131087563</v>
      </c>
      <c r="I13" s="14" t="n">
        <f aca="false">G13/G$8-1</f>
        <v>-0.0713362603209768</v>
      </c>
      <c r="J13" s="8" t="n">
        <f aca="false">SUMIFS(nii_simulation!$G:$G,nii_simulation!$A:$A,$A13,nii_simulation!$B:$B,"&lt;=12")</f>
        <v>130209.296081815</v>
      </c>
      <c r="K13" s="8" t="str">
        <f aca="false">IF($E13="y",SUMIFS(nev!$E:$E,nev!$A:$A,$A13,nev!$C:$C,"asset"),"")</f>
        <v/>
      </c>
      <c r="L13" s="8" t="str">
        <f aca="false">IF($E13="y",SUMIFS(nev!$E:$E,nev!$A:$A,$A13,nev!$C:$C,"liability"),"")</f>
        <v/>
      </c>
      <c r="M13" s="8" t="str">
        <f aca="false">IF($E13="y",SUMIFS(nev!$E:$E,nev!$A:$A,$A13,nev!$C:$C,"off_balance"),"")</f>
        <v/>
      </c>
      <c r="N13" s="15" t="str">
        <f aca="false">IF($E13="y",K13-L13+M13,"")</f>
        <v/>
      </c>
      <c r="O13" s="14" t="str">
        <f aca="false">IF($E13="y",N13/K13,"")</f>
        <v/>
      </c>
      <c r="P13" s="14" t="str">
        <f aca="false">IF($E13="y",N13/N$8-1,"")</f>
        <v/>
      </c>
    </row>
    <row r="14" customFormat="false" ht="15" hidden="false" customHeight="false" outlineLevel="0" collapsed="false">
      <c r="A14" s="6" t="s">
        <v>194</v>
      </c>
      <c r="B14" s="6" t="s">
        <v>195</v>
      </c>
      <c r="C14" s="6" t="s">
        <v>192</v>
      </c>
      <c r="D14" s="13" t="n">
        <v>10</v>
      </c>
      <c r="E14" s="6" t="s">
        <v>193</v>
      </c>
      <c r="F14" s="8" t="n">
        <f aca="false">SUMIFS(nii_simulation!$E:$E,nii_simulation!$A:$A,$A14,nii_simulation!$B:$B,"&lt;=12")</f>
        <v>321189.643212575</v>
      </c>
      <c r="G14" s="8" t="n">
        <f aca="false">SUMIFS(nii_simulation!$E:$E,nii_simulation!$A:$A,$A14,nii_simulation!$B:$B,"&gt;12")</f>
        <v>327956.038870646</v>
      </c>
      <c r="H14" s="14" t="n">
        <f aca="false">F14/F$8-1</f>
        <v>-0.0193835291598071</v>
      </c>
      <c r="I14" s="14" t="n">
        <f aca="false">G14/G$8-1</f>
        <v>-0.0322245976737537</v>
      </c>
      <c r="J14" s="8" t="n">
        <f aca="false">SUMIFS(nii_simulation!$G:$G,nii_simulation!$A:$A,$A14,nii_simulation!$B:$B,"&lt;=12")</f>
        <v>135930.763026953</v>
      </c>
      <c r="K14" s="8" t="str">
        <f aca="false">IF($E14="y",SUMIFS(nev!$E:$E,nev!$A:$A,$A14,nev!$C:$C,"asset"),"")</f>
        <v/>
      </c>
      <c r="L14" s="8" t="str">
        <f aca="false">IF($E14="y",SUMIFS(nev!$E:$E,nev!$A:$A,$A14,nev!$C:$C,"liability"),"")</f>
        <v/>
      </c>
      <c r="M14" s="8" t="str">
        <f aca="false">IF($E14="y",SUMIFS(nev!$E:$E,nev!$A:$A,$A14,nev!$C:$C,"off_balance"),"")</f>
        <v/>
      </c>
      <c r="N14" s="15" t="str">
        <f aca="false">IF($E14="y",K14-L14+M14,"")</f>
        <v/>
      </c>
      <c r="O14" s="14" t="str">
        <f aca="false">IF($E14="y",N14/K14,"")</f>
        <v/>
      </c>
      <c r="P14" s="14" t="str">
        <f aca="false">IF($E14="y",N14/N$8-1,"")</f>
        <v/>
      </c>
    </row>
    <row r="15" customFormat="false" ht="15" hidden="false" customHeight="false" outlineLevel="0" collapsed="false">
      <c r="A15" s="6" t="s">
        <v>196</v>
      </c>
      <c r="B15" s="6" t="s">
        <v>197</v>
      </c>
      <c r="C15" s="6" t="s">
        <v>192</v>
      </c>
      <c r="D15" s="13" t="n">
        <v>11</v>
      </c>
      <c r="E15" s="6" t="s">
        <v>193</v>
      </c>
      <c r="F15" s="8" t="n">
        <f aca="false">SUMIFS(nii_simulation!$E:$E,nii_simulation!$A:$A,$A15,nii_simulation!$B:$B,"&lt;=12")</f>
        <v>330947.121518117</v>
      </c>
      <c r="G15" s="8" t="n">
        <f aca="false">SUMIFS(nii_simulation!$E:$E,nii_simulation!$A:$A,$A15,nii_simulation!$B:$B,"&gt;12")</f>
        <v>340381.64842599</v>
      </c>
      <c r="H15" s="14" t="n">
        <f aca="false">F15/F$8-1</f>
        <v>0.0104067960965659</v>
      </c>
      <c r="I15" s="14" t="n">
        <f aca="false">G15/G$8-1</f>
        <v>0.00444250968606808</v>
      </c>
      <c r="J15" s="8" t="n">
        <f aca="false">SUMIFS(nii_simulation!$G:$G,nii_simulation!$A:$A,$A15,nii_simulation!$B:$B,"&lt;=12")</f>
        <v>144203.241332495</v>
      </c>
      <c r="K15" s="8" t="str">
        <f aca="false">IF($E15="y",SUMIFS(nev!$E:$E,nev!$A:$A,$A15,nev!$C:$C,"asset"),"")</f>
        <v/>
      </c>
      <c r="L15" s="8" t="str">
        <f aca="false">IF($E15="y",SUMIFS(nev!$E:$E,nev!$A:$A,$A15,nev!$C:$C,"liability"),"")</f>
        <v/>
      </c>
      <c r="M15" s="8" t="str">
        <f aca="false">IF($E15="y",SUMIFS(nev!$E:$E,nev!$A:$A,$A15,nev!$C:$C,"off_balance"),"")</f>
        <v/>
      </c>
      <c r="N15" s="15" t="str">
        <f aca="false">IF($E15="y",K15-L15+M15,"")</f>
        <v/>
      </c>
      <c r="O15" s="14" t="str">
        <f aca="false">IF($E15="y",N15/K15,"")</f>
        <v/>
      </c>
      <c r="P15" s="14" t="str">
        <f aca="false">IF($E15="y",N15/N$8-1,"")</f>
        <v/>
      </c>
    </row>
    <row r="16" customFormat="false" ht="15" hidden="false" customHeight="false" outlineLevel="0" collapsed="false">
      <c r="A16" s="6" t="s">
        <v>198</v>
      </c>
      <c r="B16" s="6" t="s">
        <v>199</v>
      </c>
      <c r="C16" s="6" t="s">
        <v>192</v>
      </c>
      <c r="D16" s="13" t="n">
        <v>12</v>
      </c>
      <c r="E16" s="6" t="s">
        <v>193</v>
      </c>
      <c r="F16" s="8" t="n">
        <f aca="false">SUMIFS(nii_simulation!$E:$E,nii_simulation!$A:$A,$A16,nii_simulation!$B:$B,"&lt;=12")</f>
        <v>333715.685230225</v>
      </c>
      <c r="G16" s="8" t="n">
        <f aca="false">SUMIFS(nii_simulation!$E:$E,nii_simulation!$A:$A,$A16,nii_simulation!$B:$B,"&gt;12")</f>
        <v>338983.826232221</v>
      </c>
      <c r="H16" s="14" t="n">
        <f aca="false">F16/F$8-1</f>
        <v>0.0188594322074591</v>
      </c>
      <c r="I16" s="14" t="n">
        <f aca="false">G16/G$8-1</f>
        <v>0.000317633862425559</v>
      </c>
      <c r="J16" s="8" t="n">
        <f aca="false">SUMIFS(nii_simulation!$G:$G,nii_simulation!$A:$A,$A16,nii_simulation!$B:$B,"&lt;=12")</f>
        <v>146229.305044603</v>
      </c>
      <c r="K16" s="8" t="str">
        <f aca="false">IF($E16="y",SUMIFS(nev!$E:$E,nev!$A:$A,$A16,nev!$C:$C,"asset"),"")</f>
        <v/>
      </c>
      <c r="L16" s="8" t="str">
        <f aca="false">IF($E16="y",SUMIFS(nev!$E:$E,nev!$A:$A,$A16,nev!$C:$C,"liability"),"")</f>
        <v/>
      </c>
      <c r="M16" s="8" t="str">
        <f aca="false">IF($E16="y",SUMIFS(nev!$E:$E,nev!$A:$A,$A16,nev!$C:$C,"off_balance"),"")</f>
        <v/>
      </c>
      <c r="N16" s="15" t="str">
        <f aca="false">IF($E16="y",K16-L16+M16,"")</f>
        <v/>
      </c>
      <c r="O16" s="14" t="str">
        <f aca="false">IF($E16="y",N16/K16,"")</f>
        <v/>
      </c>
      <c r="P16" s="14" t="str">
        <f aca="false">IF($E16="y",N16/N$8-1,"")</f>
        <v/>
      </c>
    </row>
    <row r="17" customFormat="false" ht="15" hidden="false" customHeight="false" outlineLevel="0" collapsed="false">
      <c r="A17" s="6" t="s">
        <v>200</v>
      </c>
      <c r="B17" s="6" t="s">
        <v>201</v>
      </c>
      <c r="C17" s="6" t="s">
        <v>202</v>
      </c>
      <c r="D17" s="13" t="n">
        <v>13</v>
      </c>
      <c r="E17" s="6" t="s">
        <v>175</v>
      </c>
      <c r="F17" s="8" t="n">
        <f aca="false">SUMIFS(nii_simulation!$E:$E,nii_simulation!$A:$A,$A17,nii_simulation!$B:$B,"&lt;=12")</f>
        <v>331286.21986101</v>
      </c>
      <c r="G17" s="8" t="n">
        <f aca="false">SUMIFS(nii_simulation!$E:$E,nii_simulation!$A:$A,$A17,nii_simulation!$B:$B,"&gt;12")</f>
        <v>345280.480938774</v>
      </c>
      <c r="H17" s="14" t="n">
        <f aca="false">F17/F$8-1</f>
        <v>0.0114420891930331</v>
      </c>
      <c r="I17" s="14" t="n">
        <f aca="false">G17/G$8-1</f>
        <v>0.0188986228356061</v>
      </c>
      <c r="J17" s="8" t="n">
        <f aca="false">SUMIFS(nii_simulation!$G:$G,nii_simulation!$A:$A,$A17,nii_simulation!$B:$B,"&lt;=12")</f>
        <v>142854.839675388</v>
      </c>
      <c r="K17" s="8" t="n">
        <f aca="false">IF($E17="y",SUMIFS(nev!$E:$E,nev!$A:$A,$A17,nev!$C:$C,"asset"),"")</f>
        <v>9298207.21628696</v>
      </c>
      <c r="L17" s="8" t="n">
        <f aca="false">IF($E17="y",SUMIFS(nev!$E:$E,nev!$A:$A,$A17,nev!$C:$C,"liability"),"")</f>
        <v>7745541.68106163</v>
      </c>
      <c r="M17" s="8" t="n">
        <f aca="false">IF($E17="y",SUMIFS(nev!$E:$E,nev!$A:$A,$A17,nev!$C:$C,"off_balance"),"")</f>
        <v>-1421.53846153846</v>
      </c>
      <c r="N17" s="15" t="n">
        <f aca="false">IF($E17="y",K17-L17+M17,"")</f>
        <v>1551243.99676379</v>
      </c>
      <c r="O17" s="14" t="n">
        <f aca="false">IF($E17="y",N17/K17,"")</f>
        <v>0.166832590485465</v>
      </c>
      <c r="P17" s="14" t="n">
        <f aca="false">IF($E17="y",N17/N$8-1,"")</f>
        <v>-0.0627804029158191</v>
      </c>
    </row>
    <row r="18" customFormat="false" ht="15" hidden="false" customHeight="false" outlineLevel="0" collapsed="false">
      <c r="A18" s="6" t="s">
        <v>203</v>
      </c>
      <c r="B18" s="6" t="s">
        <v>204</v>
      </c>
      <c r="C18" s="6" t="s">
        <v>202</v>
      </c>
      <c r="D18" s="13" t="n">
        <v>14</v>
      </c>
      <c r="E18" s="6" t="s">
        <v>175</v>
      </c>
      <c r="F18" s="8" t="n">
        <f aca="false">SUMIFS(nii_simulation!$E:$E,nii_simulation!$A:$A,$A18,nii_simulation!$B:$B,"&lt;=12")</f>
        <v>326104.381324479</v>
      </c>
      <c r="G18" s="8" t="n">
        <f aca="false">SUMIFS(nii_simulation!$E:$E,nii_simulation!$A:$A,$A18,nii_simulation!$B:$B,"&gt;12")</f>
        <v>334128.633731424</v>
      </c>
      <c r="H18" s="14" t="n">
        <f aca="false">F18/F$8-1</f>
        <v>-0.00437845896453337</v>
      </c>
      <c r="I18" s="14" t="n">
        <f aca="false">G18/G$8-1</f>
        <v>-0.0140097006547582</v>
      </c>
      <c r="J18" s="8" t="n">
        <f aca="false">SUMIFS(nii_simulation!$G:$G,nii_simulation!$A:$A,$A18,nii_simulation!$B:$B,"&lt;=12")</f>
        <v>141723.001138857</v>
      </c>
      <c r="K18" s="8" t="n">
        <f aca="false">IF($E18="y",SUMIFS(nev!$E:$E,nev!$A:$A,$A18,nev!$C:$C,"asset"),"")</f>
        <v>9868883.18294465</v>
      </c>
      <c r="L18" s="8" t="n">
        <f aca="false">IF($E18="y",SUMIFS(nev!$E:$E,nev!$A:$A,$A18,nev!$C:$C,"liability"),"")</f>
        <v>8140831.72531371</v>
      </c>
      <c r="M18" s="8" t="n">
        <f aca="false">IF($E18="y",SUMIFS(nev!$E:$E,nev!$A:$A,$A18,nev!$C:$C,"off_balance"),"")</f>
        <v>438.461538461539</v>
      </c>
      <c r="N18" s="15" t="n">
        <f aca="false">IF($E18="y",K18-L18+M18,"")</f>
        <v>1728489.9191694</v>
      </c>
      <c r="O18" s="14" t="n">
        <f aca="false">IF($E18="y",N18/K18,"")</f>
        <v>0.175145443220623</v>
      </c>
      <c r="P18" s="14" t="n">
        <f aca="false">IF($E18="y",N18/N$8-1,"")</f>
        <v>0.0443067815170295</v>
      </c>
    </row>
    <row r="19" customFormat="false" ht="15" hidden="false" customHeight="false" outlineLevel="0" collapsed="false">
      <c r="A19" s="6" t="s">
        <v>205</v>
      </c>
      <c r="B19" s="6" t="s">
        <v>206</v>
      </c>
      <c r="C19" s="6" t="s">
        <v>202</v>
      </c>
      <c r="D19" s="13" t="n">
        <v>15</v>
      </c>
      <c r="E19" s="6" t="s">
        <v>175</v>
      </c>
      <c r="F19" s="8" t="n">
        <f aca="false">SUMIFS(nii_simulation!$E:$E,nii_simulation!$A:$A,$A19,nii_simulation!$B:$B,"&lt;=12")</f>
        <v>332682.209480202</v>
      </c>
      <c r="G19" s="8" t="n">
        <f aca="false">SUMIFS(nii_simulation!$E:$E,nii_simulation!$A:$A,$A19,nii_simulation!$B:$B,"&gt;12")</f>
        <v>335258.01992261</v>
      </c>
      <c r="H19" s="14" t="n">
        <f aca="false">F19/F$8-1</f>
        <v>0.0157041519420369</v>
      </c>
      <c r="I19" s="14" t="n">
        <f aca="false">G19/G$8-1</f>
        <v>-0.01067696075669</v>
      </c>
      <c r="J19" s="8" t="n">
        <f aca="false">SUMIFS(nii_simulation!$G:$G,nii_simulation!$A:$A,$A19,nii_simulation!$B:$B,"&lt;=12")</f>
        <v>145870.82929458</v>
      </c>
      <c r="K19" s="8" t="n">
        <f aca="false">IF($E19="y",SUMIFS(nev!$E:$E,nev!$A:$A,$A19,nev!$C:$C,"asset"),"")</f>
        <v>9470243.90352063</v>
      </c>
      <c r="L19" s="8" t="n">
        <f aca="false">IF($E19="y",SUMIFS(nev!$E:$E,nev!$A:$A,$A19,nev!$C:$C,"liability"),"")</f>
        <v>7818933.08815484</v>
      </c>
      <c r="M19" s="8" t="n">
        <f aca="false">IF($E19="y",SUMIFS(nev!$E:$E,nev!$A:$A,$A19,nev!$C:$C,"off_balance"),"")</f>
        <v>-1920</v>
      </c>
      <c r="N19" s="15" t="n">
        <f aca="false">IF($E19="y",K19-L19+M19,"")</f>
        <v>1649390.81536579</v>
      </c>
      <c r="O19" s="14" t="n">
        <f aca="false">IF($E19="y",N19/K19,"")</f>
        <v>0.174165610956716</v>
      </c>
      <c r="P19" s="14" t="n">
        <f aca="false">IF($E19="y",N19/N$8-1,"")</f>
        <v>-0.00348275407581999</v>
      </c>
    </row>
    <row r="20" customFormat="false" ht="15" hidden="false" customHeight="false" outlineLevel="0" collapsed="false">
      <c r="A20" s="6" t="s">
        <v>207</v>
      </c>
      <c r="B20" s="6" t="s">
        <v>208</v>
      </c>
      <c r="C20" s="6" t="s">
        <v>209</v>
      </c>
      <c r="D20" s="13" t="n">
        <v>16</v>
      </c>
      <c r="E20" s="6" t="s">
        <v>175</v>
      </c>
      <c r="F20" s="8" t="n">
        <f aca="false">SUMIFS(nii_simulation!$E:$E,nii_simulation!$A:$A,$A20,nii_simulation!$B:$B,"&lt;=12")</f>
        <v>329245.392314615</v>
      </c>
      <c r="G20" s="8" t="n">
        <f aca="false">SUMIFS(nii_simulation!$E:$E,nii_simulation!$A:$A,$A20,nii_simulation!$B:$B,"&gt;12")</f>
        <v>343841.531878306</v>
      </c>
      <c r="H20" s="14" t="n">
        <f aca="false">F20/F$8-1</f>
        <v>0.00521128708459062</v>
      </c>
      <c r="I20" s="14" t="n">
        <f aca="false">G20/G$8-1</f>
        <v>0.0146523844961108</v>
      </c>
      <c r="J20" s="8" t="n">
        <f aca="false">SUMIFS(nii_simulation!$G:$G,nii_simulation!$A:$A,$A20,nii_simulation!$B:$B,"&lt;=12")</f>
        <v>141915.612128993</v>
      </c>
      <c r="K20" s="8" t="n">
        <f aca="false">IF($E20="y",SUMIFS(nev!$E:$E,nev!$A:$A,$A20,nev!$C:$C,"asset"),"")</f>
        <v>9409416.03007597</v>
      </c>
      <c r="L20" s="8" t="n">
        <f aca="false">IF($E20="y",SUMIFS(nev!$E:$E,nev!$A:$A,$A20,nev!$C:$C,"liability"),"")</f>
        <v>7810593.69364477</v>
      </c>
      <c r="M20" s="8" t="n">
        <f aca="false">IF($E20="y",SUMIFS(nev!$E:$E,nev!$A:$A,$A20,nev!$C:$C,"off_balance"),"")</f>
        <v>-1252.8</v>
      </c>
      <c r="N20" s="15" t="n">
        <f aca="false">IF($E20="y",K20-L20+M20,"")</f>
        <v>1597569.5364312</v>
      </c>
      <c r="O20" s="14" t="n">
        <f aca="false">IF($E20="y",N20/K20,"")</f>
        <v>0.169784132333481</v>
      </c>
      <c r="P20" s="14" t="n">
        <f aca="false">IF($E20="y",N20/N$8-1,"")</f>
        <v>-0.034791766884114</v>
      </c>
    </row>
    <row r="21" customFormat="false" ht="15" hidden="false" customHeight="false" outlineLevel="0" collapsed="false">
      <c r="A21" s="6" t="s">
        <v>210</v>
      </c>
      <c r="B21" s="6" t="s">
        <v>211</v>
      </c>
      <c r="C21" s="6" t="s">
        <v>209</v>
      </c>
      <c r="D21" s="13" t="n">
        <v>17</v>
      </c>
      <c r="E21" s="6" t="s">
        <v>193</v>
      </c>
      <c r="F21" s="8" t="n">
        <f aca="false">SUMIFS(nii_simulation!$E:$E,nii_simulation!$A:$A,$A21,nii_simulation!$B:$B,"&lt;=12")</f>
        <v>331030.710468986</v>
      </c>
      <c r="G21" s="8" t="n">
        <f aca="false">SUMIFS(nii_simulation!$E:$E,nii_simulation!$A:$A,$A21,nii_simulation!$B:$B,"&gt;12")</f>
        <v>342829.139796548</v>
      </c>
      <c r="H21" s="14" t="n">
        <f aca="false">F21/F$8-1</f>
        <v>0.0106619995370705</v>
      </c>
      <c r="I21" s="14" t="n">
        <f aca="false">G21/G$8-1</f>
        <v>0.011664886056963</v>
      </c>
      <c r="J21" s="8" t="n">
        <f aca="false">SUMIFS(nii_simulation!$G:$G,nii_simulation!$A:$A,$A21,nii_simulation!$B:$B,"&lt;=12")</f>
        <v>143657.730283364</v>
      </c>
      <c r="K21" s="8" t="str">
        <f aca="false">IF($E21="y",SUMIFS(nev!$E:$E,nev!$A:$A,$A21,nev!$C:$C,"asset"),"")</f>
        <v/>
      </c>
      <c r="L21" s="8" t="str">
        <f aca="false">IF($E21="y",SUMIFS(nev!$E:$E,nev!$A:$A,$A21,nev!$C:$C,"liability"),"")</f>
        <v/>
      </c>
      <c r="M21" s="8" t="str">
        <f aca="false">IF($E21="y",SUMIFS(nev!$E:$E,nev!$A:$A,$A21,nev!$C:$C,"off_balance"),"")</f>
        <v/>
      </c>
      <c r="N21" s="15" t="str">
        <f aca="false">IF($E21="y",K21-L21+M21,"")</f>
        <v/>
      </c>
      <c r="O21" s="14" t="str">
        <f aca="false">IF($E21="y",N21/K21,"")</f>
        <v/>
      </c>
      <c r="P21" s="14" t="str">
        <f aca="false">IF($E21="y",N21/N$8-1,"")</f>
        <v/>
      </c>
    </row>
    <row r="22" customFormat="false" ht="15" hidden="false" customHeight="false" outlineLevel="0" collapsed="false">
      <c r="A22" s="6" t="s">
        <v>212</v>
      </c>
      <c r="B22" s="6" t="s">
        <v>213</v>
      </c>
      <c r="C22" s="6" t="s">
        <v>209</v>
      </c>
      <c r="D22" s="13" t="n">
        <v>18</v>
      </c>
      <c r="E22" s="6" t="s">
        <v>193</v>
      </c>
      <c r="F22" s="8" t="n">
        <f aca="false">SUMIFS(nii_simulation!$E:$E,nii_simulation!$A:$A,$A22,nii_simulation!$B:$B,"&lt;=12")</f>
        <v>332524.17428782</v>
      </c>
      <c r="G22" s="8" t="n">
        <f aca="false">SUMIFS(nii_simulation!$E:$E,nii_simulation!$A:$A,$A22,nii_simulation!$B:$B,"&gt;12")</f>
        <v>340795.269467226</v>
      </c>
      <c r="H22" s="14" t="n">
        <f aca="false">F22/F$8-1</f>
        <v>0.0152216584498037</v>
      </c>
      <c r="I22" s="14" t="n">
        <f aca="false">G22/G$8-1</f>
        <v>0.00566307653695075</v>
      </c>
      <c r="J22" s="8" t="n">
        <f aca="false">SUMIFS(nii_simulation!$G:$G,nii_simulation!$A:$A,$A22,nii_simulation!$B:$B,"&lt;=12")</f>
        <v>123904.878632563</v>
      </c>
      <c r="K22" s="8" t="str">
        <f aca="false">IF($E22="y",SUMIFS(nev!$E:$E,nev!$A:$A,$A22,nev!$C:$C,"asset"),"")</f>
        <v/>
      </c>
      <c r="L22" s="8" t="str">
        <f aca="false">IF($E22="y",SUMIFS(nev!$E:$E,nev!$A:$A,$A22,nev!$C:$C,"liability"),"")</f>
        <v/>
      </c>
      <c r="M22" s="8" t="str">
        <f aca="false">IF($E22="y",SUMIFS(nev!$E:$E,nev!$A:$A,$A22,nev!$C:$C,"off_balance"),"")</f>
        <v/>
      </c>
      <c r="N22" s="15" t="str">
        <f aca="false">IF($E22="y",K22-L22+M22,"")</f>
        <v/>
      </c>
      <c r="O22" s="14" t="str">
        <f aca="false">IF($E22="y",N22/K22,"")</f>
        <v/>
      </c>
      <c r="P22" s="14" t="str">
        <f aca="false">IF($E22="y",N22/N$8-1,"")</f>
        <v/>
      </c>
    </row>
    <row r="23" customFormat="false" ht="15" hidden="false" customHeight="false" outlineLevel="0" collapsed="false">
      <c r="A23" s="6" t="s">
        <v>214</v>
      </c>
      <c r="B23" s="6" t="s">
        <v>215</v>
      </c>
      <c r="C23" s="6" t="s">
        <v>209</v>
      </c>
      <c r="D23" s="13" t="n">
        <v>19</v>
      </c>
      <c r="E23" s="6" t="s">
        <v>193</v>
      </c>
      <c r="F23" s="8" t="n">
        <f aca="false">SUMIFS(nii_simulation!$E:$E,nii_simulation!$A:$A,$A23,nii_simulation!$B:$B,"&lt;=12")</f>
        <v>315228.967183794</v>
      </c>
      <c r="G23" s="8" t="n">
        <f aca="false">SUMIFS(nii_simulation!$E:$E,nii_simulation!$A:$A,$A23,nii_simulation!$B:$B,"&gt;12")</f>
        <v>319005.002054285</v>
      </c>
      <c r="H23" s="14" t="n">
        <f aca="false">F23/F$8-1</f>
        <v>-0.0375819275661228</v>
      </c>
      <c r="I23" s="14" t="n">
        <f aca="false">G23/G$8-1</f>
        <v>-0.0586384831628618</v>
      </c>
      <c r="J23" s="8" t="n">
        <f aca="false">SUMIFS(nii_simulation!$G:$G,nii_simulation!$A:$A,$A23,nii_simulation!$B:$B,"&lt;=12")</f>
        <v>95518.9315387753</v>
      </c>
      <c r="K23" s="8" t="str">
        <f aca="false">IF($E23="y",SUMIFS(nev!$E:$E,nev!$A:$A,$A23,nev!$C:$C,"asset"),"")</f>
        <v/>
      </c>
      <c r="L23" s="8" t="str">
        <f aca="false">IF($E23="y",SUMIFS(nev!$E:$E,nev!$A:$A,$A23,nev!$C:$C,"liability"),"")</f>
        <v/>
      </c>
      <c r="M23" s="8" t="str">
        <f aca="false">IF($E23="y",SUMIFS(nev!$E:$E,nev!$A:$A,$A23,nev!$C:$C,"off_balance"),"")</f>
        <v/>
      </c>
      <c r="N23" s="15" t="str">
        <f aca="false">IF($E23="y",K23-L23+M23,"")</f>
        <v/>
      </c>
      <c r="O23" s="14" t="str">
        <f aca="false">IF($E23="y",N23/K23,"")</f>
        <v/>
      </c>
      <c r="P23" s="14" t="str">
        <f aca="false">IF($E23="y",N23/N$8-1,"")</f>
        <v/>
      </c>
    </row>
    <row r="24" customFormat="false" ht="15" hidden="false" customHeight="false" outlineLevel="0" collapsed="false">
      <c r="A24" s="6" t="s">
        <v>216</v>
      </c>
      <c r="B24" s="6" t="s">
        <v>217</v>
      </c>
      <c r="C24" s="6" t="s">
        <v>218</v>
      </c>
      <c r="D24" s="13" t="n">
        <v>20</v>
      </c>
      <c r="E24" s="6" t="s">
        <v>175</v>
      </c>
      <c r="F24" s="8" t="n">
        <f aca="false">SUMIFS(nii_simulation!$E:$E,nii_simulation!$A:$A,$A24,nii_simulation!$B:$B,"&lt;=12")</f>
        <v>336673.003359877</v>
      </c>
      <c r="G24" s="8" t="n">
        <f aca="false">SUMIFS(nii_simulation!$E:$E,nii_simulation!$A:$A,$A24,nii_simulation!$B:$B,"&gt;12")</f>
        <v>339925.468704796</v>
      </c>
      <c r="H24" s="14" t="n">
        <f aca="false">F24/F$8-1</f>
        <v>0.027888349947288</v>
      </c>
      <c r="I24" s="14" t="n">
        <f aca="false">G24/G$8-1</f>
        <v>0.00309635513824613</v>
      </c>
      <c r="J24" s="8" t="n">
        <f aca="false">SUMIFS(nii_simulation!$G:$G,nii_simulation!$A:$A,$A24,nii_simulation!$B:$B,"&lt;=12")</f>
        <v>146621.623174255</v>
      </c>
      <c r="K24" s="8" t="n">
        <f aca="false">IF($E24="y",SUMIFS(nev!$E:$E,nev!$A:$A,$A24,nev!$C:$C,"asset"),"")</f>
        <v>8948733.27835566</v>
      </c>
      <c r="L24" s="8" t="n">
        <f aca="false">IF($E24="y",SUMIFS(nev!$E:$E,nev!$A:$A,$A24,nev!$C:$C,"liability"),"")</f>
        <v>8581876.50710836</v>
      </c>
      <c r="M24" s="8" t="n">
        <f aca="false">IF($E24="y",SUMIFS(nev!$E:$E,nev!$A:$A,$A24,nev!$C:$C,"off_balance"),"")</f>
        <v>-4320</v>
      </c>
      <c r="N24" s="15" t="n">
        <f aca="false">IF($E24="y",K24-L24+M24,"")</f>
        <v>362536.771247309</v>
      </c>
      <c r="O24" s="14" t="n">
        <f aca="false">IF($E24="y",N24/K24,"")</f>
        <v>0.0405126356960686</v>
      </c>
      <c r="P24" s="9" t="n">
        <f aca="false">N24/SUMIFS(nev_test!$C:$C,nev_test!$A:$A,meta!$B$3,nev_test!$B:$B,"ncua_test")-1</f>
        <v>-0.503374717372172</v>
      </c>
    </row>
    <row r="26" customFormat="false" ht="15" hidden="false" customHeight="false" outlineLevel="0" collapsed="false">
      <c r="A26" s="5" t="s">
        <v>219</v>
      </c>
    </row>
    <row r="27" customFormat="false" ht="15" hidden="false" customHeight="false" outlineLevel="0" collapsed="false">
      <c r="A27" s="10" t="s">
        <v>220</v>
      </c>
      <c r="B27" s="10" t="s">
        <v>221</v>
      </c>
      <c r="C27" s="10" t="s">
        <v>222</v>
      </c>
      <c r="D27" s="10" t="s">
        <v>223</v>
      </c>
      <c r="E27" s="10" t="s">
        <v>224</v>
      </c>
      <c r="F27" s="10" t="s">
        <v>225</v>
      </c>
      <c r="G27" s="10" t="s">
        <v>226</v>
      </c>
    </row>
    <row r="28" customFormat="false" ht="15" hidden="false" customHeight="false" outlineLevel="0" collapsed="false">
      <c r="A28" s="6" t="s">
        <v>227</v>
      </c>
      <c r="B28" s="8" t="n">
        <f aca="false">SUMIFS(repricing_gap!$D:$D,repricing_gap!$A:$A,meta!$B$3,repricing_gap!$B:$B,$A28,repricing_gap!$C:$C,"asset")</f>
        <v>2751903.51086721</v>
      </c>
      <c r="C28" s="8" t="n">
        <f aca="false">SUMIFS(repricing_gap!$D:$D,repricing_gap!$A:$A,meta!$B$3,repricing_gap!$B:$B,$A28,repricing_gap!$C:$C,"liability")</f>
        <v>2230363.43229958</v>
      </c>
      <c r="D28" s="8" t="n">
        <f aca="false">SUMIFS(repricing_gap!$D:$D,repricing_gap!$A:$A,meta!$B$3,repricing_gap!$B:$B,$A28,repricing_gap!$C:$C,"equity")</f>
        <v>0</v>
      </c>
      <c r="E28" s="15" t="n">
        <f aca="false">B28-C28-D28</f>
        <v>521540.078567628</v>
      </c>
      <c r="F28" s="15" t="n">
        <f aca="false">E28</f>
        <v>521540.078567628</v>
      </c>
      <c r="G28" s="14" t="n">
        <f aca="false">F28/SUM($B$28:$B$34)</f>
        <v>0.0527455757188833</v>
      </c>
    </row>
    <row r="29" customFormat="false" ht="15" hidden="false" customHeight="false" outlineLevel="0" collapsed="false">
      <c r="A29" s="6" t="s">
        <v>228</v>
      </c>
      <c r="B29" s="8" t="n">
        <f aca="false">SUMIFS(repricing_gap!$D:$D,repricing_gap!$A:$A,meta!$B$3,repricing_gap!$B:$B,$A29,repricing_gap!$C:$C,"asset")</f>
        <v>847849.946072923</v>
      </c>
      <c r="C29" s="8" t="n">
        <f aca="false">SUMIFS(repricing_gap!$D:$D,repricing_gap!$A:$A,meta!$B$3,repricing_gap!$B:$B,$A29,repricing_gap!$C:$C,"liability")</f>
        <v>1853615.74911402</v>
      </c>
      <c r="D29" s="8" t="n">
        <f aca="false">SUMIFS(repricing_gap!$D:$D,repricing_gap!$A:$A,meta!$B$3,repricing_gap!$B:$B,$A29,repricing_gap!$C:$C,"equity")</f>
        <v>0</v>
      </c>
      <c r="E29" s="15" t="n">
        <f aca="false">B29-C29-D29</f>
        <v>-1005765.80304109</v>
      </c>
      <c r="F29" s="15" t="n">
        <f aca="false">F28+E29</f>
        <v>-484225.724473466</v>
      </c>
      <c r="G29" s="14" t="n">
        <f aca="false">F29/SUM($B$28:$B$34)</f>
        <v>-0.0489718157143209</v>
      </c>
    </row>
    <row r="30" customFormat="false" ht="15" hidden="false" customHeight="false" outlineLevel="0" collapsed="false">
      <c r="A30" s="6" t="s">
        <v>229</v>
      </c>
      <c r="B30" s="8" t="n">
        <f aca="false">SUMIFS(repricing_gap!$D:$D,repricing_gap!$A:$A,meta!$B$3,repricing_gap!$B:$B,$A30,repricing_gap!$C:$C,"asset")</f>
        <v>2132570.17940014</v>
      </c>
      <c r="C30" s="8" t="n">
        <f aca="false">SUMIFS(repricing_gap!$D:$D,repricing_gap!$A:$A,meta!$B$3,repricing_gap!$B:$B,$A30,repricing_gap!$C:$C,"liability")</f>
        <v>1753396.89254658</v>
      </c>
      <c r="D30" s="8" t="n">
        <f aca="false">SUMIFS(repricing_gap!$D:$D,repricing_gap!$A:$A,meta!$B$3,repricing_gap!$B:$B,$A30,repricing_gap!$C:$C,"equity")</f>
        <v>0</v>
      </c>
      <c r="E30" s="15" t="n">
        <f aca="false">B30-C30-D30</f>
        <v>379173.286853559</v>
      </c>
      <c r="F30" s="15" t="n">
        <f aca="false">F29+E30</f>
        <v>-105052.437619907</v>
      </c>
      <c r="G30" s="14" t="n">
        <f aca="false">F30/SUM($B$28:$B$34)</f>
        <v>-0.010624401710703</v>
      </c>
    </row>
    <row r="31" customFormat="false" ht="15" hidden="false" customHeight="false" outlineLevel="0" collapsed="false">
      <c r="A31" s="6" t="s">
        <v>230</v>
      </c>
      <c r="B31" s="8" t="n">
        <f aca="false">SUMIFS(repricing_gap!$D:$D,repricing_gap!$A:$A,meta!$B$3,repricing_gap!$B:$B,$A31,repricing_gap!$C:$C,"asset")</f>
        <v>1542013.52857031</v>
      </c>
      <c r="C31" s="8" t="n">
        <f aca="false">SUMIFS(repricing_gap!$D:$D,repricing_gap!$A:$A,meta!$B$3,repricing_gap!$B:$B,$A31,repricing_gap!$C:$C,"liability")</f>
        <v>984960.763774001</v>
      </c>
      <c r="D31" s="8" t="n">
        <f aca="false">SUMIFS(repricing_gap!$D:$D,repricing_gap!$A:$A,meta!$B$3,repricing_gap!$B:$B,$A31,repricing_gap!$C:$C,"equity")</f>
        <v>0</v>
      </c>
      <c r="E31" s="15" t="n">
        <f aca="false">B31-C31-D31</f>
        <v>557052.764796312</v>
      </c>
      <c r="F31" s="15" t="n">
        <f aca="false">F30+E31</f>
        <v>452000.327176405</v>
      </c>
      <c r="G31" s="14" t="n">
        <f aca="false">F31/SUM($B$28:$B$34)</f>
        <v>0.0457127236463221</v>
      </c>
    </row>
    <row r="32" customFormat="false" ht="15" hidden="false" customHeight="false" outlineLevel="0" collapsed="false">
      <c r="A32" s="6" t="s">
        <v>231</v>
      </c>
      <c r="B32" s="8" t="n">
        <f aca="false">SUMIFS(repricing_gap!$D:$D,repricing_gap!$A:$A,meta!$B$3,repricing_gap!$B:$B,$A32,repricing_gap!$C:$C,"asset")</f>
        <v>1122748.02601092</v>
      </c>
      <c r="C32" s="8" t="n">
        <f aca="false">SUMIFS(repricing_gap!$D:$D,repricing_gap!$A:$A,meta!$B$3,repricing_gap!$B:$B,$A32,repricing_gap!$C:$C,"liability")</f>
        <v>1190866.13791794</v>
      </c>
      <c r="D32" s="8" t="n">
        <f aca="false">SUMIFS(repricing_gap!$D:$D,repricing_gap!$A:$A,meta!$B$3,repricing_gap!$B:$B,$A32,repricing_gap!$C:$C,"equity")</f>
        <v>0</v>
      </c>
      <c r="E32" s="15" t="n">
        <f aca="false">B32-C32-D32</f>
        <v>-68118.1119070151</v>
      </c>
      <c r="F32" s="15" t="n">
        <f aca="false">F31+E32</f>
        <v>383882.21526939</v>
      </c>
      <c r="G32" s="14" t="n">
        <f aca="false">F32/SUM($B$28:$B$34)</f>
        <v>0.0388236480468273</v>
      </c>
    </row>
    <row r="33" customFormat="false" ht="15" hidden="false" customHeight="false" outlineLevel="0" collapsed="false">
      <c r="A33" s="6" t="s">
        <v>232</v>
      </c>
      <c r="B33" s="8" t="n">
        <f aca="false">SUMIFS(repricing_gap!$D:$D,repricing_gap!$A:$A,meta!$B$3,repricing_gap!$B:$B,$A33,repricing_gap!$C:$C,"asset")</f>
        <v>871798.211067418</v>
      </c>
      <c r="C33" s="8" t="n">
        <f aca="false">SUMIFS(repricing_gap!$D:$D,repricing_gap!$A:$A,meta!$B$3,repricing_gap!$B:$B,$A33,repricing_gap!$C:$C,"liability")</f>
        <v>842397.349347879</v>
      </c>
      <c r="D33" s="8" t="n">
        <f aca="false">SUMIFS(repricing_gap!$D:$D,repricing_gap!$A:$A,meta!$B$3,repricing_gap!$B:$B,$A33,repricing_gap!$C:$C,"equity")</f>
        <v>0</v>
      </c>
      <c r="E33" s="15" t="n">
        <f aca="false">B33-C33-D33</f>
        <v>29400.8617195394</v>
      </c>
      <c r="F33" s="15" t="n">
        <f aca="false">F32+E33</f>
        <v>413283.07698893</v>
      </c>
      <c r="G33" s="14" t="n">
        <f aca="false">F33/SUM($B$28:$B$34)</f>
        <v>0.0417970827678702</v>
      </c>
    </row>
    <row r="34" customFormat="false" ht="15" hidden="false" customHeight="false" outlineLevel="0" collapsed="false">
      <c r="A34" s="6" t="s">
        <v>233</v>
      </c>
      <c r="B34" s="8" t="n">
        <f aca="false">SUMIFS(repricing_gap!$D:$D,repricing_gap!$A:$A,meta!$B$3,repricing_gap!$B:$B,$A34,repricing_gap!$C:$C,"asset")</f>
        <v>618961.625</v>
      </c>
      <c r="C34" s="8" t="n">
        <f aca="false">SUMIFS(repricing_gap!$D:$D,repricing_gap!$A:$A,meta!$B$3,repricing_gap!$B:$B,$A34,repricing_gap!$C:$C,"liability")</f>
        <v>124418.196</v>
      </c>
      <c r="D34" s="8" t="n">
        <f aca="false">SUMIFS(repricing_gap!$D:$D,repricing_gap!$A:$A,meta!$B$3,repricing_gap!$B:$B,$A34,repricing_gap!$C:$C,"equity")</f>
        <v>907826.506</v>
      </c>
      <c r="E34" s="15" t="n">
        <f aca="false">B34-C34-D34</f>
        <v>-413283.077</v>
      </c>
      <c r="F34" s="15" t="n">
        <f aca="false">F33+E34</f>
        <v>-1.10703986138105E-005</v>
      </c>
      <c r="G34" s="14" t="n">
        <f aca="false">F34/SUM($B$28:$B$34)</f>
        <v>-1.1195966950932E-012</v>
      </c>
    </row>
    <row r="35" customFormat="false" ht="15" hidden="false" customHeight="false" outlineLevel="0" collapsed="false">
      <c r="A35" s="11" t="s">
        <v>234</v>
      </c>
      <c r="B35" s="16" t="n">
        <f aca="false">SUM(B28:B34)</f>
        <v>9887845.02698893</v>
      </c>
      <c r="C35" s="16" t="n">
        <f aca="false">SUM(C28:C34)</f>
        <v>8980018.521</v>
      </c>
      <c r="D35" s="16" t="n">
        <f aca="false">SUM(D28:D34)</f>
        <v>907826.506</v>
      </c>
      <c r="E35" s="16" t="n">
        <f aca="false">SUM(E28:E34)</f>
        <v>-1.10703986138105E-005</v>
      </c>
    </row>
    <row r="37" customFormat="false" ht="15" hidden="false" customHeight="false" outlineLevel="0" collapsed="false">
      <c r="A37" s="5" t="s">
        <v>235</v>
      </c>
    </row>
    <row r="38" customFormat="false" ht="15" hidden="false" customHeight="false" outlineLevel="0" collapsed="false">
      <c r="A38" s="10" t="s">
        <v>236</v>
      </c>
      <c r="B38" s="10" t="s">
        <v>237</v>
      </c>
      <c r="C38" s="10" t="s">
        <v>238</v>
      </c>
      <c r="D38" s="10" t="s">
        <v>239</v>
      </c>
    </row>
    <row r="39" customFormat="false" ht="15" hidden="false" customHeight="false" outlineLevel="0" collapsed="false">
      <c r="A39" s="6" t="s">
        <v>240</v>
      </c>
      <c r="B39" s="6" t="s">
        <v>19</v>
      </c>
      <c r="C39" s="8" t="n">
        <f aca="false">history!$B$24</f>
        <v>9887845.027</v>
      </c>
      <c r="D39" s="6" t="s">
        <v>119</v>
      </c>
    </row>
    <row r="40" customFormat="false" ht="15" hidden="false" customHeight="false" outlineLevel="0" collapsed="false">
      <c r="A40" s="6" t="s">
        <v>68</v>
      </c>
      <c r="B40" s="6" t="s">
        <v>241</v>
      </c>
      <c r="C40" s="8" t="n">
        <f aca="false">history!$C$24</f>
        <v>5305440.524</v>
      </c>
      <c r="D40" s="6" t="s">
        <v>119</v>
      </c>
    </row>
    <row r="41" customFormat="false" ht="15" hidden="false" customHeight="false" outlineLevel="0" collapsed="false">
      <c r="A41" s="6" t="s">
        <v>242</v>
      </c>
      <c r="B41" s="6" t="s">
        <v>243</v>
      </c>
      <c r="C41" s="8" t="n">
        <f aca="false">history!$D$24</f>
        <v>8855600.325</v>
      </c>
      <c r="D41" s="6" t="s">
        <v>119</v>
      </c>
    </row>
    <row r="42" customFormat="false" ht="15" hidden="false" customHeight="false" outlineLevel="0" collapsed="false">
      <c r="A42" s="6" t="s">
        <v>244</v>
      </c>
      <c r="B42" s="6" t="s">
        <v>23</v>
      </c>
      <c r="C42" s="9" t="n">
        <f aca="false">history!$O$24</f>
        <v>0.599105687846182</v>
      </c>
      <c r="D42" s="6" t="s">
        <v>119</v>
      </c>
    </row>
    <row r="43" customFormat="false" ht="15" hidden="false" customHeight="false" outlineLevel="0" collapsed="false">
      <c r="A43" s="6" t="s">
        <v>245</v>
      </c>
      <c r="B43" s="6" t="s">
        <v>246</v>
      </c>
      <c r="C43" s="9" t="n">
        <f aca="false">history!$S$24</f>
        <v>0.120958211693501</v>
      </c>
      <c r="D43" s="6" t="s">
        <v>119</v>
      </c>
    </row>
    <row r="44" customFormat="false" ht="15" hidden="false" customHeight="false" outlineLevel="0" collapsed="false">
      <c r="A44" s="6" t="s">
        <v>247</v>
      </c>
      <c r="B44" s="6" t="s">
        <v>248</v>
      </c>
      <c r="C44" s="9" t="n">
        <f aca="false">history!$U$24/history!$B$24</f>
        <v>0.117480411639546</v>
      </c>
      <c r="D44" s="6" t="s">
        <v>119</v>
      </c>
    </row>
    <row r="45" customFormat="false" ht="15" hidden="false" customHeight="false" outlineLevel="0" collapsed="false">
      <c r="A45" s="6" t="s">
        <v>249</v>
      </c>
      <c r="B45" s="6" t="s">
        <v>250</v>
      </c>
      <c r="C45" s="9" t="n">
        <f aca="false">-history!$R$24/history!$U$24</f>
        <v>0.218487825084507</v>
      </c>
      <c r="D45" s="6" t="s">
        <v>119</v>
      </c>
    </row>
    <row r="46" customFormat="false" ht="15" hidden="false" customHeight="false" outlineLevel="0" collapsed="false">
      <c r="A46" s="6" t="s">
        <v>251</v>
      </c>
      <c r="B46" s="6" t="s">
        <v>252</v>
      </c>
      <c r="C46" s="9" t="n">
        <f aca="false">history!$J$24</f>
        <v>0.0112333322415739</v>
      </c>
      <c r="D46" s="6" t="s">
        <v>119</v>
      </c>
    </row>
    <row r="47" customFormat="false" ht="15" hidden="false" customHeight="false" outlineLevel="0" collapsed="false">
      <c r="A47" s="6" t="s">
        <v>253</v>
      </c>
      <c r="B47" s="6" t="s">
        <v>254</v>
      </c>
      <c r="C47" s="9" t="n">
        <f aca="false">history!$W$24</f>
        <v>0.0145149302377561</v>
      </c>
      <c r="D47" s="6" t="s">
        <v>119</v>
      </c>
    </row>
    <row r="48" customFormat="false" ht="15" hidden="false" customHeight="false" outlineLevel="0" collapsed="false">
      <c r="A48" s="6" t="s">
        <v>255</v>
      </c>
      <c r="B48" s="6" t="s">
        <v>256</v>
      </c>
      <c r="C48" s="9" t="n">
        <f aca="false">history!$K$24</f>
        <v>0.0319197466299825</v>
      </c>
      <c r="D48" s="6" t="s">
        <v>119</v>
      </c>
    </row>
    <row r="49" customFormat="false" ht="15" hidden="false" customHeight="false" outlineLevel="0" collapsed="false">
      <c r="A49" s="6" t="s">
        <v>257</v>
      </c>
      <c r="B49" s="6" t="s">
        <v>258</v>
      </c>
      <c r="C49" s="9" t="n">
        <f aca="false">history!$L$24</f>
        <v>0.651840561573343</v>
      </c>
      <c r="D49" s="6" t="s">
        <v>119</v>
      </c>
    </row>
    <row r="50" customFormat="false" ht="15" hidden="false" customHeight="false" outlineLevel="0" collapsed="false">
      <c r="A50" s="6" t="s">
        <v>259</v>
      </c>
      <c r="B50" s="6" t="s">
        <v>260</v>
      </c>
      <c r="C50" s="17" t="n">
        <f aca="false">history!$M$24</f>
        <v>0.00465889154504449</v>
      </c>
      <c r="D50" s="6" t="s">
        <v>119</v>
      </c>
    </row>
    <row r="51" customFormat="false" ht="15" hidden="false" customHeight="false" outlineLevel="0" collapsed="false">
      <c r="A51" s="6" t="s">
        <v>261</v>
      </c>
      <c r="B51" s="6" t="s">
        <v>262</v>
      </c>
      <c r="C51" s="17" t="n">
        <f aca="false">history!$N$24</f>
        <v>0.00362698514780713</v>
      </c>
      <c r="D51" s="6" t="s">
        <v>119</v>
      </c>
    </row>
    <row r="52" customFormat="false" ht="15" hidden="false" customHeight="false" outlineLevel="0" collapsed="false">
      <c r="A52" s="6" t="s">
        <v>263</v>
      </c>
      <c r="B52" s="6" t="s">
        <v>264</v>
      </c>
      <c r="C52" s="9" t="n">
        <f aca="false">history!$P$24</f>
        <v>0.0150716261636599</v>
      </c>
      <c r="D52" s="6" t="s">
        <v>119</v>
      </c>
    </row>
    <row r="53" customFormat="false" ht="15" hidden="false" customHeight="false" outlineLevel="0" collapsed="false">
      <c r="A53" s="6" t="s">
        <v>265</v>
      </c>
      <c r="B53" s="6" t="s">
        <v>266</v>
      </c>
      <c r="C53" s="9" t="n">
        <f aca="false">(SUMIFS(balance_sheet!$E:$E,balance_sheet!$A:$A,meta!$B$3,balance_sheet!$C:$C,"cash")+SUMIFS(investments!$E:$E,investments!$A:$A,meta!$B$3))/history!$D$24</f>
        <v>0.435879103072801</v>
      </c>
      <c r="D53" s="6" t="s">
        <v>267</v>
      </c>
    </row>
    <row r="54" customFormat="false" ht="15" hidden="false" customHeight="false" outlineLevel="0" collapsed="false">
      <c r="A54" s="6" t="s">
        <v>268</v>
      </c>
      <c r="B54" s="6" t="s">
        <v>48</v>
      </c>
      <c r="C54" s="9" t="n">
        <f aca="false">(SUMIFS(loans!$D:$D,loans!$B:$B,"heloc")+SUMIFS(loans!$D:$D,loans!$B:$B,"he_fixed"))/SUM(loans!$D:$D)</f>
        <v>0.396807949589974</v>
      </c>
      <c r="D54" s="6" t="s">
        <v>68</v>
      </c>
    </row>
    <row r="55" customFormat="false" ht="15" hidden="false" customHeight="false" outlineLevel="0" collapsed="false">
      <c r="A55" s="6" t="s">
        <v>269</v>
      </c>
      <c r="B55" s="6" t="s">
        <v>46</v>
      </c>
      <c r="C55" s="9" t="n">
        <f aca="false">capital!$I$24/capital!$J$24</f>
        <v>0.716936017643624</v>
      </c>
      <c r="D55" s="6" t="s">
        <v>113</v>
      </c>
    </row>
    <row r="56" customFormat="false" ht="15" hidden="false" customHeight="false" outlineLevel="0" collapsed="false">
      <c r="A56" s="6" t="s">
        <v>270</v>
      </c>
      <c r="B56" s="6" t="s">
        <v>271</v>
      </c>
      <c r="C56" s="9" t="n">
        <f aca="false">SUMIFS(balance_sheet!$E:$E,balance_sheet!$A:$A,meta!$B$3,balance_sheet!$C:$C,"borrowings")/history!$B$24</f>
        <v>0</v>
      </c>
      <c r="D56" s="6" t="s">
        <v>62</v>
      </c>
    </row>
    <row r="57" customFormat="false" ht="15" hidden="false" customHeight="false" outlineLevel="0" collapsed="false">
      <c r="A57" s="6" t="s">
        <v>272</v>
      </c>
      <c r="B57" s="6" t="s">
        <v>273</v>
      </c>
      <c r="C57" s="14" t="n">
        <f aca="false">0</f>
        <v>0</v>
      </c>
      <c r="D57" s="6" t="s">
        <v>274</v>
      </c>
    </row>
    <row r="58" customFormat="false" ht="15" hidden="false" customHeight="false" outlineLevel="0" collapsed="false">
      <c r="A58" s="6" t="s">
        <v>275</v>
      </c>
      <c r="B58" s="6" t="s">
        <v>276</v>
      </c>
      <c r="C58" s="9" t="n">
        <f aca="false">SUMPRODUCT(deposits!$E$2:$E$100,1-deposits!$L$2:$L$100)/SUM(deposits!$E$2:$E$100)</f>
        <v>0.0862031088434425</v>
      </c>
      <c r="D58" s="6" t="s">
        <v>70</v>
      </c>
    </row>
    <row r="59" customFormat="false" ht="15" hidden="false" customHeight="false" outlineLevel="0" collapsed="false">
      <c r="A59" s="6" t="s">
        <v>277</v>
      </c>
      <c r="B59" s="6" t="s">
        <v>278</v>
      </c>
      <c r="C59" s="7" t="str">
        <f aca="false">INDEX(nev_test!$K$2:$K$100,MATCH(meta!$B$3&amp;"|internal",nev_test!$L$2:$L$100,0))</f>
        <v>Low</v>
      </c>
      <c r="D59" s="6" t="s">
        <v>95</v>
      </c>
    </row>
    <row r="60" customFormat="false" ht="15" hidden="false" customHeight="false" outlineLevel="0" collapsed="false">
      <c r="A60" s="6" t="s">
        <v>279</v>
      </c>
      <c r="B60" s="6" t="s">
        <v>280</v>
      </c>
      <c r="C60" s="7" t="str">
        <f aca="false">INDEX(nev_test!$K$2:$K$100,MATCH(meta!$B$3&amp;"|ncua_test",nev_test!$L$2:$L$100,0))</f>
        <v>Moderate</v>
      </c>
      <c r="D60" s="6" t="s">
        <v>95</v>
      </c>
    </row>
    <row r="61" customFormat="false" ht="15" hidden="false" customHeight="false" outlineLevel="0" collapsed="false">
      <c r="A61" s="6" t="s">
        <v>281</v>
      </c>
      <c r="B61" s="6" t="s">
        <v>282</v>
      </c>
      <c r="C61" s="8" t="n">
        <f aca="false">SUMIFS(securities_detail!$Q:$Q,securities_detail!$E:$E,"afs")-SUMIFS(securities_detail!$G:$G,securities_detail!$E:$E,"afs")</f>
        <v>-78226.4569345771</v>
      </c>
      <c r="D61" s="6" t="s">
        <v>283</v>
      </c>
    </row>
    <row r="62" customFormat="false" ht="15" hidden="false" customHeight="false" outlineLevel="0" collapsed="false">
      <c r="A62" s="6" t="s">
        <v>284</v>
      </c>
      <c r="B62" s="6" t="s">
        <v>285</v>
      </c>
      <c r="C62" s="8" t="n">
        <f aca="false">SUMIFS(securities_detail!$Q:$Q,securities_detail!$E:$E,"htm")-SUMIFS(securities_detail!$G:$G,securities_detail!$E:$E,"htm")</f>
        <v>-47207.6617333049</v>
      </c>
      <c r="D62" s="6" t="s">
        <v>286</v>
      </c>
    </row>
    <row r="63" customFormat="false" ht="15" hidden="false" customHeight="false" outlineLevel="0" collapsed="false">
      <c r="A63" s="6" t="s">
        <v>287</v>
      </c>
      <c r="B63" s="6" t="s">
        <v>288</v>
      </c>
      <c r="C63" s="9" t="n">
        <f aca="false">-(history!$R$24+C61)/history!$U$24</f>
        <v>0.285829908721438</v>
      </c>
      <c r="D63" s="6" t="s">
        <v>289</v>
      </c>
    </row>
    <row r="64" customFormat="false" ht="15" hidden="false" customHeight="false" outlineLevel="0" collapsed="false">
      <c r="A64" s="6" t="s">
        <v>290</v>
      </c>
      <c r="B64" s="6" t="s">
        <v>291</v>
      </c>
      <c r="C64" s="18" t="n">
        <f aca="false">(SUMPRODUCT((nev!$A$2:$A$1000="base")*(nev!$C$2:$C$1000="asset")*nev!$E$2:$E$1000*nev!$F$2:$F$1000)-SUMPRODUCT((nev!$A$2:$A$1000="base")*(nev!$C$2:$C$1000="liability")*nev!$E$2:$E$1000*nev!$F$2:$F$1000))/N8</f>
        <v>3.1891477357515</v>
      </c>
      <c r="D64" s="6" t="s">
        <v>93</v>
      </c>
    </row>
    <row r="66" customFormat="false" ht="15" hidden="false" customHeight="false" outlineLevel="0" collapsed="false">
      <c r="A66" s="5" t="s">
        <v>292</v>
      </c>
    </row>
    <row r="67" customFormat="false" ht="15" hidden="false" customHeight="false" outlineLevel="0" collapsed="false">
      <c r="A67" s="10" t="s">
        <v>157</v>
      </c>
      <c r="B67" s="10" t="s">
        <v>293</v>
      </c>
      <c r="C67" s="10" t="s">
        <v>294</v>
      </c>
      <c r="D67" s="10" t="s">
        <v>295</v>
      </c>
      <c r="E67" s="10" t="s">
        <v>296</v>
      </c>
      <c r="F67" s="10" t="s">
        <v>297</v>
      </c>
      <c r="G67" s="10" t="s">
        <v>298</v>
      </c>
    </row>
    <row r="68" customFormat="false" ht="15" hidden="false" customHeight="false" outlineLevel="0" collapsed="false">
      <c r="A68" s="6" t="s">
        <v>299</v>
      </c>
      <c r="B68" s="13" t="n">
        <v>7</v>
      </c>
      <c r="C68" s="8" t="n">
        <f aca="false">SUMIFS(liquidity_stress!$J:$J,liquidity_stress!$A:$A,$A68,liquidity_stress!$B:$B,"insured_retail_nmd",liquidity_stress!$C:$C,$B68)+SUMIFS(liquidity_stress!$J:$J,liquidity_stress!$A:$A,$A68,liquidity_stress!$B:$B,"uninsured_deposits",liquidity_stress!$C:$C,$B68)+SUMIFS(liquidity_stress!$J:$J,liquidity_stress!$A:$A,$A68,liquidity_stress!$B:$B,"business_deposits",liquidity_stress!$C:$C,$B68)+SUMIFS(liquidity_stress!$J:$J,liquidity_stress!$A:$A,$A68,liquidity_stress!$B:$B,"money_market_high_balance",liquidity_stress!$C:$C,$B68)+SUMIFS(liquidity_stress!$J:$J,liquidity_stress!$A:$A,$A68,liquidity_stress!$B:$B,"certificates_maturing",liquidity_stress!$C:$C,$B68)+SUMIFS(liquidity_stress!$J:$J,liquidity_stress!$A:$A,$A68,liquidity_stress!$B:$B,"heloc_line_draws",liquidity_stress!$C:$C,$B68)+SUMIFS(liquidity_stress!$J:$J,liquidity_stress!$A:$A,$A68,liquidity_stress!$B:$B,"other_commitment_draws",liquidity_stress!$C:$C,$B68)</f>
        <v>218994.2755476</v>
      </c>
      <c r="D68" s="8" t="n">
        <f aca="false">SUMIFS(liquidity_sources!$K:$K,liquidity_sources!$G:$G,"n",liquidity_sources!$H:$H,"&lt;="&amp;$B68)-SUMIFS(liquidity_stress!$D:$D,liquidity_stress!$A:$A,$A68,liquidity_stress!$B:$B,"securities_value_haircut",liquidity_stress!$C:$C,$B68)*SUMIFS(liquidity_sources!$D:$D,liquidity_sources!$B:$B,"afs_securities")</f>
        <v>2525265.3226</v>
      </c>
      <c r="E68" s="8" t="n">
        <f aca="false">SUMIFS(liquidity_sources!$K:$K,liquidity_sources!$G:$G,"y",liquidity_sources!$H:$H,"&lt;="&amp;$B68)*(1-SUMIFS(liquidity_stress!$D:$D,liquidity_stress!$A:$A,$A68,liquidity_stress!$B:$B,"contingent_source_availability",liquidity_stress!$C:$C,$B68))</f>
        <v>3337207.84718569</v>
      </c>
      <c r="F68" s="15" t="n">
        <f aca="false">D68+E68</f>
        <v>5862473.16978569</v>
      </c>
      <c r="G68" s="15" t="n">
        <f aca="false">F68-C68</f>
        <v>5643478.89423809</v>
      </c>
    </row>
    <row r="69" customFormat="false" ht="15" hidden="false" customHeight="false" outlineLevel="0" collapsed="false">
      <c r="A69" s="6" t="s">
        <v>299</v>
      </c>
      <c r="B69" s="13" t="n">
        <v>30</v>
      </c>
      <c r="C69" s="8" t="n">
        <f aca="false">SUMIFS(liquidity_stress!$J:$J,liquidity_stress!$A:$A,$A69,liquidity_stress!$B:$B,"insured_retail_nmd",liquidity_stress!$C:$C,$B69)+SUMIFS(liquidity_stress!$J:$J,liquidity_stress!$A:$A,$A69,liquidity_stress!$B:$B,"uninsured_deposits",liquidity_stress!$C:$C,$B69)+SUMIFS(liquidity_stress!$J:$J,liquidity_stress!$A:$A,$A69,liquidity_stress!$B:$B,"business_deposits",liquidity_stress!$C:$C,$B69)+SUMIFS(liquidity_stress!$J:$J,liquidity_stress!$A:$A,$A69,liquidity_stress!$B:$B,"money_market_high_balance",liquidity_stress!$C:$C,$B69)+SUMIFS(liquidity_stress!$J:$J,liquidity_stress!$A:$A,$A69,liquidity_stress!$B:$B,"certificates_maturing",liquidity_stress!$C:$C,$B69)+SUMIFS(liquidity_stress!$J:$J,liquidity_stress!$A:$A,$A69,liquidity_stress!$B:$B,"heloc_line_draws",liquidity_stress!$C:$C,$B69)+SUMIFS(liquidity_stress!$J:$J,liquidity_stress!$A:$A,$A69,liquidity_stress!$B:$B,"other_commitment_draws",liquidity_stress!$C:$C,$B69)</f>
        <v>640039.9498728</v>
      </c>
      <c r="D69" s="8" t="n">
        <f aca="false">SUMIFS(liquidity_sources!$K:$K,liquidity_sources!$G:$G,"n",liquidity_sources!$H:$H,"&lt;="&amp;$B69)-SUMIFS(liquidity_stress!$D:$D,liquidity_stress!$A:$A,$A69,liquidity_stress!$B:$B,"securities_value_haircut",liquidity_stress!$C:$C,$B69)*SUMIFS(liquidity_sources!$D:$D,liquidity_sources!$B:$B,"afs_securities")</f>
        <v>2525265.3226</v>
      </c>
      <c r="E69" s="8" t="n">
        <f aca="false">SUMIFS(liquidity_sources!$K:$K,liquidity_sources!$G:$G,"y",liquidity_sources!$H:$H,"&lt;="&amp;$B69)*(1-SUMIFS(liquidity_stress!$D:$D,liquidity_stress!$A:$A,$A69,liquidity_stress!$B:$B,"contingent_source_availability",liquidity_stress!$C:$C,$B69))</f>
        <v>3669292.85937319</v>
      </c>
      <c r="F69" s="15" t="n">
        <f aca="false">D69+E69</f>
        <v>6194558.18197319</v>
      </c>
      <c r="G69" s="15" t="n">
        <f aca="false">F69-C69</f>
        <v>5554518.23210039</v>
      </c>
    </row>
    <row r="70" customFormat="false" ht="15" hidden="false" customHeight="false" outlineLevel="0" collapsed="false">
      <c r="A70" s="6" t="s">
        <v>299</v>
      </c>
      <c r="B70" s="13" t="n">
        <v>90</v>
      </c>
      <c r="C70" s="8" t="n">
        <f aca="false">SUMIFS(liquidity_stress!$J:$J,liquidity_stress!$A:$A,$A70,liquidity_stress!$B:$B,"insured_retail_nmd",liquidity_stress!$C:$C,$B70)+SUMIFS(liquidity_stress!$J:$J,liquidity_stress!$A:$A,$A70,liquidity_stress!$B:$B,"uninsured_deposits",liquidity_stress!$C:$C,$B70)+SUMIFS(liquidity_stress!$J:$J,liquidity_stress!$A:$A,$A70,liquidity_stress!$B:$B,"business_deposits",liquidity_stress!$C:$C,$B70)+SUMIFS(liquidity_stress!$J:$J,liquidity_stress!$A:$A,$A70,liquidity_stress!$B:$B,"money_market_high_balance",liquidity_stress!$C:$C,$B70)+SUMIFS(liquidity_stress!$J:$J,liquidity_stress!$A:$A,$A70,liquidity_stress!$B:$B,"certificates_maturing",liquidity_stress!$C:$C,$B70)+SUMIFS(liquidity_stress!$J:$J,liquidity_stress!$A:$A,$A70,liquidity_stress!$B:$B,"heloc_line_draws",liquidity_stress!$C:$C,$B70)+SUMIFS(liquidity_stress!$J:$J,liquidity_stress!$A:$A,$A70,liquidity_stress!$B:$B,"other_commitment_draws",liquidity_stress!$C:$C,$B70)</f>
        <v>1177062.443448</v>
      </c>
      <c r="D70" s="8" t="n">
        <f aca="false">SUMIFS(liquidity_sources!$K:$K,liquidity_sources!$G:$G,"n",liquidity_sources!$H:$H,"&lt;="&amp;$B70)-SUMIFS(liquidity_stress!$D:$D,liquidity_stress!$A:$A,$A70,liquidity_stress!$B:$B,"securities_value_haircut",liquidity_stress!$C:$C,$B70)*SUMIFS(liquidity_sources!$D:$D,liquidity_sources!$B:$B,"afs_securities")</f>
        <v>2525265.3226</v>
      </c>
      <c r="E70" s="8" t="n">
        <f aca="false">SUMIFS(liquidity_sources!$K:$K,liquidity_sources!$G:$G,"y",liquidity_sources!$H:$H,"&lt;="&amp;$B70)*(1-SUMIFS(liquidity_stress!$D:$D,liquidity_stress!$A:$A,$A70,liquidity_stress!$B:$B,"contingent_source_availability",liquidity_stress!$C:$C,$B70))</f>
        <v>3630473.33541497</v>
      </c>
      <c r="F70" s="15" t="n">
        <f aca="false">D70+E70</f>
        <v>6155738.65801497</v>
      </c>
      <c r="G70" s="15" t="n">
        <f aca="false">F70-C70</f>
        <v>4978676.21456697</v>
      </c>
    </row>
    <row r="71" customFormat="false" ht="15" hidden="false" customHeight="false" outlineLevel="0" collapsed="false">
      <c r="A71" s="6" t="s">
        <v>299</v>
      </c>
      <c r="B71" s="13" t="n">
        <v>180</v>
      </c>
      <c r="C71" s="8" t="n">
        <f aca="false">SUMIFS(liquidity_stress!$J:$J,liquidity_stress!$A:$A,$A71,liquidity_stress!$B:$B,"insured_retail_nmd",liquidity_stress!$C:$C,$B71)+SUMIFS(liquidity_stress!$J:$J,liquidity_stress!$A:$A,$A71,liquidity_stress!$B:$B,"uninsured_deposits",liquidity_stress!$C:$C,$B71)+SUMIFS(liquidity_stress!$J:$J,liquidity_stress!$A:$A,$A71,liquidity_stress!$B:$B,"business_deposits",liquidity_stress!$C:$C,$B71)+SUMIFS(liquidity_stress!$J:$J,liquidity_stress!$A:$A,$A71,liquidity_stress!$B:$B,"money_market_high_balance",liquidity_stress!$C:$C,$B71)+SUMIFS(liquidity_stress!$J:$J,liquidity_stress!$A:$A,$A71,liquidity_stress!$B:$B,"certificates_maturing",liquidity_stress!$C:$C,$B71)+SUMIFS(liquidity_stress!$J:$J,liquidity_stress!$A:$A,$A71,liquidity_stress!$B:$B,"heloc_line_draws",liquidity_stress!$C:$C,$B71)+SUMIFS(liquidity_stress!$J:$J,liquidity_stress!$A:$A,$A71,liquidity_stress!$B:$B,"other_commitment_draws",liquidity_stress!$C:$C,$B71)</f>
        <v>1643241.6265647</v>
      </c>
      <c r="D71" s="8" t="n">
        <f aca="false">SUMIFS(liquidity_sources!$K:$K,liquidity_sources!$G:$G,"n",liquidity_sources!$H:$H,"&lt;="&amp;$B71)-SUMIFS(liquidity_stress!$D:$D,liquidity_stress!$A:$A,$A71,liquidity_stress!$B:$B,"securities_value_haircut",liquidity_stress!$C:$C,$B71)*SUMIFS(liquidity_sources!$D:$D,liquidity_sources!$B:$B,"afs_securities")</f>
        <v>2525265.3226</v>
      </c>
      <c r="E71" s="8" t="n">
        <f aca="false">SUMIFS(liquidity_sources!$K:$K,liquidity_sources!$G:$G,"y",liquidity_sources!$H:$H,"&lt;="&amp;$B71)*(1-SUMIFS(liquidity_stress!$D:$D,liquidity_stress!$A:$A,$A71,liquidity_stress!$B:$B,"contingent_source_availability",liquidity_stress!$C:$C,$B71))</f>
        <v>3630473.33541497</v>
      </c>
      <c r="F71" s="15" t="n">
        <f aca="false">D71+E71</f>
        <v>6155738.65801497</v>
      </c>
      <c r="G71" s="15" t="n">
        <f aca="false">F71-C71</f>
        <v>4512497.03145027</v>
      </c>
    </row>
    <row r="72" customFormat="false" ht="15" hidden="false" customHeight="false" outlineLevel="0" collapsed="false">
      <c r="A72" s="6" t="s">
        <v>299</v>
      </c>
      <c r="B72" s="13" t="n">
        <v>365</v>
      </c>
      <c r="C72" s="8" t="n">
        <f aca="false">SUMIFS(liquidity_stress!$J:$J,liquidity_stress!$A:$A,$A72,liquidity_stress!$B:$B,"insured_retail_nmd",liquidity_stress!$C:$C,$B72)+SUMIFS(liquidity_stress!$J:$J,liquidity_stress!$A:$A,$A72,liquidity_stress!$B:$B,"uninsured_deposits",liquidity_stress!$C:$C,$B72)+SUMIFS(liquidity_stress!$J:$J,liquidity_stress!$A:$A,$A72,liquidity_stress!$B:$B,"business_deposits",liquidity_stress!$C:$C,$B72)+SUMIFS(liquidity_stress!$J:$J,liquidity_stress!$A:$A,$A72,liquidity_stress!$B:$B,"money_market_high_balance",liquidity_stress!$C:$C,$B72)+SUMIFS(liquidity_stress!$J:$J,liquidity_stress!$A:$A,$A72,liquidity_stress!$B:$B,"certificates_maturing",liquidity_stress!$C:$C,$B72)+SUMIFS(liquidity_stress!$J:$J,liquidity_stress!$A:$A,$A72,liquidity_stress!$B:$B,"heloc_line_draws",liquidity_stress!$C:$C,$B72)+SUMIFS(liquidity_stress!$J:$J,liquidity_stress!$A:$A,$A72,liquidity_stress!$B:$B,"other_commitment_draws",liquidity_stress!$C:$C,$B72)</f>
        <v>2109420.8096814</v>
      </c>
      <c r="D72" s="8" t="n">
        <f aca="false">SUMIFS(liquidity_sources!$K:$K,liquidity_sources!$G:$G,"n",liquidity_sources!$H:$H,"&lt;="&amp;$B72)-SUMIFS(liquidity_stress!$D:$D,liquidity_stress!$A:$A,$A72,liquidity_stress!$B:$B,"securities_value_haircut",liquidity_stress!$C:$C,$B72)*SUMIFS(liquidity_sources!$D:$D,liquidity_sources!$B:$B,"afs_securities")</f>
        <v>2525265.3226</v>
      </c>
      <c r="E72" s="8" t="n">
        <f aca="false">SUMIFS(liquidity_sources!$K:$K,liquidity_sources!$G:$G,"y",liquidity_sources!$H:$H,"&lt;="&amp;$B72)*(1-SUMIFS(liquidity_stress!$D:$D,liquidity_stress!$A:$A,$A72,liquidity_stress!$B:$B,"contingent_source_availability",liquidity_stress!$C:$C,$B72))</f>
        <v>3630473.33541497</v>
      </c>
      <c r="F72" s="15" t="n">
        <f aca="false">D72+E72</f>
        <v>6155738.65801497</v>
      </c>
      <c r="G72" s="15" t="n">
        <f aca="false">F72-C72</f>
        <v>4046317.84833357</v>
      </c>
    </row>
    <row r="73" customFormat="false" ht="15" hidden="false" customHeight="false" outlineLevel="0" collapsed="false">
      <c r="A73" s="11" t="s">
        <v>299</v>
      </c>
      <c r="B73" s="11" t="s">
        <v>300</v>
      </c>
      <c r="C73" s="16" t="n">
        <f aca="false">IF(G68&lt;0,7,IF(G69&lt;0,30,IF(G70&lt;0,90,IF(G71&lt;0,180,365))))</f>
        <v>365</v>
      </c>
    </row>
    <row r="74" customFormat="false" ht="15" hidden="false" customHeight="false" outlineLevel="0" collapsed="false">
      <c r="A74" s="6" t="s">
        <v>301</v>
      </c>
      <c r="B74" s="13" t="n">
        <v>7</v>
      </c>
      <c r="C74" s="8" t="n">
        <f aca="false">SUMIFS(liquidity_stress!$J:$J,liquidity_stress!$A:$A,$A74,liquidity_stress!$B:$B,"insured_retail_nmd",liquidity_stress!$C:$C,$B74)+SUMIFS(liquidity_stress!$J:$J,liquidity_stress!$A:$A,$A74,liquidity_stress!$B:$B,"uninsured_deposits",liquidity_stress!$C:$C,$B74)+SUMIFS(liquidity_stress!$J:$J,liquidity_stress!$A:$A,$A74,liquidity_stress!$B:$B,"business_deposits",liquidity_stress!$C:$C,$B74)+SUMIFS(liquidity_stress!$J:$J,liquidity_stress!$A:$A,$A74,liquidity_stress!$B:$B,"money_market_high_balance",liquidity_stress!$C:$C,$B74)+SUMIFS(liquidity_stress!$J:$J,liquidity_stress!$A:$A,$A74,liquidity_stress!$B:$B,"certificates_maturing",liquidity_stress!$C:$C,$B74)+SUMIFS(liquidity_stress!$J:$J,liquidity_stress!$A:$A,$A74,liquidity_stress!$B:$B,"heloc_line_draws",liquidity_stress!$C:$C,$B74)+SUMIFS(liquidity_stress!$J:$J,liquidity_stress!$A:$A,$A74,liquidity_stress!$B:$B,"other_commitment_draws",liquidity_stress!$C:$C,$B74)</f>
        <v>147176.25471225</v>
      </c>
      <c r="D74" s="8" t="n">
        <f aca="false">SUMIFS(liquidity_sources!$K:$K,liquidity_sources!$G:$G,"n",liquidity_sources!$H:$H,"&lt;="&amp;$B74)-SUMIFS(liquidity_stress!$D:$D,liquidity_stress!$A:$A,$A74,liquidity_stress!$B:$B,"securities_value_haircut",liquidity_stress!$C:$C,$B74)*SUMIFS(liquidity_sources!$D:$D,liquidity_sources!$B:$B,"afs_securities")</f>
        <v>2466517.09321</v>
      </c>
      <c r="E74" s="8" t="n">
        <f aca="false">SUMIFS(liquidity_sources!$K:$K,liquidity_sources!$G:$G,"y",liquidity_sources!$H:$H,"&lt;="&amp;$B74)*(1-SUMIFS(liquidity_stress!$D:$D,liquidity_stress!$A:$A,$A74,liquidity_stress!$B:$B,"contingent_source_availability",liquidity_stress!$C:$C,$B74))</f>
        <v>3782168.89347711</v>
      </c>
      <c r="F74" s="15" t="n">
        <f aca="false">D74+E74</f>
        <v>6248685.98668711</v>
      </c>
      <c r="G74" s="15" t="n">
        <f aca="false">F74-C74</f>
        <v>6101509.73197486</v>
      </c>
    </row>
    <row r="75" customFormat="false" ht="15" hidden="false" customHeight="false" outlineLevel="0" collapsed="false">
      <c r="A75" s="6" t="s">
        <v>301</v>
      </c>
      <c r="B75" s="13" t="n">
        <v>30</v>
      </c>
      <c r="C75" s="8" t="n">
        <f aca="false">SUMIFS(liquidity_stress!$J:$J,liquidity_stress!$A:$A,$A75,liquidity_stress!$B:$B,"insured_retail_nmd",liquidity_stress!$C:$C,$B75)+SUMIFS(liquidity_stress!$J:$J,liquidity_stress!$A:$A,$A75,liquidity_stress!$B:$B,"uninsured_deposits",liquidity_stress!$C:$C,$B75)+SUMIFS(liquidity_stress!$J:$J,liquidity_stress!$A:$A,$A75,liquidity_stress!$B:$B,"business_deposits",liquidity_stress!$C:$C,$B75)+SUMIFS(liquidity_stress!$J:$J,liquidity_stress!$A:$A,$A75,liquidity_stress!$B:$B,"money_market_high_balance",liquidity_stress!$C:$C,$B75)+SUMIFS(liquidity_stress!$J:$J,liquidity_stress!$A:$A,$A75,liquidity_stress!$B:$B,"certificates_maturing",liquidity_stress!$C:$C,$B75)+SUMIFS(liquidity_stress!$J:$J,liquidity_stress!$A:$A,$A75,liquidity_stress!$B:$B,"heloc_line_draws",liquidity_stress!$C:$C,$B75)+SUMIFS(liquidity_stress!$J:$J,liquidity_stress!$A:$A,$A75,liquidity_stress!$B:$B,"other_commitment_draws",liquidity_stress!$C:$C,$B75)</f>
        <v>477768.5510952</v>
      </c>
      <c r="D75" s="8" t="n">
        <f aca="false">SUMIFS(liquidity_sources!$K:$K,liquidity_sources!$G:$G,"n",liquidity_sources!$H:$H,"&lt;="&amp;$B75)-SUMIFS(liquidity_stress!$D:$D,liquidity_stress!$A:$A,$A75,liquidity_stress!$B:$B,"securities_value_haircut",liquidity_stress!$C:$C,$B75)*SUMIFS(liquidity_sources!$D:$D,liquidity_sources!$B:$B,"afs_securities")</f>
        <v>2427351.60695</v>
      </c>
      <c r="E75" s="8" t="n">
        <f aca="false">SUMIFS(liquidity_sources!$K:$K,liquidity_sources!$G:$G,"y",liquidity_sources!$H:$H,"&lt;="&amp;$B75)*(1-SUMIFS(liquidity_stress!$D:$D,liquidity_stress!$A:$A,$A75,liquidity_stress!$B:$B,"contingent_source_availability",liquidity_stress!$C:$C,$B75))</f>
        <v>4158531.90728961</v>
      </c>
      <c r="F75" s="15" t="n">
        <f aca="false">D75+E75</f>
        <v>6585883.51423961</v>
      </c>
      <c r="G75" s="15" t="n">
        <f aca="false">F75-C75</f>
        <v>6108114.96314441</v>
      </c>
    </row>
    <row r="76" customFormat="false" ht="15" hidden="false" customHeight="false" outlineLevel="0" collapsed="false">
      <c r="A76" s="6" t="s">
        <v>301</v>
      </c>
      <c r="B76" s="13" t="n">
        <v>90</v>
      </c>
      <c r="C76" s="8" t="n">
        <f aca="false">SUMIFS(liquidity_stress!$J:$J,liquidity_stress!$A:$A,$A76,liquidity_stress!$B:$B,"insured_retail_nmd",liquidity_stress!$C:$C,$B76)+SUMIFS(liquidity_stress!$J:$J,liquidity_stress!$A:$A,$A76,liquidity_stress!$B:$B,"uninsured_deposits",liquidity_stress!$C:$C,$B76)+SUMIFS(liquidity_stress!$J:$J,liquidity_stress!$A:$A,$A76,liquidity_stress!$B:$B,"business_deposits",liquidity_stress!$C:$C,$B76)+SUMIFS(liquidity_stress!$J:$J,liquidity_stress!$A:$A,$A76,liquidity_stress!$B:$B,"money_market_high_balance",liquidity_stress!$C:$C,$B76)+SUMIFS(liquidity_stress!$J:$J,liquidity_stress!$A:$A,$A76,liquidity_stress!$B:$B,"certificates_maturing",liquidity_stress!$C:$C,$B76)+SUMIFS(liquidity_stress!$J:$J,liquidity_stress!$A:$A,$A76,liquidity_stress!$B:$B,"heloc_line_draws",liquidity_stress!$C:$C,$B76)+SUMIFS(liquidity_stress!$J:$J,liquidity_stress!$A:$A,$A76,liquidity_stress!$B:$B,"other_commitment_draws",liquidity_stress!$C:$C,$B76)</f>
        <v>915829.7657486</v>
      </c>
      <c r="D76" s="8" t="n">
        <f aca="false">SUMIFS(liquidity_sources!$K:$K,liquidity_sources!$G:$G,"n",liquidity_sources!$H:$H,"&lt;="&amp;$B76)-SUMIFS(liquidity_stress!$D:$D,liquidity_stress!$A:$A,$A76,liquidity_stress!$B:$B,"securities_value_haircut",liquidity_stress!$C:$C,$B76)*SUMIFS(liquidity_sources!$D:$D,liquidity_sources!$B:$B,"afs_securities")</f>
        <v>2427351.60695</v>
      </c>
      <c r="E76" s="8" t="n">
        <f aca="false">SUMIFS(liquidity_sources!$K:$K,liquidity_sources!$G:$G,"y",liquidity_sources!$H:$H,"&lt;="&amp;$B76)*(1-SUMIFS(liquidity_stress!$D:$D,liquidity_stress!$A:$A,$A76,liquidity_stress!$B:$B,"contingent_source_availability",liquidity_stress!$C:$C,$B76))</f>
        <v>4408431.90728961</v>
      </c>
      <c r="F76" s="15" t="n">
        <f aca="false">D76+E76</f>
        <v>6835783.51423961</v>
      </c>
      <c r="G76" s="15" t="n">
        <f aca="false">F76-C76</f>
        <v>5919953.74849101</v>
      </c>
    </row>
    <row r="77" customFormat="false" ht="15" hidden="false" customHeight="false" outlineLevel="0" collapsed="false">
      <c r="A77" s="6" t="s">
        <v>301</v>
      </c>
      <c r="B77" s="13" t="n">
        <v>180</v>
      </c>
      <c r="C77" s="8" t="n">
        <f aca="false">SUMIFS(liquidity_stress!$J:$J,liquidity_stress!$A:$A,$A77,liquidity_stress!$B:$B,"insured_retail_nmd",liquidity_stress!$C:$C,$B77)+SUMIFS(liquidity_stress!$J:$J,liquidity_stress!$A:$A,$A77,liquidity_stress!$B:$B,"uninsured_deposits",liquidity_stress!$C:$C,$B77)+SUMIFS(liquidity_stress!$J:$J,liquidity_stress!$A:$A,$A77,liquidity_stress!$B:$B,"business_deposits",liquidity_stress!$C:$C,$B77)+SUMIFS(liquidity_stress!$J:$J,liquidity_stress!$A:$A,$A77,liquidity_stress!$B:$B,"money_market_high_balance",liquidity_stress!$C:$C,$B77)+SUMIFS(liquidity_stress!$J:$J,liquidity_stress!$A:$A,$A77,liquidity_stress!$B:$B,"certificates_maturing",liquidity_stress!$C:$C,$B77)+SUMIFS(liquidity_stress!$J:$J,liquidity_stress!$A:$A,$A77,liquidity_stress!$B:$B,"heloc_line_draws",liquidity_stress!$C:$C,$B77)+SUMIFS(liquidity_stress!$J:$J,liquidity_stress!$A:$A,$A77,liquidity_stress!$B:$B,"other_commitment_draws",liquidity_stress!$C:$C,$B77)</f>
        <v>1272635.8462553</v>
      </c>
      <c r="D77" s="8" t="n">
        <f aca="false">SUMIFS(liquidity_sources!$K:$K,liquidity_sources!$G:$G,"n",liquidity_sources!$H:$H,"&lt;="&amp;$B77)-SUMIFS(liquidity_stress!$D:$D,liquidity_stress!$A:$A,$A77,liquidity_stress!$B:$B,"securities_value_haircut",liquidity_stress!$C:$C,$B77)*SUMIFS(liquidity_sources!$D:$D,liquidity_sources!$B:$B,"afs_securities")</f>
        <v>2427351.60695</v>
      </c>
      <c r="E77" s="8" t="n">
        <f aca="false">SUMIFS(liquidity_sources!$K:$K,liquidity_sources!$G:$G,"y",liquidity_sources!$H:$H,"&lt;="&amp;$B77)*(1-SUMIFS(liquidity_stress!$D:$D,liquidity_stress!$A:$A,$A77,liquidity_stress!$B:$B,"contingent_source_availability",liquidity_stress!$C:$C,$B77))</f>
        <v>4408431.90728961</v>
      </c>
      <c r="F77" s="15" t="n">
        <f aca="false">D77+E77</f>
        <v>6835783.51423961</v>
      </c>
      <c r="G77" s="15" t="n">
        <f aca="false">F77-C77</f>
        <v>5563147.66798431</v>
      </c>
    </row>
    <row r="78" customFormat="false" ht="15" hidden="false" customHeight="false" outlineLevel="0" collapsed="false">
      <c r="A78" s="6" t="s">
        <v>301</v>
      </c>
      <c r="B78" s="13" t="n">
        <v>365</v>
      </c>
      <c r="C78" s="8" t="n">
        <f aca="false">SUMIFS(liquidity_stress!$J:$J,liquidity_stress!$A:$A,$A78,liquidity_stress!$B:$B,"insured_retail_nmd",liquidity_stress!$C:$C,$B78)+SUMIFS(liquidity_stress!$J:$J,liquidity_stress!$A:$A,$A78,liquidity_stress!$B:$B,"uninsured_deposits",liquidity_stress!$C:$C,$B78)+SUMIFS(liquidity_stress!$J:$J,liquidity_stress!$A:$A,$A78,liquidity_stress!$B:$B,"business_deposits",liquidity_stress!$C:$C,$B78)+SUMIFS(liquidity_stress!$J:$J,liquidity_stress!$A:$A,$A78,liquidity_stress!$B:$B,"money_market_high_balance",liquidity_stress!$C:$C,$B78)+SUMIFS(liquidity_stress!$J:$J,liquidity_stress!$A:$A,$A78,liquidity_stress!$B:$B,"certificates_maturing",liquidity_stress!$C:$C,$B78)+SUMIFS(liquidity_stress!$J:$J,liquidity_stress!$A:$A,$A78,liquidity_stress!$B:$B,"heloc_line_draws",liquidity_stress!$C:$C,$B78)+SUMIFS(liquidity_stress!$J:$J,liquidity_stress!$A:$A,$A78,liquidity_stress!$B:$B,"other_commitment_draws",liquidity_stress!$C:$C,$B78)</f>
        <v>1573433.5819391</v>
      </c>
      <c r="D78" s="8" t="n">
        <f aca="false">SUMIFS(liquidity_sources!$K:$K,liquidity_sources!$G:$G,"n",liquidity_sources!$H:$H,"&lt;="&amp;$B78)-SUMIFS(liquidity_stress!$D:$D,liquidity_stress!$A:$A,$A78,liquidity_stress!$B:$B,"securities_value_haircut",liquidity_stress!$C:$C,$B78)*SUMIFS(liquidity_sources!$D:$D,liquidity_sources!$B:$B,"afs_securities")</f>
        <v>2427351.60695</v>
      </c>
      <c r="E78" s="8" t="n">
        <f aca="false">SUMIFS(liquidity_sources!$K:$K,liquidity_sources!$G:$G,"y",liquidity_sources!$H:$H,"&lt;="&amp;$B78)*(1-SUMIFS(liquidity_stress!$D:$D,liquidity_stress!$A:$A,$A78,liquidity_stress!$B:$B,"contingent_source_availability",liquidity_stress!$C:$C,$B78))</f>
        <v>4408431.90728961</v>
      </c>
      <c r="F78" s="15" t="n">
        <f aca="false">D78+E78</f>
        <v>6835783.51423961</v>
      </c>
      <c r="G78" s="15" t="n">
        <f aca="false">F78-C78</f>
        <v>5262349.93230051</v>
      </c>
    </row>
    <row r="79" customFormat="false" ht="15" hidden="false" customHeight="false" outlineLevel="0" collapsed="false">
      <c r="A79" s="11" t="s">
        <v>301</v>
      </c>
      <c r="B79" s="11" t="s">
        <v>300</v>
      </c>
      <c r="C79" s="16" t="n">
        <f aca="false">IF(G74&lt;0,7,IF(G75&lt;0,30,IF(G76&lt;0,90,IF(G77&lt;0,180,365))))</f>
        <v>365</v>
      </c>
    </row>
    <row r="80" customFormat="false" ht="15" hidden="false" customHeight="false" outlineLevel="0" collapsed="false">
      <c r="A80" s="6" t="s">
        <v>302</v>
      </c>
      <c r="B80" s="13" t="n">
        <v>7</v>
      </c>
      <c r="C80" s="8" t="n">
        <f aca="false">SUMIFS(liquidity_stress!$J:$J,liquidity_stress!$A:$A,$A80,liquidity_stress!$B:$B,"insured_retail_nmd",liquidity_stress!$C:$C,$B80)+SUMIFS(liquidity_stress!$J:$J,liquidity_stress!$A:$A,$A80,liquidity_stress!$B:$B,"uninsured_deposits",liquidity_stress!$C:$C,$B80)+SUMIFS(liquidity_stress!$J:$J,liquidity_stress!$A:$A,$A80,liquidity_stress!$B:$B,"business_deposits",liquidity_stress!$C:$C,$B80)+SUMIFS(liquidity_stress!$J:$J,liquidity_stress!$A:$A,$A80,liquidity_stress!$B:$B,"money_market_high_balance",liquidity_stress!$C:$C,$B80)+SUMIFS(liquidity_stress!$J:$J,liquidity_stress!$A:$A,$A80,liquidity_stress!$B:$B,"certificates_maturing",liquidity_stress!$C:$C,$B80)+SUMIFS(liquidity_stress!$J:$J,liquidity_stress!$A:$A,$A80,liquidity_stress!$B:$B,"heloc_line_draws",liquidity_stress!$C:$C,$B80)+SUMIFS(liquidity_stress!$J:$J,liquidity_stress!$A:$A,$A80,liquidity_stress!$B:$B,"other_commitment_draws",liquidity_stress!$C:$C,$B80)</f>
        <v>416376.8858292</v>
      </c>
      <c r="D80" s="8" t="n">
        <f aca="false">SUMIFS(liquidity_sources!$K:$K,liquidity_sources!$G:$G,"n",liquidity_sources!$H:$H,"&lt;="&amp;$B80)-SUMIFS(liquidity_stress!$D:$D,liquidity_stress!$A:$A,$A80,liquidity_stress!$B:$B,"securities_value_haircut",liquidity_stress!$C:$C,$B80)*SUMIFS(liquidity_sources!$D:$D,liquidity_sources!$B:$B,"afs_securities")</f>
        <v>2427351.60695</v>
      </c>
      <c r="E80" s="8" t="n">
        <f aca="false">SUMIFS(liquidity_sources!$K:$K,liquidity_sources!$G:$G,"y",liquidity_sources!$H:$H,"&lt;="&amp;$B80)*(1-SUMIFS(liquidity_stress!$D:$D,liquidity_stress!$A:$A,$A80,liquidity_stress!$B:$B,"contingent_source_availability",liquidity_stress!$C:$C,$B80))</f>
        <v>2669766.27774855</v>
      </c>
      <c r="F80" s="15" t="n">
        <f aca="false">D80+E80</f>
        <v>5097117.88469855</v>
      </c>
      <c r="G80" s="15" t="n">
        <f aca="false">F80-C80</f>
        <v>4680740.99886935</v>
      </c>
    </row>
    <row r="81" customFormat="false" ht="15" hidden="false" customHeight="false" outlineLevel="0" collapsed="false">
      <c r="A81" s="6" t="s">
        <v>302</v>
      </c>
      <c r="B81" s="13" t="n">
        <v>30</v>
      </c>
      <c r="C81" s="8" t="n">
        <f aca="false">SUMIFS(liquidity_stress!$J:$J,liquidity_stress!$A:$A,$A81,liquidity_stress!$B:$B,"insured_retail_nmd",liquidity_stress!$C:$C,$B81)+SUMIFS(liquidity_stress!$J:$J,liquidity_stress!$A:$A,$A81,liquidity_stress!$B:$B,"uninsured_deposits",liquidity_stress!$C:$C,$B81)+SUMIFS(liquidity_stress!$J:$J,liquidity_stress!$A:$A,$A81,liquidity_stress!$B:$B,"business_deposits",liquidity_stress!$C:$C,$B81)+SUMIFS(liquidity_stress!$J:$J,liquidity_stress!$A:$A,$A81,liquidity_stress!$B:$B,"money_market_high_balance",liquidity_stress!$C:$C,$B81)+SUMIFS(liquidity_stress!$J:$J,liquidity_stress!$A:$A,$A81,liquidity_stress!$B:$B,"certificates_maturing",liquidity_stress!$C:$C,$B81)+SUMIFS(liquidity_stress!$J:$J,liquidity_stress!$A:$A,$A81,liquidity_stress!$B:$B,"heloc_line_draws",liquidity_stress!$C:$C,$B81)+SUMIFS(liquidity_stress!$J:$J,liquidity_stress!$A:$A,$A81,liquidity_stress!$B:$B,"other_commitment_draws",liquidity_stress!$C:$C,$B81)</f>
        <v>1082632.747428</v>
      </c>
      <c r="D81" s="8" t="n">
        <f aca="false">SUMIFS(liquidity_sources!$K:$K,liquidity_sources!$G:$G,"n",liquidity_sources!$H:$H,"&lt;="&amp;$B81)-SUMIFS(liquidity_stress!$D:$D,liquidity_stress!$A:$A,$A81,liquidity_stress!$B:$B,"securities_value_haircut",liquidity_stress!$C:$C,$B81)*SUMIFS(liquidity_sources!$D:$D,liquidity_sources!$B:$B,"afs_securities")</f>
        <v>2368603.37756</v>
      </c>
      <c r="E81" s="8" t="n">
        <f aca="false">SUMIFS(liquidity_sources!$K:$K,liquidity_sources!$G:$G,"y",liquidity_sources!$H:$H,"&lt;="&amp;$B81)*(1-SUMIFS(liquidity_stress!$D:$D,liquidity_stress!$A:$A,$A81,liquidity_stress!$B:$B,"contingent_source_availability",liquidity_stress!$C:$C,$B81))</f>
        <v>2935434.28749855</v>
      </c>
      <c r="F81" s="15" t="n">
        <f aca="false">D81+E81</f>
        <v>5304037.66505855</v>
      </c>
      <c r="G81" s="15" t="n">
        <f aca="false">F81-C81</f>
        <v>4221404.91763055</v>
      </c>
    </row>
    <row r="82" customFormat="false" ht="15" hidden="false" customHeight="false" outlineLevel="0" collapsed="false">
      <c r="A82" s="6" t="s">
        <v>302</v>
      </c>
      <c r="B82" s="13" t="n">
        <v>90</v>
      </c>
      <c r="C82" s="8" t="n">
        <f aca="false">SUMIFS(liquidity_stress!$J:$J,liquidity_stress!$A:$A,$A82,liquidity_stress!$B:$B,"insured_retail_nmd",liquidity_stress!$C:$C,$B82)+SUMIFS(liquidity_stress!$J:$J,liquidity_stress!$A:$A,$A82,liquidity_stress!$B:$B,"uninsured_deposits",liquidity_stress!$C:$C,$B82)+SUMIFS(liquidity_stress!$J:$J,liquidity_stress!$A:$A,$A82,liquidity_stress!$B:$B,"business_deposits",liquidity_stress!$C:$C,$B82)+SUMIFS(liquidity_stress!$J:$J,liquidity_stress!$A:$A,$A82,liquidity_stress!$B:$B,"money_market_high_balance",liquidity_stress!$C:$C,$B82)+SUMIFS(liquidity_stress!$J:$J,liquidity_stress!$A:$A,$A82,liquidity_stress!$B:$B,"certificates_maturing",liquidity_stress!$C:$C,$B82)+SUMIFS(liquidity_stress!$J:$J,liquidity_stress!$A:$A,$A82,liquidity_stress!$B:$B,"heloc_line_draws",liquidity_stress!$C:$C,$B82)+SUMIFS(liquidity_stress!$J:$J,liquidity_stress!$A:$A,$A82,liquidity_stress!$B:$B,"other_commitment_draws",liquidity_stress!$C:$C,$B82)</f>
        <v>1924487.1711814</v>
      </c>
      <c r="D82" s="8" t="n">
        <f aca="false">SUMIFS(liquidity_sources!$K:$K,liquidity_sources!$G:$G,"n",liquidity_sources!$H:$H,"&lt;="&amp;$B82)-SUMIFS(liquidity_stress!$D:$D,liquidity_stress!$A:$A,$A82,liquidity_stress!$B:$B,"securities_value_haircut",liquidity_stress!$C:$C,$B82)*SUMIFS(liquidity_sources!$D:$D,liquidity_sources!$B:$B,"afs_securities")</f>
        <v>2368603.37756</v>
      </c>
      <c r="E82" s="8" t="n">
        <f aca="false">SUMIFS(liquidity_sources!$K:$K,liquidity_sources!$G:$G,"y",liquidity_sources!$H:$H,"&lt;="&amp;$B82)*(1-SUMIFS(liquidity_stress!$D:$D,liquidity_stress!$A:$A,$A82,liquidity_stress!$B:$B,"contingent_source_availability",liquidity_stress!$C:$C,$B82))</f>
        <v>2852514.76354034</v>
      </c>
      <c r="F82" s="15" t="n">
        <f aca="false">D82+E82</f>
        <v>5221118.14110034</v>
      </c>
      <c r="G82" s="15" t="n">
        <f aca="false">F82-C82</f>
        <v>3296630.96991894</v>
      </c>
    </row>
    <row r="83" customFormat="false" ht="15" hidden="false" customHeight="false" outlineLevel="0" collapsed="false">
      <c r="A83" s="6" t="s">
        <v>302</v>
      </c>
      <c r="B83" s="13" t="n">
        <v>180</v>
      </c>
      <c r="C83" s="8" t="n">
        <f aca="false">SUMIFS(liquidity_stress!$J:$J,liquidity_stress!$A:$A,$A83,liquidity_stress!$B:$B,"insured_retail_nmd",liquidity_stress!$C:$C,$B83)+SUMIFS(liquidity_stress!$J:$J,liquidity_stress!$A:$A,$A83,liquidity_stress!$B:$B,"uninsured_deposits",liquidity_stress!$C:$C,$B83)+SUMIFS(liquidity_stress!$J:$J,liquidity_stress!$A:$A,$A83,liquidity_stress!$B:$B,"business_deposits",liquidity_stress!$C:$C,$B83)+SUMIFS(liquidity_stress!$J:$J,liquidity_stress!$A:$A,$A83,liquidity_stress!$B:$B,"money_market_high_balance",liquidity_stress!$C:$C,$B83)+SUMIFS(liquidity_stress!$J:$J,liquidity_stress!$A:$A,$A83,liquidity_stress!$B:$B,"certificates_maturing",liquidity_stress!$C:$C,$B83)+SUMIFS(liquidity_stress!$J:$J,liquidity_stress!$A:$A,$A83,liquidity_stress!$B:$B,"heloc_line_draws",liquidity_stress!$C:$C,$B83)+SUMIFS(liquidity_stress!$J:$J,liquidity_stress!$A:$A,$A83,liquidity_stress!$B:$B,"other_commitment_draws",liquidity_stress!$C:$C,$B83)</f>
        <v>2480175.1767392</v>
      </c>
      <c r="D83" s="8" t="n">
        <f aca="false">SUMIFS(liquidity_sources!$K:$K,liquidity_sources!$G:$G,"n",liquidity_sources!$H:$H,"&lt;="&amp;$B83)-SUMIFS(liquidity_stress!$D:$D,liquidity_stress!$A:$A,$A83,liquidity_stress!$B:$B,"securities_value_haircut",liquidity_stress!$C:$C,$B83)*SUMIFS(liquidity_sources!$D:$D,liquidity_sources!$B:$B,"afs_securities")</f>
        <v>2368603.37756</v>
      </c>
      <c r="E83" s="8" t="n">
        <f aca="false">SUMIFS(liquidity_sources!$K:$K,liquidity_sources!$G:$G,"y",liquidity_sources!$H:$H,"&lt;="&amp;$B83)*(1-SUMIFS(liquidity_stress!$D:$D,liquidity_stress!$A:$A,$A83,liquidity_stress!$B:$B,"contingent_source_availability",liquidity_stress!$C:$C,$B83))</f>
        <v>2852514.76354034</v>
      </c>
      <c r="F83" s="15" t="n">
        <f aca="false">D83+E83</f>
        <v>5221118.14110034</v>
      </c>
      <c r="G83" s="15" t="n">
        <f aca="false">F83-C83</f>
        <v>2740942.96436114</v>
      </c>
    </row>
    <row r="84" customFormat="false" ht="15" hidden="false" customHeight="false" outlineLevel="0" collapsed="false">
      <c r="A84" s="6" t="s">
        <v>302</v>
      </c>
      <c r="B84" s="13" t="n">
        <v>365</v>
      </c>
      <c r="C84" s="8" t="n">
        <f aca="false">SUMIFS(liquidity_stress!$J:$J,liquidity_stress!$A:$A,$A84,liquidity_stress!$B:$B,"insured_retail_nmd",liquidity_stress!$C:$C,$B84)+SUMIFS(liquidity_stress!$J:$J,liquidity_stress!$A:$A,$A84,liquidity_stress!$B:$B,"uninsured_deposits",liquidity_stress!$C:$C,$B84)+SUMIFS(liquidity_stress!$J:$J,liquidity_stress!$A:$A,$A84,liquidity_stress!$B:$B,"business_deposits",liquidity_stress!$C:$C,$B84)+SUMIFS(liquidity_stress!$J:$J,liquidity_stress!$A:$A,$A84,liquidity_stress!$B:$B,"money_market_high_balance",liquidity_stress!$C:$C,$B84)+SUMIFS(liquidity_stress!$J:$J,liquidity_stress!$A:$A,$A84,liquidity_stress!$B:$B,"certificates_maturing",liquidity_stress!$C:$C,$B84)+SUMIFS(liquidity_stress!$J:$J,liquidity_stress!$A:$A,$A84,liquidity_stress!$B:$B,"heloc_line_draws",liquidity_stress!$C:$C,$B84)+SUMIFS(liquidity_stress!$J:$J,liquidity_stress!$A:$A,$A84,liquidity_stress!$B:$B,"other_commitment_draws",liquidity_stress!$C:$C,$B84)</f>
        <v>3034573.182297</v>
      </c>
      <c r="D84" s="8" t="n">
        <f aca="false">SUMIFS(liquidity_sources!$K:$K,liquidity_sources!$G:$G,"n",liquidity_sources!$H:$H,"&lt;="&amp;$B84)-SUMIFS(liquidity_stress!$D:$D,liquidity_stress!$A:$A,$A84,liquidity_stress!$B:$B,"securities_value_haircut",liquidity_stress!$C:$C,$B84)*SUMIFS(liquidity_sources!$D:$D,liquidity_sources!$B:$B,"afs_securities")</f>
        <v>2368603.37756</v>
      </c>
      <c r="E84" s="8" t="n">
        <f aca="false">SUMIFS(liquidity_sources!$K:$K,liquidity_sources!$G:$G,"y",liquidity_sources!$H:$H,"&lt;="&amp;$B84)*(1-SUMIFS(liquidity_stress!$D:$D,liquidity_stress!$A:$A,$A84,liquidity_stress!$B:$B,"contingent_source_availability",liquidity_stress!$C:$C,$B84))</f>
        <v>2852514.76354034</v>
      </c>
      <c r="F84" s="15" t="n">
        <f aca="false">D84+E84</f>
        <v>5221118.14110034</v>
      </c>
      <c r="G84" s="15" t="n">
        <f aca="false">F84-C84</f>
        <v>2186544.95880334</v>
      </c>
    </row>
    <row r="85" customFormat="false" ht="15" hidden="false" customHeight="false" outlineLevel="0" collapsed="false">
      <c r="A85" s="11" t="s">
        <v>302</v>
      </c>
      <c r="B85" s="11" t="s">
        <v>300</v>
      </c>
      <c r="C85" s="16" t="n">
        <f aca="false">IF(G80&lt;0,7,IF(G81&lt;0,30,IF(G82&lt;0,90,IF(G83&lt;0,180,365))))</f>
        <v>365</v>
      </c>
    </row>
    <row r="86" customFormat="false" ht="15" hidden="false" customHeight="false" outlineLevel="0" collapsed="false">
      <c r="A86" s="6" t="s">
        <v>303</v>
      </c>
      <c r="B86" s="13" t="n">
        <v>7</v>
      </c>
      <c r="C86" s="8" t="n">
        <f aca="false">SUMIFS(liquidity_stress!$J:$J,liquidity_stress!$A:$A,$A86,liquidity_stress!$B:$B,"insured_retail_nmd",liquidity_stress!$C:$C,$B86)+SUMIFS(liquidity_stress!$J:$J,liquidity_stress!$A:$A,$A86,liquidity_stress!$B:$B,"uninsured_deposits",liquidity_stress!$C:$C,$B86)+SUMIFS(liquidity_stress!$J:$J,liquidity_stress!$A:$A,$A86,liquidity_stress!$B:$B,"business_deposits",liquidity_stress!$C:$C,$B86)+SUMIFS(liquidity_stress!$J:$J,liquidity_stress!$A:$A,$A86,liquidity_stress!$B:$B,"money_market_high_balance",liquidity_stress!$C:$C,$B86)+SUMIFS(liquidity_stress!$J:$J,liquidity_stress!$A:$A,$A86,liquidity_stress!$B:$B,"certificates_maturing",liquidity_stress!$C:$C,$B86)+SUMIFS(liquidity_stress!$J:$J,liquidity_stress!$A:$A,$A86,liquidity_stress!$B:$B,"heloc_line_draws",liquidity_stress!$C:$C,$B86)+SUMIFS(liquidity_stress!$J:$J,liquidity_stress!$A:$A,$A86,liquidity_stress!$B:$B,"other_commitment_draws",liquidity_stress!$C:$C,$B86)</f>
        <v>66024.43434712</v>
      </c>
      <c r="D86" s="8" t="n">
        <f aca="false">SUMIFS(liquidity_sources!$K:$K,liquidity_sources!$G:$G,"n",liquidity_sources!$H:$H,"&lt;="&amp;$B86)-SUMIFS(liquidity_stress!$D:$D,liquidity_stress!$A:$A,$A86,liquidity_stress!$B:$B,"securities_value_haircut",liquidity_stress!$C:$C,$B86)*SUMIFS(liquidity_sources!$D:$D,liquidity_sources!$B:$B,"afs_securities")</f>
        <v>2290272.40504</v>
      </c>
      <c r="E86" s="8" t="n">
        <f aca="false">SUMIFS(liquidity_sources!$K:$K,liquidity_sources!$G:$G,"y",liquidity_sources!$H:$H,"&lt;="&amp;$B86)*(1-SUMIFS(liquidity_stress!$D:$D,liquidity_stress!$A:$A,$A86,liquidity_stress!$B:$B,"contingent_source_availability",liquidity_stress!$C:$C,$B86))</f>
        <v>4004649.41662282</v>
      </c>
      <c r="F86" s="15" t="n">
        <f aca="false">D86+E86</f>
        <v>6294921.82166283</v>
      </c>
      <c r="G86" s="15" t="n">
        <f aca="false">F86-C86</f>
        <v>6228897.3873157</v>
      </c>
    </row>
    <row r="87" customFormat="false" ht="15" hidden="false" customHeight="false" outlineLevel="0" collapsed="false">
      <c r="A87" s="6" t="s">
        <v>303</v>
      </c>
      <c r="B87" s="13" t="n">
        <v>30</v>
      </c>
      <c r="C87" s="8" t="n">
        <f aca="false">SUMIFS(liquidity_stress!$J:$J,liquidity_stress!$A:$A,$A87,liquidity_stress!$B:$B,"insured_retail_nmd",liquidity_stress!$C:$C,$B87)+SUMIFS(liquidity_stress!$J:$J,liquidity_stress!$A:$A,$A87,liquidity_stress!$B:$B,"uninsured_deposits",liquidity_stress!$C:$C,$B87)+SUMIFS(liquidity_stress!$J:$J,liquidity_stress!$A:$A,$A87,liquidity_stress!$B:$B,"business_deposits",liquidity_stress!$C:$C,$B87)+SUMIFS(liquidity_stress!$J:$J,liquidity_stress!$A:$A,$A87,liquidity_stress!$B:$B,"money_market_high_balance",liquidity_stress!$C:$C,$B87)+SUMIFS(liquidity_stress!$J:$J,liquidity_stress!$A:$A,$A87,liquidity_stress!$B:$B,"certificates_maturing",liquidity_stress!$C:$C,$B87)+SUMIFS(liquidity_stress!$J:$J,liquidity_stress!$A:$A,$A87,liquidity_stress!$B:$B,"heloc_line_draws",liquidity_stress!$C:$C,$B87)+SUMIFS(liquidity_stress!$J:$J,liquidity_stress!$A:$A,$A87,liquidity_stress!$B:$B,"other_commitment_draws",liquidity_stress!$C:$C,$B87)</f>
        <v>250336.3608667</v>
      </c>
      <c r="D87" s="8" t="n">
        <f aca="false">SUMIFS(liquidity_sources!$K:$K,liquidity_sources!$G:$G,"n",liquidity_sources!$H:$H,"&lt;="&amp;$B87)-SUMIFS(liquidity_stress!$D:$D,liquidity_stress!$A:$A,$A87,liquidity_stress!$B:$B,"securities_value_haircut",liquidity_stress!$C:$C,$B87)*SUMIFS(liquidity_sources!$D:$D,liquidity_sources!$B:$B,"afs_securities")</f>
        <v>2290272.40504</v>
      </c>
      <c r="E87" s="8" t="n">
        <f aca="false">SUMIFS(liquidity_sources!$K:$K,liquidity_sources!$G:$G,"y",liquidity_sources!$H:$H,"&lt;="&amp;$B87)*(1-SUMIFS(liquidity_stress!$D:$D,liquidity_stress!$A:$A,$A87,liquidity_stress!$B:$B,"contingent_source_availability",liquidity_stress!$C:$C,$B87))</f>
        <v>4403151.43124782</v>
      </c>
      <c r="F87" s="15" t="n">
        <f aca="false">D87+E87</f>
        <v>6693423.83628782</v>
      </c>
      <c r="G87" s="15" t="n">
        <f aca="false">F87-C87</f>
        <v>6443087.47542112</v>
      </c>
    </row>
    <row r="88" customFormat="false" ht="15" hidden="false" customHeight="false" outlineLevel="0" collapsed="false">
      <c r="A88" s="6" t="s">
        <v>303</v>
      </c>
      <c r="B88" s="13" t="n">
        <v>90</v>
      </c>
      <c r="C88" s="8" t="n">
        <f aca="false">SUMIFS(liquidity_stress!$J:$J,liquidity_stress!$A:$A,$A88,liquidity_stress!$B:$B,"insured_retail_nmd",liquidity_stress!$C:$C,$B88)+SUMIFS(liquidity_stress!$J:$J,liquidity_stress!$A:$A,$A88,liquidity_stress!$B:$B,"uninsured_deposits",liquidity_stress!$C:$C,$B88)+SUMIFS(liquidity_stress!$J:$J,liquidity_stress!$A:$A,$A88,liquidity_stress!$B:$B,"business_deposits",liquidity_stress!$C:$C,$B88)+SUMIFS(liquidity_stress!$J:$J,liquidity_stress!$A:$A,$A88,liquidity_stress!$B:$B,"money_market_high_balance",liquidity_stress!$C:$C,$B88)+SUMIFS(liquidity_stress!$J:$J,liquidity_stress!$A:$A,$A88,liquidity_stress!$B:$B,"certificates_maturing",liquidity_stress!$C:$C,$B88)+SUMIFS(liquidity_stress!$J:$J,liquidity_stress!$A:$A,$A88,liquidity_stress!$B:$B,"heloc_line_draws",liquidity_stress!$C:$C,$B88)+SUMIFS(liquidity_stress!$J:$J,liquidity_stress!$A:$A,$A88,liquidity_stress!$B:$B,"other_commitment_draws",liquidity_stress!$C:$C,$B88)</f>
        <v>616774.8983265</v>
      </c>
      <c r="D88" s="8" t="n">
        <f aca="false">SUMIFS(liquidity_sources!$K:$K,liquidity_sources!$G:$G,"n",liquidity_sources!$H:$H,"&lt;="&amp;$B88)-SUMIFS(liquidity_stress!$D:$D,liquidity_stress!$A:$A,$A88,liquidity_stress!$B:$B,"securities_value_haircut",liquidity_stress!$C:$C,$B88)*SUMIFS(liquidity_sources!$D:$D,liquidity_sources!$B:$B,"afs_securities")</f>
        <v>2290272.40504</v>
      </c>
      <c r="E88" s="8" t="n">
        <f aca="false">SUMIFS(liquidity_sources!$K:$K,liquidity_sources!$G:$G,"y",liquidity_sources!$H:$H,"&lt;="&amp;$B88)*(1-SUMIFS(liquidity_stress!$D:$D,liquidity_stress!$A:$A,$A88,liquidity_stress!$B:$B,"contingent_source_availability",liquidity_stress!$C:$C,$B88))</f>
        <v>4667751.43124782</v>
      </c>
      <c r="F88" s="15" t="n">
        <f aca="false">D88+E88</f>
        <v>6958023.83628782</v>
      </c>
      <c r="G88" s="15" t="n">
        <f aca="false">F88-C88</f>
        <v>6341248.93796132</v>
      </c>
    </row>
    <row r="89" customFormat="false" ht="15" hidden="false" customHeight="false" outlineLevel="0" collapsed="false">
      <c r="A89" s="6" t="s">
        <v>303</v>
      </c>
      <c r="B89" s="13" t="n">
        <v>180</v>
      </c>
      <c r="C89" s="8" t="n">
        <f aca="false">SUMIFS(liquidity_stress!$J:$J,liquidity_stress!$A:$A,$A89,liquidity_stress!$B:$B,"insured_retail_nmd",liquidity_stress!$C:$C,$B89)+SUMIFS(liquidity_stress!$J:$J,liquidity_stress!$A:$A,$A89,liquidity_stress!$B:$B,"uninsured_deposits",liquidity_stress!$C:$C,$B89)+SUMIFS(liquidity_stress!$J:$J,liquidity_stress!$A:$A,$A89,liquidity_stress!$B:$B,"business_deposits",liquidity_stress!$C:$C,$B89)+SUMIFS(liquidity_stress!$J:$J,liquidity_stress!$A:$A,$A89,liquidity_stress!$B:$B,"money_market_high_balance",liquidity_stress!$C:$C,$B89)+SUMIFS(liquidity_stress!$J:$J,liquidity_stress!$A:$A,$A89,liquidity_stress!$B:$B,"certificates_maturing",liquidity_stress!$C:$C,$B89)+SUMIFS(liquidity_stress!$J:$J,liquidity_stress!$A:$A,$A89,liquidity_stress!$B:$B,"heloc_line_draws",liquidity_stress!$C:$C,$B89)+SUMIFS(liquidity_stress!$J:$J,liquidity_stress!$A:$A,$A89,liquidity_stress!$B:$B,"other_commitment_draws",liquidity_stress!$C:$C,$B89)</f>
        <v>944345.9933603</v>
      </c>
      <c r="D89" s="8" t="n">
        <f aca="false">SUMIFS(liquidity_sources!$K:$K,liquidity_sources!$G:$G,"n",liquidity_sources!$H:$H,"&lt;="&amp;$B89)-SUMIFS(liquidity_stress!$D:$D,liquidity_stress!$A:$A,$A89,liquidity_stress!$B:$B,"securities_value_haircut",liquidity_stress!$C:$C,$B89)*SUMIFS(liquidity_sources!$D:$D,liquidity_sources!$B:$B,"afs_securities")</f>
        <v>2290272.40504</v>
      </c>
      <c r="E89" s="8" t="n">
        <f aca="false">SUMIFS(liquidity_sources!$K:$K,liquidity_sources!$G:$G,"y",liquidity_sources!$H:$H,"&lt;="&amp;$B89)*(1-SUMIFS(liquidity_stress!$D:$D,liquidity_stress!$A:$A,$A89,liquidity_stress!$B:$B,"contingent_source_availability",liquidity_stress!$C:$C,$B89))</f>
        <v>4667751.43124782</v>
      </c>
      <c r="F89" s="15" t="n">
        <f aca="false">D89+E89</f>
        <v>6958023.83628782</v>
      </c>
      <c r="G89" s="15" t="n">
        <f aca="false">F89-C89</f>
        <v>6013677.84292753</v>
      </c>
    </row>
    <row r="90" customFormat="false" ht="15" hidden="false" customHeight="false" outlineLevel="0" collapsed="false">
      <c r="A90" s="6" t="s">
        <v>303</v>
      </c>
      <c r="B90" s="13" t="n">
        <v>365</v>
      </c>
      <c r="C90" s="8" t="n">
        <f aca="false">SUMIFS(liquidity_stress!$J:$J,liquidity_stress!$A:$A,$A90,liquidity_stress!$B:$B,"insured_retail_nmd",liquidity_stress!$C:$C,$B90)+SUMIFS(liquidity_stress!$J:$J,liquidity_stress!$A:$A,$A90,liquidity_stress!$B:$B,"uninsured_deposits",liquidity_stress!$C:$C,$B90)+SUMIFS(liquidity_stress!$J:$J,liquidity_stress!$A:$A,$A90,liquidity_stress!$B:$B,"business_deposits",liquidity_stress!$C:$C,$B90)+SUMIFS(liquidity_stress!$J:$J,liquidity_stress!$A:$A,$A90,liquidity_stress!$B:$B,"money_market_high_balance",liquidity_stress!$C:$C,$B90)+SUMIFS(liquidity_stress!$J:$J,liquidity_stress!$A:$A,$A90,liquidity_stress!$B:$B,"certificates_maturing",liquidity_stress!$C:$C,$B90)+SUMIFS(liquidity_stress!$J:$J,liquidity_stress!$A:$A,$A90,liquidity_stress!$B:$B,"heloc_line_draws",liquidity_stress!$C:$C,$B90)+SUMIFS(liquidity_stress!$J:$J,liquidity_stress!$A:$A,$A90,liquidity_stress!$B:$B,"other_commitment_draws",liquidity_stress!$C:$C,$B90)</f>
        <v>1241068.7199512</v>
      </c>
      <c r="D90" s="8" t="n">
        <f aca="false">SUMIFS(liquidity_sources!$K:$K,liquidity_sources!$G:$G,"n",liquidity_sources!$H:$H,"&lt;="&amp;$B90)-SUMIFS(liquidity_stress!$D:$D,liquidity_stress!$A:$A,$A90,liquidity_stress!$B:$B,"securities_value_haircut",liquidity_stress!$C:$C,$B90)*SUMIFS(liquidity_sources!$D:$D,liquidity_sources!$B:$B,"afs_securities")</f>
        <v>2290272.40504</v>
      </c>
      <c r="E90" s="8" t="n">
        <f aca="false">SUMIFS(liquidity_sources!$K:$K,liquidity_sources!$G:$G,"y",liquidity_sources!$H:$H,"&lt;="&amp;$B90)*(1-SUMIFS(liquidity_stress!$D:$D,liquidity_stress!$A:$A,$A90,liquidity_stress!$B:$B,"contingent_source_availability",liquidity_stress!$C:$C,$B90))</f>
        <v>4667751.43124782</v>
      </c>
      <c r="F90" s="15" t="n">
        <f aca="false">D90+E90</f>
        <v>6958023.83628782</v>
      </c>
      <c r="G90" s="15" t="n">
        <f aca="false">F90-C90</f>
        <v>5716955.11633662</v>
      </c>
    </row>
    <row r="91" customFormat="false" ht="15" hidden="false" customHeight="false" outlineLevel="0" collapsed="false">
      <c r="A91" s="11" t="s">
        <v>303</v>
      </c>
      <c r="B91" s="11" t="s">
        <v>300</v>
      </c>
      <c r="C91" s="16" t="n">
        <f aca="false">IF(G86&lt;0,7,IF(G87&lt;0,30,IF(G88&lt;0,90,IF(G89&lt;0,180,365))))</f>
        <v>365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A1:H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2"/>
    <col collapsed="false" customWidth="true" hidden="false" outlineLevel="0" max="3" min="3" style="0" width="30"/>
    <col collapsed="false" customWidth="true" hidden="false" outlineLevel="0" max="5" min="4" style="0" width="16"/>
    <col collapsed="false" customWidth="true" hidden="false" outlineLevel="0" max="6" min="6" style="0" width="14"/>
    <col collapsed="false" customWidth="true" hidden="false" outlineLevel="0" max="8" min="7" style="0" width="11"/>
  </cols>
  <sheetData>
    <row r="1" customFormat="false" ht="17.35" hidden="false" customHeight="false" outlineLevel="0" collapsed="false">
      <c r="A1" s="1" t="s">
        <v>304</v>
      </c>
    </row>
    <row r="2" customFormat="false" ht="15" hidden="false" customHeight="false" outlineLevel="0" collapsed="false">
      <c r="A2" s="6" t="s">
        <v>305</v>
      </c>
    </row>
    <row r="4" customFormat="false" ht="15" hidden="false" customHeight="false" outlineLevel="0" collapsed="false">
      <c r="A4" s="10" t="s">
        <v>306</v>
      </c>
      <c r="B4" s="10" t="s">
        <v>307</v>
      </c>
      <c r="C4" s="10" t="s">
        <v>308</v>
      </c>
      <c r="D4" s="10" t="s">
        <v>309</v>
      </c>
      <c r="E4" s="10" t="s">
        <v>310</v>
      </c>
      <c r="F4" s="10" t="s">
        <v>311</v>
      </c>
      <c r="G4" s="10" t="s">
        <v>312</v>
      </c>
      <c r="H4" s="10" t="s">
        <v>313</v>
      </c>
    </row>
    <row r="5" customFormat="false" ht="15" hidden="false" customHeight="false" outlineLevel="0" collapsed="false">
      <c r="A5" s="13" t="n">
        <v>1</v>
      </c>
      <c r="B5" s="6" t="s">
        <v>314</v>
      </c>
      <c r="C5" s="6" t="s">
        <v>315</v>
      </c>
      <c r="D5" s="8" t="n">
        <f aca="false">SUMIFS(balance_sheet!$E:$E,balance_sheet!$A:$A,"2020-12-31",balance_sheet!$B:$B,"asset")</f>
        <v>6637949.766</v>
      </c>
      <c r="E5" s="8" t="n">
        <f aca="false">SUMIFS(balance_sheet!$E:$E,balance_sheet!$A:$A,"2020-12-31",balance_sheet!$B:$B,"liability")+SUMIFS(balance_sheet!$E:$E,balance_sheet!$A:$A,"2020-12-31",balance_sheet!$B:$B,"equity")</f>
        <v>6637949.766</v>
      </c>
      <c r="F5" s="15" t="n">
        <f aca="false">ROUND(D5-E5,2)</f>
        <v>0</v>
      </c>
      <c r="G5" s="19" t="n">
        <v>0.001</v>
      </c>
      <c r="H5" s="6" t="str">
        <f aca="false">IF(ABS(F5)&lt;=G5*ABS(D5),"PASS","FAIL")</f>
        <v>PASS</v>
      </c>
    </row>
    <row r="6" customFormat="false" ht="15" hidden="false" customHeight="false" outlineLevel="0" collapsed="false">
      <c r="A6" s="13" t="n">
        <v>1</v>
      </c>
      <c r="B6" s="6" t="s">
        <v>314</v>
      </c>
      <c r="C6" s="6" t="s">
        <v>316</v>
      </c>
      <c r="D6" s="8" t="n">
        <f aca="false">SUMIFS(balance_sheet!$E:$E,balance_sheet!$A:$A,"2021-12-31",balance_sheet!$B:$B,"asset")</f>
        <v>8206373.35</v>
      </c>
      <c r="E6" s="8" t="n">
        <f aca="false">SUMIFS(balance_sheet!$E:$E,balance_sheet!$A:$A,"2021-12-31",balance_sheet!$B:$B,"liability")+SUMIFS(balance_sheet!$E:$E,balance_sheet!$A:$A,"2021-12-31",balance_sheet!$B:$B,"equity")</f>
        <v>8206373.35</v>
      </c>
      <c r="F6" s="15" t="n">
        <f aca="false">ROUND(D6-E6,2)</f>
        <v>0</v>
      </c>
      <c r="G6" s="19" t="n">
        <v>0.001</v>
      </c>
      <c r="H6" s="6" t="str">
        <f aca="false">IF(ABS(F6)&lt;=G6*ABS(D6),"PASS","FAIL")</f>
        <v>PASS</v>
      </c>
    </row>
    <row r="7" customFormat="false" ht="15" hidden="false" customHeight="false" outlineLevel="0" collapsed="false">
      <c r="A7" s="13" t="n">
        <v>1</v>
      </c>
      <c r="B7" s="6" t="s">
        <v>314</v>
      </c>
      <c r="C7" s="6" t="s">
        <v>317</v>
      </c>
      <c r="D7" s="8" t="n">
        <f aca="false">SUMIFS(balance_sheet!$E:$E,balance_sheet!$A:$A,"2022-12-31",balance_sheet!$B:$B,"asset")</f>
        <v>8192281.897</v>
      </c>
      <c r="E7" s="8" t="n">
        <f aca="false">SUMIFS(balance_sheet!$E:$E,balance_sheet!$A:$A,"2022-12-31",balance_sheet!$B:$B,"liability")+SUMIFS(balance_sheet!$E:$E,balance_sheet!$A:$A,"2022-12-31",balance_sheet!$B:$B,"equity")</f>
        <v>8192281.897</v>
      </c>
      <c r="F7" s="15" t="n">
        <f aca="false">ROUND(D7-E7,2)</f>
        <v>0</v>
      </c>
      <c r="G7" s="19" t="n">
        <v>0.001</v>
      </c>
      <c r="H7" s="6" t="str">
        <f aca="false">IF(ABS(F7)&lt;=G7*ABS(D7),"PASS","FAIL")</f>
        <v>PASS</v>
      </c>
    </row>
    <row r="8" customFormat="false" ht="15" hidden="false" customHeight="false" outlineLevel="0" collapsed="false">
      <c r="A8" s="13" t="n">
        <v>1</v>
      </c>
      <c r="B8" s="6" t="s">
        <v>314</v>
      </c>
      <c r="C8" s="6" t="s">
        <v>318</v>
      </c>
      <c r="D8" s="8" t="n">
        <f aca="false">SUMIFS(balance_sheet!$E:$E,balance_sheet!$A:$A,"2023-12-31",balance_sheet!$B:$B,"asset")</f>
        <v>8710563.794</v>
      </c>
      <c r="E8" s="8" t="n">
        <f aca="false">SUMIFS(balance_sheet!$E:$E,balance_sheet!$A:$A,"2023-12-31",balance_sheet!$B:$B,"liability")+SUMIFS(balance_sheet!$E:$E,balance_sheet!$A:$A,"2023-12-31",balance_sheet!$B:$B,"equity")</f>
        <v>8710563.794</v>
      </c>
      <c r="F8" s="15" t="n">
        <f aca="false">ROUND(D8-E8,2)</f>
        <v>0</v>
      </c>
      <c r="G8" s="19" t="n">
        <v>0.001</v>
      </c>
      <c r="H8" s="6" t="str">
        <f aca="false">IF(ABS(F8)&lt;=G8*ABS(D8),"PASS","FAIL")</f>
        <v>PASS</v>
      </c>
    </row>
    <row r="9" customFormat="false" ht="15" hidden="false" customHeight="false" outlineLevel="0" collapsed="false">
      <c r="A9" s="13" t="n">
        <v>1</v>
      </c>
      <c r="B9" s="6" t="s">
        <v>314</v>
      </c>
      <c r="C9" s="6" t="s">
        <v>319</v>
      </c>
      <c r="D9" s="8" t="n">
        <f aca="false">SUMIFS(balance_sheet!$E:$E,balance_sheet!$A:$A,"2024-12-31",balance_sheet!$B:$B,"asset")</f>
        <v>8783626.77</v>
      </c>
      <c r="E9" s="8" t="n">
        <f aca="false">SUMIFS(balance_sheet!$E:$E,balance_sheet!$A:$A,"2024-12-31",balance_sheet!$B:$B,"liability")+SUMIFS(balance_sheet!$E:$E,balance_sheet!$A:$A,"2024-12-31",balance_sheet!$B:$B,"equity")</f>
        <v>8783626.77</v>
      </c>
      <c r="F9" s="15" t="n">
        <f aca="false">ROUND(D9-E9,2)</f>
        <v>0</v>
      </c>
      <c r="G9" s="19" t="n">
        <v>0.001</v>
      </c>
      <c r="H9" s="6" t="str">
        <f aca="false">IF(ABS(F9)&lt;=G9*ABS(D9),"PASS","FAIL")</f>
        <v>PASS</v>
      </c>
    </row>
    <row r="10" customFormat="false" ht="15" hidden="false" customHeight="false" outlineLevel="0" collapsed="false">
      <c r="A10" s="13" t="n">
        <v>1</v>
      </c>
      <c r="B10" s="6" t="s">
        <v>314</v>
      </c>
      <c r="C10" s="6" t="s">
        <v>320</v>
      </c>
      <c r="D10" s="8" t="n">
        <f aca="false">SUMIFS(balance_sheet!$E:$E,balance_sheet!$A:$A,"2025-12-31",balance_sheet!$B:$B,"asset")</f>
        <v>9535159.326</v>
      </c>
      <c r="E10" s="8" t="n">
        <f aca="false">SUMIFS(balance_sheet!$E:$E,balance_sheet!$A:$A,"2025-12-31",balance_sheet!$B:$B,"liability")+SUMIFS(balance_sheet!$E:$E,balance_sheet!$A:$A,"2025-12-31",balance_sheet!$B:$B,"equity")</f>
        <v>9535159.326</v>
      </c>
      <c r="F10" s="15" t="n">
        <f aca="false">ROUND(D10-E10,2)</f>
        <v>0</v>
      </c>
      <c r="G10" s="19" t="n">
        <v>0.001</v>
      </c>
      <c r="H10" s="6" t="str">
        <f aca="false">IF(ABS(F10)&lt;=G10*ABS(D10),"PASS","FAIL")</f>
        <v>PASS</v>
      </c>
    </row>
    <row r="11" customFormat="false" ht="15" hidden="false" customHeight="false" outlineLevel="0" collapsed="false">
      <c r="A11" s="13" t="n">
        <v>1</v>
      </c>
      <c r="B11" s="6" t="s">
        <v>314</v>
      </c>
      <c r="C11" s="6" t="s">
        <v>321</v>
      </c>
      <c r="D11" s="8" t="n">
        <f aca="false">SUMIFS(balance_sheet!$E:$E,balance_sheet!$A:$A,"2026-03-31",balance_sheet!$B:$B,"asset")</f>
        <v>9791191.351</v>
      </c>
      <c r="E11" s="8" t="n">
        <f aca="false">SUMIFS(balance_sheet!$E:$E,balance_sheet!$A:$A,"2026-03-31",balance_sheet!$B:$B,"liability")+SUMIFS(balance_sheet!$E:$E,balance_sheet!$A:$A,"2026-03-31",balance_sheet!$B:$B,"equity")</f>
        <v>9791191.351</v>
      </c>
      <c r="F11" s="15" t="n">
        <f aca="false">ROUND(D11-E11,2)</f>
        <v>0</v>
      </c>
      <c r="G11" s="19" t="n">
        <v>0.001</v>
      </c>
      <c r="H11" s="6" t="str">
        <f aca="false">IF(ABS(F11)&lt;=G11*ABS(D11),"PASS","FAIL")</f>
        <v>PASS</v>
      </c>
    </row>
    <row r="12" customFormat="false" ht="15" hidden="false" customHeight="false" outlineLevel="0" collapsed="false">
      <c r="A12" s="13" t="n">
        <v>1</v>
      </c>
      <c r="B12" s="6" t="s">
        <v>314</v>
      </c>
      <c r="C12" s="6" t="s">
        <v>322</v>
      </c>
      <c r="D12" s="8" t="n">
        <f aca="false">SUMIFS(balance_sheet!$E:$E,balance_sheet!$A:$A,"2026-06-30",balance_sheet!$B:$B,"asset")</f>
        <v>9887845.02698893</v>
      </c>
      <c r="E12" s="8" t="n">
        <f aca="false">SUMIFS(balance_sheet!$E:$E,balance_sheet!$A:$A,"2026-06-30",balance_sheet!$B:$B,"liability")+SUMIFS(balance_sheet!$E:$E,balance_sheet!$A:$A,"2026-06-30",balance_sheet!$B:$B,"equity")</f>
        <v>9887845.027</v>
      </c>
      <c r="F12" s="15" t="n">
        <f aca="false">ROUND(D12-E12,2)</f>
        <v>-0</v>
      </c>
      <c r="G12" s="19" t="n">
        <v>0.001</v>
      </c>
      <c r="H12" s="6" t="str">
        <f aca="false">IF(ABS(F12)&lt;=G12*ABS(D12),"PASS","FAIL")</f>
        <v>PASS</v>
      </c>
    </row>
    <row r="13" customFormat="false" ht="15" hidden="false" customHeight="false" outlineLevel="0" collapsed="false">
      <c r="A13" s="13" t="n">
        <v>2</v>
      </c>
      <c r="B13" s="6" t="s">
        <v>323</v>
      </c>
      <c r="C13" s="6" t="s">
        <v>322</v>
      </c>
      <c r="D13" s="8" t="n">
        <f aca="false">SUMIFS(loans!$D:$D,loans!$A:$A,meta!$B$3)</f>
        <v>5305440.524</v>
      </c>
      <c r="E13" s="8" t="n">
        <f aca="false">SUMIFS(balance_sheet!$E:$E,balance_sheet!$A:$A,meta!$B$3,balance_sheet!$C:$C,"loans")</f>
        <v>5305440.524</v>
      </c>
      <c r="F13" s="15" t="n">
        <f aca="false">D13-E13</f>
        <v>0</v>
      </c>
      <c r="G13" s="19" t="n">
        <v>0.001</v>
      </c>
      <c r="H13" s="6" t="str">
        <f aca="false">IF(ABS(F13)&lt;=G13*ABS(E13),"PASS","FAIL")</f>
        <v>PASS</v>
      </c>
    </row>
    <row r="14" customFormat="false" ht="15" hidden="false" customHeight="false" outlineLevel="0" collapsed="false">
      <c r="A14" s="13" t="n">
        <v>2</v>
      </c>
      <c r="B14" s="6" t="s">
        <v>324</v>
      </c>
      <c r="C14" s="6" t="s">
        <v>322</v>
      </c>
      <c r="D14" s="8" t="n">
        <f aca="false">SUMIFS(deposits!$E:$E,deposits!$A:$A,meta!$B$3)</f>
        <v>8855600.325</v>
      </c>
      <c r="E14" s="8" t="n">
        <f aca="false">SUMIFS(balance_sheet!$E:$E,balance_sheet!$A:$A,meta!$B$3,balance_sheet!$C:$C,"shares")</f>
        <v>8855600.325</v>
      </c>
      <c r="F14" s="15" t="n">
        <f aca="false">D14-E14</f>
        <v>0</v>
      </c>
      <c r="G14" s="19" t="n">
        <v>0.001</v>
      </c>
      <c r="H14" s="6" t="str">
        <f aca="false">IF(ABS(F14)&lt;=G14*ABS(E14),"PASS","FAIL")</f>
        <v>PASS</v>
      </c>
    </row>
    <row r="15" customFormat="false" ht="15" hidden="false" customHeight="false" outlineLevel="0" collapsed="false">
      <c r="A15" s="13" t="n">
        <v>3</v>
      </c>
      <c r="B15" s="6" t="s">
        <v>325</v>
      </c>
      <c r="C15" s="6" t="s">
        <v>322</v>
      </c>
      <c r="D15" s="8" t="n">
        <f aca="false">SUMIFS(repricing_gap!$D:$D,repricing_gap!$A:$A,meta!$B$3,repricing_gap!$C:$C,"asset")</f>
        <v>9887845.02698893</v>
      </c>
      <c r="E15" s="8" t="n">
        <f aca="false">SUMIFS(balance_sheet!$E:$E,balance_sheet!$A:$A,meta!$B$3,balance_sheet!$B:$B,"asset")</f>
        <v>9887845.02698893</v>
      </c>
      <c r="F15" s="15" t="n">
        <f aca="false">D15-E15</f>
        <v>0</v>
      </c>
      <c r="G15" s="19" t="n">
        <v>0.001</v>
      </c>
      <c r="H15" s="6" t="str">
        <f aca="false">IF(ABS(F15)&lt;=G15*ABS(E15),"PASS","FAIL")</f>
        <v>PASS</v>
      </c>
    </row>
    <row r="16" customFormat="false" ht="15" hidden="false" customHeight="false" outlineLevel="0" collapsed="false">
      <c r="A16" s="13" t="n">
        <v>3</v>
      </c>
      <c r="B16" s="6" t="s">
        <v>326</v>
      </c>
      <c r="C16" s="6" t="s">
        <v>322</v>
      </c>
      <c r="D16" s="8" t="n">
        <f aca="false">SUMIFS(repricing_gap!$D:$D,repricing_gap!$A:$A,meta!$B$3,repricing_gap!$C:$C,"liability")+SUMIFS(repricing_gap!$D:$D,repricing_gap!$A:$A,meta!$B$3,repricing_gap!$C:$C,"equity")</f>
        <v>9887845.027</v>
      </c>
      <c r="E16" s="8" t="n">
        <f aca="false">SUMIFS(balance_sheet!$E:$E,balance_sheet!$A:$A,meta!$B$3,balance_sheet!$B:$B,"liability")+SUMIFS(balance_sheet!$E:$E,balance_sheet!$A:$A,meta!$B$3,balance_sheet!$B:$B,"equity")</f>
        <v>9887845.027</v>
      </c>
      <c r="F16" s="15" t="n">
        <f aca="false">D16-E16</f>
        <v>0</v>
      </c>
      <c r="G16" s="19" t="n">
        <v>0.001</v>
      </c>
      <c r="H16" s="6" t="str">
        <f aca="false">IF(ABS(F16)&lt;=G16*ABS(E16),"PASS","FAIL")</f>
        <v>PASS</v>
      </c>
    </row>
    <row r="17" customFormat="false" ht="15" hidden="false" customHeight="false" outlineLevel="0" collapsed="false">
      <c r="A17" s="13" t="n">
        <v>4</v>
      </c>
      <c r="B17" s="6" t="s">
        <v>327</v>
      </c>
      <c r="C17" s="6" t="s">
        <v>328</v>
      </c>
      <c r="D17" s="8" t="n">
        <f aca="false">SUMIFS(income_statement!$E:$E,income_statement!$A:$A,"2020-12-31",income_statement!$B:$B,"ytd",income_statement!$C:$C,"interest_income")-SUMIFS(income_statement!$E:$E,income_statement!$A:$A,"2020-12-31",income_statement!$B:$B,"ytd",income_statement!$C:$C,"interest_expense")</f>
        <v>132733.629</v>
      </c>
      <c r="E17" s="8" t="n">
        <f aca="false">income_statement_totals!$M$2</f>
        <v>132733.629</v>
      </c>
      <c r="F17" s="15" t="n">
        <f aca="false">D17-E17</f>
        <v>0</v>
      </c>
      <c r="G17" s="20" t="n">
        <v>0.5</v>
      </c>
      <c r="H17" s="6" t="str">
        <f aca="false">IF(ABS(F17)&lt;=G17,"PASS","FAIL")</f>
        <v>PASS</v>
      </c>
    </row>
    <row r="18" customFormat="false" ht="15" hidden="false" customHeight="false" outlineLevel="0" collapsed="false">
      <c r="A18" s="13" t="n">
        <v>4</v>
      </c>
      <c r="B18" s="6" t="s">
        <v>329</v>
      </c>
      <c r="C18" s="6" t="s">
        <v>328</v>
      </c>
      <c r="D18" s="8" t="n">
        <f aca="false">SUMIFS(income_statement!$E:$E,income_statement!$A:$A,"2020-12-31",income_statement!$B:$B,"ytd",income_statement!$C:$C,"interest_income")-SUMIFS(income_statement!$E:$E,income_statement!$A:$A,"2020-12-31",income_statement!$B:$B,"ytd",income_statement!$C:$C,"interest_expense")-SUMIFS(income_statement!$E:$E,income_statement!$A:$A,"2020-12-31",income_statement!$B:$B,"ytd",income_statement!$C:$C,"member_giveback")-SUMIFS(income_statement!$E:$E,income_statement!$A:$A,"2020-12-31",income_statement!$B:$B,"ytd",income_statement!$C:$C,"provision")+SUMIFS(income_statement!$E:$E,income_statement!$A:$A,"2020-12-31",income_statement!$B:$B,"ytd",income_statement!$C:$C,"noninterest_income")-SUMIFS(income_statement!$E:$E,income_statement!$A:$A,"2020-12-31",income_statement!$B:$B,"ytd",income_statement!$C:$C,"noninterest_expense")+SUMIFS(income_statement!$E:$E,income_statement!$A:$A,"2020-12-31",income_statement!$B:$B,"ytd",income_statement!$C:$C,"one_time")</f>
        <v>42541.475</v>
      </c>
      <c r="E18" s="8" t="n">
        <f aca="false">income_statement_totals!$J$2</f>
        <v>42541.475</v>
      </c>
      <c r="F18" s="15" t="n">
        <f aca="false">D18-E18</f>
        <v>0</v>
      </c>
      <c r="G18" s="20" t="n">
        <v>0.5</v>
      </c>
      <c r="H18" s="6" t="str">
        <f aca="false">IF(ABS(F18)&lt;=G18,"PASS","FAIL")</f>
        <v>PASS</v>
      </c>
    </row>
    <row r="19" customFormat="false" ht="15" hidden="false" customHeight="false" outlineLevel="0" collapsed="false">
      <c r="A19" s="13" t="n">
        <v>4</v>
      </c>
      <c r="B19" s="6" t="s">
        <v>327</v>
      </c>
      <c r="C19" s="6" t="s">
        <v>330</v>
      </c>
      <c r="D19" s="8" t="n">
        <f aca="false">SUMIFS(income_statement!$E:$E,income_statement!$A:$A,"2021-12-31",income_statement!$B:$B,"ytd",income_statement!$C:$C,"interest_income")-SUMIFS(income_statement!$E:$E,income_statement!$A:$A,"2021-12-31",income_statement!$B:$B,"ytd",income_statement!$C:$C,"interest_expense")</f>
        <v>143032.572</v>
      </c>
      <c r="E19" s="8" t="n">
        <f aca="false">income_statement_totals!$M$3</f>
        <v>143032.572</v>
      </c>
      <c r="F19" s="15" t="n">
        <f aca="false">D19-E19</f>
        <v>0</v>
      </c>
      <c r="G19" s="20" t="n">
        <v>0.5</v>
      </c>
      <c r="H19" s="6" t="str">
        <f aca="false">IF(ABS(F19)&lt;=G19,"PASS","FAIL")</f>
        <v>PASS</v>
      </c>
    </row>
    <row r="20" customFormat="false" ht="15" hidden="false" customHeight="false" outlineLevel="0" collapsed="false">
      <c r="A20" s="13" t="n">
        <v>4</v>
      </c>
      <c r="B20" s="6" t="s">
        <v>329</v>
      </c>
      <c r="C20" s="6" t="s">
        <v>330</v>
      </c>
      <c r="D20" s="8" t="n">
        <f aca="false">SUMIFS(income_statement!$E:$E,income_statement!$A:$A,"2021-12-31",income_statement!$B:$B,"ytd",income_statement!$C:$C,"interest_income")-SUMIFS(income_statement!$E:$E,income_statement!$A:$A,"2021-12-31",income_statement!$B:$B,"ytd",income_statement!$C:$C,"interest_expense")-SUMIFS(income_statement!$E:$E,income_statement!$A:$A,"2021-12-31",income_statement!$B:$B,"ytd",income_statement!$C:$C,"member_giveback")-SUMIFS(income_statement!$E:$E,income_statement!$A:$A,"2021-12-31",income_statement!$B:$B,"ytd",income_statement!$C:$C,"provision")+SUMIFS(income_statement!$E:$E,income_statement!$A:$A,"2021-12-31",income_statement!$B:$B,"ytd",income_statement!$C:$C,"noninterest_income")-SUMIFS(income_statement!$E:$E,income_statement!$A:$A,"2021-12-31",income_statement!$B:$B,"ytd",income_statement!$C:$C,"noninterest_expense")+SUMIFS(income_statement!$E:$E,income_statement!$A:$A,"2021-12-31",income_statement!$B:$B,"ytd",income_statement!$C:$C,"one_time")</f>
        <v>87441.822</v>
      </c>
      <c r="E20" s="8" t="n">
        <f aca="false">income_statement_totals!$J$3</f>
        <v>87441.822</v>
      </c>
      <c r="F20" s="15" t="n">
        <f aca="false">D20-E20</f>
        <v>0</v>
      </c>
      <c r="G20" s="20" t="n">
        <v>0.5</v>
      </c>
      <c r="H20" s="6" t="str">
        <f aca="false">IF(ABS(F20)&lt;=G20,"PASS","FAIL")</f>
        <v>PASS</v>
      </c>
    </row>
    <row r="21" customFormat="false" ht="15" hidden="false" customHeight="false" outlineLevel="0" collapsed="false">
      <c r="A21" s="13" t="n">
        <v>4</v>
      </c>
      <c r="B21" s="6" t="s">
        <v>327</v>
      </c>
      <c r="C21" s="6" t="s">
        <v>331</v>
      </c>
      <c r="D21" s="8" t="n">
        <f aca="false">SUMIFS(income_statement!$E:$E,income_statement!$A:$A,"2022-12-31",income_statement!$B:$B,"ytd",income_statement!$C:$C,"interest_income")-SUMIFS(income_statement!$E:$E,income_statement!$A:$A,"2022-12-31",income_statement!$B:$B,"ytd",income_statement!$C:$C,"interest_expense")</f>
        <v>198276.016</v>
      </c>
      <c r="E21" s="8" t="n">
        <f aca="false">income_statement_totals!$M$4</f>
        <v>198276.016</v>
      </c>
      <c r="F21" s="15" t="n">
        <f aca="false">D21-E21</f>
        <v>0</v>
      </c>
      <c r="G21" s="20" t="n">
        <v>0.5</v>
      </c>
      <c r="H21" s="6" t="str">
        <f aca="false">IF(ABS(F21)&lt;=G21,"PASS","FAIL")</f>
        <v>PASS</v>
      </c>
    </row>
    <row r="22" customFormat="false" ht="15" hidden="false" customHeight="false" outlineLevel="0" collapsed="false">
      <c r="A22" s="13" t="n">
        <v>4</v>
      </c>
      <c r="B22" s="6" t="s">
        <v>329</v>
      </c>
      <c r="C22" s="6" t="s">
        <v>331</v>
      </c>
      <c r="D22" s="8" t="n">
        <f aca="false">SUMIFS(income_statement!$E:$E,income_statement!$A:$A,"2022-12-31",income_statement!$B:$B,"ytd",income_statement!$C:$C,"interest_income")-SUMIFS(income_statement!$E:$E,income_statement!$A:$A,"2022-12-31",income_statement!$B:$B,"ytd",income_statement!$C:$C,"interest_expense")-SUMIFS(income_statement!$E:$E,income_statement!$A:$A,"2022-12-31",income_statement!$B:$B,"ytd",income_statement!$C:$C,"member_giveback")-SUMIFS(income_statement!$E:$E,income_statement!$A:$A,"2022-12-31",income_statement!$B:$B,"ytd",income_statement!$C:$C,"provision")+SUMIFS(income_statement!$E:$E,income_statement!$A:$A,"2022-12-31",income_statement!$B:$B,"ytd",income_statement!$C:$C,"noninterest_income")-SUMIFS(income_statement!$E:$E,income_statement!$A:$A,"2022-12-31",income_statement!$B:$B,"ytd",income_statement!$C:$C,"noninterest_expense")+SUMIFS(income_statement!$E:$E,income_statement!$A:$A,"2022-12-31",income_statement!$B:$B,"ytd",income_statement!$C:$C,"one_time")</f>
        <v>86022.8670000001</v>
      </c>
      <c r="E22" s="8" t="n">
        <f aca="false">income_statement_totals!$J$4</f>
        <v>86022.867</v>
      </c>
      <c r="F22" s="15" t="n">
        <f aca="false">D22-E22</f>
        <v>0</v>
      </c>
      <c r="G22" s="20" t="n">
        <v>0.5</v>
      </c>
      <c r="H22" s="6" t="str">
        <f aca="false">IF(ABS(F22)&lt;=G22,"PASS","FAIL")</f>
        <v>PASS</v>
      </c>
    </row>
    <row r="23" customFormat="false" ht="15" hidden="false" customHeight="false" outlineLevel="0" collapsed="false">
      <c r="A23" s="13" t="n">
        <v>4</v>
      </c>
      <c r="B23" s="6" t="s">
        <v>327</v>
      </c>
      <c r="C23" s="6" t="s">
        <v>332</v>
      </c>
      <c r="D23" s="8" t="n">
        <f aca="false">SUMIFS(income_statement!$E:$E,income_statement!$A:$A,"2023-12-31",income_statement!$B:$B,"ytd",income_statement!$C:$C,"interest_income")-SUMIFS(income_statement!$E:$E,income_statement!$A:$A,"2023-12-31",income_statement!$B:$B,"ytd",income_statement!$C:$C,"interest_expense")</f>
        <v>212420.642</v>
      </c>
      <c r="E23" s="8" t="n">
        <f aca="false">income_statement_totals!$M$5</f>
        <v>212420.642</v>
      </c>
      <c r="F23" s="15" t="n">
        <f aca="false">D23-E23</f>
        <v>0</v>
      </c>
      <c r="G23" s="20" t="n">
        <v>0.5</v>
      </c>
      <c r="H23" s="6" t="str">
        <f aca="false">IF(ABS(F23)&lt;=G23,"PASS","FAIL")</f>
        <v>PASS</v>
      </c>
    </row>
    <row r="24" customFormat="false" ht="15" hidden="false" customHeight="false" outlineLevel="0" collapsed="false">
      <c r="A24" s="13" t="n">
        <v>4</v>
      </c>
      <c r="B24" s="6" t="s">
        <v>329</v>
      </c>
      <c r="C24" s="6" t="s">
        <v>332</v>
      </c>
      <c r="D24" s="8" t="n">
        <f aca="false">SUMIFS(income_statement!$E:$E,income_statement!$A:$A,"2023-12-31",income_statement!$B:$B,"ytd",income_statement!$C:$C,"interest_income")-SUMIFS(income_statement!$E:$E,income_statement!$A:$A,"2023-12-31",income_statement!$B:$B,"ytd",income_statement!$C:$C,"interest_expense")-SUMIFS(income_statement!$E:$E,income_statement!$A:$A,"2023-12-31",income_statement!$B:$B,"ytd",income_statement!$C:$C,"member_giveback")-SUMIFS(income_statement!$E:$E,income_statement!$A:$A,"2023-12-31",income_statement!$B:$B,"ytd",income_statement!$C:$C,"provision")+SUMIFS(income_statement!$E:$E,income_statement!$A:$A,"2023-12-31",income_statement!$B:$B,"ytd",income_statement!$C:$C,"noninterest_income")-SUMIFS(income_statement!$E:$E,income_statement!$A:$A,"2023-12-31",income_statement!$B:$B,"ytd",income_statement!$C:$C,"noninterest_expense")+SUMIFS(income_statement!$E:$E,income_statement!$A:$A,"2023-12-31",income_statement!$B:$B,"ytd",income_statement!$C:$C,"one_time")</f>
        <v>85294.418</v>
      </c>
      <c r="E24" s="8" t="n">
        <f aca="false">income_statement_totals!$J$5</f>
        <v>85294.418</v>
      </c>
      <c r="F24" s="15" t="n">
        <f aca="false">D24-E24</f>
        <v>0</v>
      </c>
      <c r="G24" s="20" t="n">
        <v>0.5</v>
      </c>
      <c r="H24" s="6" t="str">
        <f aca="false">IF(ABS(F24)&lt;=G24,"PASS","FAIL")</f>
        <v>PASS</v>
      </c>
    </row>
    <row r="25" customFormat="false" ht="15" hidden="false" customHeight="false" outlineLevel="0" collapsed="false">
      <c r="A25" s="13" t="n">
        <v>4</v>
      </c>
      <c r="B25" s="6" t="s">
        <v>327</v>
      </c>
      <c r="C25" s="6" t="s">
        <v>333</v>
      </c>
      <c r="D25" s="8" t="n">
        <f aca="false">SUMIFS(income_statement!$E:$E,income_statement!$A:$A,"2024-12-31",income_statement!$B:$B,"ytd",income_statement!$C:$C,"interest_income")-SUMIFS(income_statement!$E:$E,income_statement!$A:$A,"2024-12-31",income_statement!$B:$B,"ytd",income_statement!$C:$C,"interest_expense")</f>
        <v>217705.058</v>
      </c>
      <c r="E25" s="8" t="n">
        <f aca="false">income_statement_totals!$M$6</f>
        <v>217705.058</v>
      </c>
      <c r="F25" s="15" t="n">
        <f aca="false">D25-E25</f>
        <v>0</v>
      </c>
      <c r="G25" s="20" t="n">
        <v>0.5</v>
      </c>
      <c r="H25" s="6" t="str">
        <f aca="false">IF(ABS(F25)&lt;=G25,"PASS","FAIL")</f>
        <v>PASS</v>
      </c>
    </row>
    <row r="26" customFormat="false" ht="15" hidden="false" customHeight="false" outlineLevel="0" collapsed="false">
      <c r="A26" s="13" t="n">
        <v>4</v>
      </c>
      <c r="B26" s="6" t="s">
        <v>329</v>
      </c>
      <c r="C26" s="6" t="s">
        <v>333</v>
      </c>
      <c r="D26" s="8" t="n">
        <f aca="false">SUMIFS(income_statement!$E:$E,income_statement!$A:$A,"2024-12-31",income_statement!$B:$B,"ytd",income_statement!$C:$C,"interest_income")-SUMIFS(income_statement!$E:$E,income_statement!$A:$A,"2024-12-31",income_statement!$B:$B,"ytd",income_statement!$C:$C,"interest_expense")-SUMIFS(income_statement!$E:$E,income_statement!$A:$A,"2024-12-31",income_statement!$B:$B,"ytd",income_statement!$C:$C,"member_giveback")-SUMIFS(income_statement!$E:$E,income_statement!$A:$A,"2024-12-31",income_statement!$B:$B,"ytd",income_statement!$C:$C,"provision")+SUMIFS(income_statement!$E:$E,income_statement!$A:$A,"2024-12-31",income_statement!$B:$B,"ytd",income_statement!$C:$C,"noninterest_income")-SUMIFS(income_statement!$E:$E,income_statement!$A:$A,"2024-12-31",income_statement!$B:$B,"ytd",income_statement!$C:$C,"noninterest_expense")+SUMIFS(income_statement!$E:$E,income_statement!$A:$A,"2024-12-31",income_statement!$B:$B,"ytd",income_statement!$C:$C,"one_time")</f>
        <v>72217.1079999999</v>
      </c>
      <c r="E26" s="8" t="n">
        <f aca="false">income_statement_totals!$J$6</f>
        <v>72217.108</v>
      </c>
      <c r="F26" s="15" t="n">
        <f aca="false">D26-E26</f>
        <v>0</v>
      </c>
      <c r="G26" s="20" t="n">
        <v>0.5</v>
      </c>
      <c r="H26" s="6" t="str">
        <f aca="false">IF(ABS(F26)&lt;=G26,"PASS","FAIL")</f>
        <v>PASS</v>
      </c>
    </row>
    <row r="27" customFormat="false" ht="15" hidden="false" customHeight="false" outlineLevel="0" collapsed="false">
      <c r="A27" s="13" t="n">
        <v>4</v>
      </c>
      <c r="B27" s="6" t="s">
        <v>327</v>
      </c>
      <c r="C27" s="6" t="s">
        <v>334</v>
      </c>
      <c r="D27" s="8" t="n">
        <f aca="false">SUMIFS(income_statement!$E:$E,income_statement!$A:$A,"2025-12-31",income_statement!$B:$B,"ytd",income_statement!$C:$C,"interest_income")-SUMIFS(income_statement!$E:$E,income_statement!$A:$A,"2025-12-31",income_statement!$B:$B,"ytd",income_statement!$C:$C,"interest_expense")</f>
        <v>257443.593</v>
      </c>
      <c r="E27" s="8" t="n">
        <f aca="false">income_statement_totals!$M$7</f>
        <v>257443.593</v>
      </c>
      <c r="F27" s="15" t="n">
        <f aca="false">D27-E27</f>
        <v>0</v>
      </c>
      <c r="G27" s="20" t="n">
        <v>0.5</v>
      </c>
      <c r="H27" s="6" t="str">
        <f aca="false">IF(ABS(F27)&lt;=G27,"PASS","FAIL")</f>
        <v>PASS</v>
      </c>
    </row>
    <row r="28" customFormat="false" ht="15" hidden="false" customHeight="false" outlineLevel="0" collapsed="false">
      <c r="A28" s="13" t="n">
        <v>4</v>
      </c>
      <c r="B28" s="6" t="s">
        <v>329</v>
      </c>
      <c r="C28" s="6" t="s">
        <v>334</v>
      </c>
      <c r="D28" s="8" t="n">
        <f aca="false">SUMIFS(income_statement!$E:$E,income_statement!$A:$A,"2025-12-31",income_statement!$B:$B,"ytd",income_statement!$C:$C,"interest_income")-SUMIFS(income_statement!$E:$E,income_statement!$A:$A,"2025-12-31",income_statement!$B:$B,"ytd",income_statement!$C:$C,"interest_expense")-SUMIFS(income_statement!$E:$E,income_statement!$A:$A,"2025-12-31",income_statement!$B:$B,"ytd",income_statement!$C:$C,"member_giveback")-SUMIFS(income_statement!$E:$E,income_statement!$A:$A,"2025-12-31",income_statement!$B:$B,"ytd",income_statement!$C:$C,"provision")+SUMIFS(income_statement!$E:$E,income_statement!$A:$A,"2025-12-31",income_statement!$B:$B,"ytd",income_statement!$C:$C,"noninterest_income")-SUMIFS(income_statement!$E:$E,income_statement!$A:$A,"2025-12-31",income_statement!$B:$B,"ytd",income_statement!$C:$C,"noninterest_expense")+SUMIFS(income_statement!$E:$E,income_statement!$A:$A,"2025-12-31",income_statement!$B:$B,"ytd",income_statement!$C:$C,"one_time")</f>
        <v>74570.244</v>
      </c>
      <c r="E28" s="8" t="n">
        <f aca="false">income_statement_totals!$J$7</f>
        <v>74570.244</v>
      </c>
      <c r="F28" s="15" t="n">
        <f aca="false">D28-E28</f>
        <v>0</v>
      </c>
      <c r="G28" s="20" t="n">
        <v>0.5</v>
      </c>
      <c r="H28" s="6" t="str">
        <f aca="false">IF(ABS(F28)&lt;=G28,"PASS","FAIL")</f>
        <v>PASS</v>
      </c>
    </row>
    <row r="29" customFormat="false" ht="15" hidden="false" customHeight="false" outlineLevel="0" collapsed="false">
      <c r="A29" s="13" t="n">
        <v>4</v>
      </c>
      <c r="B29" s="6" t="s">
        <v>327</v>
      </c>
      <c r="C29" s="6" t="s">
        <v>335</v>
      </c>
      <c r="D29" s="8" t="n">
        <f aca="false">SUMIFS(income_statement!$E:$E,income_statement!$A:$A,"2026-06-30",income_statement!$B:$B,"ytd",income_statement!$C:$C,"interest_income")-SUMIFS(income_statement!$E:$E,income_statement!$A:$A,"2026-06-30",income_statement!$B:$B,"ytd",income_statement!$C:$C,"interest_expense")</f>
        <v>155630.259</v>
      </c>
      <c r="E29" s="8" t="n">
        <f aca="false">income_statement_totals!$M$8</f>
        <v>155630.259</v>
      </c>
      <c r="F29" s="15" t="n">
        <f aca="false">D29-E29</f>
        <v>0</v>
      </c>
      <c r="G29" s="20" t="n">
        <v>0.5</v>
      </c>
      <c r="H29" s="6" t="str">
        <f aca="false">IF(ABS(F29)&lt;=G29,"PASS","FAIL")</f>
        <v>PASS</v>
      </c>
    </row>
    <row r="30" customFormat="false" ht="15" hidden="false" customHeight="false" outlineLevel="0" collapsed="false">
      <c r="A30" s="13" t="n">
        <v>4</v>
      </c>
      <c r="B30" s="6" t="s">
        <v>329</v>
      </c>
      <c r="C30" s="6" t="s">
        <v>335</v>
      </c>
      <c r="D30" s="8" t="n">
        <f aca="false">SUMIFS(income_statement!$E:$E,income_statement!$A:$A,"2026-06-30",income_statement!$B:$B,"ytd",income_statement!$C:$C,"interest_income")-SUMIFS(income_statement!$E:$E,income_statement!$A:$A,"2026-06-30",income_statement!$B:$B,"ytd",income_statement!$C:$C,"interest_expense")-SUMIFS(income_statement!$E:$E,income_statement!$A:$A,"2026-06-30",income_statement!$B:$B,"ytd",income_statement!$C:$C,"member_giveback")-SUMIFS(income_statement!$E:$E,income_statement!$A:$A,"2026-06-30",income_statement!$B:$B,"ytd",income_statement!$C:$C,"provision")+SUMIFS(income_statement!$E:$E,income_statement!$A:$A,"2026-06-30",income_statement!$B:$B,"ytd",income_statement!$C:$C,"noninterest_income")-SUMIFS(income_statement!$E:$E,income_statement!$A:$A,"2026-06-30",income_statement!$B:$B,"ytd",income_statement!$C:$C,"noninterest_expense")+SUMIFS(income_statement!$E:$E,income_statement!$A:$A,"2026-06-30",income_statement!$B:$B,"ytd",income_statement!$C:$C,"one_time")</f>
        <v>54770.059</v>
      </c>
      <c r="E30" s="8" t="n">
        <f aca="false">income_statement_totals!$J$8</f>
        <v>54770.059</v>
      </c>
      <c r="F30" s="15" t="n">
        <f aca="false">D30-E30</f>
        <v>0</v>
      </c>
      <c r="G30" s="20" t="n">
        <v>0.5</v>
      </c>
      <c r="H30" s="6" t="str">
        <f aca="false">IF(ABS(F30)&lt;=G30,"PASS","FAIL")</f>
        <v>PASS</v>
      </c>
    </row>
    <row r="31" customFormat="false" ht="15" hidden="false" customHeight="false" outlineLevel="0" collapsed="false">
      <c r="A31" s="13" t="n">
        <v>4</v>
      </c>
      <c r="B31" s="6" t="s">
        <v>327</v>
      </c>
      <c r="C31" s="6" t="s">
        <v>336</v>
      </c>
      <c r="D31" s="8" t="n">
        <f aca="false">SUMIFS(income_statement!$E:$E,income_statement!$A:$A,"2025-03-31",income_statement!$B:$B,"qtd",income_statement!$C:$C,"interest_income")-SUMIFS(income_statement!$E:$E,income_statement!$A:$A,"2025-03-31",income_statement!$B:$B,"qtd",income_statement!$C:$C,"interest_expense")</f>
        <v>58939.9361544889</v>
      </c>
      <c r="E31" s="8" t="n">
        <f aca="false">income_statement_totals!$M$9</f>
        <v>58939.9361544889</v>
      </c>
      <c r="F31" s="15" t="n">
        <f aca="false">D31-E31</f>
        <v>0</v>
      </c>
      <c r="G31" s="20" t="n">
        <v>0.5</v>
      </c>
      <c r="H31" s="6" t="str">
        <f aca="false">IF(ABS(F31)&lt;=G31,"PASS","FAIL")</f>
        <v>PASS</v>
      </c>
    </row>
    <row r="32" customFormat="false" ht="15" hidden="false" customHeight="false" outlineLevel="0" collapsed="false">
      <c r="A32" s="13" t="n">
        <v>4</v>
      </c>
      <c r="B32" s="6" t="s">
        <v>329</v>
      </c>
      <c r="C32" s="6" t="s">
        <v>336</v>
      </c>
      <c r="D32" s="8" t="n">
        <f aca="false">SUMIFS(income_statement!$E:$E,income_statement!$A:$A,"2025-03-31",income_statement!$B:$B,"qtd",income_statement!$C:$C,"interest_income")-SUMIFS(income_statement!$E:$E,income_statement!$A:$A,"2025-03-31",income_statement!$B:$B,"qtd",income_statement!$C:$C,"interest_expense")-SUMIFS(income_statement!$E:$E,income_statement!$A:$A,"2025-03-31",income_statement!$B:$B,"qtd",income_statement!$C:$C,"member_giveback")-SUMIFS(income_statement!$E:$E,income_statement!$A:$A,"2025-03-31",income_statement!$B:$B,"qtd",income_statement!$C:$C,"provision")+SUMIFS(income_statement!$E:$E,income_statement!$A:$A,"2025-03-31",income_statement!$B:$B,"qtd",income_statement!$C:$C,"noninterest_income")-SUMIFS(income_statement!$E:$E,income_statement!$A:$A,"2025-03-31",income_statement!$B:$B,"qtd",income_statement!$C:$C,"noninterest_expense")+SUMIFS(income_statement!$E:$E,income_statement!$A:$A,"2025-03-31",income_statement!$B:$B,"qtd",income_statement!$C:$C,"one_time")</f>
        <v>1683.19560314508</v>
      </c>
      <c r="E32" s="8" t="n">
        <f aca="false">income_statement_totals!$J$9</f>
        <v>1683.19560314508</v>
      </c>
      <c r="F32" s="15" t="n">
        <f aca="false">D32-E32</f>
        <v>0</v>
      </c>
      <c r="G32" s="20" t="n">
        <v>0.5</v>
      </c>
      <c r="H32" s="6" t="str">
        <f aca="false">IF(ABS(F32)&lt;=G32,"PASS","FAIL")</f>
        <v>PASS</v>
      </c>
    </row>
    <row r="33" customFormat="false" ht="15" hidden="false" customHeight="false" outlineLevel="0" collapsed="false">
      <c r="A33" s="13" t="n">
        <v>4</v>
      </c>
      <c r="B33" s="6" t="s">
        <v>327</v>
      </c>
      <c r="C33" s="6" t="s">
        <v>337</v>
      </c>
      <c r="D33" s="8" t="n">
        <f aca="false">SUMIFS(income_statement!$E:$E,income_statement!$A:$A,"2025-06-30",income_statement!$B:$B,"qtd",income_statement!$C:$C,"interest_income")-SUMIFS(income_statement!$E:$E,income_statement!$A:$A,"2025-06-30",income_statement!$B:$B,"qtd",income_statement!$C:$C,"interest_expense")</f>
        <v>62104.218472455</v>
      </c>
      <c r="E33" s="8" t="n">
        <f aca="false">income_statement_totals!$M$10</f>
        <v>62104.218472455</v>
      </c>
      <c r="F33" s="15" t="n">
        <f aca="false">D33-E33</f>
        <v>0</v>
      </c>
      <c r="G33" s="20" t="n">
        <v>0.5</v>
      </c>
      <c r="H33" s="6" t="str">
        <f aca="false">IF(ABS(F33)&lt;=G33,"PASS","FAIL")</f>
        <v>PASS</v>
      </c>
    </row>
    <row r="34" customFormat="false" ht="15" hidden="false" customHeight="false" outlineLevel="0" collapsed="false">
      <c r="A34" s="13" t="n">
        <v>4</v>
      </c>
      <c r="B34" s="6" t="s">
        <v>329</v>
      </c>
      <c r="C34" s="6" t="s">
        <v>337</v>
      </c>
      <c r="D34" s="8" t="n">
        <f aca="false">SUMIFS(income_statement!$E:$E,income_statement!$A:$A,"2025-06-30",income_statement!$B:$B,"qtd",income_statement!$C:$C,"interest_income")-SUMIFS(income_statement!$E:$E,income_statement!$A:$A,"2025-06-30",income_statement!$B:$B,"qtd",income_statement!$C:$C,"interest_expense")-SUMIFS(income_statement!$E:$E,income_statement!$A:$A,"2025-06-30",income_statement!$B:$B,"qtd",income_statement!$C:$C,"member_giveback")-SUMIFS(income_statement!$E:$E,income_statement!$A:$A,"2025-06-30",income_statement!$B:$B,"qtd",income_statement!$C:$C,"provision")+SUMIFS(income_statement!$E:$E,income_statement!$A:$A,"2025-06-30",income_statement!$B:$B,"qtd",income_statement!$C:$C,"noninterest_income")-SUMIFS(income_statement!$E:$E,income_statement!$A:$A,"2025-06-30",income_statement!$B:$B,"qtd",income_statement!$C:$C,"noninterest_expense")+SUMIFS(income_statement!$E:$E,income_statement!$A:$A,"2025-06-30",income_statement!$B:$B,"qtd",income_statement!$C:$C,"one_time")</f>
        <v>23706.684842371</v>
      </c>
      <c r="E34" s="8" t="n">
        <f aca="false">income_statement_totals!$J$10</f>
        <v>23706.684842371</v>
      </c>
      <c r="F34" s="15" t="n">
        <f aca="false">D34-E34</f>
        <v>0</v>
      </c>
      <c r="G34" s="20" t="n">
        <v>0.5</v>
      </c>
      <c r="H34" s="6" t="str">
        <f aca="false">IF(ABS(F34)&lt;=G34,"PASS","FAIL")</f>
        <v>PASS</v>
      </c>
    </row>
    <row r="35" customFormat="false" ht="15" hidden="false" customHeight="false" outlineLevel="0" collapsed="false">
      <c r="A35" s="13" t="n">
        <v>4</v>
      </c>
      <c r="B35" s="6" t="s">
        <v>327</v>
      </c>
      <c r="C35" s="6" t="s">
        <v>338</v>
      </c>
      <c r="D35" s="8" t="n">
        <f aca="false">SUMIFS(income_statement!$E:$E,income_statement!$A:$A,"2025-09-30",income_statement!$B:$B,"qtd",income_statement!$C:$C,"interest_income")-SUMIFS(income_statement!$E:$E,income_statement!$A:$A,"2025-09-30",income_statement!$B:$B,"qtd",income_statement!$C:$C,"interest_expense")</f>
        <v>65969.0125627989</v>
      </c>
      <c r="E35" s="8" t="n">
        <f aca="false">income_statement_totals!$M$11</f>
        <v>65969.0125627988</v>
      </c>
      <c r="F35" s="15" t="n">
        <f aca="false">D35-E35</f>
        <v>0</v>
      </c>
      <c r="G35" s="20" t="n">
        <v>0.5</v>
      </c>
      <c r="H35" s="6" t="str">
        <f aca="false">IF(ABS(F35)&lt;=G35,"PASS","FAIL")</f>
        <v>PASS</v>
      </c>
    </row>
    <row r="36" customFormat="false" ht="15" hidden="false" customHeight="false" outlineLevel="0" collapsed="false">
      <c r="A36" s="13" t="n">
        <v>4</v>
      </c>
      <c r="B36" s="6" t="s">
        <v>329</v>
      </c>
      <c r="C36" s="6" t="s">
        <v>338</v>
      </c>
      <c r="D36" s="8" t="n">
        <f aca="false">SUMIFS(income_statement!$E:$E,income_statement!$A:$A,"2025-09-30",income_statement!$B:$B,"qtd",income_statement!$C:$C,"interest_income")-SUMIFS(income_statement!$E:$E,income_statement!$A:$A,"2025-09-30",income_statement!$B:$B,"qtd",income_statement!$C:$C,"interest_expense")-SUMIFS(income_statement!$E:$E,income_statement!$A:$A,"2025-09-30",income_statement!$B:$B,"qtd",income_statement!$C:$C,"member_giveback")-SUMIFS(income_statement!$E:$E,income_statement!$A:$A,"2025-09-30",income_statement!$B:$B,"qtd",income_statement!$C:$C,"provision")+SUMIFS(income_statement!$E:$E,income_statement!$A:$A,"2025-09-30",income_statement!$B:$B,"qtd",income_statement!$C:$C,"noninterest_income")-SUMIFS(income_statement!$E:$E,income_statement!$A:$A,"2025-09-30",income_statement!$B:$B,"qtd",income_statement!$C:$C,"noninterest_expense")+SUMIFS(income_statement!$E:$E,income_statement!$A:$A,"2025-09-30",income_statement!$B:$B,"qtd",income_statement!$C:$C,"one_time")</f>
        <v>22458.2453411086</v>
      </c>
      <c r="E36" s="8" t="n">
        <f aca="false">income_statement_totals!$J$11</f>
        <v>22458.2453411086</v>
      </c>
      <c r="F36" s="15" t="n">
        <f aca="false">D36-E36</f>
        <v>0</v>
      </c>
      <c r="G36" s="20" t="n">
        <v>0.5</v>
      </c>
      <c r="H36" s="6" t="str">
        <f aca="false">IF(ABS(F36)&lt;=G36,"PASS","FAIL")</f>
        <v>PASS</v>
      </c>
    </row>
    <row r="37" customFormat="false" ht="15" hidden="false" customHeight="false" outlineLevel="0" collapsed="false">
      <c r="A37" s="13" t="n">
        <v>4</v>
      </c>
      <c r="B37" s="6" t="s">
        <v>327</v>
      </c>
      <c r="C37" s="6" t="s">
        <v>339</v>
      </c>
      <c r="D37" s="8" t="n">
        <f aca="false">SUMIFS(income_statement!$E:$E,income_statement!$A:$A,"2025-12-31",income_statement!$B:$B,"qtd",income_statement!$C:$C,"interest_income")-SUMIFS(income_statement!$E:$E,income_statement!$A:$A,"2025-12-31",income_statement!$B:$B,"qtd",income_statement!$C:$C,"interest_expense")</f>
        <v>70430.4258102576</v>
      </c>
      <c r="E37" s="8" t="n">
        <f aca="false">income_statement_totals!$M$12</f>
        <v>70430.4258102576</v>
      </c>
      <c r="F37" s="15" t="n">
        <f aca="false">D37-E37</f>
        <v>0</v>
      </c>
      <c r="G37" s="20" t="n">
        <v>0.5</v>
      </c>
      <c r="H37" s="6" t="str">
        <f aca="false">IF(ABS(F37)&lt;=G37,"PASS","FAIL")</f>
        <v>PASS</v>
      </c>
    </row>
    <row r="38" customFormat="false" ht="15" hidden="false" customHeight="false" outlineLevel="0" collapsed="false">
      <c r="A38" s="13" t="n">
        <v>4</v>
      </c>
      <c r="B38" s="6" t="s">
        <v>329</v>
      </c>
      <c r="C38" s="6" t="s">
        <v>339</v>
      </c>
      <c r="D38" s="8" t="n">
        <f aca="false">SUMIFS(income_statement!$E:$E,income_statement!$A:$A,"2025-12-31",income_statement!$B:$B,"qtd",income_statement!$C:$C,"interest_income")-SUMIFS(income_statement!$E:$E,income_statement!$A:$A,"2025-12-31",income_statement!$B:$B,"qtd",income_statement!$C:$C,"interest_expense")-SUMIFS(income_statement!$E:$E,income_statement!$A:$A,"2025-12-31",income_statement!$B:$B,"qtd",income_statement!$C:$C,"member_giveback")-SUMIFS(income_statement!$E:$E,income_statement!$A:$A,"2025-12-31",income_statement!$B:$B,"qtd",income_statement!$C:$C,"provision")+SUMIFS(income_statement!$E:$E,income_statement!$A:$A,"2025-12-31",income_statement!$B:$B,"qtd",income_statement!$C:$C,"noninterest_income")-SUMIFS(income_statement!$E:$E,income_statement!$A:$A,"2025-12-31",income_statement!$B:$B,"qtd",income_statement!$C:$C,"noninterest_expense")+SUMIFS(income_statement!$E:$E,income_statement!$A:$A,"2025-12-31",income_statement!$B:$B,"qtd",income_statement!$C:$C,"one_time")</f>
        <v>26722.1182133757</v>
      </c>
      <c r="E38" s="8" t="n">
        <f aca="false">income_statement_totals!$J$12</f>
        <v>26722.1182133757</v>
      </c>
      <c r="F38" s="15" t="n">
        <f aca="false">D38-E38</f>
        <v>0</v>
      </c>
      <c r="G38" s="20" t="n">
        <v>0.5</v>
      </c>
      <c r="H38" s="6" t="str">
        <f aca="false">IF(ABS(F38)&lt;=G38,"PASS","FAIL")</f>
        <v>PASS</v>
      </c>
    </row>
    <row r="39" customFormat="false" ht="15" hidden="false" customHeight="false" outlineLevel="0" collapsed="false">
      <c r="A39" s="13" t="n">
        <v>4</v>
      </c>
      <c r="B39" s="6" t="s">
        <v>327</v>
      </c>
      <c r="C39" s="6" t="s">
        <v>340</v>
      </c>
      <c r="D39" s="8" t="n">
        <f aca="false">SUMIFS(income_statement!$E:$E,income_statement!$A:$A,"2026-03-31",income_statement!$B:$B,"qtd",income_statement!$C:$C,"interest_income")-SUMIFS(income_statement!$E:$E,income_statement!$A:$A,"2026-03-31",income_statement!$B:$B,"qtd",income_statement!$C:$C,"interest_expense")</f>
        <v>77032.4582619856</v>
      </c>
      <c r="E39" s="8" t="n">
        <f aca="false">income_statement_totals!$M$13</f>
        <v>77032.4582619855</v>
      </c>
      <c r="F39" s="15" t="n">
        <f aca="false">D39-E39</f>
        <v>0</v>
      </c>
      <c r="G39" s="20" t="n">
        <v>0.5</v>
      </c>
      <c r="H39" s="6" t="str">
        <f aca="false">IF(ABS(F39)&lt;=G39,"PASS","FAIL")</f>
        <v>PASS</v>
      </c>
    </row>
    <row r="40" customFormat="false" ht="15" hidden="false" customHeight="false" outlineLevel="0" collapsed="false">
      <c r="A40" s="13" t="n">
        <v>4</v>
      </c>
      <c r="B40" s="6" t="s">
        <v>329</v>
      </c>
      <c r="C40" s="6" t="s">
        <v>340</v>
      </c>
      <c r="D40" s="8" t="n">
        <f aca="false">SUMIFS(income_statement!$E:$E,income_statement!$A:$A,"2026-03-31",income_statement!$B:$B,"qtd",income_statement!$C:$C,"interest_income")-SUMIFS(income_statement!$E:$E,income_statement!$A:$A,"2026-03-31",income_statement!$B:$B,"qtd",income_statement!$C:$C,"interest_expense")-SUMIFS(income_statement!$E:$E,income_statement!$A:$A,"2026-03-31",income_statement!$B:$B,"qtd",income_statement!$C:$C,"member_giveback")-SUMIFS(income_statement!$E:$E,income_statement!$A:$A,"2026-03-31",income_statement!$B:$B,"qtd",income_statement!$C:$C,"provision")+SUMIFS(income_statement!$E:$E,income_statement!$A:$A,"2026-03-31",income_statement!$B:$B,"qtd",income_statement!$C:$C,"noninterest_income")-SUMIFS(income_statement!$E:$E,income_statement!$A:$A,"2026-03-31",income_statement!$B:$B,"qtd",income_statement!$C:$C,"noninterest_expense")+SUMIFS(income_statement!$E:$E,income_statement!$A:$A,"2026-03-31",income_statement!$B:$B,"qtd",income_statement!$C:$C,"one_time")</f>
        <v>21206.147</v>
      </c>
      <c r="E40" s="8" t="n">
        <f aca="false">income_statement_totals!$J$13</f>
        <v>21206.147</v>
      </c>
      <c r="F40" s="15" t="n">
        <f aca="false">D40-E40</f>
        <v>0</v>
      </c>
      <c r="G40" s="20" t="n">
        <v>0.5</v>
      </c>
      <c r="H40" s="6" t="str">
        <f aca="false">IF(ABS(F40)&lt;=G40,"PASS","FAIL")</f>
        <v>PASS</v>
      </c>
    </row>
    <row r="41" customFormat="false" ht="15" hidden="false" customHeight="false" outlineLevel="0" collapsed="false">
      <c r="A41" s="13" t="n">
        <v>4</v>
      </c>
      <c r="B41" s="6" t="s">
        <v>327</v>
      </c>
      <c r="C41" s="6" t="s">
        <v>341</v>
      </c>
      <c r="D41" s="8" t="n">
        <f aca="false">SUMIFS(income_statement!$E:$E,income_statement!$A:$A,"2026-03-31",income_statement!$B:$B,"ytd",income_statement!$C:$C,"interest_income")-SUMIFS(income_statement!$E:$E,income_statement!$A:$A,"2026-03-31",income_statement!$B:$B,"ytd",income_statement!$C:$C,"interest_expense")</f>
        <v>77032.4582619856</v>
      </c>
      <c r="E41" s="8" t="n">
        <f aca="false">income_statement_totals!$M$14</f>
        <v>77032.4582619855</v>
      </c>
      <c r="F41" s="15" t="n">
        <f aca="false">D41-E41</f>
        <v>0</v>
      </c>
      <c r="G41" s="20" t="n">
        <v>0.5</v>
      </c>
      <c r="H41" s="6" t="str">
        <f aca="false">IF(ABS(F41)&lt;=G41,"PASS","FAIL")</f>
        <v>PASS</v>
      </c>
    </row>
    <row r="42" customFormat="false" ht="15" hidden="false" customHeight="false" outlineLevel="0" collapsed="false">
      <c r="A42" s="13" t="n">
        <v>4</v>
      </c>
      <c r="B42" s="6" t="s">
        <v>329</v>
      </c>
      <c r="C42" s="6" t="s">
        <v>341</v>
      </c>
      <c r="D42" s="8" t="n">
        <f aca="false">SUMIFS(income_statement!$E:$E,income_statement!$A:$A,"2026-03-31",income_statement!$B:$B,"ytd",income_statement!$C:$C,"interest_income")-SUMIFS(income_statement!$E:$E,income_statement!$A:$A,"2026-03-31",income_statement!$B:$B,"ytd",income_statement!$C:$C,"interest_expense")-SUMIFS(income_statement!$E:$E,income_statement!$A:$A,"2026-03-31",income_statement!$B:$B,"ytd",income_statement!$C:$C,"member_giveback")-SUMIFS(income_statement!$E:$E,income_statement!$A:$A,"2026-03-31",income_statement!$B:$B,"ytd",income_statement!$C:$C,"provision")+SUMIFS(income_statement!$E:$E,income_statement!$A:$A,"2026-03-31",income_statement!$B:$B,"ytd",income_statement!$C:$C,"noninterest_income")-SUMIFS(income_statement!$E:$E,income_statement!$A:$A,"2026-03-31",income_statement!$B:$B,"ytd",income_statement!$C:$C,"noninterest_expense")+SUMIFS(income_statement!$E:$E,income_statement!$A:$A,"2026-03-31",income_statement!$B:$B,"ytd",income_statement!$C:$C,"one_time")</f>
        <v>21206.147</v>
      </c>
      <c r="E42" s="8" t="n">
        <f aca="false">income_statement_totals!$J$14</f>
        <v>21206.147</v>
      </c>
      <c r="F42" s="15" t="n">
        <f aca="false">D42-E42</f>
        <v>0</v>
      </c>
      <c r="G42" s="20" t="n">
        <v>0.5</v>
      </c>
      <c r="H42" s="6" t="str">
        <f aca="false">IF(ABS(F42)&lt;=G42,"PASS","FAIL")</f>
        <v>PASS</v>
      </c>
    </row>
    <row r="43" customFormat="false" ht="15" hidden="false" customHeight="false" outlineLevel="0" collapsed="false">
      <c r="A43" s="13" t="n">
        <v>4</v>
      </c>
      <c r="B43" s="6" t="s">
        <v>327</v>
      </c>
      <c r="C43" s="6" t="s">
        <v>342</v>
      </c>
      <c r="D43" s="8" t="n">
        <f aca="false">SUMIFS(income_statement!$E:$E,income_statement!$A:$A,"2026-06-30",income_statement!$B:$B,"qtd",income_statement!$C:$C,"interest_income")-SUMIFS(income_statement!$E:$E,income_statement!$A:$A,"2026-06-30",income_statement!$B:$B,"qtd",income_statement!$C:$C,"interest_expense")</f>
        <v>78597.8007380145</v>
      </c>
      <c r="E43" s="8" t="n">
        <f aca="false">income_statement_totals!$M$15</f>
        <v>78597.8007380145</v>
      </c>
      <c r="F43" s="15" t="n">
        <f aca="false">D43-E43</f>
        <v>0</v>
      </c>
      <c r="G43" s="20" t="n">
        <v>0.5</v>
      </c>
      <c r="H43" s="6" t="str">
        <f aca="false">IF(ABS(F43)&lt;=G43,"PASS","FAIL")</f>
        <v>PASS</v>
      </c>
    </row>
    <row r="44" customFormat="false" ht="15" hidden="false" customHeight="false" outlineLevel="0" collapsed="false">
      <c r="A44" s="13" t="n">
        <v>4</v>
      </c>
      <c r="B44" s="6" t="s">
        <v>329</v>
      </c>
      <c r="C44" s="6" t="s">
        <v>342</v>
      </c>
      <c r="D44" s="8" t="n">
        <f aca="false">SUMIFS(income_statement!$E:$E,income_statement!$A:$A,"2026-06-30",income_statement!$B:$B,"qtd",income_statement!$C:$C,"interest_income")-SUMIFS(income_statement!$E:$E,income_statement!$A:$A,"2026-06-30",income_statement!$B:$B,"qtd",income_statement!$C:$C,"interest_expense")-SUMIFS(income_statement!$E:$E,income_statement!$A:$A,"2026-06-30",income_statement!$B:$B,"qtd",income_statement!$C:$C,"member_giveback")-SUMIFS(income_statement!$E:$E,income_statement!$A:$A,"2026-06-30",income_statement!$B:$B,"qtd",income_statement!$C:$C,"provision")+SUMIFS(income_statement!$E:$E,income_statement!$A:$A,"2026-06-30",income_statement!$B:$B,"qtd",income_statement!$C:$C,"noninterest_income")-SUMIFS(income_statement!$E:$E,income_statement!$A:$A,"2026-06-30",income_statement!$B:$B,"qtd",income_statement!$C:$C,"noninterest_expense")+SUMIFS(income_statement!$E:$E,income_statement!$A:$A,"2026-06-30",income_statement!$B:$B,"qtd",income_statement!$C:$C,"one_time")</f>
        <v>33563.9120000001</v>
      </c>
      <c r="E44" s="8" t="n">
        <f aca="false">income_statement_totals!$J$15</f>
        <v>33563.9120000001</v>
      </c>
      <c r="F44" s="15" t="n">
        <f aca="false">D44-E44</f>
        <v>0</v>
      </c>
      <c r="G44" s="20" t="n">
        <v>0.5</v>
      </c>
      <c r="H44" s="6" t="str">
        <f aca="false">IF(ABS(F44)&lt;=G44,"PASS","FAIL")</f>
        <v>PASS</v>
      </c>
    </row>
    <row r="45" customFormat="false" ht="15" hidden="false" customHeight="false" outlineLevel="0" collapsed="false">
      <c r="A45" s="13" t="n">
        <v>5</v>
      </c>
      <c r="B45" s="6" t="s">
        <v>343</v>
      </c>
      <c r="C45" s="6" t="s">
        <v>180</v>
      </c>
      <c r="D45" s="8" t="n">
        <f aca="false">summary!$N$8</f>
        <v>1655155.31428272</v>
      </c>
      <c r="E45" s="8" t="n">
        <f aca="false">SUMIFS(nev_test!$C:$C,nev_test!$A:$A,meta!$B$3,nev_test!$B:$B,"internal")</f>
        <v>1655155.31428272</v>
      </c>
      <c r="F45" s="15" t="n">
        <f aca="false">D45-E45</f>
        <v>0</v>
      </c>
      <c r="G45" s="20" t="n">
        <v>1</v>
      </c>
      <c r="H45" s="6" t="str">
        <f aca="false">IF(ABS(F45)&lt;=G45,"PASS","FAIL")</f>
        <v>PASS</v>
      </c>
    </row>
    <row r="46" customFormat="false" ht="15" hidden="false" customHeight="false" outlineLevel="0" collapsed="false">
      <c r="A46" s="13" t="n">
        <v>5</v>
      </c>
      <c r="B46" s="6" t="s">
        <v>344</v>
      </c>
      <c r="C46" s="6" t="s">
        <v>180</v>
      </c>
      <c r="D46" s="17" t="n">
        <f aca="false">summary!$O$8</f>
        <v>0.171761101764702</v>
      </c>
      <c r="E46" s="17" t="n">
        <f aca="false">SUMIFS(nev_test!$D:$D,nev_test!$A:$A,meta!$B$3,nev_test!$B:$B,"internal")</f>
        <v>0.171761101764702</v>
      </c>
      <c r="F46" s="21" t="n">
        <f aca="false">D46-E46</f>
        <v>0</v>
      </c>
      <c r="G46" s="22" t="n">
        <v>0.0001</v>
      </c>
      <c r="H46" s="6" t="str">
        <f aca="false">IF(ABS(F46)&lt;=G46,"PASS","FAIL")</f>
        <v>PASS</v>
      </c>
    </row>
    <row r="47" customFormat="false" ht="15" hidden="false" customHeight="false" outlineLevel="0" collapsed="false">
      <c r="A47" s="13" t="n">
        <v>5</v>
      </c>
      <c r="B47" s="6" t="s">
        <v>343</v>
      </c>
      <c r="C47" s="6" t="s">
        <v>186</v>
      </c>
      <c r="D47" s="8" t="n">
        <f aca="false">summary!$N$11</f>
        <v>1478380.20679949</v>
      </c>
      <c r="E47" s="8" t="n">
        <f aca="false">SUMIFS(nev_test!$E:$E,nev_test!$A:$A,meta!$B$3,nev_test!$B:$B,"internal")</f>
        <v>1478380.20679949</v>
      </c>
      <c r="F47" s="15" t="n">
        <f aca="false">D47-E47</f>
        <v>0</v>
      </c>
      <c r="G47" s="20" t="n">
        <v>1</v>
      </c>
      <c r="H47" s="6" t="str">
        <f aca="false">IF(ABS(F47)&lt;=G47,"PASS","FAIL")</f>
        <v>PASS</v>
      </c>
    </row>
    <row r="48" customFormat="false" ht="15" hidden="false" customHeight="false" outlineLevel="0" collapsed="false">
      <c r="A48" s="13" t="n">
        <v>5</v>
      </c>
      <c r="B48" s="6" t="s">
        <v>344</v>
      </c>
      <c r="C48" s="6" t="s">
        <v>186</v>
      </c>
      <c r="D48" s="17" t="n">
        <f aca="false">summary!$O$11</f>
        <v>0.165205528069012</v>
      </c>
      <c r="E48" s="17" t="n">
        <f aca="false">SUMIFS(nev_test!$F:$F,nev_test!$A:$A,meta!$B$3,nev_test!$B:$B,"internal")</f>
        <v>0.165205528069012</v>
      </c>
      <c r="F48" s="21" t="n">
        <f aca="false">D48-E48</f>
        <v>0</v>
      </c>
      <c r="G48" s="22" t="n">
        <v>0.0001</v>
      </c>
      <c r="H48" s="6" t="str">
        <f aca="false">IF(ABS(F48)&lt;=G48,"PASS","FAIL")</f>
        <v>PASS</v>
      </c>
    </row>
    <row r="49" customFormat="false" ht="15" hidden="false" customHeight="false" outlineLevel="0" collapsed="false">
      <c r="A49" s="13" t="n">
        <v>5</v>
      </c>
      <c r="B49" s="6" t="s">
        <v>343</v>
      </c>
      <c r="C49" s="6" t="s">
        <v>216</v>
      </c>
      <c r="D49" s="8" t="n">
        <f aca="false">summary!$N$24</f>
        <v>362536.771247309</v>
      </c>
      <c r="E49" s="8" t="n">
        <f aca="false">SUMIFS(nev_test!$E:$E,nev_test!$A:$A,meta!$B$3,nev_test!$B:$B,"ncua_test")</f>
        <v>362536.771247309</v>
      </c>
      <c r="F49" s="15" t="n">
        <f aca="false">D49-E49</f>
        <v>0</v>
      </c>
      <c r="G49" s="20" t="n">
        <v>1</v>
      </c>
      <c r="H49" s="6" t="str">
        <f aca="false">IF(ABS(F49)&lt;=G49,"PASS","FAIL")</f>
        <v>PASS</v>
      </c>
    </row>
    <row r="50" customFormat="false" ht="15" hidden="false" customHeight="false" outlineLevel="0" collapsed="false">
      <c r="A50" s="13" t="n">
        <v>5</v>
      </c>
      <c r="B50" s="6" t="s">
        <v>344</v>
      </c>
      <c r="C50" s="6" t="s">
        <v>216</v>
      </c>
      <c r="D50" s="17" t="n">
        <f aca="false">summary!$O$24</f>
        <v>0.0405126356960686</v>
      </c>
      <c r="E50" s="17" t="n">
        <f aca="false">SUMIFS(nev_test!$F:$F,nev_test!$A:$A,meta!$B$3,nev_test!$B:$B,"ncua_test")</f>
        <v>0.0405126356960686</v>
      </c>
      <c r="F50" s="21" t="n">
        <f aca="false">D50-E50</f>
        <v>0</v>
      </c>
      <c r="G50" s="22" t="n">
        <v>0.0001</v>
      </c>
      <c r="H50" s="6" t="str">
        <f aca="false">IF(ABS(F50)&lt;=G50,"PASS","FAIL")</f>
        <v>PASS</v>
      </c>
    </row>
    <row r="51" customFormat="false" ht="15" hidden="false" customHeight="false" outlineLevel="0" collapsed="false">
      <c r="A51" s="13" t="n">
        <v>6</v>
      </c>
      <c r="B51" s="6" t="s">
        <v>345</v>
      </c>
      <c r="C51" s="6" t="s">
        <v>346</v>
      </c>
      <c r="D51" s="8" t="n">
        <f aca="false">summary!$F$8</f>
        <v>327538.495184951</v>
      </c>
      <c r="E51" s="8" t="n">
        <f aca="false">SUMIFS(income_statement!$E:$E,income_statement!$A:$A,"2025-09-30",income_statement!$B:$B,"qtd",income_statement!$C:$C,"interest_income")-SUMIFS(income_statement!$E:$E,income_statement!$A:$A,"2025-09-30",income_statement!$B:$B,"qtd",income_statement!$C:$C,"interest_expense")+SUMIFS(income_statement!$E:$E,income_statement!$A:$A,"2025-12-31",income_statement!$B:$B,"qtd",income_statement!$C:$C,"interest_income")-SUMIFS(income_statement!$E:$E,income_statement!$A:$A,"2025-12-31",income_statement!$B:$B,"qtd",income_statement!$C:$C,"interest_expense")+SUMIFS(income_statement!$E:$E,income_statement!$A:$A,"2026-03-31",income_statement!$B:$B,"qtd",income_statement!$C:$C,"interest_income")-SUMIFS(income_statement!$E:$E,income_statement!$A:$A,"2026-03-31",income_statement!$B:$B,"qtd",income_statement!$C:$C,"interest_expense")+SUMIFS(income_statement!$E:$E,income_statement!$A:$A,"2026-06-30",income_statement!$B:$B,"qtd",income_statement!$C:$C,"interest_income")-SUMIFS(income_statement!$E:$E,income_statement!$A:$A,"2026-06-30",income_statement!$B:$B,"qtd",income_statement!$C:$C,"interest_expense")</f>
        <v>292029.697373057</v>
      </c>
      <c r="F51" s="14" t="n">
        <f aca="false">D51/E51-1</f>
        <v>0.121593105534516</v>
      </c>
      <c r="G51" s="19" t="n">
        <v>0.15</v>
      </c>
      <c r="H51" s="6" t="str">
        <f aca="false">IF(ABS(F51)&lt;=G51,"PASS","WARN")</f>
        <v>PASS</v>
      </c>
    </row>
    <row r="52" customFormat="false" ht="15" hidden="false" customHeight="false" outlineLevel="0" collapsed="false">
      <c r="A52" s="13" t="n">
        <v>7</v>
      </c>
      <c r="B52" s="6" t="s">
        <v>347</v>
      </c>
      <c r="C52" s="6" t="s">
        <v>103</v>
      </c>
      <c r="D52" s="8" t="n">
        <f aca="false">COUNTIF(policy_limits!$K$2:$K$40,"n")</f>
        <v>0</v>
      </c>
      <c r="E52" s="23" t="n">
        <v>0</v>
      </c>
      <c r="F52" s="15" t="n">
        <f aca="false">D52-E52</f>
        <v>0</v>
      </c>
      <c r="G52" s="23" t="n">
        <v>0</v>
      </c>
      <c r="H52" s="6" t="str">
        <f aca="false">IF(D52=0,"PASS","FAIL")</f>
        <v>PASS</v>
      </c>
    </row>
    <row r="53" customFormat="false" ht="15" hidden="false" customHeight="false" outlineLevel="0" collapsed="false">
      <c r="A53" s="13" t="n">
        <v>7</v>
      </c>
      <c r="B53" s="6" t="s">
        <v>348</v>
      </c>
      <c r="C53" s="6" t="s">
        <v>103</v>
      </c>
      <c r="D53" s="8" t="n">
        <f aca="false">COUNTIF(policy_limits!$L$2:$L$40,"n")</f>
        <v>0</v>
      </c>
      <c r="E53" s="23" t="n">
        <v>0</v>
      </c>
      <c r="F53" s="15" t="n">
        <f aca="false">D53-E53</f>
        <v>0</v>
      </c>
      <c r="G53" s="23" t="n">
        <v>0</v>
      </c>
      <c r="H53" s="6" t="str">
        <f aca="false">IF(D53=0,"PASS","FAIL")</f>
        <v>PASS</v>
      </c>
    </row>
    <row r="54" customFormat="false" ht="15" hidden="false" customHeight="false" outlineLevel="0" collapsed="false">
      <c r="A54" s="13" t="n">
        <v>8</v>
      </c>
      <c r="B54" s="6" t="s">
        <v>349</v>
      </c>
      <c r="C54" s="6" t="s">
        <v>68</v>
      </c>
      <c r="D54" s="8" t="n">
        <f aca="false">MAX(loans!$AI$2:$AI$15)</f>
        <v>1</v>
      </c>
      <c r="E54" s="23" t="n">
        <v>1</v>
      </c>
      <c r="F54" s="15" t="n">
        <f aca="false">D54-E54</f>
        <v>0</v>
      </c>
      <c r="G54" s="23" t="n">
        <v>0</v>
      </c>
      <c r="H54" s="6" t="str">
        <f aca="false">IF(D54&lt;=1,"PASS","FAIL")</f>
        <v>PASS</v>
      </c>
    </row>
    <row r="55" customFormat="false" ht="15" hidden="false" customHeight="false" outlineLevel="0" collapsed="false">
      <c r="A55" s="13" t="n">
        <v>8</v>
      </c>
      <c r="B55" s="6" t="s">
        <v>349</v>
      </c>
      <c r="C55" s="6" t="s">
        <v>70</v>
      </c>
      <c r="D55" s="8" t="n">
        <f aca="false">MAX(deposits!$W$2:$W$14)</f>
        <v>1</v>
      </c>
      <c r="E55" s="23" t="n">
        <v>1</v>
      </c>
      <c r="F55" s="15" t="n">
        <f aca="false">D55-E55</f>
        <v>0</v>
      </c>
      <c r="G55" s="23" t="n">
        <v>0</v>
      </c>
      <c r="H55" s="6" t="str">
        <f aca="false">IF(D55&lt;=1,"PASS","FAIL")</f>
        <v>PASS</v>
      </c>
    </row>
    <row r="56" customFormat="false" ht="15" hidden="false" customHeight="false" outlineLevel="0" collapsed="false">
      <c r="A56" s="13" t="n">
        <v>8</v>
      </c>
      <c r="B56" s="6" t="s">
        <v>349</v>
      </c>
      <c r="C56" s="6" t="s">
        <v>75</v>
      </c>
      <c r="D56" s="8" t="n">
        <f aca="false">MAX(investments!$O$2:$O$11)</f>
        <v>1</v>
      </c>
      <c r="E56" s="23" t="n">
        <v>1</v>
      </c>
      <c r="F56" s="15" t="n">
        <f aca="false">D56-E56</f>
        <v>0</v>
      </c>
      <c r="G56" s="23" t="n">
        <v>0</v>
      </c>
      <c r="H56" s="6" t="str">
        <f aca="false">IF(D56&lt;=1,"PASS","FAIL")</f>
        <v>PASS</v>
      </c>
    </row>
    <row r="57" customFormat="false" ht="15" hidden="false" customHeight="false" outlineLevel="0" collapsed="false">
      <c r="A57" s="13" t="n">
        <v>8</v>
      </c>
      <c r="B57" s="6" t="s">
        <v>350</v>
      </c>
      <c r="C57" s="6" t="s">
        <v>68</v>
      </c>
      <c r="D57" s="9" t="n">
        <f aca="false">SUM(loans!$AJ$2:$AJ$15)</f>
        <v>1</v>
      </c>
      <c r="E57" s="19" t="n">
        <v>1</v>
      </c>
      <c r="F57" s="14" t="n">
        <f aca="false">D57-E57</f>
        <v>0</v>
      </c>
      <c r="G57" s="22" t="n">
        <v>0.0001</v>
      </c>
      <c r="H57" s="6" t="str">
        <f aca="false">IF(ABS(F57)&lt;=G57,"PASS","FAIL")</f>
        <v>PASS</v>
      </c>
    </row>
    <row r="58" customFormat="false" ht="15" hidden="false" customHeight="false" outlineLevel="0" collapsed="false">
      <c r="A58" s="13" t="n">
        <v>8</v>
      </c>
      <c r="B58" s="6" t="s">
        <v>350</v>
      </c>
      <c r="C58" s="6" t="s">
        <v>70</v>
      </c>
      <c r="D58" s="9" t="n">
        <f aca="false">SUM(deposits!$X$2:$X$14)</f>
        <v>1</v>
      </c>
      <c r="E58" s="19" t="n">
        <v>1</v>
      </c>
      <c r="F58" s="14" t="n">
        <f aca="false">D58-E58</f>
        <v>0</v>
      </c>
      <c r="G58" s="22" t="n">
        <v>0.0001</v>
      </c>
      <c r="H58" s="6" t="str">
        <f aca="false">IF(ABS(F58)&lt;=G58,"PASS","FAIL")</f>
        <v>PASS</v>
      </c>
    </row>
    <row r="59" customFormat="false" ht="15" hidden="false" customHeight="false" outlineLevel="0" collapsed="false">
      <c r="A59" s="13" t="n">
        <v>9</v>
      </c>
      <c r="B59" s="6" t="s">
        <v>351</v>
      </c>
      <c r="C59" s="6" t="s">
        <v>119</v>
      </c>
      <c r="D59" s="18" t="n">
        <f aca="false">MIN(history!$AF$3:$AF$24)</f>
        <v>1</v>
      </c>
      <c r="E59" s="18" t="n">
        <f aca="false">MAX(history!$AF$3:$AF$24)</f>
        <v>1</v>
      </c>
      <c r="F59" s="24" t="n">
        <f aca="false">E59-D59</f>
        <v>0</v>
      </c>
      <c r="G59" s="23" t="n">
        <v>0</v>
      </c>
      <c r="H59" s="6" t="str">
        <f aca="false">IF(AND(D59=1,E59=1),"PASS","FAIL")</f>
        <v>PASS</v>
      </c>
    </row>
    <row r="60" customFormat="false" ht="15" hidden="false" customHeight="false" outlineLevel="0" collapsed="false">
      <c r="A60" s="13" t="n">
        <v>10</v>
      </c>
      <c r="B60" s="6" t="s">
        <v>352</v>
      </c>
      <c r="C60" s="6" t="s">
        <v>353</v>
      </c>
      <c r="D60" s="8" t="n">
        <f aca="false">SUMPRODUCT(--(rates_history!$A$2:$A$578&gt;meta!$B$3))</f>
        <v>95</v>
      </c>
      <c r="E60" s="23" t="n">
        <v>0</v>
      </c>
      <c r="F60" s="15" t="n">
        <f aca="false">D60-E60</f>
        <v>95</v>
      </c>
      <c r="G60" s="23" t="n">
        <v>0</v>
      </c>
      <c r="H60" s="6" t="str">
        <f aca="false">IF(D60&gt;0,"CHIP ON","CHIP OFF")</f>
        <v>CHIP ON</v>
      </c>
    </row>
    <row r="61" customFormat="false" ht="15" hidden="false" customHeight="false" outlineLevel="0" collapsed="false">
      <c r="A61" s="13" t="n">
        <v>10</v>
      </c>
      <c r="B61" s="6" t="s">
        <v>354</v>
      </c>
      <c r="C61" s="6" t="s">
        <v>355</v>
      </c>
      <c r="D61" s="25" t="n">
        <f aca="false">(SUMIFS(rates_history!$C:$C,rates_history!$A:$A,meta!$B$13,rates_history!$B:$B,"10y")-SUMIFS(rates_history!$C:$C,rates_history!$A:$A,meta!$B$3,rates_history!$B:$B,"10y"))*10000</f>
        <v>82</v>
      </c>
      <c r="E61" s="20" t="n">
        <v>0</v>
      </c>
      <c r="F61" s="26" t="n">
        <f aca="false">D61-E61</f>
        <v>82</v>
      </c>
      <c r="G61" s="23" t="n">
        <v>0</v>
      </c>
      <c r="H61" s="6" t="str">
        <f aca="false">"info"</f>
        <v>info</v>
      </c>
    </row>
    <row r="62" customFormat="false" ht="15" hidden="false" customHeight="false" outlineLevel="0" collapsed="false">
      <c r="A62" s="13" t="n">
        <v>11</v>
      </c>
      <c r="B62" s="6" t="s">
        <v>356</v>
      </c>
      <c r="C62" s="6" t="s">
        <v>322</v>
      </c>
      <c r="D62" s="8" t="n">
        <f aca="false">SUMIFS(investments!$E:$E,investments!$A:$A,meta!$B$3,investments!$C:$C,"afs")</f>
        <v>1958274.31298893</v>
      </c>
      <c r="E62" s="8" t="n">
        <f aca="false">SUMPRODUCT((balance_sheet!$A$2:$A$400=meta!$B$3)*(LEFT(balance_sheet!$O$2:$O$400,4)="afs_")*balance_sheet!$E$2:$E$400)</f>
        <v>1958274.31298893</v>
      </c>
      <c r="F62" s="15" t="n">
        <f aca="false">D62-E62</f>
        <v>0</v>
      </c>
      <c r="G62" s="19" t="n">
        <v>0.001</v>
      </c>
      <c r="H62" s="6" t="str">
        <f aca="false">IF(ABS(F62)&lt;=G62*ABS(E62),"PASS","FAIL")</f>
        <v>PASS</v>
      </c>
    </row>
    <row r="63" customFormat="false" ht="15" hidden="false" customHeight="false" outlineLevel="0" collapsed="false">
      <c r="A63" s="13" t="n">
        <v>11</v>
      </c>
      <c r="B63" s="6" t="s">
        <v>357</v>
      </c>
      <c r="C63" s="6" t="s">
        <v>322</v>
      </c>
      <c r="D63" s="8" t="n">
        <f aca="false">SUMIFS(investments!$E:$E,investments!$A:$A,meta!$B$3,investments!$C:$C,"afs")</f>
        <v>1958274.31298893</v>
      </c>
      <c r="E63" s="23" t="n">
        <v>1958274.313</v>
      </c>
      <c r="F63" s="15" t="n">
        <f aca="false">D63-E63</f>
        <v>-1.10729597508907E-005</v>
      </c>
      <c r="G63" s="19" t="n">
        <v>0.0001</v>
      </c>
      <c r="H63" s="6" t="str">
        <f aca="false">IF(ABS(F63)&lt;=G63*ABS(E63),"PASS","FAIL")</f>
        <v>PASS</v>
      </c>
    </row>
    <row r="64" customFormat="false" ht="15" hidden="false" customHeight="false" outlineLevel="0" collapsed="false">
      <c r="A64" s="13" t="n">
        <v>11</v>
      </c>
      <c r="B64" s="6" t="s">
        <v>358</v>
      </c>
      <c r="C64" s="6" t="s">
        <v>322</v>
      </c>
      <c r="D64" s="8" t="n">
        <f aca="false">SUMIFS(investments!$D:$D,investments!$A:$A,meta!$B$3,investments!$C:$C,"htm")</f>
        <v>1348403.71</v>
      </c>
      <c r="E64" s="23" t="n">
        <v>1348403.71</v>
      </c>
      <c r="F64" s="15" t="n">
        <f aca="false">D64-E64</f>
        <v>0</v>
      </c>
      <c r="G64" s="19" t="n">
        <v>0.0001</v>
      </c>
      <c r="H64" s="6" t="str">
        <f aca="false">IF(ABS(F64)&lt;=G64*ABS(E64),"PASS","FAIL")</f>
        <v>PASS</v>
      </c>
    </row>
    <row r="65" customFormat="false" ht="15" hidden="false" customHeight="false" outlineLevel="0" collapsed="false">
      <c r="A65" s="13" t="n">
        <v>11</v>
      </c>
      <c r="B65" s="6" t="s">
        <v>359</v>
      </c>
      <c r="C65" s="6" t="s">
        <v>322</v>
      </c>
      <c r="D65" s="8" t="n">
        <f aca="false">SUM(cert_maturities!$C:$C)</f>
        <v>1706878.8496</v>
      </c>
      <c r="E65" s="8" t="n">
        <f aca="false">SUMIFS(deposits!$E:$E,deposits!$B:$B,"certificates")+SUMIFS(deposits!$E:$E,deposits!$D:$D,"ira_certificates")</f>
        <v>1706878.8496</v>
      </c>
      <c r="F65" s="15" t="n">
        <f aca="false">D65-E65</f>
        <v>0</v>
      </c>
      <c r="G65" s="19" t="n">
        <v>0.001</v>
      </c>
      <c r="H65" s="6" t="str">
        <f aca="false">IF(ABS(F65)&lt;=G65*ABS(E65),"PASS","FAIL")</f>
        <v>PASS</v>
      </c>
    </row>
    <row r="66" customFormat="false" ht="15" hidden="false" customHeight="false" outlineLevel="0" collapsed="false">
      <c r="A66" s="13" t="n">
        <v>11</v>
      </c>
      <c r="B66" s="6" t="s">
        <v>360</v>
      </c>
      <c r="C66" s="6" t="s">
        <v>322</v>
      </c>
      <c r="D66" s="8" t="n">
        <f aca="false">SUM(investment_cashflows!$B:$B)+SUM(investment_cashflows!$D:$D)</f>
        <v>3563284.193</v>
      </c>
      <c r="E66" s="8" t="n">
        <f aca="false">SUMIFS(investments!$D:$D,investments!$A:$A,meta!$B$3,investments!$C:$C,"afs")+SUMIFS(investments!$D:$D,investments!$A:$A,meta!$B$3,investments!$C:$C,"htm")</f>
        <v>3563284.193</v>
      </c>
      <c r="F66" s="15" t="n">
        <f aca="false">D66-E66</f>
        <v>0</v>
      </c>
      <c r="G66" s="19" t="n">
        <v>0.001</v>
      </c>
      <c r="H66" s="6" t="str">
        <f aca="false">IF(ABS(F66)&lt;=G66*ABS(E66),"PASS","FAIL")</f>
        <v>PASS</v>
      </c>
    </row>
    <row r="67" customFormat="false" ht="15" hidden="false" customHeight="false" outlineLevel="0" collapsed="false">
      <c r="A67" s="13" t="n">
        <v>11</v>
      </c>
      <c r="B67" s="6" t="s">
        <v>361</v>
      </c>
      <c r="C67" s="6" t="s">
        <v>322</v>
      </c>
      <c r="D67" s="9" t="n">
        <f aca="false">summary!$C$43</f>
        <v>0.120958211693501</v>
      </c>
      <c r="E67" s="19" t="n">
        <v>0.121</v>
      </c>
      <c r="F67" s="14" t="n">
        <f aca="false">D67-E67</f>
        <v>-4.1788306499202E-005</v>
      </c>
      <c r="G67" s="22" t="n">
        <v>0.0005</v>
      </c>
      <c r="H67" s="6" t="str">
        <f aca="false">IF(ABS(F67)&lt;=G67,"PASS","FAIL")</f>
        <v>PASS</v>
      </c>
    </row>
    <row r="68" customFormat="false" ht="15" hidden="false" customHeight="false" outlineLevel="0" collapsed="false">
      <c r="A68" s="13" t="n">
        <v>11</v>
      </c>
      <c r="B68" s="6" t="s">
        <v>362</v>
      </c>
      <c r="C68" s="6" t="s">
        <v>87</v>
      </c>
      <c r="D68" s="8" t="n">
        <f aca="false">COUNTA(rate_scenarios!$A$2:$A$7001)</f>
        <v>7000</v>
      </c>
      <c r="E68" s="8" t="n">
        <f aca="false">COUNTA(scenarios!$A$2:$A$100)*25*14</f>
        <v>7000</v>
      </c>
      <c r="F68" s="15" t="n">
        <f aca="false">D68-E68</f>
        <v>0</v>
      </c>
      <c r="G68" s="23" t="n">
        <v>0</v>
      </c>
      <c r="H68" s="6" t="str">
        <f aca="false">IF(F68=0,"PASS","FAIL")</f>
        <v>PASS</v>
      </c>
    </row>
    <row r="69" customFormat="false" ht="15" hidden="false" customHeight="false" outlineLevel="0" collapsed="false">
      <c r="A69" s="13" t="n">
        <v>11</v>
      </c>
      <c r="B69" s="6" t="s">
        <v>363</v>
      </c>
      <c r="C69" s="6" t="s">
        <v>89</v>
      </c>
      <c r="D69" s="8" t="n">
        <f aca="false">COUNTA(nii_simulation!$A$2:$A$481)</f>
        <v>480</v>
      </c>
      <c r="E69" s="8" t="n">
        <f aca="false">COUNTA(scenarios!$A$2:$A$100)*24</f>
        <v>480</v>
      </c>
      <c r="F69" s="15" t="n">
        <f aca="false">D69-E69</f>
        <v>0</v>
      </c>
      <c r="G69" s="23" t="n">
        <v>0</v>
      </c>
      <c r="H69" s="6" t="str">
        <f aca="false">IF(F69=0,"PASS","FAIL")</f>
        <v>PASS</v>
      </c>
    </row>
    <row r="70" customFormat="false" ht="15" hidden="false" customHeight="false" outlineLevel="0" collapsed="false">
      <c r="A70" s="13" t="n">
        <v>11</v>
      </c>
      <c r="B70" s="6" t="s">
        <v>364</v>
      </c>
      <c r="C70" s="6" t="s">
        <v>322</v>
      </c>
      <c r="D70" s="8" t="n">
        <f aca="false">SUMIFS(balance_sheet!$E:$E,balance_sheet!$A:$A,meta!$B$3,balance_sheet!$B:$B,"equity")</f>
        <v>907826.506</v>
      </c>
      <c r="E70" s="8" t="n">
        <f aca="false">capital!$B$24+capital!$G$24</f>
        <v>907826.506</v>
      </c>
      <c r="F70" s="15" t="n">
        <f aca="false">D70-E70</f>
        <v>0</v>
      </c>
      <c r="G70" s="19" t="n">
        <v>0.001</v>
      </c>
      <c r="H70" s="6" t="str">
        <f aca="false">IF(ABS(F70)&lt;=G70*ABS(E70),"PASS","FAIL")</f>
        <v>PASS</v>
      </c>
    </row>
    <row r="72" customFormat="false" ht="15" hidden="false" customHeight="false" outlineLevel="0" collapsed="false">
      <c r="B72" s="11" t="s">
        <v>365</v>
      </c>
      <c r="D72" s="16" t="n">
        <f aca="false">COUNTIF(H5:H70,"FAIL")</f>
        <v>0</v>
      </c>
    </row>
    <row r="73" customFormat="false" ht="15" hidden="false" customHeight="false" outlineLevel="0" collapsed="false">
      <c r="B73" s="11" t="s">
        <v>366</v>
      </c>
      <c r="D73" s="16" t="n">
        <f aca="false">COUNTIF(H5:H70,"WARN")</f>
        <v>0</v>
      </c>
    </row>
    <row r="74" customFormat="false" ht="15" hidden="false" customHeight="false" outlineLevel="0" collapsed="false">
      <c r="B74" s="11" t="s">
        <v>367</v>
      </c>
      <c r="D74" s="11" t="str">
        <f aca="false">IF(D72=0,"Validated",D72&amp;" checks failed")</f>
        <v>Validated</v>
      </c>
    </row>
  </sheetData>
  <conditionalFormatting sqref="H5:H70">
    <cfRule type="expression" priority="2" aboveAverage="0" equalAverage="0" bottom="0" percent="0" rank="0" text="" dxfId="0">
      <formula>H5="PASS"</formula>
    </cfRule>
    <cfRule type="expression" priority="3" aboveAverage="0" equalAverage="0" bottom="0" percent="0" rank="0" text="" dxfId="1">
      <formula>H5="FAIL"</formula>
    </cfRule>
    <cfRule type="expression" priority="4" aboveAverage="0" equalAverage="0" bottom="0" percent="0" rank="0" text="" dxfId="2">
      <formula>H5="WARN"</formula>
    </cfRule>
    <cfRule type="expression" priority="5" aboveAverage="0" equalAverage="0" bottom="0" percent="0" rank="0" text="" dxfId="2">
      <formula>H5="CHIP 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60"/>
    <col collapsed="false" customWidth="true" hidden="false" outlineLevel="0" max="3" min="3" style="0" width="90"/>
  </cols>
  <sheetData>
    <row r="1" customFormat="false" ht="30" hidden="false" customHeight="true" outlineLevel="0" collapsed="false">
      <c r="A1" s="27" t="s">
        <v>368</v>
      </c>
      <c r="B1" s="27" t="s">
        <v>238</v>
      </c>
      <c r="C1" s="27" t="s">
        <v>369</v>
      </c>
    </row>
    <row r="2" customFormat="false" ht="15" hidden="false" customHeight="false" outlineLevel="0" collapsed="false">
      <c r="A2" s="28" t="s">
        <v>370</v>
      </c>
      <c r="B2" s="28" t="s">
        <v>371</v>
      </c>
      <c r="C2" s="28" t="s">
        <v>372</v>
      </c>
    </row>
    <row r="3" customFormat="false" ht="15" hidden="false" customHeight="false" outlineLevel="0" collapsed="false">
      <c r="A3" s="28" t="s">
        <v>373</v>
      </c>
      <c r="B3" s="28" t="s">
        <v>322</v>
      </c>
      <c r="C3" s="28" t="s">
        <v>374</v>
      </c>
    </row>
    <row r="4" customFormat="false" ht="15" hidden="false" customHeight="false" outlineLevel="0" collapsed="false">
      <c r="A4" s="28" t="s">
        <v>375</v>
      </c>
      <c r="B4" s="28" t="s">
        <v>376</v>
      </c>
      <c r="C4" s="28" t="s">
        <v>377</v>
      </c>
    </row>
    <row r="5" customFormat="false" ht="15" hidden="false" customHeight="false" outlineLevel="0" collapsed="false">
      <c r="A5" s="28" t="s">
        <v>378</v>
      </c>
      <c r="B5" s="28" t="s">
        <v>379</v>
      </c>
      <c r="C5" s="28" t="s">
        <v>380</v>
      </c>
    </row>
    <row r="6" customFormat="false" ht="15" hidden="false" customHeight="false" outlineLevel="0" collapsed="false">
      <c r="A6" s="28" t="s">
        <v>381</v>
      </c>
      <c r="B6" s="29" t="n">
        <v>0.11</v>
      </c>
      <c r="C6" s="28" t="s">
        <v>382</v>
      </c>
    </row>
    <row r="7" customFormat="false" ht="15" hidden="false" customHeight="false" outlineLevel="0" collapsed="false">
      <c r="A7" s="28" t="s">
        <v>383</v>
      </c>
      <c r="B7" s="29" t="n">
        <v>0.75</v>
      </c>
      <c r="C7" s="28" t="s">
        <v>384</v>
      </c>
    </row>
    <row r="8" customFormat="false" ht="15" hidden="false" customHeight="false" outlineLevel="0" collapsed="false">
      <c r="A8" s="28" t="s">
        <v>385</v>
      </c>
      <c r="B8" s="29" t="n">
        <v>0.1</v>
      </c>
      <c r="C8" s="28" t="s">
        <v>386</v>
      </c>
    </row>
    <row r="9" customFormat="false" ht="15" hidden="false" customHeight="false" outlineLevel="0" collapsed="false">
      <c r="A9" s="28" t="s">
        <v>387</v>
      </c>
      <c r="B9" s="28" t="s">
        <v>388</v>
      </c>
      <c r="C9" s="28" t="s">
        <v>389</v>
      </c>
    </row>
    <row r="10" customFormat="false" ht="15" hidden="false" customHeight="false" outlineLevel="0" collapsed="false">
      <c r="A10" s="28" t="s">
        <v>390</v>
      </c>
      <c r="B10" s="28" t="s">
        <v>1</v>
      </c>
      <c r="C10" s="28" t="s">
        <v>391</v>
      </c>
    </row>
    <row r="11" customFormat="false" ht="15" hidden="false" customHeight="false" outlineLevel="0" collapsed="false">
      <c r="A11" s="28" t="s">
        <v>392</v>
      </c>
      <c r="B11" s="28" t="s">
        <v>393</v>
      </c>
      <c r="C11" s="28" t="s">
        <v>394</v>
      </c>
    </row>
    <row r="12" customFormat="false" ht="15" hidden="false" customHeight="false" outlineLevel="0" collapsed="false">
      <c r="A12" s="28" t="s">
        <v>395</v>
      </c>
      <c r="B12" s="28" t="s">
        <v>396</v>
      </c>
      <c r="C12" s="28" t="s">
        <v>397</v>
      </c>
    </row>
    <row r="13" customFormat="false" ht="15" hidden="false" customHeight="false" outlineLevel="0" collapsed="false">
      <c r="A13" s="28" t="s">
        <v>398</v>
      </c>
      <c r="B13" s="28" t="s">
        <v>396</v>
      </c>
      <c r="C13" s="28" t="s">
        <v>399</v>
      </c>
    </row>
    <row r="14" customFormat="false" ht="15" hidden="false" customHeight="false" outlineLevel="0" collapsed="false">
      <c r="A14" s="28" t="s">
        <v>400</v>
      </c>
      <c r="B14" s="28" t="s">
        <v>175</v>
      </c>
      <c r="C14" s="28" t="s">
        <v>401</v>
      </c>
    </row>
    <row r="15" customFormat="false" ht="15" hidden="false" customHeight="false" outlineLevel="0" collapsed="false">
      <c r="A15" s="28" t="s">
        <v>402</v>
      </c>
      <c r="B15" s="29" t="n">
        <v>0.09</v>
      </c>
      <c r="C15" s="28" t="s">
        <v>403</v>
      </c>
    </row>
    <row r="16" customFormat="false" ht="15" hidden="false" customHeight="false" outlineLevel="0" collapsed="false">
      <c r="A16" s="28" t="s">
        <v>404</v>
      </c>
      <c r="B16" s="29" t="n">
        <v>0.07</v>
      </c>
      <c r="C16" s="28" t="s">
        <v>405</v>
      </c>
    </row>
    <row r="17" customFormat="false" ht="15" hidden="false" customHeight="false" outlineLevel="0" collapsed="false">
      <c r="A17" s="28" t="s">
        <v>406</v>
      </c>
      <c r="B17" s="30" t="n">
        <v>1.75</v>
      </c>
      <c r="C17" s="28" t="s">
        <v>407</v>
      </c>
    </row>
    <row r="18" customFormat="false" ht="15" hidden="false" customHeight="false" outlineLevel="0" collapsed="false">
      <c r="A18" s="28" t="s">
        <v>408</v>
      </c>
      <c r="B18" s="29" t="n">
        <v>0.07</v>
      </c>
      <c r="C18" s="28" t="s">
        <v>409</v>
      </c>
    </row>
    <row r="19" customFormat="false" ht="15" hidden="false" customHeight="false" outlineLevel="0" collapsed="false">
      <c r="A19" s="28" t="s">
        <v>410</v>
      </c>
      <c r="B19" s="29" t="n">
        <v>0.04</v>
      </c>
      <c r="C19" s="28" t="s">
        <v>411</v>
      </c>
    </row>
    <row r="20" customFormat="false" ht="15" hidden="false" customHeight="false" outlineLevel="0" collapsed="false">
      <c r="A20" s="28" t="s">
        <v>412</v>
      </c>
      <c r="B20" s="29" t="n">
        <v>0.4</v>
      </c>
      <c r="C20" s="28" t="s">
        <v>413</v>
      </c>
    </row>
    <row r="21" customFormat="false" ht="15" hidden="false" customHeight="false" outlineLevel="0" collapsed="false">
      <c r="A21" s="28" t="s">
        <v>414</v>
      </c>
      <c r="B21" s="29" t="n">
        <v>0.65</v>
      </c>
      <c r="C21" s="28" t="s">
        <v>415</v>
      </c>
    </row>
    <row r="22" customFormat="false" ht="15" hidden="false" customHeight="false" outlineLevel="0" collapsed="false">
      <c r="A22" s="28" t="s">
        <v>416</v>
      </c>
      <c r="B22" s="23" t="n">
        <v>10000000</v>
      </c>
      <c r="C22" s="28" t="s">
        <v>417</v>
      </c>
    </row>
    <row r="23" customFormat="false" ht="15" hidden="false" customHeight="false" outlineLevel="0" collapsed="false">
      <c r="A23" s="28" t="s">
        <v>418</v>
      </c>
      <c r="B23" s="28" t="s">
        <v>419</v>
      </c>
      <c r="C23" s="28" t="s">
        <v>420</v>
      </c>
    </row>
    <row r="24" customFormat="false" ht="15" hidden="false" customHeight="false" outlineLevel="0" collapsed="false">
      <c r="A24" s="28" t="s">
        <v>421</v>
      </c>
      <c r="B24" s="28" t="s">
        <v>422</v>
      </c>
      <c r="C24" s="28" t="s">
        <v>423</v>
      </c>
    </row>
    <row r="25" customFormat="false" ht="15" hidden="false" customHeight="false" outlineLevel="0" collapsed="false">
      <c r="A25" s="28" t="s">
        <v>424</v>
      </c>
      <c r="B25" s="28" t="s">
        <v>425</v>
      </c>
      <c r="C25" s="28" t="s">
        <v>426</v>
      </c>
    </row>
    <row r="26" customFormat="false" ht="15" hidden="false" customHeight="false" outlineLevel="0" collapsed="false">
      <c r="A26" s="28" t="s">
        <v>427</v>
      </c>
      <c r="B26" s="28" t="s">
        <v>428</v>
      </c>
      <c r="C26" s="28" t="s">
        <v>429</v>
      </c>
    </row>
  </sheetData>
  <autoFilter ref="A1:C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19"/>
    <col collapsed="false" customWidth="true" hidden="false" outlineLevel="0" max="4" min="4" style="0" width="58"/>
    <col collapsed="false" customWidth="true" hidden="false" outlineLevel="0" max="5" min="5" style="0" width="21"/>
    <col collapsed="false" customWidth="true" hidden="false" outlineLevel="0" max="6" min="6" style="0" width="20"/>
    <col collapsed="false" customWidth="true" hidden="false" outlineLevel="0" max="7" min="7" style="0" width="22"/>
    <col collapsed="false" customWidth="true" hidden="false" outlineLevel="0" max="8" min="8" style="0" width="11"/>
    <col collapsed="false" customWidth="true" hidden="false" outlineLevel="0" max="9" min="9" style="0" width="10"/>
    <col collapsed="false" customWidth="true" hidden="false" outlineLevel="0" max="10" min="10" style="0" width="11"/>
    <col collapsed="false" customWidth="true" hidden="false" outlineLevel="0" max="11" min="11" style="0" width="14"/>
    <col collapsed="false" customWidth="true" hidden="false" outlineLevel="0" max="12" min="12" style="0" width="15"/>
    <col collapsed="false" customWidth="true" hidden="false" outlineLevel="0" max="13" min="13" style="0" width="12"/>
    <col collapsed="false" customWidth="true" hidden="false" outlineLevel="0" max="14" min="14" style="0" width="70"/>
    <col collapsed="false" customWidth="true" hidden="false" outlineLevel="0" max="15" min="15" style="0" width="28"/>
    <col collapsed="false" customWidth="true" hidden="false" outlineLevel="0" max="17" min="16" style="0" width="20"/>
  </cols>
  <sheetData>
    <row r="1" customFormat="false" ht="30" hidden="false" customHeight="true" outlineLevel="0" collapsed="false">
      <c r="A1" s="27" t="s">
        <v>430</v>
      </c>
      <c r="B1" s="27" t="s">
        <v>431</v>
      </c>
      <c r="C1" s="27" t="s">
        <v>432</v>
      </c>
      <c r="D1" s="27" t="s">
        <v>433</v>
      </c>
      <c r="E1" s="27" t="s">
        <v>434</v>
      </c>
      <c r="F1" s="27" t="s">
        <v>435</v>
      </c>
      <c r="G1" s="27" t="s">
        <v>436</v>
      </c>
      <c r="H1" s="27" t="s">
        <v>437</v>
      </c>
      <c r="I1" s="27" t="s">
        <v>438</v>
      </c>
      <c r="J1" s="27" t="s">
        <v>439</v>
      </c>
      <c r="K1" s="27" t="s">
        <v>440</v>
      </c>
      <c r="L1" s="27" t="s">
        <v>441</v>
      </c>
      <c r="M1" s="27" t="s">
        <v>442</v>
      </c>
      <c r="N1" s="27" t="s">
        <v>443</v>
      </c>
      <c r="O1" s="27" t="s">
        <v>444</v>
      </c>
      <c r="P1" s="27" t="s">
        <v>445</v>
      </c>
      <c r="Q1" s="27" t="s">
        <v>446</v>
      </c>
    </row>
    <row r="2" customFormat="false" ht="15" hidden="false" customHeight="false" outlineLevel="0" collapsed="false">
      <c r="A2" s="28" t="s">
        <v>315</v>
      </c>
      <c r="B2" s="28" t="s">
        <v>447</v>
      </c>
      <c r="C2" s="28" t="s">
        <v>448</v>
      </c>
      <c r="D2" s="28" t="s">
        <v>449</v>
      </c>
      <c r="E2" s="23" t="n">
        <v>558933.192</v>
      </c>
      <c r="H2" s="28" t="s">
        <v>450</v>
      </c>
      <c r="I2" s="28" t="s">
        <v>451</v>
      </c>
      <c r="M2" s="28" t="s">
        <v>452</v>
      </c>
      <c r="N2" s="28" t="s">
        <v>453</v>
      </c>
    </row>
    <row r="3" customFormat="false" ht="15" hidden="false" customHeight="false" outlineLevel="0" collapsed="false">
      <c r="A3" s="28" t="s">
        <v>315</v>
      </c>
      <c r="B3" s="28" t="s">
        <v>447</v>
      </c>
      <c r="C3" s="28" t="s">
        <v>75</v>
      </c>
      <c r="D3" s="28" t="s">
        <v>454</v>
      </c>
      <c r="E3" s="23" t="n">
        <v>114014.09</v>
      </c>
      <c r="H3" s="28" t="s">
        <v>450</v>
      </c>
      <c r="I3" s="28" t="s">
        <v>450</v>
      </c>
      <c r="M3" s="28" t="s">
        <v>452</v>
      </c>
      <c r="N3" s="28" t="s">
        <v>453</v>
      </c>
    </row>
    <row r="4" customFormat="false" ht="15" hidden="false" customHeight="false" outlineLevel="0" collapsed="false">
      <c r="A4" s="28" t="s">
        <v>315</v>
      </c>
      <c r="B4" s="28" t="s">
        <v>447</v>
      </c>
      <c r="C4" s="28" t="s">
        <v>75</v>
      </c>
      <c r="D4" s="28" t="s">
        <v>455</v>
      </c>
      <c r="E4" s="23" t="n">
        <v>1893344.782</v>
      </c>
      <c r="H4" s="28" t="s">
        <v>450</v>
      </c>
      <c r="I4" s="28" t="s">
        <v>450</v>
      </c>
      <c r="M4" s="28" t="s">
        <v>452</v>
      </c>
      <c r="N4" s="28" t="s">
        <v>453</v>
      </c>
    </row>
    <row r="5" customFormat="false" ht="15" hidden="false" customHeight="false" outlineLevel="0" collapsed="false">
      <c r="A5" s="28" t="s">
        <v>315</v>
      </c>
      <c r="B5" s="28" t="s">
        <v>447</v>
      </c>
      <c r="C5" s="28" t="s">
        <v>75</v>
      </c>
      <c r="D5" s="28" t="s">
        <v>456</v>
      </c>
      <c r="E5" s="23" t="n">
        <v>1447713.183</v>
      </c>
      <c r="H5" s="28" t="s">
        <v>450</v>
      </c>
      <c r="I5" s="28" t="s">
        <v>450</v>
      </c>
      <c r="M5" s="28" t="s">
        <v>452</v>
      </c>
      <c r="N5" s="28" t="s">
        <v>453</v>
      </c>
    </row>
    <row r="6" customFormat="false" ht="15" hidden="false" customHeight="false" outlineLevel="0" collapsed="false">
      <c r="A6" s="28" t="s">
        <v>315</v>
      </c>
      <c r="B6" s="28" t="s">
        <v>447</v>
      </c>
      <c r="C6" s="28" t="s">
        <v>75</v>
      </c>
      <c r="D6" s="28" t="s">
        <v>457</v>
      </c>
      <c r="E6" s="23" t="n">
        <v>17250</v>
      </c>
      <c r="H6" s="28" t="s">
        <v>450</v>
      </c>
      <c r="I6" s="28" t="s">
        <v>450</v>
      </c>
      <c r="M6" s="28" t="s">
        <v>452</v>
      </c>
      <c r="N6" s="28" t="s">
        <v>453</v>
      </c>
    </row>
    <row r="7" customFormat="false" ht="15" hidden="false" customHeight="false" outlineLevel="0" collapsed="false">
      <c r="A7" s="28" t="s">
        <v>315</v>
      </c>
      <c r="B7" s="28" t="s">
        <v>447</v>
      </c>
      <c r="C7" s="28" t="s">
        <v>458</v>
      </c>
      <c r="D7" s="28" t="s">
        <v>459</v>
      </c>
      <c r="E7" s="23" t="n">
        <v>6015.74</v>
      </c>
      <c r="H7" s="28" t="s">
        <v>450</v>
      </c>
      <c r="I7" s="28" t="s">
        <v>450</v>
      </c>
      <c r="M7" s="28" t="s">
        <v>452</v>
      </c>
      <c r="N7" s="28" t="s">
        <v>453</v>
      </c>
    </row>
    <row r="8" customFormat="false" ht="15" hidden="false" customHeight="false" outlineLevel="0" collapsed="false">
      <c r="A8" s="28" t="s">
        <v>315</v>
      </c>
      <c r="B8" s="28" t="s">
        <v>447</v>
      </c>
      <c r="C8" s="28" t="s">
        <v>68</v>
      </c>
      <c r="D8" s="28" t="s">
        <v>460</v>
      </c>
      <c r="E8" s="23" t="n">
        <v>2333705.049</v>
      </c>
      <c r="H8" s="28" t="s">
        <v>461</v>
      </c>
      <c r="I8" s="28" t="s">
        <v>450</v>
      </c>
      <c r="M8" s="28" t="s">
        <v>452</v>
      </c>
      <c r="N8" s="28" t="s">
        <v>453</v>
      </c>
    </row>
    <row r="9" customFormat="false" ht="15" hidden="false" customHeight="false" outlineLevel="0" collapsed="false">
      <c r="A9" s="28" t="s">
        <v>315</v>
      </c>
      <c r="B9" s="28" t="s">
        <v>447</v>
      </c>
      <c r="C9" s="28" t="s">
        <v>462</v>
      </c>
      <c r="D9" s="28" t="s">
        <v>463</v>
      </c>
      <c r="E9" s="23" t="n">
        <v>19853.458</v>
      </c>
      <c r="H9" s="28" t="s">
        <v>450</v>
      </c>
      <c r="I9" s="28" t="s">
        <v>450</v>
      </c>
      <c r="M9" s="28" t="s">
        <v>452</v>
      </c>
      <c r="N9" s="28" t="s">
        <v>453</v>
      </c>
    </row>
    <row r="10" customFormat="false" ht="15" hidden="false" customHeight="false" outlineLevel="0" collapsed="false">
      <c r="A10" s="28" t="s">
        <v>315</v>
      </c>
      <c r="B10" s="28" t="s">
        <v>447</v>
      </c>
      <c r="C10" s="28" t="s">
        <v>462</v>
      </c>
      <c r="D10" s="28" t="s">
        <v>464</v>
      </c>
      <c r="E10" s="23" t="n">
        <v>43100.662</v>
      </c>
      <c r="H10" s="28" t="s">
        <v>450</v>
      </c>
      <c r="I10" s="28" t="s">
        <v>450</v>
      </c>
      <c r="M10" s="28" t="s">
        <v>452</v>
      </c>
      <c r="N10" s="28" t="s">
        <v>453</v>
      </c>
    </row>
    <row r="11" customFormat="false" ht="15" hidden="false" customHeight="false" outlineLevel="0" collapsed="false">
      <c r="A11" s="28" t="s">
        <v>315</v>
      </c>
      <c r="B11" s="28" t="s">
        <v>447</v>
      </c>
      <c r="C11" s="28" t="s">
        <v>462</v>
      </c>
      <c r="D11" s="28" t="s">
        <v>465</v>
      </c>
      <c r="E11" s="23" t="n">
        <v>74359.306</v>
      </c>
      <c r="H11" s="28" t="s">
        <v>450</v>
      </c>
      <c r="I11" s="28" t="s">
        <v>450</v>
      </c>
      <c r="M11" s="28" t="s">
        <v>452</v>
      </c>
      <c r="N11" s="28" t="s">
        <v>453</v>
      </c>
    </row>
    <row r="12" customFormat="false" ht="15" hidden="false" customHeight="false" outlineLevel="0" collapsed="false">
      <c r="A12" s="28" t="s">
        <v>315</v>
      </c>
      <c r="B12" s="28" t="s">
        <v>447</v>
      </c>
      <c r="C12" s="28" t="s">
        <v>462</v>
      </c>
      <c r="D12" s="28" t="s">
        <v>466</v>
      </c>
      <c r="E12" s="23" t="n">
        <v>9131.968</v>
      </c>
      <c r="H12" s="28" t="s">
        <v>450</v>
      </c>
      <c r="I12" s="28" t="s">
        <v>450</v>
      </c>
      <c r="M12" s="28" t="s">
        <v>452</v>
      </c>
      <c r="N12" s="28" t="s">
        <v>453</v>
      </c>
    </row>
    <row r="13" customFormat="false" ht="15" hidden="false" customHeight="false" outlineLevel="0" collapsed="false">
      <c r="A13" s="28" t="s">
        <v>315</v>
      </c>
      <c r="B13" s="28" t="s">
        <v>447</v>
      </c>
      <c r="C13" s="28" t="s">
        <v>462</v>
      </c>
      <c r="D13" s="28" t="s">
        <v>467</v>
      </c>
      <c r="E13" s="23" t="n">
        <v>72862.061</v>
      </c>
      <c r="H13" s="28" t="s">
        <v>450</v>
      </c>
      <c r="I13" s="28" t="s">
        <v>450</v>
      </c>
      <c r="M13" s="28" t="s">
        <v>452</v>
      </c>
      <c r="N13" s="28" t="s">
        <v>453</v>
      </c>
    </row>
    <row r="14" customFormat="false" ht="15" hidden="false" customHeight="false" outlineLevel="0" collapsed="false">
      <c r="A14" s="28" t="s">
        <v>315</v>
      </c>
      <c r="B14" s="28" t="s">
        <v>447</v>
      </c>
      <c r="C14" s="28" t="s">
        <v>462</v>
      </c>
      <c r="D14" s="28" t="s">
        <v>468</v>
      </c>
      <c r="E14" s="23" t="n">
        <v>47666.275</v>
      </c>
      <c r="H14" s="28" t="s">
        <v>450</v>
      </c>
      <c r="I14" s="28" t="s">
        <v>450</v>
      </c>
      <c r="M14" s="28" t="s">
        <v>452</v>
      </c>
      <c r="N14" s="28" t="s">
        <v>453</v>
      </c>
    </row>
    <row r="15" customFormat="false" ht="15" hidden="false" customHeight="false" outlineLevel="0" collapsed="false">
      <c r="A15" s="28" t="s">
        <v>315</v>
      </c>
      <c r="B15" s="28" t="s">
        <v>469</v>
      </c>
      <c r="C15" s="28" t="s">
        <v>242</v>
      </c>
      <c r="D15" s="28" t="s">
        <v>470</v>
      </c>
      <c r="E15" s="23" t="n">
        <v>5599005.794</v>
      </c>
      <c r="H15" s="28" t="s">
        <v>471</v>
      </c>
      <c r="I15" s="28" t="s">
        <v>450</v>
      </c>
      <c r="M15" s="28" t="s">
        <v>452</v>
      </c>
      <c r="N15" s="28" t="s">
        <v>453</v>
      </c>
    </row>
    <row r="16" customFormat="false" ht="15" hidden="false" customHeight="false" outlineLevel="0" collapsed="false">
      <c r="A16" s="28" t="s">
        <v>315</v>
      </c>
      <c r="B16" s="28" t="s">
        <v>469</v>
      </c>
      <c r="C16" s="28" t="s">
        <v>472</v>
      </c>
      <c r="D16" s="28" t="s">
        <v>473</v>
      </c>
      <c r="E16" s="23" t="n">
        <v>205000</v>
      </c>
      <c r="H16" s="28" t="s">
        <v>450</v>
      </c>
      <c r="I16" s="28" t="s">
        <v>450</v>
      </c>
      <c r="M16" s="28" t="s">
        <v>452</v>
      </c>
      <c r="N16" s="28" t="s">
        <v>453</v>
      </c>
    </row>
    <row r="17" customFormat="false" ht="15" hidden="false" customHeight="false" outlineLevel="0" collapsed="false">
      <c r="A17" s="28" t="s">
        <v>315</v>
      </c>
      <c r="B17" s="28" t="s">
        <v>469</v>
      </c>
      <c r="C17" s="28" t="s">
        <v>474</v>
      </c>
      <c r="D17" s="28" t="s">
        <v>475</v>
      </c>
      <c r="E17" s="23" t="n">
        <v>74090.49</v>
      </c>
      <c r="H17" s="28" t="s">
        <v>450</v>
      </c>
      <c r="I17" s="28" t="s">
        <v>450</v>
      </c>
      <c r="M17" s="28" t="s">
        <v>452</v>
      </c>
      <c r="N17" s="28" t="s">
        <v>453</v>
      </c>
    </row>
    <row r="18" customFormat="false" ht="15" hidden="false" customHeight="false" outlineLevel="0" collapsed="false">
      <c r="A18" s="28" t="s">
        <v>315</v>
      </c>
      <c r="B18" s="28" t="s">
        <v>223</v>
      </c>
      <c r="C18" s="28" t="s">
        <v>223</v>
      </c>
      <c r="D18" s="28" t="s">
        <v>476</v>
      </c>
      <c r="E18" s="23" t="n">
        <v>29788.065</v>
      </c>
      <c r="H18" s="28" t="s">
        <v>450</v>
      </c>
      <c r="I18" s="28" t="s">
        <v>450</v>
      </c>
      <c r="M18" s="28" t="s">
        <v>452</v>
      </c>
      <c r="N18" s="28" t="s">
        <v>453</v>
      </c>
    </row>
    <row r="19" customFormat="false" ht="15" hidden="false" customHeight="false" outlineLevel="0" collapsed="false">
      <c r="A19" s="28" t="s">
        <v>315</v>
      </c>
      <c r="B19" s="28" t="s">
        <v>223</v>
      </c>
      <c r="C19" s="28" t="s">
        <v>223</v>
      </c>
      <c r="D19" s="28" t="s">
        <v>477</v>
      </c>
      <c r="E19" s="23" t="n">
        <v>690723.395</v>
      </c>
      <c r="H19" s="28" t="s">
        <v>450</v>
      </c>
      <c r="I19" s="28" t="s">
        <v>450</v>
      </c>
      <c r="M19" s="28" t="s">
        <v>452</v>
      </c>
      <c r="N19" s="28" t="s">
        <v>453</v>
      </c>
    </row>
    <row r="20" customFormat="false" ht="15" hidden="false" customHeight="false" outlineLevel="0" collapsed="false">
      <c r="A20" s="28" t="s">
        <v>315</v>
      </c>
      <c r="B20" s="28" t="s">
        <v>223</v>
      </c>
      <c r="C20" s="28" t="s">
        <v>223</v>
      </c>
      <c r="D20" s="28" t="s">
        <v>478</v>
      </c>
      <c r="E20" s="23" t="n">
        <v>39342.022</v>
      </c>
      <c r="H20" s="28" t="s">
        <v>450</v>
      </c>
      <c r="I20" s="28" t="s">
        <v>450</v>
      </c>
      <c r="M20" s="28" t="s">
        <v>452</v>
      </c>
      <c r="N20" s="28" t="s">
        <v>453</v>
      </c>
    </row>
    <row r="21" customFormat="false" ht="15" hidden="false" customHeight="false" outlineLevel="0" collapsed="false">
      <c r="A21" s="28" t="s">
        <v>316</v>
      </c>
      <c r="B21" s="28" t="s">
        <v>447</v>
      </c>
      <c r="C21" s="28" t="s">
        <v>448</v>
      </c>
      <c r="D21" s="28" t="s">
        <v>449</v>
      </c>
      <c r="E21" s="23" t="n">
        <v>601184.084</v>
      </c>
      <c r="F21" s="23" t="n">
        <v>580058.638</v>
      </c>
      <c r="H21" s="28" t="s">
        <v>450</v>
      </c>
      <c r="I21" s="28" t="s">
        <v>451</v>
      </c>
      <c r="M21" s="28" t="s">
        <v>452</v>
      </c>
      <c r="N21" s="28" t="s">
        <v>479</v>
      </c>
    </row>
    <row r="22" customFormat="false" ht="15" hidden="false" customHeight="false" outlineLevel="0" collapsed="false">
      <c r="A22" s="28" t="s">
        <v>316</v>
      </c>
      <c r="B22" s="28" t="s">
        <v>447</v>
      </c>
      <c r="C22" s="28" t="s">
        <v>75</v>
      </c>
      <c r="D22" s="28" t="s">
        <v>454</v>
      </c>
      <c r="E22" s="23" t="n">
        <v>1348.898</v>
      </c>
      <c r="F22" s="23" t="n">
        <v>57681.494</v>
      </c>
      <c r="H22" s="28" t="s">
        <v>450</v>
      </c>
      <c r="I22" s="28" t="s">
        <v>450</v>
      </c>
      <c r="M22" s="28" t="s">
        <v>452</v>
      </c>
      <c r="N22" s="28" t="s">
        <v>479</v>
      </c>
    </row>
    <row r="23" customFormat="false" ht="15" hidden="false" customHeight="false" outlineLevel="0" collapsed="false">
      <c r="A23" s="28" t="s">
        <v>316</v>
      </c>
      <c r="B23" s="28" t="s">
        <v>447</v>
      </c>
      <c r="C23" s="28" t="s">
        <v>75</v>
      </c>
      <c r="D23" s="28" t="s">
        <v>455</v>
      </c>
      <c r="E23" s="23" t="n">
        <v>2791744.811</v>
      </c>
      <c r="F23" s="23" t="n">
        <v>2342544.7965</v>
      </c>
      <c r="H23" s="28" t="s">
        <v>450</v>
      </c>
      <c r="I23" s="28" t="s">
        <v>450</v>
      </c>
      <c r="M23" s="28" t="s">
        <v>452</v>
      </c>
      <c r="N23" s="28" t="s">
        <v>479</v>
      </c>
    </row>
    <row r="24" customFormat="false" ht="15" hidden="false" customHeight="false" outlineLevel="0" collapsed="false">
      <c r="A24" s="28" t="s">
        <v>316</v>
      </c>
      <c r="B24" s="28" t="s">
        <v>447</v>
      </c>
      <c r="C24" s="28" t="s">
        <v>75</v>
      </c>
      <c r="D24" s="28" t="s">
        <v>456</v>
      </c>
      <c r="E24" s="23" t="n">
        <v>1684913.261</v>
      </c>
      <c r="F24" s="23" t="n">
        <v>1566313.222</v>
      </c>
      <c r="H24" s="28" t="s">
        <v>450</v>
      </c>
      <c r="I24" s="28" t="s">
        <v>450</v>
      </c>
      <c r="M24" s="28" t="s">
        <v>452</v>
      </c>
      <c r="N24" s="28" t="s">
        <v>479</v>
      </c>
    </row>
    <row r="25" customFormat="false" ht="15" hidden="false" customHeight="false" outlineLevel="0" collapsed="false">
      <c r="A25" s="28" t="s">
        <v>316</v>
      </c>
      <c r="B25" s="28" t="s">
        <v>447</v>
      </c>
      <c r="C25" s="28" t="s">
        <v>75</v>
      </c>
      <c r="D25" s="28" t="s">
        <v>457</v>
      </c>
      <c r="E25" s="23" t="n">
        <v>17250</v>
      </c>
      <c r="F25" s="23" t="n">
        <v>17250</v>
      </c>
      <c r="H25" s="28" t="s">
        <v>450</v>
      </c>
      <c r="I25" s="28" t="s">
        <v>450</v>
      </c>
      <c r="M25" s="28" t="s">
        <v>452</v>
      </c>
      <c r="N25" s="28" t="s">
        <v>479</v>
      </c>
    </row>
    <row r="26" customFormat="false" ht="15" hidden="false" customHeight="false" outlineLevel="0" collapsed="false">
      <c r="A26" s="28" t="s">
        <v>316</v>
      </c>
      <c r="B26" s="28" t="s">
        <v>447</v>
      </c>
      <c r="C26" s="28" t="s">
        <v>458</v>
      </c>
      <c r="D26" s="28" t="s">
        <v>459</v>
      </c>
      <c r="E26" s="23" t="n">
        <v>4679.303</v>
      </c>
      <c r="F26" s="23" t="n">
        <v>5347.5215</v>
      </c>
      <c r="H26" s="28" t="s">
        <v>450</v>
      </c>
      <c r="I26" s="28" t="s">
        <v>450</v>
      </c>
      <c r="M26" s="28" t="s">
        <v>452</v>
      </c>
      <c r="N26" s="28" t="s">
        <v>479</v>
      </c>
    </row>
    <row r="27" customFormat="false" ht="15" hidden="false" customHeight="false" outlineLevel="0" collapsed="false">
      <c r="A27" s="28" t="s">
        <v>316</v>
      </c>
      <c r="B27" s="28" t="s">
        <v>447</v>
      </c>
      <c r="C27" s="28" t="s">
        <v>68</v>
      </c>
      <c r="D27" s="28" t="s">
        <v>460</v>
      </c>
      <c r="E27" s="23" t="n">
        <v>2701948.283</v>
      </c>
      <c r="F27" s="23" t="n">
        <v>2517826.666</v>
      </c>
      <c r="G27" s="19" t="n">
        <v>0.0376330953514494</v>
      </c>
      <c r="H27" s="28" t="s">
        <v>461</v>
      </c>
      <c r="I27" s="28" t="s">
        <v>450</v>
      </c>
      <c r="M27" s="28" t="s">
        <v>452</v>
      </c>
      <c r="N27" s="28" t="s">
        <v>479</v>
      </c>
    </row>
    <row r="28" customFormat="false" ht="15" hidden="false" customHeight="false" outlineLevel="0" collapsed="false">
      <c r="A28" s="28" t="s">
        <v>316</v>
      </c>
      <c r="B28" s="28" t="s">
        <v>447</v>
      </c>
      <c r="C28" s="28" t="s">
        <v>462</v>
      </c>
      <c r="D28" s="28" t="s">
        <v>463</v>
      </c>
      <c r="E28" s="23" t="n">
        <v>20506.772</v>
      </c>
      <c r="F28" s="23" t="n">
        <v>20180.115</v>
      </c>
      <c r="H28" s="28" t="s">
        <v>450</v>
      </c>
      <c r="I28" s="28" t="s">
        <v>450</v>
      </c>
      <c r="M28" s="28" t="s">
        <v>452</v>
      </c>
      <c r="N28" s="28" t="s">
        <v>479</v>
      </c>
    </row>
    <row r="29" customFormat="false" ht="15" hidden="false" customHeight="false" outlineLevel="0" collapsed="false">
      <c r="A29" s="28" t="s">
        <v>316</v>
      </c>
      <c r="B29" s="28" t="s">
        <v>447</v>
      </c>
      <c r="C29" s="28" t="s">
        <v>462</v>
      </c>
      <c r="D29" s="28" t="s">
        <v>464</v>
      </c>
      <c r="E29" s="23" t="n">
        <v>62288.362</v>
      </c>
      <c r="F29" s="23" t="n">
        <v>52694.512</v>
      </c>
      <c r="H29" s="28" t="s">
        <v>450</v>
      </c>
      <c r="I29" s="28" t="s">
        <v>450</v>
      </c>
      <c r="M29" s="28" t="s">
        <v>452</v>
      </c>
      <c r="N29" s="28" t="s">
        <v>479</v>
      </c>
    </row>
    <row r="30" customFormat="false" ht="15" hidden="false" customHeight="false" outlineLevel="0" collapsed="false">
      <c r="A30" s="28" t="s">
        <v>316</v>
      </c>
      <c r="B30" s="28" t="s">
        <v>447</v>
      </c>
      <c r="C30" s="28" t="s">
        <v>462</v>
      </c>
      <c r="D30" s="28" t="s">
        <v>480</v>
      </c>
      <c r="E30" s="23" t="n">
        <v>42447.963</v>
      </c>
      <c r="F30" s="23" t="n">
        <v>21223.9815</v>
      </c>
      <c r="H30" s="28" t="s">
        <v>450</v>
      </c>
      <c r="I30" s="28" t="s">
        <v>450</v>
      </c>
      <c r="M30" s="28" t="s">
        <v>452</v>
      </c>
      <c r="N30" s="28" t="s">
        <v>479</v>
      </c>
    </row>
    <row r="31" customFormat="false" ht="15" hidden="false" customHeight="false" outlineLevel="0" collapsed="false">
      <c r="A31" s="28" t="s">
        <v>316</v>
      </c>
      <c r="B31" s="28" t="s">
        <v>447</v>
      </c>
      <c r="C31" s="28" t="s">
        <v>462</v>
      </c>
      <c r="D31" s="28" t="s">
        <v>465</v>
      </c>
      <c r="E31" s="23" t="n">
        <v>134148.902</v>
      </c>
      <c r="F31" s="23" t="n">
        <v>104254.104</v>
      </c>
      <c r="H31" s="28" t="s">
        <v>450</v>
      </c>
      <c r="I31" s="28" t="s">
        <v>450</v>
      </c>
      <c r="M31" s="28" t="s">
        <v>452</v>
      </c>
      <c r="N31" s="28" t="s">
        <v>479</v>
      </c>
    </row>
    <row r="32" customFormat="false" ht="15" hidden="false" customHeight="false" outlineLevel="0" collapsed="false">
      <c r="A32" s="28" t="s">
        <v>316</v>
      </c>
      <c r="B32" s="28" t="s">
        <v>447</v>
      </c>
      <c r="C32" s="28" t="s">
        <v>462</v>
      </c>
      <c r="D32" s="28" t="s">
        <v>466</v>
      </c>
      <c r="E32" s="23" t="n">
        <v>11573.593</v>
      </c>
      <c r="F32" s="23" t="n">
        <v>10352.7805</v>
      </c>
      <c r="H32" s="28" t="s">
        <v>450</v>
      </c>
      <c r="I32" s="28" t="s">
        <v>450</v>
      </c>
      <c r="M32" s="28" t="s">
        <v>452</v>
      </c>
      <c r="N32" s="28" t="s">
        <v>479</v>
      </c>
    </row>
    <row r="33" customFormat="false" ht="15" hidden="false" customHeight="false" outlineLevel="0" collapsed="false">
      <c r="A33" s="28" t="s">
        <v>316</v>
      </c>
      <c r="B33" s="28" t="s">
        <v>447</v>
      </c>
      <c r="C33" s="28" t="s">
        <v>462</v>
      </c>
      <c r="D33" s="28" t="s">
        <v>467</v>
      </c>
      <c r="E33" s="23" t="n">
        <v>71768.086</v>
      </c>
      <c r="F33" s="23" t="n">
        <v>72315.0735</v>
      </c>
      <c r="H33" s="28" t="s">
        <v>450</v>
      </c>
      <c r="I33" s="28" t="s">
        <v>450</v>
      </c>
      <c r="M33" s="28" t="s">
        <v>452</v>
      </c>
      <c r="N33" s="28" t="s">
        <v>479</v>
      </c>
    </row>
    <row r="34" customFormat="false" ht="15" hidden="false" customHeight="false" outlineLevel="0" collapsed="false">
      <c r="A34" s="28" t="s">
        <v>316</v>
      </c>
      <c r="B34" s="28" t="s">
        <v>447</v>
      </c>
      <c r="C34" s="28" t="s">
        <v>462</v>
      </c>
      <c r="D34" s="28" t="s">
        <v>468</v>
      </c>
      <c r="E34" s="23" t="n">
        <v>60571.032</v>
      </c>
      <c r="F34" s="23" t="n">
        <v>54118.6535</v>
      </c>
      <c r="H34" s="28" t="s">
        <v>450</v>
      </c>
      <c r="I34" s="28" t="s">
        <v>450</v>
      </c>
      <c r="M34" s="28" t="s">
        <v>452</v>
      </c>
      <c r="N34" s="28" t="s">
        <v>479</v>
      </c>
    </row>
    <row r="35" customFormat="false" ht="15" hidden="false" customHeight="false" outlineLevel="0" collapsed="false">
      <c r="A35" s="28" t="s">
        <v>316</v>
      </c>
      <c r="B35" s="28" t="s">
        <v>469</v>
      </c>
      <c r="C35" s="28" t="s">
        <v>242</v>
      </c>
      <c r="D35" s="28" t="s">
        <v>470</v>
      </c>
      <c r="E35" s="23" t="n">
        <v>7140001.976</v>
      </c>
      <c r="F35" s="23" t="n">
        <v>6369503.885</v>
      </c>
      <c r="G35" s="19" t="n">
        <v>0.00254954676112895</v>
      </c>
      <c r="H35" s="28" t="s">
        <v>471</v>
      </c>
      <c r="I35" s="28" t="s">
        <v>450</v>
      </c>
      <c r="M35" s="28" t="s">
        <v>452</v>
      </c>
      <c r="N35" s="28" t="s">
        <v>479</v>
      </c>
    </row>
    <row r="36" customFormat="false" ht="15" hidden="false" customHeight="false" outlineLevel="0" collapsed="false">
      <c r="A36" s="28" t="s">
        <v>316</v>
      </c>
      <c r="B36" s="28" t="s">
        <v>469</v>
      </c>
      <c r="C36" s="28" t="s">
        <v>472</v>
      </c>
      <c r="D36" s="28" t="s">
        <v>473</v>
      </c>
      <c r="E36" s="23" t="n">
        <v>200000</v>
      </c>
      <c r="F36" s="23" t="n">
        <v>202500</v>
      </c>
      <c r="G36" s="19" t="n">
        <v>0.0199211209876543</v>
      </c>
      <c r="H36" s="28" t="s">
        <v>461</v>
      </c>
      <c r="I36" s="28" t="s">
        <v>450</v>
      </c>
      <c r="M36" s="28" t="s">
        <v>452</v>
      </c>
      <c r="N36" s="28" t="s">
        <v>479</v>
      </c>
    </row>
    <row r="37" customFormat="false" ht="15" hidden="false" customHeight="false" outlineLevel="0" collapsed="false">
      <c r="A37" s="28" t="s">
        <v>316</v>
      </c>
      <c r="B37" s="28" t="s">
        <v>469</v>
      </c>
      <c r="C37" s="28" t="s">
        <v>474</v>
      </c>
      <c r="D37" s="28" t="s">
        <v>475</v>
      </c>
      <c r="E37" s="23" t="n">
        <v>94329.952</v>
      </c>
      <c r="F37" s="23" t="n">
        <v>84210.221</v>
      </c>
      <c r="H37" s="28" t="s">
        <v>450</v>
      </c>
      <c r="I37" s="28" t="s">
        <v>450</v>
      </c>
      <c r="M37" s="28" t="s">
        <v>452</v>
      </c>
      <c r="N37" s="28" t="s">
        <v>479</v>
      </c>
    </row>
    <row r="38" customFormat="false" ht="15" hidden="false" customHeight="false" outlineLevel="0" collapsed="false">
      <c r="A38" s="28" t="s">
        <v>316</v>
      </c>
      <c r="B38" s="28" t="s">
        <v>223</v>
      </c>
      <c r="C38" s="28" t="s">
        <v>223</v>
      </c>
      <c r="D38" s="28" t="s">
        <v>476</v>
      </c>
      <c r="E38" s="23" t="n">
        <v>29788.065</v>
      </c>
      <c r="F38" s="23" t="n">
        <v>29788.065</v>
      </c>
      <c r="H38" s="28" t="s">
        <v>450</v>
      </c>
      <c r="I38" s="28" t="s">
        <v>450</v>
      </c>
      <c r="M38" s="28" t="s">
        <v>452</v>
      </c>
      <c r="N38" s="28" t="s">
        <v>479</v>
      </c>
    </row>
    <row r="39" customFormat="false" ht="15" hidden="false" customHeight="false" outlineLevel="0" collapsed="false">
      <c r="A39" s="28" t="s">
        <v>316</v>
      </c>
      <c r="B39" s="28" t="s">
        <v>223</v>
      </c>
      <c r="C39" s="28" t="s">
        <v>223</v>
      </c>
      <c r="D39" s="28" t="s">
        <v>477</v>
      </c>
      <c r="E39" s="23" t="n">
        <v>778165.217</v>
      </c>
      <c r="F39" s="23" t="n">
        <v>734444.306</v>
      </c>
      <c r="H39" s="28" t="s">
        <v>450</v>
      </c>
      <c r="I39" s="28" t="s">
        <v>450</v>
      </c>
      <c r="M39" s="28" t="s">
        <v>452</v>
      </c>
      <c r="N39" s="28" t="s">
        <v>479</v>
      </c>
    </row>
    <row r="40" customFormat="false" ht="15" hidden="false" customHeight="false" outlineLevel="0" collapsed="false">
      <c r="A40" s="28" t="s">
        <v>316</v>
      </c>
      <c r="B40" s="28" t="s">
        <v>223</v>
      </c>
      <c r="C40" s="28" t="s">
        <v>223</v>
      </c>
      <c r="D40" s="28" t="s">
        <v>478</v>
      </c>
      <c r="E40" s="23" t="n">
        <v>-35911.86</v>
      </c>
      <c r="F40" s="23" t="n">
        <v>1715.081</v>
      </c>
      <c r="H40" s="28" t="s">
        <v>450</v>
      </c>
      <c r="I40" s="28" t="s">
        <v>450</v>
      </c>
      <c r="M40" s="28" t="s">
        <v>452</v>
      </c>
      <c r="N40" s="28" t="s">
        <v>479</v>
      </c>
    </row>
    <row r="41" customFormat="false" ht="15" hidden="false" customHeight="false" outlineLevel="0" collapsed="false">
      <c r="A41" s="28" t="s">
        <v>317</v>
      </c>
      <c r="B41" s="28" t="s">
        <v>447</v>
      </c>
      <c r="C41" s="28" t="s">
        <v>448</v>
      </c>
      <c r="D41" s="28" t="s">
        <v>449</v>
      </c>
      <c r="E41" s="23" t="n">
        <v>196813.41</v>
      </c>
      <c r="F41" s="23" t="n">
        <v>398998.747</v>
      </c>
      <c r="H41" s="28" t="s">
        <v>450</v>
      </c>
      <c r="I41" s="28" t="s">
        <v>451</v>
      </c>
      <c r="M41" s="28" t="s">
        <v>452</v>
      </c>
      <c r="N41" s="28" t="s">
        <v>481</v>
      </c>
    </row>
    <row r="42" customFormat="false" ht="15" hidden="false" customHeight="false" outlineLevel="0" collapsed="false">
      <c r="A42" s="28" t="s">
        <v>317</v>
      </c>
      <c r="B42" s="28" t="s">
        <v>447</v>
      </c>
      <c r="C42" s="28" t="s">
        <v>75</v>
      </c>
      <c r="D42" s="28" t="s">
        <v>454</v>
      </c>
      <c r="E42" s="23" t="n">
        <v>1561.391</v>
      </c>
      <c r="F42" s="23" t="n">
        <v>1455.1445</v>
      </c>
      <c r="H42" s="28" t="s">
        <v>450</v>
      </c>
      <c r="I42" s="28" t="s">
        <v>450</v>
      </c>
      <c r="M42" s="28" t="s">
        <v>452</v>
      </c>
      <c r="N42" s="28" t="s">
        <v>481</v>
      </c>
    </row>
    <row r="43" customFormat="false" ht="15" hidden="false" customHeight="false" outlineLevel="0" collapsed="false">
      <c r="A43" s="28" t="s">
        <v>317</v>
      </c>
      <c r="B43" s="28" t="s">
        <v>447</v>
      </c>
      <c r="C43" s="28" t="s">
        <v>75</v>
      </c>
      <c r="D43" s="28" t="s">
        <v>455</v>
      </c>
      <c r="E43" s="23" t="n">
        <v>2190628.761</v>
      </c>
      <c r="F43" s="23" t="n">
        <v>2491186.786</v>
      </c>
      <c r="H43" s="28" t="s">
        <v>450</v>
      </c>
      <c r="I43" s="28" t="s">
        <v>450</v>
      </c>
      <c r="M43" s="28" t="s">
        <v>452</v>
      </c>
      <c r="N43" s="28" t="s">
        <v>481</v>
      </c>
    </row>
    <row r="44" customFormat="false" ht="15" hidden="false" customHeight="false" outlineLevel="0" collapsed="false">
      <c r="A44" s="28" t="s">
        <v>317</v>
      </c>
      <c r="B44" s="28" t="s">
        <v>447</v>
      </c>
      <c r="C44" s="28" t="s">
        <v>75</v>
      </c>
      <c r="D44" s="28" t="s">
        <v>456</v>
      </c>
      <c r="E44" s="23" t="n">
        <v>1648865.036</v>
      </c>
      <c r="F44" s="23" t="n">
        <v>1666889.1485</v>
      </c>
      <c r="H44" s="28" t="s">
        <v>450</v>
      </c>
      <c r="I44" s="28" t="s">
        <v>450</v>
      </c>
      <c r="M44" s="28" t="s">
        <v>452</v>
      </c>
      <c r="N44" s="28" t="s">
        <v>481</v>
      </c>
    </row>
    <row r="45" customFormat="false" ht="15" hidden="false" customHeight="false" outlineLevel="0" collapsed="false">
      <c r="A45" s="28" t="s">
        <v>317</v>
      </c>
      <c r="B45" s="28" t="s">
        <v>447</v>
      </c>
      <c r="C45" s="28" t="s">
        <v>75</v>
      </c>
      <c r="D45" s="28" t="s">
        <v>457</v>
      </c>
      <c r="E45" s="23" t="n">
        <v>17250</v>
      </c>
      <c r="F45" s="23" t="n">
        <v>17250</v>
      </c>
      <c r="H45" s="28" t="s">
        <v>450</v>
      </c>
      <c r="I45" s="28" t="s">
        <v>450</v>
      </c>
      <c r="M45" s="28" t="s">
        <v>452</v>
      </c>
      <c r="N45" s="28" t="s">
        <v>481</v>
      </c>
    </row>
    <row r="46" customFormat="false" ht="15" hidden="false" customHeight="false" outlineLevel="0" collapsed="false">
      <c r="A46" s="28" t="s">
        <v>317</v>
      </c>
      <c r="B46" s="28" t="s">
        <v>447</v>
      </c>
      <c r="C46" s="28" t="s">
        <v>458</v>
      </c>
      <c r="D46" s="28" t="s">
        <v>459</v>
      </c>
      <c r="E46" s="23" t="n">
        <v>1434.25</v>
      </c>
      <c r="F46" s="23" t="n">
        <v>3056.7765</v>
      </c>
      <c r="H46" s="28" t="s">
        <v>450</v>
      </c>
      <c r="I46" s="28" t="s">
        <v>450</v>
      </c>
      <c r="M46" s="28" t="s">
        <v>452</v>
      </c>
      <c r="N46" s="28" t="s">
        <v>481</v>
      </c>
    </row>
    <row r="47" customFormat="false" ht="15" hidden="false" customHeight="false" outlineLevel="0" collapsed="false">
      <c r="A47" s="28" t="s">
        <v>317</v>
      </c>
      <c r="B47" s="28" t="s">
        <v>447</v>
      </c>
      <c r="C47" s="28" t="s">
        <v>68</v>
      </c>
      <c r="D47" s="28" t="s">
        <v>460</v>
      </c>
      <c r="E47" s="23" t="n">
        <v>3745977.166</v>
      </c>
      <c r="F47" s="23" t="n">
        <v>3223962.7245</v>
      </c>
      <c r="G47" s="19" t="n">
        <v>0.0402597806152147</v>
      </c>
      <c r="H47" s="28" t="s">
        <v>461</v>
      </c>
      <c r="I47" s="28" t="s">
        <v>450</v>
      </c>
      <c r="M47" s="28" t="s">
        <v>452</v>
      </c>
      <c r="N47" s="28" t="s">
        <v>481</v>
      </c>
    </row>
    <row r="48" customFormat="false" ht="15" hidden="false" customHeight="false" outlineLevel="0" collapsed="false">
      <c r="A48" s="28" t="s">
        <v>317</v>
      </c>
      <c r="B48" s="28" t="s">
        <v>447</v>
      </c>
      <c r="C48" s="28" t="s">
        <v>462</v>
      </c>
      <c r="D48" s="28" t="s">
        <v>463</v>
      </c>
      <c r="E48" s="23" t="n">
        <v>21711.637</v>
      </c>
      <c r="F48" s="23" t="n">
        <v>21109.2045</v>
      </c>
      <c r="H48" s="28" t="s">
        <v>450</v>
      </c>
      <c r="I48" s="28" t="s">
        <v>450</v>
      </c>
      <c r="M48" s="28" t="s">
        <v>452</v>
      </c>
      <c r="N48" s="28" t="s">
        <v>481</v>
      </c>
    </row>
    <row r="49" customFormat="false" ht="15" hidden="false" customHeight="false" outlineLevel="0" collapsed="false">
      <c r="A49" s="28" t="s">
        <v>317</v>
      </c>
      <c r="B49" s="28" t="s">
        <v>447</v>
      </c>
      <c r="C49" s="28" t="s">
        <v>462</v>
      </c>
      <c r="D49" s="28" t="s">
        <v>464</v>
      </c>
      <c r="E49" s="23" t="n">
        <v>84679.897</v>
      </c>
      <c r="F49" s="23" t="n">
        <v>73484.1295</v>
      </c>
      <c r="H49" s="28" t="s">
        <v>450</v>
      </c>
      <c r="I49" s="28" t="s">
        <v>450</v>
      </c>
      <c r="M49" s="28" t="s">
        <v>452</v>
      </c>
      <c r="N49" s="28" t="s">
        <v>481</v>
      </c>
    </row>
    <row r="50" customFormat="false" ht="15" hidden="false" customHeight="false" outlineLevel="0" collapsed="false">
      <c r="A50" s="28" t="s">
        <v>317</v>
      </c>
      <c r="B50" s="28" t="s">
        <v>447</v>
      </c>
      <c r="C50" s="28" t="s">
        <v>462</v>
      </c>
      <c r="D50" s="28" t="s">
        <v>480</v>
      </c>
      <c r="E50" s="23" t="n">
        <v>38541.33</v>
      </c>
      <c r="F50" s="23" t="n">
        <v>40494.6465</v>
      </c>
      <c r="H50" s="28" t="s">
        <v>450</v>
      </c>
      <c r="I50" s="28" t="s">
        <v>450</v>
      </c>
      <c r="M50" s="28" t="s">
        <v>452</v>
      </c>
      <c r="N50" s="28" t="s">
        <v>481</v>
      </c>
    </row>
    <row r="51" customFormat="false" ht="15" hidden="false" customHeight="false" outlineLevel="0" collapsed="false">
      <c r="A51" s="28" t="s">
        <v>317</v>
      </c>
      <c r="B51" s="28" t="s">
        <v>447</v>
      </c>
      <c r="C51" s="28" t="s">
        <v>462</v>
      </c>
      <c r="D51" s="28" t="s">
        <v>465</v>
      </c>
      <c r="E51" s="23" t="n">
        <v>98168.96</v>
      </c>
      <c r="F51" s="23" t="n">
        <v>116158.931</v>
      </c>
      <c r="H51" s="28" t="s">
        <v>450</v>
      </c>
      <c r="I51" s="28" t="s">
        <v>450</v>
      </c>
      <c r="M51" s="28" t="s">
        <v>452</v>
      </c>
      <c r="N51" s="28" t="s">
        <v>481</v>
      </c>
    </row>
    <row r="52" customFormat="false" ht="15" hidden="false" customHeight="false" outlineLevel="0" collapsed="false">
      <c r="A52" s="28" t="s">
        <v>317</v>
      </c>
      <c r="B52" s="28" t="s">
        <v>447</v>
      </c>
      <c r="C52" s="28" t="s">
        <v>462</v>
      </c>
      <c r="D52" s="28" t="s">
        <v>466</v>
      </c>
      <c r="E52" s="23" t="n">
        <v>10626.272</v>
      </c>
      <c r="F52" s="23" t="n">
        <v>11099.9325</v>
      </c>
      <c r="H52" s="28" t="s">
        <v>450</v>
      </c>
      <c r="I52" s="28" t="s">
        <v>450</v>
      </c>
      <c r="M52" s="28" t="s">
        <v>452</v>
      </c>
      <c r="N52" s="28" t="s">
        <v>481</v>
      </c>
    </row>
    <row r="53" customFormat="false" ht="15" hidden="false" customHeight="false" outlineLevel="0" collapsed="false">
      <c r="A53" s="28" t="s">
        <v>317</v>
      </c>
      <c r="B53" s="28" t="s">
        <v>447</v>
      </c>
      <c r="C53" s="28" t="s">
        <v>462</v>
      </c>
      <c r="D53" s="28" t="s">
        <v>467</v>
      </c>
      <c r="E53" s="23" t="n">
        <v>64946.194</v>
      </c>
      <c r="F53" s="23" t="n">
        <v>68357.14</v>
      </c>
      <c r="H53" s="28" t="s">
        <v>450</v>
      </c>
      <c r="I53" s="28" t="s">
        <v>450</v>
      </c>
      <c r="M53" s="28" t="s">
        <v>452</v>
      </c>
      <c r="N53" s="28" t="s">
        <v>481</v>
      </c>
    </row>
    <row r="54" customFormat="false" ht="15" hidden="false" customHeight="false" outlineLevel="0" collapsed="false">
      <c r="A54" s="28" t="s">
        <v>317</v>
      </c>
      <c r="B54" s="28" t="s">
        <v>447</v>
      </c>
      <c r="C54" s="28" t="s">
        <v>462</v>
      </c>
      <c r="D54" s="28" t="s">
        <v>468</v>
      </c>
      <c r="E54" s="23" t="n">
        <v>71077.593</v>
      </c>
      <c r="F54" s="23" t="n">
        <v>65824.3125</v>
      </c>
      <c r="H54" s="28" t="s">
        <v>450</v>
      </c>
      <c r="I54" s="28" t="s">
        <v>450</v>
      </c>
      <c r="M54" s="28" t="s">
        <v>452</v>
      </c>
      <c r="N54" s="28" t="s">
        <v>481</v>
      </c>
    </row>
    <row r="55" customFormat="false" ht="15" hidden="false" customHeight="false" outlineLevel="0" collapsed="false">
      <c r="A55" s="28" t="s">
        <v>317</v>
      </c>
      <c r="B55" s="28" t="s">
        <v>469</v>
      </c>
      <c r="C55" s="28" t="s">
        <v>242</v>
      </c>
      <c r="D55" s="28" t="s">
        <v>470</v>
      </c>
      <c r="E55" s="23" t="n">
        <v>7556395.91</v>
      </c>
      <c r="F55" s="23" t="n">
        <v>7348198.943</v>
      </c>
      <c r="G55" s="19" t="n">
        <v>0.0029679991204887</v>
      </c>
      <c r="H55" s="28" t="s">
        <v>471</v>
      </c>
      <c r="I55" s="28" t="s">
        <v>450</v>
      </c>
      <c r="M55" s="28" t="s">
        <v>452</v>
      </c>
      <c r="N55" s="28" t="s">
        <v>481</v>
      </c>
    </row>
    <row r="56" customFormat="false" ht="15" hidden="false" customHeight="false" outlineLevel="0" collapsed="false">
      <c r="A56" s="28" t="s">
        <v>317</v>
      </c>
      <c r="B56" s="28" t="s">
        <v>469</v>
      </c>
      <c r="C56" s="28" t="s">
        <v>472</v>
      </c>
      <c r="D56" s="28" t="s">
        <v>473</v>
      </c>
      <c r="E56" s="23" t="n">
        <v>0</v>
      </c>
      <c r="F56" s="23" t="n">
        <v>100000</v>
      </c>
      <c r="H56" s="28" t="s">
        <v>450</v>
      </c>
      <c r="I56" s="28" t="s">
        <v>450</v>
      </c>
      <c r="M56" s="28" t="s">
        <v>452</v>
      </c>
      <c r="N56" s="28" t="s">
        <v>481</v>
      </c>
    </row>
    <row r="57" customFormat="false" ht="15" hidden="false" customHeight="false" outlineLevel="0" collapsed="false">
      <c r="A57" s="28" t="s">
        <v>317</v>
      </c>
      <c r="B57" s="28" t="s">
        <v>469</v>
      </c>
      <c r="C57" s="28" t="s">
        <v>474</v>
      </c>
      <c r="D57" s="28" t="s">
        <v>475</v>
      </c>
      <c r="E57" s="23" t="n">
        <v>133364.523</v>
      </c>
      <c r="F57" s="23" t="n">
        <v>113847.2375</v>
      </c>
      <c r="H57" s="28" t="s">
        <v>450</v>
      </c>
      <c r="I57" s="28" t="s">
        <v>450</v>
      </c>
      <c r="M57" s="28" t="s">
        <v>452</v>
      </c>
      <c r="N57" s="28" t="s">
        <v>481</v>
      </c>
    </row>
    <row r="58" customFormat="false" ht="15" hidden="false" customHeight="false" outlineLevel="0" collapsed="false">
      <c r="A58" s="28" t="s">
        <v>317</v>
      </c>
      <c r="B58" s="28" t="s">
        <v>469</v>
      </c>
      <c r="C58" s="28" t="s">
        <v>474</v>
      </c>
      <c r="D58" s="28" t="s">
        <v>482</v>
      </c>
      <c r="E58" s="23" t="n">
        <v>33973.868</v>
      </c>
      <c r="F58" s="23" t="n">
        <v>16986.934</v>
      </c>
      <c r="H58" s="28" t="s">
        <v>450</v>
      </c>
      <c r="I58" s="28" t="s">
        <v>450</v>
      </c>
      <c r="M58" s="28" t="s">
        <v>452</v>
      </c>
      <c r="N58" s="28" t="s">
        <v>481</v>
      </c>
    </row>
    <row r="59" customFormat="false" ht="15" hidden="false" customHeight="false" outlineLevel="0" collapsed="false">
      <c r="A59" s="28" t="s">
        <v>317</v>
      </c>
      <c r="B59" s="28" t="s">
        <v>223</v>
      </c>
      <c r="C59" s="28" t="s">
        <v>223</v>
      </c>
      <c r="D59" s="28" t="s">
        <v>477</v>
      </c>
      <c r="E59" s="23" t="n">
        <v>893976.149</v>
      </c>
      <c r="F59" s="23" t="n">
        <v>836070.683</v>
      </c>
      <c r="H59" s="28" t="s">
        <v>450</v>
      </c>
      <c r="I59" s="28" t="s">
        <v>450</v>
      </c>
      <c r="M59" s="28" t="s">
        <v>452</v>
      </c>
      <c r="N59" s="28" t="s">
        <v>481</v>
      </c>
    </row>
    <row r="60" customFormat="false" ht="15" hidden="false" customHeight="false" outlineLevel="0" collapsed="false">
      <c r="A60" s="28" t="s">
        <v>317</v>
      </c>
      <c r="B60" s="28" t="s">
        <v>223</v>
      </c>
      <c r="C60" s="28" t="s">
        <v>223</v>
      </c>
      <c r="D60" s="28" t="s">
        <v>478</v>
      </c>
      <c r="E60" s="23" t="n">
        <v>-425428.553</v>
      </c>
      <c r="F60" s="23" t="n">
        <v>-230670.2065</v>
      </c>
      <c r="H60" s="28" t="s">
        <v>450</v>
      </c>
      <c r="I60" s="28" t="s">
        <v>450</v>
      </c>
      <c r="M60" s="28" t="s">
        <v>452</v>
      </c>
      <c r="N60" s="28" t="s">
        <v>481</v>
      </c>
    </row>
    <row r="61" customFormat="false" ht="15" hidden="false" customHeight="false" outlineLevel="0" collapsed="false">
      <c r="A61" s="28" t="s">
        <v>318</v>
      </c>
      <c r="B61" s="28" t="s">
        <v>447</v>
      </c>
      <c r="C61" s="28" t="s">
        <v>448</v>
      </c>
      <c r="D61" s="28" t="s">
        <v>449</v>
      </c>
      <c r="E61" s="23" t="n">
        <v>669705.649</v>
      </c>
      <c r="F61" s="23" t="n">
        <v>433259.5295</v>
      </c>
      <c r="H61" s="28" t="s">
        <v>450</v>
      </c>
      <c r="I61" s="28" t="s">
        <v>451</v>
      </c>
      <c r="M61" s="28" t="s">
        <v>452</v>
      </c>
      <c r="N61" s="28" t="s">
        <v>483</v>
      </c>
    </row>
    <row r="62" customFormat="false" ht="15" hidden="false" customHeight="false" outlineLevel="0" collapsed="false">
      <c r="A62" s="28" t="s">
        <v>318</v>
      </c>
      <c r="B62" s="28" t="s">
        <v>447</v>
      </c>
      <c r="C62" s="28" t="s">
        <v>75</v>
      </c>
      <c r="D62" s="28" t="s">
        <v>454</v>
      </c>
      <c r="E62" s="23" t="n">
        <v>2401.479</v>
      </c>
      <c r="F62" s="23" t="n">
        <v>1981.435</v>
      </c>
      <c r="H62" s="28" t="s">
        <v>450</v>
      </c>
      <c r="I62" s="28" t="s">
        <v>450</v>
      </c>
      <c r="M62" s="28" t="s">
        <v>452</v>
      </c>
      <c r="N62" s="28" t="s">
        <v>483</v>
      </c>
    </row>
    <row r="63" customFormat="false" ht="15" hidden="false" customHeight="false" outlineLevel="0" collapsed="false">
      <c r="A63" s="28" t="s">
        <v>318</v>
      </c>
      <c r="B63" s="28" t="s">
        <v>447</v>
      </c>
      <c r="C63" s="28" t="s">
        <v>75</v>
      </c>
      <c r="D63" s="28" t="s">
        <v>455</v>
      </c>
      <c r="E63" s="23" t="n">
        <v>2041804.398</v>
      </c>
      <c r="F63" s="23" t="n">
        <v>2116216.5795</v>
      </c>
      <c r="H63" s="28" t="s">
        <v>450</v>
      </c>
      <c r="I63" s="28" t="s">
        <v>450</v>
      </c>
      <c r="M63" s="28" t="s">
        <v>452</v>
      </c>
      <c r="N63" s="28" t="s">
        <v>483</v>
      </c>
    </row>
    <row r="64" customFormat="false" ht="15" hidden="false" customHeight="false" outlineLevel="0" collapsed="false">
      <c r="A64" s="28" t="s">
        <v>318</v>
      </c>
      <c r="B64" s="28" t="s">
        <v>447</v>
      </c>
      <c r="C64" s="28" t="s">
        <v>75</v>
      </c>
      <c r="D64" s="28" t="s">
        <v>456</v>
      </c>
      <c r="E64" s="23" t="n">
        <v>1528697.934</v>
      </c>
      <c r="F64" s="23" t="n">
        <v>1588781.485</v>
      </c>
      <c r="H64" s="28" t="s">
        <v>450</v>
      </c>
      <c r="I64" s="28" t="s">
        <v>450</v>
      </c>
      <c r="M64" s="28" t="s">
        <v>452</v>
      </c>
      <c r="N64" s="28" t="s">
        <v>483</v>
      </c>
    </row>
    <row r="65" customFormat="false" ht="15" hidden="false" customHeight="false" outlineLevel="0" collapsed="false">
      <c r="A65" s="28" t="s">
        <v>318</v>
      </c>
      <c r="B65" s="28" t="s">
        <v>447</v>
      </c>
      <c r="C65" s="28" t="s">
        <v>75</v>
      </c>
      <c r="D65" s="28" t="s">
        <v>457</v>
      </c>
      <c r="E65" s="23" t="n">
        <v>17250</v>
      </c>
      <c r="F65" s="23" t="n">
        <v>17250</v>
      </c>
      <c r="H65" s="28" t="s">
        <v>450</v>
      </c>
      <c r="I65" s="28" t="s">
        <v>450</v>
      </c>
      <c r="M65" s="28" t="s">
        <v>452</v>
      </c>
      <c r="N65" s="28" t="s">
        <v>483</v>
      </c>
    </row>
    <row r="66" customFormat="false" ht="15" hidden="false" customHeight="false" outlineLevel="0" collapsed="false">
      <c r="A66" s="28" t="s">
        <v>318</v>
      </c>
      <c r="B66" s="28" t="s">
        <v>447</v>
      </c>
      <c r="C66" s="28" t="s">
        <v>458</v>
      </c>
      <c r="D66" s="28" t="s">
        <v>459</v>
      </c>
      <c r="E66" s="23" t="n">
        <v>2087.123</v>
      </c>
      <c r="F66" s="23" t="n">
        <v>1760.6865</v>
      </c>
      <c r="H66" s="28" t="s">
        <v>450</v>
      </c>
      <c r="I66" s="28" t="s">
        <v>450</v>
      </c>
      <c r="M66" s="28" t="s">
        <v>452</v>
      </c>
      <c r="N66" s="28" t="s">
        <v>483</v>
      </c>
    </row>
    <row r="67" customFormat="false" ht="15" hidden="false" customHeight="false" outlineLevel="0" collapsed="false">
      <c r="A67" s="28" t="s">
        <v>318</v>
      </c>
      <c r="B67" s="28" t="s">
        <v>447</v>
      </c>
      <c r="C67" s="28" t="s">
        <v>68</v>
      </c>
      <c r="D67" s="28" t="s">
        <v>460</v>
      </c>
      <c r="E67" s="23" t="n">
        <v>3980283.976</v>
      </c>
      <c r="F67" s="23" t="n">
        <v>3863130.571</v>
      </c>
      <c r="G67" s="19" t="n">
        <v>0.0510495672811159</v>
      </c>
      <c r="H67" s="28" t="s">
        <v>461</v>
      </c>
      <c r="I67" s="28" t="s">
        <v>450</v>
      </c>
      <c r="M67" s="28" t="s">
        <v>452</v>
      </c>
      <c r="N67" s="28" t="s">
        <v>483</v>
      </c>
    </row>
    <row r="68" customFormat="false" ht="15" hidden="false" customHeight="false" outlineLevel="0" collapsed="false">
      <c r="A68" s="28" t="s">
        <v>318</v>
      </c>
      <c r="B68" s="28" t="s">
        <v>447</v>
      </c>
      <c r="C68" s="28" t="s">
        <v>462</v>
      </c>
      <c r="D68" s="28" t="s">
        <v>463</v>
      </c>
      <c r="E68" s="23" t="n">
        <v>24428.991</v>
      </c>
      <c r="F68" s="23" t="n">
        <v>23070.314</v>
      </c>
      <c r="H68" s="28" t="s">
        <v>450</v>
      </c>
      <c r="I68" s="28" t="s">
        <v>450</v>
      </c>
      <c r="M68" s="28" t="s">
        <v>452</v>
      </c>
      <c r="N68" s="28" t="s">
        <v>483</v>
      </c>
    </row>
    <row r="69" customFormat="false" ht="15" hidden="false" customHeight="false" outlineLevel="0" collapsed="false">
      <c r="A69" s="28" t="s">
        <v>318</v>
      </c>
      <c r="B69" s="28" t="s">
        <v>447</v>
      </c>
      <c r="C69" s="28" t="s">
        <v>462</v>
      </c>
      <c r="D69" s="28" t="s">
        <v>464</v>
      </c>
      <c r="E69" s="23" t="n">
        <v>119465.593</v>
      </c>
      <c r="F69" s="23" t="n">
        <v>102072.745</v>
      </c>
      <c r="H69" s="28" t="s">
        <v>450</v>
      </c>
      <c r="I69" s="28" t="s">
        <v>450</v>
      </c>
      <c r="M69" s="28" t="s">
        <v>452</v>
      </c>
      <c r="N69" s="28" t="s">
        <v>483</v>
      </c>
    </row>
    <row r="70" customFormat="false" ht="15" hidden="false" customHeight="false" outlineLevel="0" collapsed="false">
      <c r="A70" s="28" t="s">
        <v>318</v>
      </c>
      <c r="B70" s="28" t="s">
        <v>447</v>
      </c>
      <c r="C70" s="28" t="s">
        <v>462</v>
      </c>
      <c r="D70" s="28" t="s">
        <v>480</v>
      </c>
      <c r="E70" s="23" t="n">
        <v>48641.774</v>
      </c>
      <c r="F70" s="23" t="n">
        <v>43591.552</v>
      </c>
      <c r="H70" s="28" t="s">
        <v>450</v>
      </c>
      <c r="I70" s="28" t="s">
        <v>450</v>
      </c>
      <c r="M70" s="28" t="s">
        <v>452</v>
      </c>
      <c r="N70" s="28" t="s">
        <v>483</v>
      </c>
    </row>
    <row r="71" customFormat="false" ht="15" hidden="false" customHeight="false" outlineLevel="0" collapsed="false">
      <c r="A71" s="28" t="s">
        <v>318</v>
      </c>
      <c r="B71" s="28" t="s">
        <v>447</v>
      </c>
      <c r="C71" s="28" t="s">
        <v>462</v>
      </c>
      <c r="D71" s="28" t="s">
        <v>465</v>
      </c>
      <c r="E71" s="23" t="n">
        <v>68140.148</v>
      </c>
      <c r="F71" s="23" t="n">
        <v>83154.554</v>
      </c>
      <c r="H71" s="28" t="s">
        <v>450</v>
      </c>
      <c r="I71" s="28" t="s">
        <v>450</v>
      </c>
      <c r="M71" s="28" t="s">
        <v>452</v>
      </c>
      <c r="N71" s="28" t="s">
        <v>483</v>
      </c>
    </row>
    <row r="72" customFormat="false" ht="15" hidden="false" customHeight="false" outlineLevel="0" collapsed="false">
      <c r="A72" s="28" t="s">
        <v>318</v>
      </c>
      <c r="B72" s="28" t="s">
        <v>447</v>
      </c>
      <c r="C72" s="28" t="s">
        <v>462</v>
      </c>
      <c r="D72" s="28" t="s">
        <v>484</v>
      </c>
      <c r="E72" s="23" t="n">
        <v>66871.083</v>
      </c>
      <c r="F72" s="23" t="n">
        <v>33435.5415</v>
      </c>
      <c r="H72" s="28" t="s">
        <v>450</v>
      </c>
      <c r="I72" s="28" t="s">
        <v>450</v>
      </c>
      <c r="M72" s="28" t="s">
        <v>452</v>
      </c>
      <c r="N72" s="28" t="s">
        <v>483</v>
      </c>
    </row>
    <row r="73" customFormat="false" ht="15" hidden="false" customHeight="false" outlineLevel="0" collapsed="false">
      <c r="A73" s="28" t="s">
        <v>318</v>
      </c>
      <c r="B73" s="28" t="s">
        <v>447</v>
      </c>
      <c r="C73" s="28" t="s">
        <v>462</v>
      </c>
      <c r="D73" s="28" t="s">
        <v>466</v>
      </c>
      <c r="E73" s="23" t="n">
        <v>8951.029</v>
      </c>
      <c r="F73" s="23" t="n">
        <v>9788.6505</v>
      </c>
      <c r="H73" s="28" t="s">
        <v>450</v>
      </c>
      <c r="I73" s="28" t="s">
        <v>450</v>
      </c>
      <c r="M73" s="28" t="s">
        <v>452</v>
      </c>
      <c r="N73" s="28" t="s">
        <v>483</v>
      </c>
    </row>
    <row r="74" customFormat="false" ht="15" hidden="false" customHeight="false" outlineLevel="0" collapsed="false">
      <c r="A74" s="28" t="s">
        <v>318</v>
      </c>
      <c r="B74" s="28" t="s">
        <v>447</v>
      </c>
      <c r="C74" s="28" t="s">
        <v>462</v>
      </c>
      <c r="D74" s="28" t="s">
        <v>467</v>
      </c>
      <c r="E74" s="23" t="n">
        <v>62080.668</v>
      </c>
      <c r="F74" s="23" t="n">
        <v>63513.431</v>
      </c>
      <c r="H74" s="28" t="s">
        <v>450</v>
      </c>
      <c r="I74" s="28" t="s">
        <v>450</v>
      </c>
      <c r="M74" s="28" t="s">
        <v>452</v>
      </c>
      <c r="N74" s="28" t="s">
        <v>483</v>
      </c>
    </row>
    <row r="75" customFormat="false" ht="15" hidden="false" customHeight="false" outlineLevel="0" collapsed="false">
      <c r="A75" s="28" t="s">
        <v>318</v>
      </c>
      <c r="B75" s="28" t="s">
        <v>447</v>
      </c>
      <c r="C75" s="28" t="s">
        <v>462</v>
      </c>
      <c r="D75" s="28" t="s">
        <v>468</v>
      </c>
      <c r="E75" s="23" t="n">
        <v>69753.949</v>
      </c>
      <c r="F75" s="23" t="n">
        <v>70415.771</v>
      </c>
      <c r="H75" s="28" t="s">
        <v>450</v>
      </c>
      <c r="I75" s="28" t="s">
        <v>450</v>
      </c>
      <c r="M75" s="28" t="s">
        <v>452</v>
      </c>
      <c r="N75" s="28" t="s">
        <v>483</v>
      </c>
    </row>
    <row r="76" customFormat="false" ht="15" hidden="false" customHeight="false" outlineLevel="0" collapsed="false">
      <c r="A76" s="28" t="s">
        <v>318</v>
      </c>
      <c r="B76" s="28" t="s">
        <v>469</v>
      </c>
      <c r="C76" s="28" t="s">
        <v>242</v>
      </c>
      <c r="D76" s="28" t="s">
        <v>470</v>
      </c>
      <c r="E76" s="23" t="n">
        <v>7303801.275</v>
      </c>
      <c r="F76" s="23" t="n">
        <v>7430098.5925</v>
      </c>
      <c r="G76" s="19" t="n">
        <v>0.0108533020115507</v>
      </c>
      <c r="H76" s="28" t="s">
        <v>471</v>
      </c>
      <c r="I76" s="28" t="s">
        <v>450</v>
      </c>
      <c r="M76" s="28" t="s">
        <v>452</v>
      </c>
      <c r="N76" s="28" t="s">
        <v>483</v>
      </c>
    </row>
    <row r="77" customFormat="false" ht="15" hidden="false" customHeight="false" outlineLevel="0" collapsed="false">
      <c r="A77" s="28" t="s">
        <v>318</v>
      </c>
      <c r="B77" s="28" t="s">
        <v>469</v>
      </c>
      <c r="C77" s="28" t="s">
        <v>472</v>
      </c>
      <c r="D77" s="28" t="s">
        <v>473</v>
      </c>
      <c r="E77" s="23" t="n">
        <v>600000</v>
      </c>
      <c r="F77" s="23" t="n">
        <v>300000</v>
      </c>
      <c r="H77" s="28" t="s">
        <v>450</v>
      </c>
      <c r="I77" s="28" t="s">
        <v>450</v>
      </c>
      <c r="M77" s="28" t="s">
        <v>452</v>
      </c>
      <c r="N77" s="28" t="s">
        <v>483</v>
      </c>
    </row>
    <row r="78" customFormat="false" ht="15" hidden="false" customHeight="false" outlineLevel="0" collapsed="false">
      <c r="A78" s="28" t="s">
        <v>318</v>
      </c>
      <c r="B78" s="28" t="s">
        <v>469</v>
      </c>
      <c r="C78" s="28" t="s">
        <v>474</v>
      </c>
      <c r="D78" s="28" t="s">
        <v>475</v>
      </c>
      <c r="E78" s="23" t="n">
        <v>146677.682</v>
      </c>
      <c r="F78" s="23" t="n">
        <v>140021.1025</v>
      </c>
      <c r="H78" s="28" t="s">
        <v>450</v>
      </c>
      <c r="I78" s="28" t="s">
        <v>450</v>
      </c>
      <c r="M78" s="28" t="s">
        <v>452</v>
      </c>
      <c r="N78" s="28" t="s">
        <v>483</v>
      </c>
    </row>
    <row r="79" customFormat="false" ht="15" hidden="false" customHeight="false" outlineLevel="0" collapsed="false">
      <c r="A79" s="28" t="s">
        <v>318</v>
      </c>
      <c r="B79" s="28" t="s">
        <v>469</v>
      </c>
      <c r="C79" s="28" t="s">
        <v>474</v>
      </c>
      <c r="D79" s="28" t="s">
        <v>482</v>
      </c>
      <c r="E79" s="23" t="n">
        <v>49601.112</v>
      </c>
      <c r="F79" s="23" t="n">
        <v>41787.49</v>
      </c>
      <c r="H79" s="28" t="s">
        <v>450</v>
      </c>
      <c r="I79" s="28" t="s">
        <v>450</v>
      </c>
      <c r="M79" s="28" t="s">
        <v>452</v>
      </c>
      <c r="N79" s="28" t="s">
        <v>483</v>
      </c>
    </row>
    <row r="80" customFormat="false" ht="15" hidden="false" customHeight="false" outlineLevel="0" collapsed="false">
      <c r="A80" s="28" t="s">
        <v>318</v>
      </c>
      <c r="B80" s="28" t="s">
        <v>223</v>
      </c>
      <c r="C80" s="28" t="s">
        <v>223</v>
      </c>
      <c r="D80" s="28" t="s">
        <v>477</v>
      </c>
      <c r="E80" s="23" t="n">
        <v>960070.693</v>
      </c>
      <c r="F80" s="23" t="n">
        <v>927023.421</v>
      </c>
      <c r="H80" s="28" t="s">
        <v>450</v>
      </c>
      <c r="I80" s="28" t="s">
        <v>450</v>
      </c>
      <c r="M80" s="28" t="s">
        <v>452</v>
      </c>
      <c r="N80" s="28" t="s">
        <v>483</v>
      </c>
    </row>
    <row r="81" customFormat="false" ht="15" hidden="false" customHeight="false" outlineLevel="0" collapsed="false">
      <c r="A81" s="28" t="s">
        <v>318</v>
      </c>
      <c r="B81" s="28" t="s">
        <v>223</v>
      </c>
      <c r="C81" s="28" t="s">
        <v>223</v>
      </c>
      <c r="D81" s="28" t="s">
        <v>478</v>
      </c>
      <c r="E81" s="23" t="n">
        <v>-349586.968</v>
      </c>
      <c r="F81" s="23" t="n">
        <v>-387507.7605</v>
      </c>
      <c r="H81" s="28" t="s">
        <v>450</v>
      </c>
      <c r="I81" s="28" t="s">
        <v>450</v>
      </c>
      <c r="M81" s="28" t="s">
        <v>452</v>
      </c>
      <c r="N81" s="28" t="s">
        <v>483</v>
      </c>
    </row>
    <row r="82" customFormat="false" ht="15" hidden="false" customHeight="false" outlineLevel="0" collapsed="false">
      <c r="A82" s="28" t="s">
        <v>319</v>
      </c>
      <c r="B82" s="28" t="s">
        <v>447</v>
      </c>
      <c r="C82" s="28" t="s">
        <v>448</v>
      </c>
      <c r="D82" s="28" t="s">
        <v>449</v>
      </c>
      <c r="E82" s="23" t="n">
        <v>441895.486</v>
      </c>
      <c r="F82" s="23" t="n">
        <v>555800.5675</v>
      </c>
      <c r="G82" s="19" t="n">
        <v>0.0658612677648984</v>
      </c>
      <c r="H82" s="28" t="s">
        <v>471</v>
      </c>
      <c r="I82" s="28" t="s">
        <v>451</v>
      </c>
      <c r="M82" s="28" t="s">
        <v>452</v>
      </c>
      <c r="N82" s="28" t="s">
        <v>485</v>
      </c>
    </row>
    <row r="83" customFormat="false" ht="15" hidden="false" customHeight="false" outlineLevel="0" collapsed="false">
      <c r="A83" s="28" t="s">
        <v>319</v>
      </c>
      <c r="B83" s="28" t="s">
        <v>447</v>
      </c>
      <c r="C83" s="28" t="s">
        <v>75</v>
      </c>
      <c r="D83" s="28" t="s">
        <v>455</v>
      </c>
      <c r="E83" s="23" t="n">
        <v>2051268.469</v>
      </c>
      <c r="F83" s="23" t="n">
        <v>2046536.4335</v>
      </c>
      <c r="H83" s="28" t="s">
        <v>450</v>
      </c>
      <c r="I83" s="28" t="s">
        <v>450</v>
      </c>
      <c r="M83" s="28" t="s">
        <v>452</v>
      </c>
      <c r="N83" s="28" t="s">
        <v>485</v>
      </c>
    </row>
    <row r="84" customFormat="false" ht="15" hidden="false" customHeight="false" outlineLevel="0" collapsed="false">
      <c r="A84" s="28" t="s">
        <v>319</v>
      </c>
      <c r="B84" s="28" t="s">
        <v>447</v>
      </c>
      <c r="C84" s="28" t="s">
        <v>75</v>
      </c>
      <c r="D84" s="28" t="s">
        <v>456</v>
      </c>
      <c r="E84" s="23" t="n">
        <v>1538373.239</v>
      </c>
      <c r="F84" s="23" t="n">
        <v>1533535.5865</v>
      </c>
      <c r="H84" s="28" t="s">
        <v>450</v>
      </c>
      <c r="I84" s="28" t="s">
        <v>450</v>
      </c>
      <c r="M84" s="28" t="s">
        <v>452</v>
      </c>
      <c r="N84" s="28" t="s">
        <v>485</v>
      </c>
    </row>
    <row r="85" customFormat="false" ht="15" hidden="false" customHeight="false" outlineLevel="0" collapsed="false">
      <c r="A85" s="28" t="s">
        <v>319</v>
      </c>
      <c r="B85" s="28" t="s">
        <v>447</v>
      </c>
      <c r="C85" s="28" t="s">
        <v>75</v>
      </c>
      <c r="D85" s="28" t="s">
        <v>457</v>
      </c>
      <c r="E85" s="23" t="n">
        <v>17250</v>
      </c>
      <c r="F85" s="23" t="n">
        <v>17250</v>
      </c>
      <c r="H85" s="28" t="s">
        <v>450</v>
      </c>
      <c r="I85" s="28" t="s">
        <v>450</v>
      </c>
      <c r="M85" s="28" t="s">
        <v>452</v>
      </c>
      <c r="N85" s="28" t="s">
        <v>485</v>
      </c>
    </row>
    <row r="86" customFormat="false" ht="15" hidden="false" customHeight="false" outlineLevel="0" collapsed="false">
      <c r="A86" s="28" t="s">
        <v>319</v>
      </c>
      <c r="B86" s="28" t="s">
        <v>447</v>
      </c>
      <c r="C86" s="28" t="s">
        <v>68</v>
      </c>
      <c r="D86" s="28" t="s">
        <v>486</v>
      </c>
      <c r="E86" s="23" t="n">
        <v>4319422.904</v>
      </c>
      <c r="F86" s="23" t="n">
        <v>4169003.44</v>
      </c>
      <c r="G86" s="19" t="n">
        <v>0.05914479144685</v>
      </c>
      <c r="H86" s="28" t="s">
        <v>461</v>
      </c>
      <c r="I86" s="28" t="s">
        <v>450</v>
      </c>
      <c r="M86" s="28" t="s">
        <v>452</v>
      </c>
      <c r="N86" s="28" t="s">
        <v>487</v>
      </c>
    </row>
    <row r="87" customFormat="false" ht="15" hidden="false" customHeight="false" outlineLevel="0" collapsed="false">
      <c r="A87" s="28" t="s">
        <v>319</v>
      </c>
      <c r="B87" s="28" t="s">
        <v>447</v>
      </c>
      <c r="C87" s="28" t="s">
        <v>488</v>
      </c>
      <c r="D87" s="28" t="s">
        <v>489</v>
      </c>
      <c r="E87" s="23" t="n">
        <v>-39273.608</v>
      </c>
      <c r="H87" s="28" t="s">
        <v>450</v>
      </c>
      <c r="I87" s="28" t="s">
        <v>450</v>
      </c>
      <c r="M87" s="28" t="s">
        <v>452</v>
      </c>
      <c r="N87" s="28" t="s">
        <v>485</v>
      </c>
    </row>
    <row r="88" customFormat="false" ht="15" hidden="false" customHeight="false" outlineLevel="0" collapsed="false">
      <c r="A88" s="28" t="s">
        <v>319</v>
      </c>
      <c r="B88" s="28" t="s">
        <v>447</v>
      </c>
      <c r="C88" s="28" t="s">
        <v>462</v>
      </c>
      <c r="D88" s="28" t="s">
        <v>463</v>
      </c>
      <c r="E88" s="23" t="n">
        <v>26575.986</v>
      </c>
      <c r="F88" s="23" t="n">
        <v>25502.4885</v>
      </c>
      <c r="H88" s="28" t="s">
        <v>450</v>
      </c>
      <c r="I88" s="28" t="s">
        <v>450</v>
      </c>
      <c r="M88" s="28" t="s">
        <v>452</v>
      </c>
      <c r="N88" s="28" t="s">
        <v>485</v>
      </c>
    </row>
    <row r="89" customFormat="false" ht="15" hidden="false" customHeight="false" outlineLevel="0" collapsed="false">
      <c r="A89" s="28" t="s">
        <v>319</v>
      </c>
      <c r="B89" s="28" t="s">
        <v>447</v>
      </c>
      <c r="C89" s="28" t="s">
        <v>462</v>
      </c>
      <c r="D89" s="28" t="s">
        <v>464</v>
      </c>
      <c r="E89" s="23" t="n">
        <v>85046.397</v>
      </c>
      <c r="F89" s="23" t="n">
        <v>102255.995</v>
      </c>
      <c r="H89" s="28" t="s">
        <v>450</v>
      </c>
      <c r="I89" s="28" t="s">
        <v>450</v>
      </c>
      <c r="M89" s="28" t="s">
        <v>452</v>
      </c>
      <c r="N89" s="28" t="s">
        <v>485</v>
      </c>
    </row>
    <row r="90" customFormat="false" ht="15" hidden="false" customHeight="false" outlineLevel="0" collapsed="false">
      <c r="A90" s="28" t="s">
        <v>319</v>
      </c>
      <c r="B90" s="28" t="s">
        <v>447</v>
      </c>
      <c r="C90" s="28" t="s">
        <v>462</v>
      </c>
      <c r="D90" s="28" t="s">
        <v>480</v>
      </c>
      <c r="E90" s="23" t="n">
        <v>33614.905</v>
      </c>
      <c r="F90" s="23" t="n">
        <v>41128.3395</v>
      </c>
      <c r="H90" s="28" t="s">
        <v>450</v>
      </c>
      <c r="I90" s="28" t="s">
        <v>450</v>
      </c>
      <c r="M90" s="28" t="s">
        <v>452</v>
      </c>
      <c r="N90" s="28" t="s">
        <v>485</v>
      </c>
    </row>
    <row r="91" customFormat="false" ht="15" hidden="false" customHeight="false" outlineLevel="0" collapsed="false">
      <c r="A91" s="28" t="s">
        <v>319</v>
      </c>
      <c r="B91" s="28" t="s">
        <v>447</v>
      </c>
      <c r="C91" s="28" t="s">
        <v>462</v>
      </c>
      <c r="D91" s="28" t="s">
        <v>465</v>
      </c>
      <c r="E91" s="23" t="n">
        <v>71281.005</v>
      </c>
      <c r="F91" s="23" t="n">
        <v>69710.5765</v>
      </c>
      <c r="H91" s="28" t="s">
        <v>450</v>
      </c>
      <c r="I91" s="28" t="s">
        <v>450</v>
      </c>
      <c r="M91" s="28" t="s">
        <v>452</v>
      </c>
      <c r="N91" s="28" t="s">
        <v>485</v>
      </c>
    </row>
    <row r="92" customFormat="false" ht="15" hidden="false" customHeight="false" outlineLevel="0" collapsed="false">
      <c r="A92" s="28" t="s">
        <v>319</v>
      </c>
      <c r="B92" s="28" t="s">
        <v>447</v>
      </c>
      <c r="C92" s="28" t="s">
        <v>462</v>
      </c>
      <c r="D92" s="28" t="s">
        <v>484</v>
      </c>
      <c r="E92" s="23" t="n">
        <v>99589.211</v>
      </c>
      <c r="F92" s="23" t="n">
        <v>83230.147</v>
      </c>
      <c r="H92" s="28" t="s">
        <v>450</v>
      </c>
      <c r="I92" s="28" t="s">
        <v>450</v>
      </c>
      <c r="M92" s="28" t="s">
        <v>452</v>
      </c>
      <c r="N92" s="28" t="s">
        <v>485</v>
      </c>
    </row>
    <row r="93" customFormat="false" ht="15" hidden="false" customHeight="false" outlineLevel="0" collapsed="false">
      <c r="A93" s="28" t="s">
        <v>319</v>
      </c>
      <c r="B93" s="28" t="s">
        <v>447</v>
      </c>
      <c r="C93" s="28" t="s">
        <v>462</v>
      </c>
      <c r="D93" s="28" t="s">
        <v>466</v>
      </c>
      <c r="E93" s="23" t="n">
        <v>7683.064</v>
      </c>
      <c r="F93" s="23" t="n">
        <v>8317.0465</v>
      </c>
      <c r="H93" s="28" t="s">
        <v>450</v>
      </c>
      <c r="I93" s="28" t="s">
        <v>450</v>
      </c>
      <c r="M93" s="28" t="s">
        <v>452</v>
      </c>
      <c r="N93" s="28" t="s">
        <v>485</v>
      </c>
    </row>
    <row r="94" customFormat="false" ht="15" hidden="false" customHeight="false" outlineLevel="0" collapsed="false">
      <c r="A94" s="28" t="s">
        <v>319</v>
      </c>
      <c r="B94" s="28" t="s">
        <v>447</v>
      </c>
      <c r="C94" s="28" t="s">
        <v>462</v>
      </c>
      <c r="D94" s="28" t="s">
        <v>467</v>
      </c>
      <c r="E94" s="23" t="n">
        <v>59883.833</v>
      </c>
      <c r="F94" s="23" t="n">
        <v>60982.2505</v>
      </c>
      <c r="H94" s="28" t="s">
        <v>450</v>
      </c>
      <c r="I94" s="28" t="s">
        <v>450</v>
      </c>
      <c r="M94" s="28" t="s">
        <v>452</v>
      </c>
      <c r="N94" s="28" t="s">
        <v>485</v>
      </c>
    </row>
    <row r="95" customFormat="false" ht="15" hidden="false" customHeight="false" outlineLevel="0" collapsed="false">
      <c r="A95" s="28" t="s">
        <v>319</v>
      </c>
      <c r="B95" s="28" t="s">
        <v>447</v>
      </c>
      <c r="C95" s="28" t="s">
        <v>462</v>
      </c>
      <c r="D95" s="28" t="s">
        <v>468</v>
      </c>
      <c r="E95" s="23" t="n">
        <v>71015.879</v>
      </c>
      <c r="F95" s="23" t="n">
        <v>70384.914</v>
      </c>
      <c r="H95" s="28" t="s">
        <v>450</v>
      </c>
      <c r="I95" s="28" t="s">
        <v>450</v>
      </c>
      <c r="M95" s="28" t="s">
        <v>452</v>
      </c>
      <c r="N95" s="28" t="s">
        <v>485</v>
      </c>
    </row>
    <row r="96" customFormat="false" ht="15" hidden="false" customHeight="false" outlineLevel="0" collapsed="false">
      <c r="A96" s="28" t="s">
        <v>319</v>
      </c>
      <c r="B96" s="28" t="s">
        <v>469</v>
      </c>
      <c r="C96" s="28" t="s">
        <v>242</v>
      </c>
      <c r="D96" s="28" t="s">
        <v>470</v>
      </c>
      <c r="E96" s="23" t="n">
        <v>7963194.519</v>
      </c>
      <c r="F96" s="23" t="n">
        <v>7633497.897</v>
      </c>
      <c r="G96" s="19" t="n">
        <v>0.0178093243535743</v>
      </c>
      <c r="H96" s="28" t="s">
        <v>471</v>
      </c>
      <c r="I96" s="28" t="s">
        <v>450</v>
      </c>
      <c r="M96" s="28" t="s">
        <v>452</v>
      </c>
      <c r="N96" s="28" t="s">
        <v>485</v>
      </c>
    </row>
    <row r="97" customFormat="false" ht="15" hidden="false" customHeight="false" outlineLevel="0" collapsed="false">
      <c r="A97" s="28" t="s">
        <v>319</v>
      </c>
      <c r="B97" s="28" t="s">
        <v>469</v>
      </c>
      <c r="C97" s="28" t="s">
        <v>472</v>
      </c>
      <c r="D97" s="28" t="s">
        <v>473</v>
      </c>
      <c r="E97" s="23" t="n">
        <v>0</v>
      </c>
      <c r="F97" s="23" t="n">
        <v>300000</v>
      </c>
      <c r="H97" s="28" t="s">
        <v>450</v>
      </c>
      <c r="I97" s="28" t="s">
        <v>450</v>
      </c>
      <c r="M97" s="28" t="s">
        <v>452</v>
      </c>
      <c r="N97" s="28" t="s">
        <v>485</v>
      </c>
    </row>
    <row r="98" customFormat="false" ht="15" hidden="false" customHeight="false" outlineLevel="0" collapsed="false">
      <c r="A98" s="28" t="s">
        <v>319</v>
      </c>
      <c r="B98" s="28" t="s">
        <v>469</v>
      </c>
      <c r="C98" s="28" t="s">
        <v>474</v>
      </c>
      <c r="D98" s="28" t="s">
        <v>475</v>
      </c>
      <c r="E98" s="23" t="n">
        <v>115481.145</v>
      </c>
      <c r="F98" s="23" t="n">
        <v>131079.4135</v>
      </c>
      <c r="H98" s="28" t="s">
        <v>450</v>
      </c>
      <c r="I98" s="28" t="s">
        <v>450</v>
      </c>
      <c r="M98" s="28" t="s">
        <v>452</v>
      </c>
      <c r="N98" s="28" t="s">
        <v>485</v>
      </c>
    </row>
    <row r="99" customFormat="false" ht="15" hidden="false" customHeight="false" outlineLevel="0" collapsed="false">
      <c r="A99" s="28" t="s">
        <v>319</v>
      </c>
      <c r="B99" s="28" t="s">
        <v>469</v>
      </c>
      <c r="C99" s="28" t="s">
        <v>474</v>
      </c>
      <c r="D99" s="28" t="s">
        <v>482</v>
      </c>
      <c r="E99" s="23" t="n">
        <v>19320.677</v>
      </c>
      <c r="F99" s="23" t="n">
        <v>34460.8945</v>
      </c>
      <c r="H99" s="28" t="s">
        <v>450</v>
      </c>
      <c r="I99" s="28" t="s">
        <v>450</v>
      </c>
      <c r="M99" s="28" t="s">
        <v>452</v>
      </c>
      <c r="N99" s="28" t="s">
        <v>485</v>
      </c>
    </row>
    <row r="100" customFormat="false" ht="15" hidden="false" customHeight="false" outlineLevel="0" collapsed="false">
      <c r="A100" s="28" t="s">
        <v>319</v>
      </c>
      <c r="B100" s="28" t="s">
        <v>223</v>
      </c>
      <c r="C100" s="28" t="s">
        <v>223</v>
      </c>
      <c r="D100" s="28" t="s">
        <v>477</v>
      </c>
      <c r="E100" s="23" t="n">
        <v>1032287.801</v>
      </c>
      <c r="F100" s="23" t="n">
        <v>996179.247</v>
      </c>
      <c r="H100" s="28" t="s">
        <v>450</v>
      </c>
      <c r="I100" s="28" t="s">
        <v>450</v>
      </c>
      <c r="M100" s="28" t="s">
        <v>452</v>
      </c>
      <c r="N100" s="28" t="s">
        <v>485</v>
      </c>
    </row>
    <row r="101" customFormat="false" ht="15" hidden="false" customHeight="false" outlineLevel="0" collapsed="false">
      <c r="A101" s="28" t="s">
        <v>319</v>
      </c>
      <c r="B101" s="28" t="s">
        <v>223</v>
      </c>
      <c r="C101" s="28" t="s">
        <v>223</v>
      </c>
      <c r="D101" s="28" t="s">
        <v>478</v>
      </c>
      <c r="E101" s="23" t="n">
        <v>-346657.372</v>
      </c>
      <c r="F101" s="23" t="n">
        <v>-348122.17</v>
      </c>
      <c r="H101" s="28" t="s">
        <v>450</v>
      </c>
      <c r="I101" s="28" t="s">
        <v>450</v>
      </c>
      <c r="M101" s="28" t="s">
        <v>452</v>
      </c>
      <c r="N101" s="28" t="s">
        <v>485</v>
      </c>
    </row>
    <row r="102" customFormat="false" ht="15" hidden="false" customHeight="false" outlineLevel="0" collapsed="false">
      <c r="A102" s="28" t="s">
        <v>320</v>
      </c>
      <c r="B102" s="28" t="s">
        <v>447</v>
      </c>
      <c r="C102" s="28" t="s">
        <v>448</v>
      </c>
      <c r="D102" s="28" t="s">
        <v>449</v>
      </c>
      <c r="E102" s="23" t="n">
        <v>466601.303</v>
      </c>
      <c r="F102" s="23" t="n">
        <v>454248.3945</v>
      </c>
      <c r="G102" s="19" t="n">
        <v>0.0515772455856198</v>
      </c>
      <c r="H102" s="28" t="s">
        <v>471</v>
      </c>
      <c r="I102" s="28" t="s">
        <v>451</v>
      </c>
      <c r="M102" s="28" t="s">
        <v>452</v>
      </c>
      <c r="N102" s="28" t="s">
        <v>490</v>
      </c>
    </row>
    <row r="103" customFormat="false" ht="15" hidden="false" customHeight="false" outlineLevel="0" collapsed="false">
      <c r="A103" s="28" t="s">
        <v>320</v>
      </c>
      <c r="B103" s="28" t="s">
        <v>447</v>
      </c>
      <c r="C103" s="28" t="s">
        <v>75</v>
      </c>
      <c r="D103" s="28" t="s">
        <v>455</v>
      </c>
      <c r="E103" s="23" t="n">
        <v>2052971.674</v>
      </c>
      <c r="F103" s="23" t="n">
        <v>2052120.0715</v>
      </c>
      <c r="H103" s="28" t="s">
        <v>450</v>
      </c>
      <c r="I103" s="28" t="s">
        <v>450</v>
      </c>
      <c r="M103" s="28" t="s">
        <v>452</v>
      </c>
      <c r="N103" s="28" t="s">
        <v>490</v>
      </c>
    </row>
    <row r="104" customFormat="false" ht="15" hidden="false" customHeight="false" outlineLevel="0" collapsed="false">
      <c r="A104" s="28" t="s">
        <v>320</v>
      </c>
      <c r="B104" s="28" t="s">
        <v>447</v>
      </c>
      <c r="C104" s="28" t="s">
        <v>75</v>
      </c>
      <c r="D104" s="28" t="s">
        <v>456</v>
      </c>
      <c r="E104" s="23" t="n">
        <v>1432733.202</v>
      </c>
      <c r="F104" s="23" t="n">
        <v>1485553.2205</v>
      </c>
      <c r="H104" s="28" t="s">
        <v>450</v>
      </c>
      <c r="I104" s="28" t="s">
        <v>450</v>
      </c>
      <c r="M104" s="28" t="s">
        <v>452</v>
      </c>
      <c r="N104" s="28" t="s">
        <v>490</v>
      </c>
    </row>
    <row r="105" customFormat="false" ht="15" hidden="false" customHeight="false" outlineLevel="0" collapsed="false">
      <c r="A105" s="28" t="s">
        <v>320</v>
      </c>
      <c r="B105" s="28" t="s">
        <v>447</v>
      </c>
      <c r="C105" s="28" t="s">
        <v>75</v>
      </c>
      <c r="D105" s="28" t="s">
        <v>457</v>
      </c>
      <c r="E105" s="23" t="n">
        <v>17250</v>
      </c>
      <c r="F105" s="23" t="n">
        <v>17250</v>
      </c>
      <c r="H105" s="28" t="s">
        <v>450</v>
      </c>
      <c r="I105" s="28" t="s">
        <v>450</v>
      </c>
      <c r="M105" s="28" t="s">
        <v>452</v>
      </c>
      <c r="N105" s="28" t="s">
        <v>490</v>
      </c>
    </row>
    <row r="106" customFormat="false" ht="15" hidden="false" customHeight="false" outlineLevel="0" collapsed="false">
      <c r="A106" s="28" t="s">
        <v>320</v>
      </c>
      <c r="B106" s="28" t="s">
        <v>447</v>
      </c>
      <c r="C106" s="28" t="s">
        <v>68</v>
      </c>
      <c r="D106" s="28" t="s">
        <v>486</v>
      </c>
      <c r="E106" s="23" t="n">
        <v>4998963.516</v>
      </c>
      <c r="F106" s="23" t="n">
        <v>4659193.21</v>
      </c>
      <c r="G106" s="19" t="n">
        <v>0.063229759256968</v>
      </c>
      <c r="H106" s="28" t="s">
        <v>461</v>
      </c>
      <c r="I106" s="28" t="s">
        <v>450</v>
      </c>
      <c r="M106" s="28" t="s">
        <v>452</v>
      </c>
      <c r="N106" s="28" t="s">
        <v>491</v>
      </c>
    </row>
    <row r="107" customFormat="false" ht="15" hidden="false" customHeight="false" outlineLevel="0" collapsed="false">
      <c r="A107" s="28" t="s">
        <v>320</v>
      </c>
      <c r="B107" s="28" t="s">
        <v>447</v>
      </c>
      <c r="C107" s="28" t="s">
        <v>488</v>
      </c>
      <c r="D107" s="28" t="s">
        <v>489</v>
      </c>
      <c r="E107" s="23" t="n">
        <v>-44915.766</v>
      </c>
      <c r="H107" s="28" t="s">
        <v>450</v>
      </c>
      <c r="I107" s="28" t="s">
        <v>450</v>
      </c>
      <c r="M107" s="28" t="s">
        <v>452</v>
      </c>
      <c r="N107" s="28" t="s">
        <v>490</v>
      </c>
    </row>
    <row r="108" customFormat="false" ht="15" hidden="false" customHeight="false" outlineLevel="0" collapsed="false">
      <c r="A108" s="28" t="s">
        <v>320</v>
      </c>
      <c r="B108" s="28" t="s">
        <v>447</v>
      </c>
      <c r="C108" s="28" t="s">
        <v>462</v>
      </c>
      <c r="D108" s="28" t="s">
        <v>463</v>
      </c>
      <c r="E108" s="23" t="n">
        <v>29394.507</v>
      </c>
      <c r="F108" s="23" t="n">
        <v>27985.2465</v>
      </c>
      <c r="H108" s="28" t="s">
        <v>450</v>
      </c>
      <c r="I108" s="28" t="s">
        <v>450</v>
      </c>
      <c r="M108" s="28" t="s">
        <v>452</v>
      </c>
      <c r="N108" s="28" t="s">
        <v>490</v>
      </c>
    </row>
    <row r="109" customFormat="false" ht="15" hidden="false" customHeight="false" outlineLevel="0" collapsed="false">
      <c r="A109" s="28" t="s">
        <v>320</v>
      </c>
      <c r="B109" s="28" t="s">
        <v>447</v>
      </c>
      <c r="C109" s="28" t="s">
        <v>462</v>
      </c>
      <c r="D109" s="28" t="s">
        <v>464</v>
      </c>
      <c r="E109" s="23" t="n">
        <v>82538.23</v>
      </c>
      <c r="F109" s="23" t="n">
        <v>83792.3135</v>
      </c>
      <c r="H109" s="28" t="s">
        <v>450</v>
      </c>
      <c r="I109" s="28" t="s">
        <v>450</v>
      </c>
      <c r="M109" s="28" t="s">
        <v>452</v>
      </c>
      <c r="N109" s="28" t="s">
        <v>490</v>
      </c>
    </row>
    <row r="110" customFormat="false" ht="15" hidden="false" customHeight="false" outlineLevel="0" collapsed="false">
      <c r="A110" s="28" t="s">
        <v>320</v>
      </c>
      <c r="B110" s="28" t="s">
        <v>447</v>
      </c>
      <c r="C110" s="28" t="s">
        <v>462</v>
      </c>
      <c r="D110" s="28" t="s">
        <v>480</v>
      </c>
      <c r="E110" s="23" t="n">
        <v>37860.304</v>
      </c>
      <c r="F110" s="23" t="n">
        <v>35737.6045</v>
      </c>
      <c r="H110" s="28" t="s">
        <v>450</v>
      </c>
      <c r="I110" s="28" t="s">
        <v>450</v>
      </c>
      <c r="M110" s="28" t="s">
        <v>452</v>
      </c>
      <c r="N110" s="28" t="s">
        <v>490</v>
      </c>
    </row>
    <row r="111" customFormat="false" ht="15" hidden="false" customHeight="false" outlineLevel="0" collapsed="false">
      <c r="A111" s="28" t="s">
        <v>320</v>
      </c>
      <c r="B111" s="28" t="s">
        <v>447</v>
      </c>
      <c r="C111" s="28" t="s">
        <v>462</v>
      </c>
      <c r="D111" s="28" t="s">
        <v>465</v>
      </c>
      <c r="E111" s="23" t="n">
        <v>75162.569</v>
      </c>
      <c r="F111" s="23" t="n">
        <v>73221.787</v>
      </c>
      <c r="H111" s="28" t="s">
        <v>450</v>
      </c>
      <c r="I111" s="28" t="s">
        <v>450</v>
      </c>
      <c r="M111" s="28" t="s">
        <v>452</v>
      </c>
      <c r="N111" s="28" t="s">
        <v>490</v>
      </c>
    </row>
    <row r="112" customFormat="false" ht="15" hidden="false" customHeight="false" outlineLevel="0" collapsed="false">
      <c r="A112" s="28" t="s">
        <v>320</v>
      </c>
      <c r="B112" s="28" t="s">
        <v>447</v>
      </c>
      <c r="C112" s="28" t="s">
        <v>462</v>
      </c>
      <c r="D112" s="28" t="s">
        <v>484</v>
      </c>
      <c r="E112" s="23" t="n">
        <v>100324.392</v>
      </c>
      <c r="F112" s="23" t="n">
        <v>99956.8015</v>
      </c>
      <c r="H112" s="28" t="s">
        <v>450</v>
      </c>
      <c r="I112" s="28" t="s">
        <v>450</v>
      </c>
      <c r="M112" s="28" t="s">
        <v>452</v>
      </c>
      <c r="N112" s="28" t="s">
        <v>490</v>
      </c>
    </row>
    <row r="113" customFormat="false" ht="15" hidden="false" customHeight="false" outlineLevel="0" collapsed="false">
      <c r="A113" s="28" t="s">
        <v>320</v>
      </c>
      <c r="B113" s="28" t="s">
        <v>447</v>
      </c>
      <c r="C113" s="28" t="s">
        <v>462</v>
      </c>
      <c r="D113" s="28" t="s">
        <v>466</v>
      </c>
      <c r="E113" s="23" t="n">
        <v>6366.285</v>
      </c>
      <c r="F113" s="23" t="n">
        <v>7024.6745</v>
      </c>
      <c r="H113" s="28" t="s">
        <v>450</v>
      </c>
      <c r="I113" s="28" t="s">
        <v>450</v>
      </c>
      <c r="M113" s="28" t="s">
        <v>452</v>
      </c>
      <c r="N113" s="28" t="s">
        <v>490</v>
      </c>
    </row>
    <row r="114" customFormat="false" ht="15" hidden="false" customHeight="false" outlineLevel="0" collapsed="false">
      <c r="A114" s="28" t="s">
        <v>320</v>
      </c>
      <c r="B114" s="28" t="s">
        <v>447</v>
      </c>
      <c r="C114" s="28" t="s">
        <v>462</v>
      </c>
      <c r="D114" s="28" t="s">
        <v>467</v>
      </c>
      <c r="E114" s="23" t="n">
        <v>58126.605</v>
      </c>
      <c r="F114" s="23" t="n">
        <v>59005.219</v>
      </c>
      <c r="H114" s="28" t="s">
        <v>450</v>
      </c>
      <c r="I114" s="28" t="s">
        <v>450</v>
      </c>
      <c r="M114" s="28" t="s">
        <v>452</v>
      </c>
      <c r="N114" s="28" t="s">
        <v>490</v>
      </c>
    </row>
    <row r="115" customFormat="false" ht="15" hidden="false" customHeight="false" outlineLevel="0" collapsed="false">
      <c r="A115" s="28" t="s">
        <v>320</v>
      </c>
      <c r="B115" s="28" t="s">
        <v>447</v>
      </c>
      <c r="C115" s="28" t="s">
        <v>462</v>
      </c>
      <c r="D115" s="28" t="s">
        <v>468</v>
      </c>
      <c r="E115" s="23" t="n">
        <v>75428.12</v>
      </c>
      <c r="F115" s="23" t="n">
        <v>73221.9995</v>
      </c>
      <c r="H115" s="28" t="s">
        <v>450</v>
      </c>
      <c r="I115" s="28" t="s">
        <v>450</v>
      </c>
      <c r="M115" s="28" t="s">
        <v>452</v>
      </c>
      <c r="N115" s="28" t="s">
        <v>490</v>
      </c>
    </row>
    <row r="116" customFormat="false" ht="15" hidden="false" customHeight="false" outlineLevel="0" collapsed="false">
      <c r="A116" s="28" t="s">
        <v>320</v>
      </c>
      <c r="B116" s="28" t="s">
        <v>447</v>
      </c>
      <c r="C116" s="28" t="s">
        <v>462</v>
      </c>
      <c r="D116" s="28" t="s">
        <v>492</v>
      </c>
      <c r="E116" s="23" t="n">
        <v>146354.385</v>
      </c>
      <c r="F116" s="23" t="n">
        <v>73177.1925</v>
      </c>
      <c r="H116" s="28" t="s">
        <v>450</v>
      </c>
      <c r="I116" s="28" t="s">
        <v>450</v>
      </c>
      <c r="M116" s="28" t="s">
        <v>452</v>
      </c>
      <c r="N116" s="28" t="s">
        <v>490</v>
      </c>
    </row>
    <row r="117" customFormat="false" ht="15" hidden="false" customHeight="false" outlineLevel="0" collapsed="false">
      <c r="A117" s="28" t="s">
        <v>320</v>
      </c>
      <c r="B117" s="28" t="s">
        <v>469</v>
      </c>
      <c r="C117" s="28" t="s">
        <v>242</v>
      </c>
      <c r="D117" s="28" t="s">
        <v>470</v>
      </c>
      <c r="E117" s="23" t="n">
        <v>8537116.754</v>
      </c>
      <c r="F117" s="23" t="n">
        <v>8250155.6365</v>
      </c>
      <c r="G117" s="19" t="n">
        <v>0.0177535575634471</v>
      </c>
      <c r="H117" s="28" t="s">
        <v>471</v>
      </c>
      <c r="I117" s="28" t="s">
        <v>450</v>
      </c>
      <c r="M117" s="28" t="s">
        <v>452</v>
      </c>
      <c r="N117" s="28" t="s">
        <v>490</v>
      </c>
    </row>
    <row r="118" customFormat="false" ht="15" hidden="false" customHeight="false" outlineLevel="0" collapsed="false">
      <c r="A118" s="28" t="s">
        <v>320</v>
      </c>
      <c r="B118" s="28" t="s">
        <v>469</v>
      </c>
      <c r="C118" s="28" t="s">
        <v>472</v>
      </c>
      <c r="D118" s="28" t="s">
        <v>473</v>
      </c>
      <c r="E118" s="23" t="n">
        <v>0</v>
      </c>
      <c r="F118" s="23" t="n">
        <v>0</v>
      </c>
      <c r="H118" s="28" t="s">
        <v>450</v>
      </c>
      <c r="I118" s="28" t="s">
        <v>450</v>
      </c>
      <c r="M118" s="28" t="s">
        <v>452</v>
      </c>
      <c r="N118" s="28" t="s">
        <v>490</v>
      </c>
    </row>
    <row r="119" customFormat="false" ht="15" hidden="false" customHeight="false" outlineLevel="0" collapsed="false">
      <c r="A119" s="28" t="s">
        <v>320</v>
      </c>
      <c r="B119" s="28" t="s">
        <v>469</v>
      </c>
      <c r="C119" s="28" t="s">
        <v>474</v>
      </c>
      <c r="D119" s="28" t="s">
        <v>475</v>
      </c>
      <c r="E119" s="23" t="n">
        <v>113602.805</v>
      </c>
      <c r="F119" s="23" t="n">
        <v>114541.975</v>
      </c>
      <c r="H119" s="28" t="s">
        <v>450</v>
      </c>
      <c r="I119" s="28" t="s">
        <v>450</v>
      </c>
      <c r="M119" s="28" t="s">
        <v>452</v>
      </c>
      <c r="N119" s="28" t="s">
        <v>490</v>
      </c>
    </row>
    <row r="120" customFormat="false" ht="15" hidden="false" customHeight="false" outlineLevel="0" collapsed="false">
      <c r="A120" s="28" t="s">
        <v>320</v>
      </c>
      <c r="B120" s="28" t="s">
        <v>469</v>
      </c>
      <c r="C120" s="28" t="s">
        <v>474</v>
      </c>
      <c r="D120" s="28" t="s">
        <v>482</v>
      </c>
      <c r="E120" s="23" t="n">
        <v>24843.893</v>
      </c>
      <c r="F120" s="23" t="n">
        <v>22082.285</v>
      </c>
      <c r="H120" s="28" t="s">
        <v>450</v>
      </c>
      <c r="I120" s="28" t="s">
        <v>450</v>
      </c>
      <c r="M120" s="28" t="s">
        <v>452</v>
      </c>
      <c r="N120" s="28" t="s">
        <v>490</v>
      </c>
    </row>
    <row r="121" customFormat="false" ht="15" hidden="false" customHeight="false" outlineLevel="0" collapsed="false">
      <c r="A121" s="28" t="s">
        <v>320</v>
      </c>
      <c r="B121" s="28" t="s">
        <v>223</v>
      </c>
      <c r="C121" s="28" t="s">
        <v>223</v>
      </c>
      <c r="D121" s="28" t="s">
        <v>477</v>
      </c>
      <c r="E121" s="23" t="n">
        <v>1106858.045</v>
      </c>
      <c r="F121" s="23" t="n">
        <v>1069572.923</v>
      </c>
      <c r="H121" s="28" t="s">
        <v>450</v>
      </c>
      <c r="I121" s="28" t="s">
        <v>450</v>
      </c>
      <c r="M121" s="28" t="s">
        <v>452</v>
      </c>
      <c r="N121" s="28" t="s">
        <v>490</v>
      </c>
    </row>
    <row r="122" customFormat="false" ht="15" hidden="false" customHeight="false" outlineLevel="0" collapsed="false">
      <c r="A122" s="28" t="s">
        <v>320</v>
      </c>
      <c r="B122" s="28" t="s">
        <v>223</v>
      </c>
      <c r="C122" s="28" t="s">
        <v>223</v>
      </c>
      <c r="D122" s="28" t="s">
        <v>478</v>
      </c>
      <c r="E122" s="23" t="n">
        <v>-247262.171</v>
      </c>
      <c r="F122" s="23" t="n">
        <v>-296959.7715</v>
      </c>
      <c r="H122" s="28" t="s">
        <v>450</v>
      </c>
      <c r="I122" s="28" t="s">
        <v>450</v>
      </c>
      <c r="M122" s="28" t="s">
        <v>452</v>
      </c>
      <c r="N122" s="28" t="s">
        <v>490</v>
      </c>
    </row>
    <row r="123" customFormat="false" ht="15" hidden="false" customHeight="false" outlineLevel="0" collapsed="false">
      <c r="A123" s="28" t="s">
        <v>321</v>
      </c>
      <c r="B123" s="28" t="s">
        <v>447</v>
      </c>
      <c r="C123" s="28" t="s">
        <v>448</v>
      </c>
      <c r="D123" s="28" t="s">
        <v>449</v>
      </c>
      <c r="E123" s="23" t="n">
        <v>607518.15115929</v>
      </c>
      <c r="H123" s="28" t="s">
        <v>450</v>
      </c>
      <c r="I123" s="28" t="s">
        <v>450</v>
      </c>
      <c r="M123" s="28" t="s">
        <v>493</v>
      </c>
      <c r="N123" s="28" t="s">
        <v>494</v>
      </c>
    </row>
    <row r="124" customFormat="false" ht="15" hidden="false" customHeight="false" outlineLevel="0" collapsed="false">
      <c r="A124" s="28" t="s">
        <v>321</v>
      </c>
      <c r="B124" s="28" t="s">
        <v>447</v>
      </c>
      <c r="C124" s="28" t="s">
        <v>75</v>
      </c>
      <c r="D124" s="28" t="s">
        <v>455</v>
      </c>
      <c r="E124" s="23" t="n">
        <v>2007273.39532567</v>
      </c>
      <c r="H124" s="28" t="s">
        <v>450</v>
      </c>
      <c r="I124" s="28" t="s">
        <v>450</v>
      </c>
      <c r="M124" s="28" t="s">
        <v>493</v>
      </c>
      <c r="N124" s="28" t="s">
        <v>495</v>
      </c>
    </row>
    <row r="125" customFormat="false" ht="15" hidden="false" customHeight="false" outlineLevel="0" collapsed="false">
      <c r="A125" s="28" t="s">
        <v>321</v>
      </c>
      <c r="B125" s="28" t="s">
        <v>447</v>
      </c>
      <c r="C125" s="28" t="s">
        <v>75</v>
      </c>
      <c r="D125" s="28" t="s">
        <v>456</v>
      </c>
      <c r="E125" s="23" t="n">
        <v>1391000</v>
      </c>
      <c r="H125" s="28" t="s">
        <v>450</v>
      </c>
      <c r="I125" s="28" t="s">
        <v>450</v>
      </c>
      <c r="M125" s="28" t="s">
        <v>493</v>
      </c>
      <c r="N125" s="28" t="s">
        <v>496</v>
      </c>
    </row>
    <row r="126" customFormat="false" ht="15" hidden="false" customHeight="false" outlineLevel="0" collapsed="false">
      <c r="A126" s="28" t="s">
        <v>321</v>
      </c>
      <c r="B126" s="28" t="s">
        <v>447</v>
      </c>
      <c r="C126" s="28" t="s">
        <v>458</v>
      </c>
      <c r="D126" s="28" t="s">
        <v>459</v>
      </c>
      <c r="E126" s="23" t="n">
        <v>2993.868</v>
      </c>
      <c r="H126" s="28" t="s">
        <v>450</v>
      </c>
      <c r="I126" s="28" t="s">
        <v>450</v>
      </c>
      <c r="M126" s="28" t="s">
        <v>497</v>
      </c>
      <c r="N126" s="28" t="s">
        <v>498</v>
      </c>
    </row>
    <row r="127" customFormat="false" ht="15" hidden="false" customHeight="false" outlineLevel="0" collapsed="false">
      <c r="A127" s="28" t="s">
        <v>321</v>
      </c>
      <c r="B127" s="28" t="s">
        <v>447</v>
      </c>
      <c r="C127" s="28" t="s">
        <v>68</v>
      </c>
      <c r="D127" s="28" t="s">
        <v>486</v>
      </c>
      <c r="E127" s="23" t="n">
        <v>5170195.915</v>
      </c>
      <c r="H127" s="28" t="s">
        <v>450</v>
      </c>
      <c r="I127" s="28" t="s">
        <v>450</v>
      </c>
      <c r="M127" s="28" t="s">
        <v>497</v>
      </c>
      <c r="N127" s="28" t="s">
        <v>498</v>
      </c>
    </row>
    <row r="128" customFormat="false" ht="15" hidden="false" customHeight="false" outlineLevel="0" collapsed="false">
      <c r="A128" s="28" t="s">
        <v>321</v>
      </c>
      <c r="B128" s="28" t="s">
        <v>447</v>
      </c>
      <c r="C128" s="28" t="s">
        <v>488</v>
      </c>
      <c r="D128" s="28" t="s">
        <v>489</v>
      </c>
      <c r="E128" s="23" t="n">
        <v>-46751.961</v>
      </c>
      <c r="H128" s="28" t="s">
        <v>450</v>
      </c>
      <c r="I128" s="28" t="s">
        <v>450</v>
      </c>
      <c r="M128" s="28" t="s">
        <v>497</v>
      </c>
      <c r="N128" s="28" t="s">
        <v>498</v>
      </c>
    </row>
    <row r="129" customFormat="false" ht="15" hidden="false" customHeight="false" outlineLevel="0" collapsed="false">
      <c r="A129" s="28" t="s">
        <v>321</v>
      </c>
      <c r="B129" s="28" t="s">
        <v>447</v>
      </c>
      <c r="C129" s="28" t="s">
        <v>462</v>
      </c>
      <c r="D129" s="28" t="s">
        <v>468</v>
      </c>
      <c r="E129" s="23" t="n">
        <v>75428.12</v>
      </c>
      <c r="H129" s="28" t="s">
        <v>450</v>
      </c>
      <c r="I129" s="28" t="s">
        <v>450</v>
      </c>
      <c r="M129" s="28" t="s">
        <v>497</v>
      </c>
      <c r="N129" s="28" t="s">
        <v>498</v>
      </c>
    </row>
    <row r="130" customFormat="false" ht="15" hidden="false" customHeight="false" outlineLevel="0" collapsed="false">
      <c r="A130" s="28" t="s">
        <v>321</v>
      </c>
      <c r="B130" s="28" t="s">
        <v>447</v>
      </c>
      <c r="C130" s="28" t="s">
        <v>462</v>
      </c>
      <c r="D130" s="28" t="s">
        <v>499</v>
      </c>
      <c r="E130" s="23" t="n">
        <v>583533.862515034</v>
      </c>
      <c r="H130" s="28" t="s">
        <v>450</v>
      </c>
      <c r="I130" s="28" t="s">
        <v>450</v>
      </c>
      <c r="M130" s="28" t="s">
        <v>493</v>
      </c>
      <c r="N130" s="28" t="s">
        <v>500</v>
      </c>
    </row>
    <row r="131" customFormat="false" ht="15" hidden="false" customHeight="false" outlineLevel="0" collapsed="false">
      <c r="A131" s="28" t="s">
        <v>321</v>
      </c>
      <c r="B131" s="28" t="s">
        <v>469</v>
      </c>
      <c r="C131" s="28" t="s">
        <v>242</v>
      </c>
      <c r="D131" s="28" t="s">
        <v>501</v>
      </c>
      <c r="E131" s="23" t="n">
        <v>1540540.572</v>
      </c>
      <c r="H131" s="28" t="s">
        <v>450</v>
      </c>
      <c r="I131" s="28" t="s">
        <v>450</v>
      </c>
      <c r="M131" s="28" t="s">
        <v>497</v>
      </c>
      <c r="N131" s="28" t="s">
        <v>498</v>
      </c>
    </row>
    <row r="132" customFormat="false" ht="15" hidden="false" customHeight="false" outlineLevel="0" collapsed="false">
      <c r="A132" s="28" t="s">
        <v>321</v>
      </c>
      <c r="B132" s="28" t="s">
        <v>469</v>
      </c>
      <c r="C132" s="28" t="s">
        <v>242</v>
      </c>
      <c r="D132" s="28" t="s">
        <v>502</v>
      </c>
      <c r="E132" s="23" t="n">
        <v>7260939.087</v>
      </c>
      <c r="H132" s="28" t="s">
        <v>450</v>
      </c>
      <c r="I132" s="28" t="s">
        <v>450</v>
      </c>
      <c r="M132" s="28" t="s">
        <v>497</v>
      </c>
      <c r="N132" s="28" t="s">
        <v>503</v>
      </c>
    </row>
    <row r="133" customFormat="false" ht="15" hidden="false" customHeight="false" outlineLevel="0" collapsed="false">
      <c r="A133" s="28" t="s">
        <v>321</v>
      </c>
      <c r="B133" s="28" t="s">
        <v>469</v>
      </c>
      <c r="C133" s="28" t="s">
        <v>474</v>
      </c>
      <c r="D133" s="28" t="s">
        <v>504</v>
      </c>
      <c r="E133" s="23" t="n">
        <v>110885.473094214</v>
      </c>
      <c r="H133" s="28" t="s">
        <v>450</v>
      </c>
      <c r="I133" s="28" t="s">
        <v>450</v>
      </c>
      <c r="M133" s="28" t="s">
        <v>493</v>
      </c>
      <c r="N133" s="28" t="s">
        <v>505</v>
      </c>
    </row>
    <row r="134" customFormat="false" ht="15" hidden="false" customHeight="false" outlineLevel="0" collapsed="false">
      <c r="A134" s="28" t="s">
        <v>321</v>
      </c>
      <c r="B134" s="28" t="s">
        <v>223</v>
      </c>
      <c r="C134" s="28" t="s">
        <v>223</v>
      </c>
      <c r="D134" s="28" t="s">
        <v>506</v>
      </c>
      <c r="E134" s="23" t="n">
        <v>1106858.045</v>
      </c>
      <c r="H134" s="28" t="s">
        <v>450</v>
      </c>
      <c r="I134" s="28" t="s">
        <v>450</v>
      </c>
      <c r="M134" s="28" t="s">
        <v>452</v>
      </c>
      <c r="N134" s="28" t="s">
        <v>490</v>
      </c>
    </row>
    <row r="135" customFormat="false" ht="15" hidden="false" customHeight="false" outlineLevel="0" collapsed="false">
      <c r="A135" s="28" t="s">
        <v>321</v>
      </c>
      <c r="B135" s="28" t="s">
        <v>223</v>
      </c>
      <c r="C135" s="28" t="s">
        <v>223</v>
      </c>
      <c r="D135" s="28" t="s">
        <v>507</v>
      </c>
      <c r="E135" s="23" t="n">
        <v>21206.147</v>
      </c>
      <c r="H135" s="28" t="s">
        <v>450</v>
      </c>
      <c r="I135" s="28" t="s">
        <v>450</v>
      </c>
      <c r="M135" s="28" t="s">
        <v>497</v>
      </c>
      <c r="N135" s="28" t="s">
        <v>498</v>
      </c>
    </row>
    <row r="136" customFormat="false" ht="15" hidden="false" customHeight="false" outlineLevel="0" collapsed="false">
      <c r="A136" s="28" t="s">
        <v>321</v>
      </c>
      <c r="B136" s="28" t="s">
        <v>223</v>
      </c>
      <c r="C136" s="28" t="s">
        <v>223</v>
      </c>
      <c r="D136" s="28" t="s">
        <v>478</v>
      </c>
      <c r="E136" s="23" t="n">
        <v>-249237.973094215</v>
      </c>
      <c r="H136" s="28" t="s">
        <v>450</v>
      </c>
      <c r="I136" s="28" t="s">
        <v>450</v>
      </c>
      <c r="M136" s="28" t="s">
        <v>493</v>
      </c>
      <c r="N136" s="28" t="s">
        <v>508</v>
      </c>
    </row>
    <row r="137" customFormat="false" ht="15" hidden="false" customHeight="false" outlineLevel="0" collapsed="false">
      <c r="A137" s="28" t="s">
        <v>322</v>
      </c>
      <c r="B137" s="28" t="s">
        <v>447</v>
      </c>
      <c r="C137" s="28" t="s">
        <v>448</v>
      </c>
      <c r="D137" s="28" t="s">
        <v>509</v>
      </c>
      <c r="E137" s="23" t="n">
        <v>654788.137</v>
      </c>
      <c r="F137" s="23" t="n">
        <v>547115.769192032</v>
      </c>
      <c r="G137" s="19" t="n">
        <v>0.0365</v>
      </c>
      <c r="H137" s="28" t="s">
        <v>471</v>
      </c>
      <c r="I137" s="28" t="s">
        <v>451</v>
      </c>
      <c r="J137" s="31" t="n">
        <v>0.083</v>
      </c>
      <c r="K137" s="31" t="n">
        <v>0</v>
      </c>
      <c r="L137" s="31" t="n">
        <v>0</v>
      </c>
      <c r="M137" s="28" t="s">
        <v>497</v>
      </c>
      <c r="N137" s="28" t="s">
        <v>510</v>
      </c>
      <c r="O137" s="28" t="s">
        <v>511</v>
      </c>
      <c r="Q137" s="23" t="n">
        <v>654788.137</v>
      </c>
    </row>
    <row r="138" customFormat="false" ht="15" hidden="false" customHeight="false" outlineLevel="0" collapsed="false">
      <c r="A138" s="28" t="s">
        <v>322</v>
      </c>
      <c r="B138" s="28" t="s">
        <v>447</v>
      </c>
      <c r="C138" s="28" t="s">
        <v>448</v>
      </c>
      <c r="D138" s="28" t="s">
        <v>512</v>
      </c>
      <c r="E138" s="23" t="n">
        <v>40466.353</v>
      </c>
      <c r="F138" s="23" t="n">
        <v>33812.1273079682</v>
      </c>
      <c r="H138" s="28" t="s">
        <v>450</v>
      </c>
      <c r="I138" s="28" t="s">
        <v>450</v>
      </c>
      <c r="M138" s="28" t="s">
        <v>497</v>
      </c>
      <c r="N138" s="28" t="s">
        <v>510</v>
      </c>
      <c r="O138" s="28" t="s">
        <v>513</v>
      </c>
      <c r="Q138" s="23" t="n">
        <v>40466.353</v>
      </c>
    </row>
    <row r="139" customFormat="false" ht="15" hidden="false" customHeight="false" outlineLevel="0" collapsed="false">
      <c r="A139" s="28" t="s">
        <v>322</v>
      </c>
      <c r="B139" s="28" t="s">
        <v>447</v>
      </c>
      <c r="C139" s="28" t="s">
        <v>75</v>
      </c>
      <c r="D139" s="28" t="s">
        <v>514</v>
      </c>
      <c r="E139" s="23" t="n">
        <v>24065.482</v>
      </c>
      <c r="F139" s="23" t="n">
        <v>24065.482</v>
      </c>
      <c r="H139" s="28" t="s">
        <v>450</v>
      </c>
      <c r="I139" s="28" t="s">
        <v>450</v>
      </c>
      <c r="M139" s="28" t="s">
        <v>497</v>
      </c>
      <c r="N139" s="28" t="s">
        <v>510</v>
      </c>
      <c r="O139" s="28" t="s">
        <v>515</v>
      </c>
      <c r="Q139" s="23" t="n">
        <v>24065.482</v>
      </c>
    </row>
    <row r="140" customFormat="false" ht="15" hidden="false" customHeight="false" outlineLevel="0" collapsed="false">
      <c r="A140" s="28" t="s">
        <v>322</v>
      </c>
      <c r="B140" s="28" t="s">
        <v>447</v>
      </c>
      <c r="C140" s="28" t="s">
        <v>75</v>
      </c>
      <c r="D140" s="28" t="s">
        <v>516</v>
      </c>
      <c r="E140" s="23" t="n">
        <v>656.25</v>
      </c>
      <c r="F140" s="23" t="n">
        <v>656.25</v>
      </c>
      <c r="H140" s="28" t="s">
        <v>450</v>
      </c>
      <c r="I140" s="28" t="s">
        <v>450</v>
      </c>
      <c r="M140" s="28" t="s">
        <v>497</v>
      </c>
      <c r="N140" s="28" t="s">
        <v>510</v>
      </c>
      <c r="O140" s="28" t="s">
        <v>517</v>
      </c>
      <c r="Q140" s="23" t="n">
        <v>656.25</v>
      </c>
    </row>
    <row r="141" customFormat="false" ht="15" hidden="false" customHeight="false" outlineLevel="0" collapsed="false">
      <c r="A141" s="28" t="s">
        <v>322</v>
      </c>
      <c r="B141" s="28" t="s">
        <v>447</v>
      </c>
      <c r="C141" s="28" t="s">
        <v>458</v>
      </c>
      <c r="D141" s="28" t="s">
        <v>459</v>
      </c>
      <c r="E141" s="23" t="n">
        <v>1976.718</v>
      </c>
      <c r="F141" s="23" t="n">
        <v>1976.718</v>
      </c>
      <c r="G141" s="19" t="n">
        <v>0.065</v>
      </c>
      <c r="H141" s="28" t="s">
        <v>461</v>
      </c>
      <c r="I141" s="28" t="s">
        <v>518</v>
      </c>
      <c r="J141" s="31" t="n">
        <v>0.167</v>
      </c>
      <c r="K141" s="31" t="n">
        <v>0.1652</v>
      </c>
      <c r="L141" s="31" t="n">
        <v>0.0543</v>
      </c>
      <c r="M141" s="28" t="s">
        <v>497</v>
      </c>
      <c r="N141" s="28" t="s">
        <v>510</v>
      </c>
      <c r="O141" s="28" t="s">
        <v>458</v>
      </c>
      <c r="Q141" s="23" t="n">
        <v>1980.44447670234</v>
      </c>
    </row>
    <row r="142" customFormat="false" ht="15" hidden="false" customHeight="false" outlineLevel="0" collapsed="false">
      <c r="A142" s="28" t="s">
        <v>322</v>
      </c>
      <c r="B142" s="28" t="s">
        <v>447</v>
      </c>
      <c r="C142" s="28" t="s">
        <v>488</v>
      </c>
      <c r="D142" s="28" t="s">
        <v>489</v>
      </c>
      <c r="E142" s="23" t="n">
        <v>-47552</v>
      </c>
      <c r="F142" s="23" t="n">
        <v>-47552</v>
      </c>
      <c r="H142" s="28" t="s">
        <v>450</v>
      </c>
      <c r="I142" s="28" t="s">
        <v>450</v>
      </c>
      <c r="M142" s="28" t="s">
        <v>497</v>
      </c>
      <c r="N142" s="28" t="s">
        <v>510</v>
      </c>
      <c r="O142" s="28" t="s">
        <v>488</v>
      </c>
      <c r="Q142" s="23" t="n">
        <v>-47552</v>
      </c>
    </row>
    <row r="143" customFormat="false" ht="15" hidden="false" customHeight="false" outlineLevel="0" collapsed="false">
      <c r="A143" s="28" t="s">
        <v>322</v>
      </c>
      <c r="B143" s="28" t="s">
        <v>447</v>
      </c>
      <c r="C143" s="28" t="s">
        <v>462</v>
      </c>
      <c r="D143" s="28" t="s">
        <v>519</v>
      </c>
      <c r="E143" s="23" t="n">
        <v>1684.849</v>
      </c>
      <c r="F143" s="23" t="n">
        <v>1684.849</v>
      </c>
      <c r="H143" s="28" t="s">
        <v>450</v>
      </c>
      <c r="I143" s="28" t="s">
        <v>450</v>
      </c>
      <c r="M143" s="28" t="s">
        <v>497</v>
      </c>
      <c r="N143" s="28" t="s">
        <v>510</v>
      </c>
      <c r="O143" s="28" t="s">
        <v>520</v>
      </c>
      <c r="Q143" s="23" t="n">
        <v>1684.849</v>
      </c>
    </row>
    <row r="144" customFormat="false" ht="15" hidden="false" customHeight="false" outlineLevel="0" collapsed="false">
      <c r="A144" s="28" t="s">
        <v>322</v>
      </c>
      <c r="B144" s="28" t="s">
        <v>447</v>
      </c>
      <c r="C144" s="28" t="s">
        <v>462</v>
      </c>
      <c r="D144" s="28" t="s">
        <v>521</v>
      </c>
      <c r="E144" s="23" t="n">
        <v>66375.309</v>
      </c>
      <c r="F144" s="23" t="n">
        <v>66375.309</v>
      </c>
      <c r="H144" s="28" t="s">
        <v>450</v>
      </c>
      <c r="I144" s="28" t="s">
        <v>450</v>
      </c>
      <c r="M144" s="28" t="s">
        <v>497</v>
      </c>
      <c r="N144" s="28" t="s">
        <v>510</v>
      </c>
      <c r="O144" s="28" t="s">
        <v>522</v>
      </c>
      <c r="Q144" s="23" t="n">
        <v>66375.309</v>
      </c>
    </row>
    <row r="145" customFormat="false" ht="15" hidden="false" customHeight="false" outlineLevel="0" collapsed="false">
      <c r="A145" s="28" t="s">
        <v>322</v>
      </c>
      <c r="B145" s="28" t="s">
        <v>447</v>
      </c>
      <c r="C145" s="28" t="s">
        <v>462</v>
      </c>
      <c r="D145" s="28" t="s">
        <v>523</v>
      </c>
      <c r="E145" s="23" t="n">
        <v>12317.598</v>
      </c>
      <c r="F145" s="23" t="n">
        <v>12317.598</v>
      </c>
      <c r="H145" s="28" t="s">
        <v>450</v>
      </c>
      <c r="I145" s="28" t="s">
        <v>450</v>
      </c>
      <c r="M145" s="28" t="s">
        <v>497</v>
      </c>
      <c r="N145" s="28" t="s">
        <v>510</v>
      </c>
      <c r="O145" s="28" t="s">
        <v>524</v>
      </c>
      <c r="Q145" s="23" t="n">
        <v>12317.598</v>
      </c>
    </row>
    <row r="146" customFormat="false" ht="15" hidden="false" customHeight="false" outlineLevel="0" collapsed="false">
      <c r="A146" s="28" t="s">
        <v>322</v>
      </c>
      <c r="B146" s="28" t="s">
        <v>447</v>
      </c>
      <c r="C146" s="28" t="s">
        <v>462</v>
      </c>
      <c r="D146" s="28" t="s">
        <v>525</v>
      </c>
      <c r="E146" s="23" t="n">
        <v>75568.131</v>
      </c>
      <c r="F146" s="23" t="n">
        <v>75568.131</v>
      </c>
      <c r="H146" s="28" t="s">
        <v>450</v>
      </c>
      <c r="I146" s="28" t="s">
        <v>450</v>
      </c>
      <c r="M146" s="28" t="s">
        <v>497</v>
      </c>
      <c r="N146" s="28" t="s">
        <v>510</v>
      </c>
      <c r="O146" s="28" t="s">
        <v>526</v>
      </c>
      <c r="Q146" s="23" t="n">
        <v>75568.131</v>
      </c>
    </row>
    <row r="147" customFormat="false" ht="15" hidden="false" customHeight="false" outlineLevel="0" collapsed="false">
      <c r="A147" s="28" t="s">
        <v>322</v>
      </c>
      <c r="B147" s="28" t="s">
        <v>447</v>
      </c>
      <c r="C147" s="28" t="s">
        <v>462</v>
      </c>
      <c r="D147" s="28" t="s">
        <v>463</v>
      </c>
      <c r="E147" s="23" t="n">
        <v>30900</v>
      </c>
      <c r="F147" s="23" t="n">
        <v>30900</v>
      </c>
      <c r="H147" s="28" t="s">
        <v>450</v>
      </c>
      <c r="I147" s="28" t="s">
        <v>450</v>
      </c>
      <c r="M147" s="28" t="s">
        <v>493</v>
      </c>
      <c r="N147" s="28" t="s">
        <v>527</v>
      </c>
      <c r="O147" s="28" t="s">
        <v>528</v>
      </c>
      <c r="Q147" s="23" t="n">
        <v>30900</v>
      </c>
    </row>
    <row r="148" customFormat="false" ht="15" hidden="false" customHeight="false" outlineLevel="0" collapsed="false">
      <c r="A148" s="28" t="s">
        <v>322</v>
      </c>
      <c r="B148" s="28" t="s">
        <v>447</v>
      </c>
      <c r="C148" s="28" t="s">
        <v>462</v>
      </c>
      <c r="D148" s="28" t="s">
        <v>457</v>
      </c>
      <c r="E148" s="23" t="n">
        <v>17250</v>
      </c>
      <c r="F148" s="23" t="n">
        <v>17250</v>
      </c>
      <c r="G148" s="19" t="n">
        <v>0.07</v>
      </c>
      <c r="H148" s="28" t="s">
        <v>450</v>
      </c>
      <c r="I148" s="28" t="s">
        <v>450</v>
      </c>
      <c r="M148" s="28" t="s">
        <v>493</v>
      </c>
      <c r="N148" s="28" t="s">
        <v>527</v>
      </c>
      <c r="O148" s="28" t="s">
        <v>529</v>
      </c>
      <c r="Q148" s="23" t="n">
        <v>17250</v>
      </c>
    </row>
    <row r="149" customFormat="false" ht="15" hidden="false" customHeight="false" outlineLevel="0" collapsed="false">
      <c r="A149" s="28" t="s">
        <v>322</v>
      </c>
      <c r="B149" s="28" t="s">
        <v>447</v>
      </c>
      <c r="C149" s="28" t="s">
        <v>462</v>
      </c>
      <c r="D149" s="28" t="s">
        <v>530</v>
      </c>
      <c r="E149" s="23" t="n">
        <v>37860.304</v>
      </c>
      <c r="F149" s="23" t="n">
        <v>37860.304</v>
      </c>
      <c r="H149" s="28" t="s">
        <v>450</v>
      </c>
      <c r="I149" s="28" t="s">
        <v>450</v>
      </c>
      <c r="M149" s="28" t="s">
        <v>493</v>
      </c>
      <c r="N149" s="28" t="s">
        <v>527</v>
      </c>
      <c r="O149" s="28" t="s">
        <v>531</v>
      </c>
      <c r="Q149" s="23" t="n">
        <v>37860.304</v>
      </c>
    </row>
    <row r="150" customFormat="false" ht="15" hidden="false" customHeight="false" outlineLevel="0" collapsed="false">
      <c r="A150" s="28" t="s">
        <v>322</v>
      </c>
      <c r="B150" s="28" t="s">
        <v>447</v>
      </c>
      <c r="C150" s="28" t="s">
        <v>462</v>
      </c>
      <c r="D150" s="28" t="s">
        <v>532</v>
      </c>
      <c r="E150" s="23" t="n">
        <v>76200</v>
      </c>
      <c r="F150" s="23" t="n">
        <v>76200</v>
      </c>
      <c r="H150" s="28" t="s">
        <v>450</v>
      </c>
      <c r="I150" s="28" t="s">
        <v>450</v>
      </c>
      <c r="M150" s="28" t="s">
        <v>493</v>
      </c>
      <c r="N150" s="28" t="s">
        <v>527</v>
      </c>
      <c r="O150" s="28" t="s">
        <v>533</v>
      </c>
      <c r="Q150" s="23" t="n">
        <v>76200</v>
      </c>
    </row>
    <row r="151" customFormat="false" ht="15" hidden="false" customHeight="false" outlineLevel="0" collapsed="false">
      <c r="A151" s="28" t="s">
        <v>322</v>
      </c>
      <c r="B151" s="28" t="s">
        <v>447</v>
      </c>
      <c r="C151" s="28" t="s">
        <v>462</v>
      </c>
      <c r="D151" s="28" t="s">
        <v>484</v>
      </c>
      <c r="E151" s="23" t="n">
        <v>101000</v>
      </c>
      <c r="F151" s="23" t="n">
        <v>101000</v>
      </c>
      <c r="H151" s="28" t="s">
        <v>450</v>
      </c>
      <c r="I151" s="28" t="s">
        <v>450</v>
      </c>
      <c r="M151" s="28" t="s">
        <v>493</v>
      </c>
      <c r="N151" s="28" t="s">
        <v>527</v>
      </c>
      <c r="O151" s="28" t="s">
        <v>534</v>
      </c>
      <c r="Q151" s="23" t="n">
        <v>101000</v>
      </c>
    </row>
    <row r="152" customFormat="false" ht="15" hidden="false" customHeight="false" outlineLevel="0" collapsed="false">
      <c r="A152" s="28" t="s">
        <v>322</v>
      </c>
      <c r="B152" s="28" t="s">
        <v>447</v>
      </c>
      <c r="C152" s="28" t="s">
        <v>462</v>
      </c>
      <c r="D152" s="28" t="s">
        <v>466</v>
      </c>
      <c r="E152" s="23" t="n">
        <v>6200</v>
      </c>
      <c r="F152" s="23" t="n">
        <v>6200</v>
      </c>
      <c r="H152" s="28" t="s">
        <v>450</v>
      </c>
      <c r="I152" s="28" t="s">
        <v>450</v>
      </c>
      <c r="M152" s="28" t="s">
        <v>493</v>
      </c>
      <c r="N152" s="28" t="s">
        <v>527</v>
      </c>
      <c r="O152" s="28" t="s">
        <v>535</v>
      </c>
      <c r="Q152" s="23" t="n">
        <v>6200</v>
      </c>
    </row>
    <row r="153" customFormat="false" ht="15" hidden="false" customHeight="false" outlineLevel="0" collapsed="false">
      <c r="A153" s="28" t="s">
        <v>322</v>
      </c>
      <c r="B153" s="28" t="s">
        <v>447</v>
      </c>
      <c r="C153" s="28" t="s">
        <v>462</v>
      </c>
      <c r="D153" s="28" t="s">
        <v>536</v>
      </c>
      <c r="E153" s="23" t="n">
        <v>175969.349</v>
      </c>
      <c r="F153" s="23" t="n">
        <v>175969.349</v>
      </c>
      <c r="H153" s="28" t="s">
        <v>450</v>
      </c>
      <c r="I153" s="28" t="s">
        <v>450</v>
      </c>
      <c r="M153" s="28" t="s">
        <v>493</v>
      </c>
      <c r="N153" s="28" t="s">
        <v>527</v>
      </c>
      <c r="O153" s="28" t="s">
        <v>537</v>
      </c>
      <c r="Q153" s="23" t="n">
        <v>175969.349</v>
      </c>
    </row>
    <row r="154" customFormat="false" ht="15" hidden="false" customHeight="false" outlineLevel="0" collapsed="false">
      <c r="A154" s="28" t="s">
        <v>322</v>
      </c>
      <c r="B154" s="28" t="s">
        <v>447</v>
      </c>
      <c r="C154" s="28" t="s">
        <v>75</v>
      </c>
      <c r="D154" s="28" t="s">
        <v>538</v>
      </c>
      <c r="E154" s="23" t="n">
        <v>150051.434903246</v>
      </c>
      <c r="F154" s="23" t="n">
        <v>153679.49528408</v>
      </c>
      <c r="G154" s="19" t="n">
        <v>0.0408</v>
      </c>
      <c r="H154" s="28" t="s">
        <v>461</v>
      </c>
      <c r="I154" s="28" t="s">
        <v>518</v>
      </c>
      <c r="J154" s="31" t="n">
        <v>2.083</v>
      </c>
      <c r="K154" s="31" t="n">
        <v>1.9386</v>
      </c>
      <c r="L154" s="31" t="n">
        <v>5.9199</v>
      </c>
      <c r="M154" s="28" t="s">
        <v>493</v>
      </c>
      <c r="N154" s="28" t="s">
        <v>527</v>
      </c>
      <c r="O154" s="28" t="s">
        <v>539</v>
      </c>
      <c r="P154" s="23" t="n">
        <v>150000</v>
      </c>
      <c r="Q154" s="23" t="n">
        <v>150051.434903246</v>
      </c>
    </row>
    <row r="155" customFormat="false" ht="15" hidden="false" customHeight="false" outlineLevel="0" collapsed="false">
      <c r="A155" s="28" t="s">
        <v>322</v>
      </c>
      <c r="B155" s="28" t="s">
        <v>447</v>
      </c>
      <c r="C155" s="28" t="s">
        <v>75</v>
      </c>
      <c r="D155" s="28" t="s">
        <v>540</v>
      </c>
      <c r="E155" s="23" t="n">
        <v>367549.241673984</v>
      </c>
      <c r="F155" s="23" t="n">
        <v>376436.133309395</v>
      </c>
      <c r="G155" s="19" t="n">
        <v>0.011375</v>
      </c>
      <c r="H155" s="28" t="s">
        <v>461</v>
      </c>
      <c r="I155" s="28" t="s">
        <v>518</v>
      </c>
      <c r="J155" s="31" t="n">
        <v>3</v>
      </c>
      <c r="K155" s="31" t="n">
        <v>2.8165</v>
      </c>
      <c r="L155" s="31" t="n">
        <v>11.3748</v>
      </c>
      <c r="M155" s="28" t="s">
        <v>493</v>
      </c>
      <c r="N155" s="28" t="s">
        <v>527</v>
      </c>
      <c r="O155" s="28" t="s">
        <v>541</v>
      </c>
      <c r="P155" s="23" t="n">
        <v>400000</v>
      </c>
      <c r="Q155" s="23" t="n">
        <v>367549.241673984</v>
      </c>
    </row>
    <row r="156" customFormat="false" ht="15" hidden="false" customHeight="false" outlineLevel="0" collapsed="false">
      <c r="A156" s="28" t="s">
        <v>322</v>
      </c>
      <c r="B156" s="28" t="s">
        <v>447</v>
      </c>
      <c r="C156" s="28" t="s">
        <v>75</v>
      </c>
      <c r="D156" s="28" t="s">
        <v>542</v>
      </c>
      <c r="E156" s="23" t="n">
        <v>548633.753403125</v>
      </c>
      <c r="F156" s="23" t="n">
        <v>561899.04730447</v>
      </c>
      <c r="G156" s="19" t="n">
        <v>0.02</v>
      </c>
      <c r="H156" s="28" t="s">
        <v>461</v>
      </c>
      <c r="I156" s="28" t="s">
        <v>518</v>
      </c>
      <c r="J156" s="31" t="n">
        <v>9.929</v>
      </c>
      <c r="K156" s="31" t="n">
        <v>7.3241</v>
      </c>
      <c r="L156" s="31" t="n">
        <v>91.3318</v>
      </c>
      <c r="M156" s="28" t="s">
        <v>493</v>
      </c>
      <c r="N156" s="28" t="s">
        <v>527</v>
      </c>
      <c r="O156" s="28" t="s">
        <v>543</v>
      </c>
      <c r="P156" s="23" t="n">
        <v>700000</v>
      </c>
      <c r="Q156" s="23" t="n">
        <v>548633.753403125</v>
      </c>
    </row>
    <row r="157" customFormat="false" ht="15" hidden="false" customHeight="false" outlineLevel="0" collapsed="false">
      <c r="A157" s="28" t="s">
        <v>322</v>
      </c>
      <c r="B157" s="28" t="s">
        <v>447</v>
      </c>
      <c r="C157" s="28" t="s">
        <v>75</v>
      </c>
      <c r="D157" s="28" t="s">
        <v>544</v>
      </c>
      <c r="E157" s="23" t="n">
        <v>305274.71975975</v>
      </c>
      <c r="F157" s="23" t="n">
        <v>312655.889534932</v>
      </c>
      <c r="G157" s="19" t="n">
        <v>0.0525</v>
      </c>
      <c r="H157" s="28" t="s">
        <v>461</v>
      </c>
      <c r="I157" s="28" t="s">
        <v>518</v>
      </c>
      <c r="J157" s="31" t="n">
        <v>8.779</v>
      </c>
      <c r="K157" s="31" t="n">
        <v>6.2944</v>
      </c>
      <c r="L157" s="31" t="n">
        <v>-3.5469</v>
      </c>
      <c r="M157" s="28" t="s">
        <v>493</v>
      </c>
      <c r="N157" s="28" t="s">
        <v>527</v>
      </c>
      <c r="O157" s="28" t="s">
        <v>545</v>
      </c>
      <c r="P157" s="23" t="n">
        <v>300000</v>
      </c>
      <c r="Q157" s="23" t="n">
        <v>305274.71975975</v>
      </c>
    </row>
    <row r="158" customFormat="false" ht="15" hidden="false" customHeight="false" outlineLevel="0" collapsed="false">
      <c r="A158" s="28" t="s">
        <v>322</v>
      </c>
      <c r="B158" s="28" t="s">
        <v>447</v>
      </c>
      <c r="C158" s="28" t="s">
        <v>75</v>
      </c>
      <c r="D158" s="28" t="s">
        <v>546</v>
      </c>
      <c r="E158" s="23" t="n">
        <v>352414.480607701</v>
      </c>
      <c r="F158" s="23" t="n">
        <v>360935.432210393</v>
      </c>
      <c r="G158" s="19" t="n">
        <v>0.025</v>
      </c>
      <c r="H158" s="28" t="s">
        <v>461</v>
      </c>
      <c r="I158" s="28" t="s">
        <v>518</v>
      </c>
      <c r="J158" s="31" t="n">
        <v>6.085</v>
      </c>
      <c r="K158" s="31" t="n">
        <v>5.0754</v>
      </c>
      <c r="L158" s="31" t="n">
        <v>76.4512</v>
      </c>
      <c r="M158" s="28" t="s">
        <v>493</v>
      </c>
      <c r="N158" s="28" t="s">
        <v>527</v>
      </c>
      <c r="O158" s="28" t="s">
        <v>547</v>
      </c>
      <c r="P158" s="23" t="n">
        <v>400000</v>
      </c>
      <c r="Q158" s="23" t="n">
        <v>352414.480607701</v>
      </c>
    </row>
    <row r="159" customFormat="false" ht="15" hidden="false" customHeight="false" outlineLevel="0" collapsed="false">
      <c r="A159" s="28" t="s">
        <v>322</v>
      </c>
      <c r="B159" s="28" t="s">
        <v>447</v>
      </c>
      <c r="C159" s="28" t="s">
        <v>75</v>
      </c>
      <c r="D159" s="28" t="s">
        <v>548</v>
      </c>
      <c r="E159" s="23" t="n">
        <v>136497.166545512</v>
      </c>
      <c r="F159" s="23" t="n">
        <v>139797.501276461</v>
      </c>
      <c r="G159" s="19" t="n">
        <v>0.020015</v>
      </c>
      <c r="H159" s="28" t="s">
        <v>461</v>
      </c>
      <c r="I159" s="28" t="s">
        <v>518</v>
      </c>
      <c r="J159" s="31" t="n">
        <v>7.151</v>
      </c>
      <c r="K159" s="31" t="n">
        <v>6.4141</v>
      </c>
      <c r="L159" s="31" t="n">
        <v>48.2931</v>
      </c>
      <c r="M159" s="28" t="s">
        <v>493</v>
      </c>
      <c r="N159" s="28" t="s">
        <v>527</v>
      </c>
      <c r="O159" s="28" t="s">
        <v>549</v>
      </c>
      <c r="P159" s="23" t="n">
        <v>164880.483</v>
      </c>
      <c r="Q159" s="23" t="n">
        <v>136497.166545512</v>
      </c>
    </row>
    <row r="160" customFormat="false" ht="15" hidden="false" customHeight="false" outlineLevel="0" collapsed="false">
      <c r="A160" s="28" t="s">
        <v>322</v>
      </c>
      <c r="B160" s="28" t="s">
        <v>447</v>
      </c>
      <c r="C160" s="28" t="s">
        <v>75</v>
      </c>
      <c r="D160" s="28" t="s">
        <v>550</v>
      </c>
      <c r="E160" s="23" t="n">
        <v>97853.5160956092</v>
      </c>
      <c r="F160" s="23" t="n">
        <v>100219.494568929</v>
      </c>
      <c r="G160" s="19" t="n">
        <v>0.0425</v>
      </c>
      <c r="H160" s="28" t="s">
        <v>471</v>
      </c>
      <c r="I160" s="28" t="s">
        <v>551</v>
      </c>
      <c r="J160" s="31" t="n">
        <v>4.71</v>
      </c>
      <c r="K160" s="31" t="n">
        <v>-0.1097</v>
      </c>
      <c r="L160" s="31" t="n">
        <v>1.334</v>
      </c>
      <c r="M160" s="28" t="s">
        <v>493</v>
      </c>
      <c r="N160" s="28" t="s">
        <v>527</v>
      </c>
      <c r="O160" s="28" t="s">
        <v>552</v>
      </c>
      <c r="P160" s="23" t="n">
        <v>100000</v>
      </c>
      <c r="Q160" s="23" t="n">
        <v>97853.5160956092</v>
      </c>
    </row>
    <row r="161" customFormat="false" ht="15" hidden="false" customHeight="false" outlineLevel="0" collapsed="false">
      <c r="A161" s="28" t="s">
        <v>322</v>
      </c>
      <c r="B161" s="28" t="s">
        <v>447</v>
      </c>
      <c r="C161" s="28" t="s">
        <v>75</v>
      </c>
      <c r="D161" s="28" t="s">
        <v>553</v>
      </c>
      <c r="E161" s="23" t="n">
        <v>700000</v>
      </c>
      <c r="F161" s="23" t="n">
        <v>721889.084093369</v>
      </c>
      <c r="G161" s="19" t="n">
        <v>0.019</v>
      </c>
      <c r="H161" s="28" t="s">
        <v>461</v>
      </c>
      <c r="I161" s="28" t="s">
        <v>518</v>
      </c>
      <c r="J161" s="31" t="n">
        <v>6.899</v>
      </c>
      <c r="K161" s="31" t="n">
        <v>5.5966</v>
      </c>
      <c r="L161" s="31" t="n">
        <v>52.0346</v>
      </c>
      <c r="M161" s="28" t="s">
        <v>493</v>
      </c>
      <c r="N161" s="28" t="s">
        <v>527</v>
      </c>
      <c r="O161" s="28" t="s">
        <v>554</v>
      </c>
      <c r="P161" s="23" t="n">
        <v>700000</v>
      </c>
      <c r="Q161" s="23" t="n">
        <v>586409.092944032</v>
      </c>
    </row>
    <row r="162" customFormat="false" ht="15" hidden="false" customHeight="false" outlineLevel="0" collapsed="false">
      <c r="A162" s="28" t="s">
        <v>322</v>
      </c>
      <c r="B162" s="28" t="s">
        <v>447</v>
      </c>
      <c r="C162" s="28" t="s">
        <v>75</v>
      </c>
      <c r="D162" s="28" t="s">
        <v>555</v>
      </c>
      <c r="E162" s="23" t="n">
        <v>300000</v>
      </c>
      <c r="F162" s="23" t="n">
        <v>309381.036040015</v>
      </c>
      <c r="G162" s="19" t="n">
        <v>0.024</v>
      </c>
      <c r="H162" s="28" t="s">
        <v>461</v>
      </c>
      <c r="I162" s="28" t="s">
        <v>518</v>
      </c>
      <c r="J162" s="31" t="n">
        <v>4</v>
      </c>
      <c r="K162" s="31" t="n">
        <v>3.7137</v>
      </c>
      <c r="L162" s="31" t="n">
        <v>16.6371</v>
      </c>
      <c r="M162" s="28" t="s">
        <v>493</v>
      </c>
      <c r="N162" s="28" t="s">
        <v>527</v>
      </c>
      <c r="O162" s="28" t="s">
        <v>556</v>
      </c>
      <c r="P162" s="23" t="n">
        <v>300000</v>
      </c>
      <c r="Q162" s="23" t="n">
        <v>276690.133972887</v>
      </c>
    </row>
    <row r="163" customFormat="false" ht="15" hidden="false" customHeight="false" outlineLevel="0" collapsed="false">
      <c r="A163" s="28" t="s">
        <v>322</v>
      </c>
      <c r="B163" s="28" t="s">
        <v>447</v>
      </c>
      <c r="C163" s="28" t="s">
        <v>75</v>
      </c>
      <c r="D163" s="28" t="s">
        <v>557</v>
      </c>
      <c r="E163" s="23" t="n">
        <v>200000</v>
      </c>
      <c r="F163" s="23" t="n">
        <v>206254.024026677</v>
      </c>
      <c r="G163" s="19" t="n">
        <v>0.026</v>
      </c>
      <c r="H163" s="28" t="s">
        <v>461</v>
      </c>
      <c r="I163" s="28" t="s">
        <v>518</v>
      </c>
      <c r="J163" s="31" t="n">
        <v>8.125</v>
      </c>
      <c r="K163" s="31" t="n">
        <v>7.0554</v>
      </c>
      <c r="L163" s="31" t="n">
        <v>58.784</v>
      </c>
      <c r="M163" s="28" t="s">
        <v>493</v>
      </c>
      <c r="N163" s="28" t="s">
        <v>527</v>
      </c>
      <c r="O163" s="28" t="s">
        <v>558</v>
      </c>
      <c r="P163" s="23" t="n">
        <v>200000</v>
      </c>
      <c r="Q163" s="23" t="n">
        <v>169099.283745517</v>
      </c>
    </row>
    <row r="164" customFormat="false" ht="15" hidden="false" customHeight="false" outlineLevel="0" collapsed="false">
      <c r="A164" s="28" t="s">
        <v>322</v>
      </c>
      <c r="B164" s="28" t="s">
        <v>447</v>
      </c>
      <c r="C164" s="28" t="s">
        <v>75</v>
      </c>
      <c r="D164" s="28" t="s">
        <v>559</v>
      </c>
      <c r="E164" s="23" t="n">
        <v>148403.71</v>
      </c>
      <c r="F164" s="23" t="n">
        <v>153044.31183994</v>
      </c>
      <c r="G164" s="19" t="n">
        <v>0.046</v>
      </c>
      <c r="H164" s="28" t="s">
        <v>461</v>
      </c>
      <c r="I164" s="28" t="s">
        <v>518</v>
      </c>
      <c r="J164" s="31" t="n">
        <v>3</v>
      </c>
      <c r="K164" s="31" t="n">
        <v>2.7542</v>
      </c>
      <c r="L164" s="31" t="n">
        <v>9.2631</v>
      </c>
      <c r="M164" s="28" t="s">
        <v>493</v>
      </c>
      <c r="N164" s="28" t="s">
        <v>527</v>
      </c>
      <c r="O164" s="28" t="s">
        <v>560</v>
      </c>
      <c r="P164" s="23" t="n">
        <v>148403.71</v>
      </c>
      <c r="Q164" s="23" t="n">
        <v>150178.331180842</v>
      </c>
    </row>
    <row r="165" customFormat="false" ht="15" hidden="false" customHeight="false" outlineLevel="0" collapsed="false">
      <c r="A165" s="28" t="s">
        <v>322</v>
      </c>
      <c r="B165" s="28" t="s">
        <v>447</v>
      </c>
      <c r="C165" s="28" t="s">
        <v>68</v>
      </c>
      <c r="D165" s="28" t="s">
        <v>561</v>
      </c>
      <c r="E165" s="23" t="n">
        <v>1515773.50272</v>
      </c>
      <c r="F165" s="23" t="n">
        <v>1474563.44139809</v>
      </c>
      <c r="G165" s="19" t="n">
        <v>0.0645</v>
      </c>
      <c r="H165" s="28" t="s">
        <v>471</v>
      </c>
      <c r="I165" s="28" t="s">
        <v>551</v>
      </c>
      <c r="J165" s="31" t="n">
        <v>3.871</v>
      </c>
      <c r="K165" s="31" t="n">
        <v>-0.051</v>
      </c>
      <c r="L165" s="31" t="n">
        <v>1.069</v>
      </c>
      <c r="M165" s="28" t="s">
        <v>493</v>
      </c>
      <c r="N165" s="28" t="s">
        <v>527</v>
      </c>
      <c r="O165" s="28" t="s">
        <v>562</v>
      </c>
      <c r="Q165" s="23" t="n">
        <v>1515773.50272</v>
      </c>
    </row>
    <row r="166" customFormat="false" ht="15" hidden="false" customHeight="false" outlineLevel="0" collapsed="false">
      <c r="A166" s="28" t="s">
        <v>322</v>
      </c>
      <c r="B166" s="28" t="s">
        <v>447</v>
      </c>
      <c r="C166" s="28" t="s">
        <v>68</v>
      </c>
      <c r="D166" s="28" t="s">
        <v>563</v>
      </c>
      <c r="E166" s="23" t="n">
        <v>589467.47328</v>
      </c>
      <c r="F166" s="23" t="n">
        <v>573441.338321479</v>
      </c>
      <c r="G166" s="19" t="n">
        <v>0.0545</v>
      </c>
      <c r="H166" s="28" t="s">
        <v>461</v>
      </c>
      <c r="I166" s="28" t="s">
        <v>518</v>
      </c>
      <c r="J166" s="31" t="n">
        <v>4.865</v>
      </c>
      <c r="K166" s="31" t="n">
        <v>4.118</v>
      </c>
      <c r="L166" s="31" t="n">
        <v>-14.8445</v>
      </c>
      <c r="M166" s="28" t="s">
        <v>493</v>
      </c>
      <c r="N166" s="28" t="s">
        <v>527</v>
      </c>
      <c r="O166" s="28" t="s">
        <v>564</v>
      </c>
      <c r="Q166" s="23" t="n">
        <v>574168.217993134</v>
      </c>
    </row>
    <row r="167" customFormat="false" ht="15" hidden="false" customHeight="false" outlineLevel="0" collapsed="false">
      <c r="A167" s="28" t="s">
        <v>322</v>
      </c>
      <c r="B167" s="28" t="s">
        <v>447</v>
      </c>
      <c r="C167" s="28" t="s">
        <v>68</v>
      </c>
      <c r="D167" s="28" t="s">
        <v>565</v>
      </c>
      <c r="E167" s="23" t="n">
        <v>1104190.947</v>
      </c>
      <c r="F167" s="23" t="n">
        <v>1074170.77805305</v>
      </c>
      <c r="G167" s="19" t="n">
        <v>0.071</v>
      </c>
      <c r="H167" s="28" t="s">
        <v>461</v>
      </c>
      <c r="I167" s="28" t="s">
        <v>518</v>
      </c>
      <c r="J167" s="31" t="n">
        <v>1.874</v>
      </c>
      <c r="K167" s="31" t="n">
        <v>1.7126</v>
      </c>
      <c r="L167" s="31" t="n">
        <v>-5.2589</v>
      </c>
      <c r="M167" s="28" t="s">
        <v>493</v>
      </c>
      <c r="N167" s="28" t="s">
        <v>527</v>
      </c>
      <c r="O167" s="28" t="s">
        <v>566</v>
      </c>
      <c r="Q167" s="23" t="n">
        <v>1094065.15980935</v>
      </c>
    </row>
    <row r="168" customFormat="false" ht="15" hidden="false" customHeight="false" outlineLevel="0" collapsed="false">
      <c r="A168" s="28" t="s">
        <v>322</v>
      </c>
      <c r="B168" s="28" t="s">
        <v>447</v>
      </c>
      <c r="C168" s="28" t="s">
        <v>68</v>
      </c>
      <c r="D168" s="28" t="s">
        <v>567</v>
      </c>
      <c r="E168" s="23" t="n">
        <v>476328.947</v>
      </c>
      <c r="F168" s="23" t="n">
        <v>463378.763427028</v>
      </c>
      <c r="G168" s="19" t="n">
        <v>0.0625</v>
      </c>
      <c r="H168" s="28" t="s">
        <v>461</v>
      </c>
      <c r="I168" s="28" t="s">
        <v>518</v>
      </c>
      <c r="J168" s="31" t="n">
        <v>1.989</v>
      </c>
      <c r="K168" s="31" t="n">
        <v>1.8378</v>
      </c>
      <c r="L168" s="31" t="n">
        <v>-5.6686</v>
      </c>
      <c r="M168" s="28" t="s">
        <v>493</v>
      </c>
      <c r="N168" s="28" t="s">
        <v>527</v>
      </c>
      <c r="O168" s="28" t="s">
        <v>568</v>
      </c>
      <c r="Q168" s="23" t="n">
        <v>469973.764468068</v>
      </c>
    </row>
    <row r="169" customFormat="false" ht="15" hidden="false" customHeight="false" outlineLevel="0" collapsed="false">
      <c r="A169" s="28" t="s">
        <v>322</v>
      </c>
      <c r="B169" s="28" t="s">
        <v>447</v>
      </c>
      <c r="C169" s="28" t="s">
        <v>68</v>
      </c>
      <c r="D169" s="28" t="s">
        <v>569</v>
      </c>
      <c r="E169" s="23" t="n">
        <v>374430.3036</v>
      </c>
      <c r="F169" s="23" t="n">
        <v>364250.487325043</v>
      </c>
      <c r="G169" s="19" t="n">
        <v>0.043</v>
      </c>
      <c r="H169" s="28" t="s">
        <v>461</v>
      </c>
      <c r="I169" s="28" t="s">
        <v>518</v>
      </c>
      <c r="J169" s="31" t="n">
        <v>10.631</v>
      </c>
      <c r="K169" s="31" t="n">
        <v>7.2648</v>
      </c>
      <c r="L169" s="31" t="n">
        <v>149.5557</v>
      </c>
      <c r="M169" s="28" t="s">
        <v>493</v>
      </c>
      <c r="N169" s="28" t="s">
        <v>527</v>
      </c>
      <c r="O169" s="28" t="s">
        <v>570</v>
      </c>
      <c r="Q169" s="23" t="n">
        <v>318593.873652275</v>
      </c>
    </row>
    <row r="170" customFormat="false" ht="15" hidden="false" customHeight="false" outlineLevel="0" collapsed="false">
      <c r="A170" s="28" t="s">
        <v>322</v>
      </c>
      <c r="B170" s="28" t="s">
        <v>447</v>
      </c>
      <c r="C170" s="28" t="s">
        <v>68</v>
      </c>
      <c r="D170" s="28" t="s">
        <v>571</v>
      </c>
      <c r="E170" s="23" t="n">
        <v>249620.2024</v>
      </c>
      <c r="F170" s="23" t="n">
        <v>242833.658216695</v>
      </c>
      <c r="G170" s="19" t="n">
        <v>0.059</v>
      </c>
      <c r="H170" s="28" t="s">
        <v>461</v>
      </c>
      <c r="I170" s="28" t="s">
        <v>518</v>
      </c>
      <c r="J170" s="31" t="n">
        <v>8.85</v>
      </c>
      <c r="K170" s="31" t="n">
        <v>1.9182</v>
      </c>
      <c r="L170" s="31" t="n">
        <v>4.5411</v>
      </c>
      <c r="M170" s="28" t="s">
        <v>493</v>
      </c>
      <c r="N170" s="28" t="s">
        <v>527</v>
      </c>
      <c r="O170" s="28" t="s">
        <v>572</v>
      </c>
      <c r="Q170" s="23" t="n">
        <v>254768.895251207</v>
      </c>
    </row>
    <row r="171" customFormat="false" ht="15" hidden="false" customHeight="false" outlineLevel="0" collapsed="false">
      <c r="A171" s="28" t="s">
        <v>322</v>
      </c>
      <c r="B171" s="28" t="s">
        <v>447</v>
      </c>
      <c r="C171" s="28" t="s">
        <v>68</v>
      </c>
      <c r="D171" s="28" t="s">
        <v>573</v>
      </c>
      <c r="E171" s="23" t="n">
        <v>720674.90295</v>
      </c>
      <c r="F171" s="23" t="n">
        <v>701081.56866197</v>
      </c>
      <c r="G171" s="19" t="n">
        <v>0.0595</v>
      </c>
      <c r="H171" s="28" t="s">
        <v>461</v>
      </c>
      <c r="I171" s="28" t="s">
        <v>518</v>
      </c>
      <c r="J171" s="31" t="n">
        <v>7.791</v>
      </c>
      <c r="K171" s="31" t="n">
        <v>1.9496</v>
      </c>
      <c r="L171" s="31" t="n">
        <v>1.1211</v>
      </c>
      <c r="M171" s="28" t="s">
        <v>493</v>
      </c>
      <c r="N171" s="28" t="s">
        <v>527</v>
      </c>
      <c r="O171" s="28" t="s">
        <v>574</v>
      </c>
      <c r="Q171" s="23" t="n">
        <v>718518.058261048</v>
      </c>
    </row>
    <row r="172" customFormat="false" ht="15" hidden="false" customHeight="false" outlineLevel="0" collapsed="false">
      <c r="A172" s="28" t="s">
        <v>322</v>
      </c>
      <c r="B172" s="28" t="s">
        <v>447</v>
      </c>
      <c r="C172" s="28" t="s">
        <v>68</v>
      </c>
      <c r="D172" s="28" t="s">
        <v>575</v>
      </c>
      <c r="E172" s="23" t="n">
        <v>127177.92405</v>
      </c>
      <c r="F172" s="23" t="n">
        <v>123720.276822701</v>
      </c>
      <c r="G172" s="19" t="n">
        <v>0.07</v>
      </c>
      <c r="H172" s="28" t="s">
        <v>471</v>
      </c>
      <c r="I172" s="28" t="s">
        <v>551</v>
      </c>
      <c r="J172" s="31" t="n">
        <v>5.747</v>
      </c>
      <c r="K172" s="31" t="n">
        <v>-0.0674</v>
      </c>
      <c r="L172" s="31" t="n">
        <v>1.3815</v>
      </c>
      <c r="M172" s="28" t="s">
        <v>493</v>
      </c>
      <c r="N172" s="28" t="s">
        <v>527</v>
      </c>
      <c r="O172" s="28" t="s">
        <v>576</v>
      </c>
      <c r="Q172" s="23" t="n">
        <v>127177.924017829</v>
      </c>
    </row>
    <row r="173" customFormat="false" ht="15" hidden="false" customHeight="false" outlineLevel="0" collapsed="false">
      <c r="A173" s="28" t="s">
        <v>322</v>
      </c>
      <c r="B173" s="28" t="s">
        <v>447</v>
      </c>
      <c r="C173" s="28" t="s">
        <v>68</v>
      </c>
      <c r="D173" s="28" t="s">
        <v>577</v>
      </c>
      <c r="E173" s="23" t="n">
        <v>20543.822</v>
      </c>
      <c r="F173" s="23" t="n">
        <v>19985.287256592</v>
      </c>
      <c r="G173" s="19" t="n">
        <v>0.076</v>
      </c>
      <c r="H173" s="28" t="s">
        <v>471</v>
      </c>
      <c r="I173" s="28" t="s">
        <v>551</v>
      </c>
      <c r="J173" s="31" t="n">
        <v>1.917</v>
      </c>
      <c r="K173" s="31" t="n">
        <v>-0.0239</v>
      </c>
      <c r="L173" s="31" t="n">
        <v>0.6475</v>
      </c>
      <c r="M173" s="28" t="s">
        <v>493</v>
      </c>
      <c r="N173" s="28" t="s">
        <v>527</v>
      </c>
      <c r="O173" s="28" t="s">
        <v>578</v>
      </c>
      <c r="Q173" s="23" t="n">
        <v>20543.8219999801</v>
      </c>
    </row>
    <row r="174" customFormat="false" ht="15" hidden="false" customHeight="false" outlineLevel="0" collapsed="false">
      <c r="A174" s="28" t="s">
        <v>322</v>
      </c>
      <c r="B174" s="28" t="s">
        <v>447</v>
      </c>
      <c r="C174" s="28" t="s">
        <v>68</v>
      </c>
      <c r="D174" s="28" t="s">
        <v>579</v>
      </c>
      <c r="E174" s="23" t="n">
        <v>62649.693</v>
      </c>
      <c r="F174" s="23" t="n">
        <v>60946.4057438922</v>
      </c>
      <c r="G174" s="19" t="n">
        <v>0.119</v>
      </c>
      <c r="H174" s="28" t="s">
        <v>461</v>
      </c>
      <c r="I174" s="28" t="s">
        <v>518</v>
      </c>
      <c r="J174" s="31" t="n">
        <v>1.248</v>
      </c>
      <c r="K174" s="31" t="n">
        <v>1.115</v>
      </c>
      <c r="L174" s="31" t="n">
        <v>2.3948</v>
      </c>
      <c r="M174" s="28" t="s">
        <v>493</v>
      </c>
      <c r="N174" s="28" t="s">
        <v>527</v>
      </c>
      <c r="O174" s="28" t="s">
        <v>580</v>
      </c>
      <c r="Q174" s="23" t="n">
        <v>62136.6530189986</v>
      </c>
    </row>
    <row r="175" customFormat="false" ht="15" hidden="false" customHeight="false" outlineLevel="0" collapsed="false">
      <c r="A175" s="28" t="s">
        <v>322</v>
      </c>
      <c r="B175" s="28" t="s">
        <v>447</v>
      </c>
      <c r="C175" s="28" t="s">
        <v>68</v>
      </c>
      <c r="D175" s="28" t="s">
        <v>581</v>
      </c>
      <c r="E175" s="23" t="n">
        <v>41766.462</v>
      </c>
      <c r="F175" s="23" t="n">
        <v>40630.9371625948</v>
      </c>
      <c r="G175" s="19" t="n">
        <v>0.1415</v>
      </c>
      <c r="H175" s="28" t="s">
        <v>471</v>
      </c>
      <c r="I175" s="28" t="s">
        <v>551</v>
      </c>
      <c r="J175" s="31" t="n">
        <v>1.664</v>
      </c>
      <c r="K175" s="31" t="n">
        <v>-0.0135</v>
      </c>
      <c r="L175" s="31" t="n">
        <v>0.5404</v>
      </c>
      <c r="M175" s="28" t="s">
        <v>493</v>
      </c>
      <c r="N175" s="28" t="s">
        <v>527</v>
      </c>
      <c r="O175" s="28" t="s">
        <v>582</v>
      </c>
      <c r="Q175" s="23" t="n">
        <v>41766.462</v>
      </c>
    </row>
    <row r="176" customFormat="false" ht="15" hidden="false" customHeight="false" outlineLevel="0" collapsed="false">
      <c r="A176" s="28" t="s">
        <v>322</v>
      </c>
      <c r="B176" s="28" t="s">
        <v>447</v>
      </c>
      <c r="C176" s="28" t="s">
        <v>68</v>
      </c>
      <c r="D176" s="28" t="s">
        <v>583</v>
      </c>
      <c r="E176" s="23" t="n">
        <v>21376.155</v>
      </c>
      <c r="F176" s="23" t="n">
        <v>20794.991220058</v>
      </c>
      <c r="G176" s="19" t="n">
        <v>0.092</v>
      </c>
      <c r="H176" s="28" t="s">
        <v>461</v>
      </c>
      <c r="I176" s="28" t="s">
        <v>518</v>
      </c>
      <c r="J176" s="31" t="n">
        <v>2.383</v>
      </c>
      <c r="K176" s="31" t="n">
        <v>2.0183</v>
      </c>
      <c r="L176" s="31" t="n">
        <v>7.2815</v>
      </c>
      <c r="M176" s="28" t="s">
        <v>493</v>
      </c>
      <c r="N176" s="28" t="s">
        <v>527</v>
      </c>
      <c r="O176" s="28" t="s">
        <v>584</v>
      </c>
      <c r="Q176" s="23" t="n">
        <v>21135.4090917488</v>
      </c>
    </row>
    <row r="177" customFormat="false" ht="15" hidden="false" customHeight="false" outlineLevel="0" collapsed="false">
      <c r="A177" s="28" t="s">
        <v>322</v>
      </c>
      <c r="B177" s="28" t="s">
        <v>447</v>
      </c>
      <c r="C177" s="28" t="s">
        <v>68</v>
      </c>
      <c r="D177" s="28" t="s">
        <v>585</v>
      </c>
      <c r="E177" s="23" t="n">
        <v>1397.217</v>
      </c>
      <c r="F177" s="23" t="n">
        <v>1359.23019118807</v>
      </c>
      <c r="G177" s="19" t="n">
        <v>0.095</v>
      </c>
      <c r="H177" s="28" t="s">
        <v>461</v>
      </c>
      <c r="I177" s="28" t="s">
        <v>518</v>
      </c>
      <c r="J177" s="31" t="n">
        <v>3.774</v>
      </c>
      <c r="K177" s="31" t="n">
        <v>2.9167</v>
      </c>
      <c r="L177" s="31" t="n">
        <v>14.5666</v>
      </c>
      <c r="M177" s="28" t="s">
        <v>493</v>
      </c>
      <c r="N177" s="28" t="s">
        <v>527</v>
      </c>
      <c r="O177" s="28" t="s">
        <v>586</v>
      </c>
      <c r="Q177" s="23" t="n">
        <v>1335.71585848859</v>
      </c>
    </row>
    <row r="178" customFormat="false" ht="15" hidden="false" customHeight="false" outlineLevel="0" collapsed="false">
      <c r="A178" s="28" t="s">
        <v>322</v>
      </c>
      <c r="B178" s="28" t="s">
        <v>447</v>
      </c>
      <c r="C178" s="28" t="s">
        <v>68</v>
      </c>
      <c r="D178" s="28" t="s">
        <v>587</v>
      </c>
      <c r="E178" s="23" t="n">
        <v>42.972</v>
      </c>
      <c r="F178" s="23" t="n">
        <v>41.8036996227026</v>
      </c>
      <c r="G178" s="19" t="n">
        <v>0.0575</v>
      </c>
      <c r="H178" s="28" t="s">
        <v>461</v>
      </c>
      <c r="I178" s="28" t="s">
        <v>518</v>
      </c>
      <c r="J178" s="31" t="n">
        <v>6.225</v>
      </c>
      <c r="K178" s="31" t="n">
        <v>4.6923</v>
      </c>
      <c r="L178" s="31" t="n">
        <v>39.0319</v>
      </c>
      <c r="M178" s="28" t="s">
        <v>493</v>
      </c>
      <c r="N178" s="28" t="s">
        <v>527</v>
      </c>
      <c r="O178" s="28" t="s">
        <v>588</v>
      </c>
      <c r="Q178" s="23" t="n">
        <v>41.5791222307988</v>
      </c>
    </row>
    <row r="179" customFormat="false" ht="15" hidden="false" customHeight="false" outlineLevel="0" collapsed="false">
      <c r="A179" s="28" t="s">
        <v>322</v>
      </c>
      <c r="B179" s="28" t="s">
        <v>469</v>
      </c>
      <c r="C179" s="28" t="s">
        <v>474</v>
      </c>
      <c r="D179" s="28" t="s">
        <v>589</v>
      </c>
      <c r="E179" s="23" t="n">
        <v>7999</v>
      </c>
      <c r="F179" s="23" t="n">
        <v>7999</v>
      </c>
      <c r="H179" s="28" t="s">
        <v>450</v>
      </c>
      <c r="I179" s="28" t="s">
        <v>450</v>
      </c>
      <c r="M179" s="28" t="s">
        <v>497</v>
      </c>
      <c r="N179" s="28" t="s">
        <v>510</v>
      </c>
      <c r="O179" s="28" t="s">
        <v>590</v>
      </c>
      <c r="Q179" s="23" t="n">
        <v>7999</v>
      </c>
    </row>
    <row r="180" customFormat="false" ht="15" hidden="false" customHeight="false" outlineLevel="0" collapsed="false">
      <c r="A180" s="28" t="s">
        <v>322</v>
      </c>
      <c r="B180" s="28" t="s">
        <v>469</v>
      </c>
      <c r="C180" s="28" t="s">
        <v>474</v>
      </c>
      <c r="D180" s="28" t="s">
        <v>591</v>
      </c>
      <c r="E180" s="23" t="n">
        <v>116419.196</v>
      </c>
      <c r="F180" s="23" t="n">
        <v>116419.196</v>
      </c>
      <c r="H180" s="28" t="s">
        <v>450</v>
      </c>
      <c r="I180" s="28" t="s">
        <v>450</v>
      </c>
      <c r="M180" s="28" t="s">
        <v>497</v>
      </c>
      <c r="N180" s="28" t="s">
        <v>510</v>
      </c>
      <c r="O180" s="28" t="s">
        <v>592</v>
      </c>
      <c r="Q180" s="23" t="n">
        <v>116419.196</v>
      </c>
    </row>
    <row r="181" customFormat="false" ht="15" hidden="false" customHeight="false" outlineLevel="0" collapsed="false">
      <c r="A181" s="28" t="s">
        <v>322</v>
      </c>
      <c r="B181" s="28" t="s">
        <v>469</v>
      </c>
      <c r="C181" s="28" t="s">
        <v>242</v>
      </c>
      <c r="D181" s="28" t="s">
        <v>593</v>
      </c>
      <c r="E181" s="23" t="n">
        <v>1551679.623</v>
      </c>
      <c r="F181" s="23" t="n">
        <v>1532986.92255307</v>
      </c>
      <c r="G181" s="19" t="n">
        <v>0.0006</v>
      </c>
      <c r="H181" s="28" t="s">
        <v>471</v>
      </c>
      <c r="I181" s="28" t="s">
        <v>450</v>
      </c>
      <c r="J181" s="31" t="n">
        <v>6.6</v>
      </c>
      <c r="K181" s="31" t="n">
        <v>4.8098</v>
      </c>
      <c r="L181" s="31" t="n">
        <v>48.8494</v>
      </c>
      <c r="M181" s="28" t="s">
        <v>493</v>
      </c>
      <c r="N181" s="28" t="s">
        <v>527</v>
      </c>
      <c r="O181" s="28" t="s">
        <v>594</v>
      </c>
      <c r="Q181" s="23" t="n">
        <v>1240835.91815688</v>
      </c>
    </row>
    <row r="182" customFormat="false" ht="15" hidden="false" customHeight="false" outlineLevel="0" collapsed="false">
      <c r="A182" s="28" t="s">
        <v>322</v>
      </c>
      <c r="B182" s="28" t="s">
        <v>469</v>
      </c>
      <c r="C182" s="28" t="s">
        <v>242</v>
      </c>
      <c r="D182" s="28" t="s">
        <v>595</v>
      </c>
      <c r="E182" s="23" t="n">
        <v>330000</v>
      </c>
      <c r="F182" s="23" t="n">
        <v>326024.571660251</v>
      </c>
      <c r="G182" s="19" t="n">
        <v>0.0015</v>
      </c>
      <c r="H182" s="28" t="s">
        <v>471</v>
      </c>
      <c r="I182" s="28" t="s">
        <v>450</v>
      </c>
      <c r="J182" s="31" t="n">
        <v>4.518</v>
      </c>
      <c r="K182" s="31" t="n">
        <v>3.2594</v>
      </c>
      <c r="L182" s="31" t="n">
        <v>42.6189</v>
      </c>
      <c r="M182" s="28" t="s">
        <v>493</v>
      </c>
      <c r="N182" s="28" t="s">
        <v>527</v>
      </c>
      <c r="O182" s="28" t="s">
        <v>596</v>
      </c>
      <c r="Q182" s="23" t="n">
        <v>281801.815089628</v>
      </c>
    </row>
    <row r="183" customFormat="false" ht="15" hidden="false" customHeight="false" outlineLevel="0" collapsed="false">
      <c r="A183" s="28" t="s">
        <v>322</v>
      </c>
      <c r="B183" s="28" t="s">
        <v>469</v>
      </c>
      <c r="C183" s="28" t="s">
        <v>242</v>
      </c>
      <c r="D183" s="28" t="s">
        <v>597</v>
      </c>
      <c r="E183" s="23" t="n">
        <v>1462571.75</v>
      </c>
      <c r="F183" s="23" t="n">
        <v>1444952.51004889</v>
      </c>
      <c r="G183" s="19" t="n">
        <v>0.001</v>
      </c>
      <c r="H183" s="28" t="s">
        <v>471</v>
      </c>
      <c r="I183" s="28" t="s">
        <v>450</v>
      </c>
      <c r="J183" s="31" t="n">
        <v>6.6</v>
      </c>
      <c r="K183" s="31" t="n">
        <v>4.6275</v>
      </c>
      <c r="L183" s="31" t="n">
        <v>46.9998</v>
      </c>
      <c r="M183" s="28" t="s">
        <v>493</v>
      </c>
      <c r="N183" s="28" t="s">
        <v>527</v>
      </c>
      <c r="O183" s="28" t="s">
        <v>598</v>
      </c>
      <c r="Q183" s="23" t="n">
        <v>1154074.35528948</v>
      </c>
    </row>
    <row r="184" customFormat="false" ht="15" hidden="false" customHeight="false" outlineLevel="0" collapsed="false">
      <c r="A184" s="28" t="s">
        <v>322</v>
      </c>
      <c r="B184" s="28" t="s">
        <v>469</v>
      </c>
      <c r="C184" s="28" t="s">
        <v>242</v>
      </c>
      <c r="D184" s="28" t="s">
        <v>599</v>
      </c>
      <c r="E184" s="23" t="n">
        <v>50000</v>
      </c>
      <c r="F184" s="23" t="n">
        <v>49397.6623727652</v>
      </c>
      <c r="G184" s="19" t="n">
        <v>0.001</v>
      </c>
      <c r="H184" s="28" t="s">
        <v>471</v>
      </c>
      <c r="I184" s="28" t="s">
        <v>450</v>
      </c>
      <c r="J184" s="31" t="n">
        <v>4.518</v>
      </c>
      <c r="K184" s="31" t="n">
        <v>3.3505</v>
      </c>
      <c r="L184" s="31" t="n">
        <v>43.036</v>
      </c>
      <c r="M184" s="28" t="s">
        <v>493</v>
      </c>
      <c r="N184" s="28" t="s">
        <v>527</v>
      </c>
      <c r="O184" s="28" t="s">
        <v>600</v>
      </c>
      <c r="Q184" s="23" t="n">
        <v>42230.401559415</v>
      </c>
    </row>
    <row r="185" customFormat="false" ht="15" hidden="false" customHeight="false" outlineLevel="0" collapsed="false">
      <c r="A185" s="28" t="s">
        <v>322</v>
      </c>
      <c r="B185" s="28" t="s">
        <v>469</v>
      </c>
      <c r="C185" s="28" t="s">
        <v>242</v>
      </c>
      <c r="D185" s="28" t="s">
        <v>601</v>
      </c>
      <c r="E185" s="23" t="n">
        <v>1000000</v>
      </c>
      <c r="F185" s="23" t="n">
        <v>987953.247455305</v>
      </c>
      <c r="G185" s="19" t="n">
        <v>0.0055</v>
      </c>
      <c r="H185" s="28" t="s">
        <v>471</v>
      </c>
      <c r="I185" s="28" t="s">
        <v>450</v>
      </c>
      <c r="J185" s="31" t="n">
        <v>4.518</v>
      </c>
      <c r="K185" s="31" t="n">
        <v>3.1326</v>
      </c>
      <c r="L185" s="31" t="n">
        <v>65.7523</v>
      </c>
      <c r="M185" s="28" t="s">
        <v>493</v>
      </c>
      <c r="N185" s="28" t="s">
        <v>527</v>
      </c>
      <c r="O185" s="28" t="s">
        <v>602</v>
      </c>
      <c r="Q185" s="23" t="n">
        <v>855812.266815533</v>
      </c>
    </row>
    <row r="186" customFormat="false" ht="15" hidden="false" customHeight="false" outlineLevel="0" collapsed="false">
      <c r="A186" s="28" t="s">
        <v>322</v>
      </c>
      <c r="B186" s="28" t="s">
        <v>469</v>
      </c>
      <c r="C186" s="28" t="s">
        <v>242</v>
      </c>
      <c r="D186" s="28" t="s">
        <v>603</v>
      </c>
      <c r="E186" s="23" t="n">
        <v>1100000</v>
      </c>
      <c r="F186" s="23" t="n">
        <v>1086748.57220084</v>
      </c>
      <c r="G186" s="19" t="n">
        <v>0.0145</v>
      </c>
      <c r="H186" s="28" t="s">
        <v>471</v>
      </c>
      <c r="I186" s="28" t="s">
        <v>450</v>
      </c>
      <c r="J186" s="31" t="n">
        <v>3.517</v>
      </c>
      <c r="K186" s="31" t="n">
        <v>1.8385</v>
      </c>
      <c r="L186" s="31" t="n">
        <v>76.4147</v>
      </c>
      <c r="M186" s="28" t="s">
        <v>493</v>
      </c>
      <c r="N186" s="28" t="s">
        <v>527</v>
      </c>
      <c r="O186" s="28" t="s">
        <v>604</v>
      </c>
      <c r="Q186" s="23" t="n">
        <v>1003659.15846778</v>
      </c>
    </row>
    <row r="187" customFormat="false" ht="15" hidden="false" customHeight="false" outlineLevel="0" collapsed="false">
      <c r="A187" s="28" t="s">
        <v>322</v>
      </c>
      <c r="B187" s="28" t="s">
        <v>469</v>
      </c>
      <c r="C187" s="28" t="s">
        <v>242</v>
      </c>
      <c r="D187" s="28" t="s">
        <v>605</v>
      </c>
      <c r="E187" s="23" t="n">
        <v>800000</v>
      </c>
      <c r="F187" s="23" t="n">
        <v>790362.597964244</v>
      </c>
      <c r="G187" s="19" t="n">
        <v>0.0225</v>
      </c>
      <c r="H187" s="28" t="s">
        <v>471</v>
      </c>
      <c r="I187" s="28" t="s">
        <v>450</v>
      </c>
      <c r="J187" s="31" t="n">
        <v>2.845</v>
      </c>
      <c r="K187" s="31" t="n">
        <v>1.1424</v>
      </c>
      <c r="L187" s="31" t="n">
        <v>59.8088</v>
      </c>
      <c r="M187" s="28" t="s">
        <v>493</v>
      </c>
      <c r="N187" s="28" t="s">
        <v>527</v>
      </c>
      <c r="O187" s="28" t="s">
        <v>606</v>
      </c>
      <c r="Q187" s="23" t="n">
        <v>757831.77669435</v>
      </c>
    </row>
    <row r="188" customFormat="false" ht="15" hidden="false" customHeight="false" outlineLevel="0" collapsed="false">
      <c r="A188" s="28" t="s">
        <v>322</v>
      </c>
      <c r="B188" s="28" t="s">
        <v>469</v>
      </c>
      <c r="C188" s="28" t="s">
        <v>242</v>
      </c>
      <c r="D188" s="28" t="s">
        <v>607</v>
      </c>
      <c r="E188" s="23" t="n">
        <v>765287.677</v>
      </c>
      <c r="F188" s="23" t="n">
        <v>756068.445729676</v>
      </c>
      <c r="G188" s="19" t="n">
        <v>0.0285</v>
      </c>
      <c r="H188" s="28" t="s">
        <v>471</v>
      </c>
      <c r="I188" s="28" t="s">
        <v>450</v>
      </c>
      <c r="J188" s="31" t="n">
        <v>2</v>
      </c>
      <c r="K188" s="31" t="n">
        <v>0.5771</v>
      </c>
      <c r="L188" s="31" t="n">
        <v>40.5215</v>
      </c>
      <c r="M188" s="28" t="s">
        <v>493</v>
      </c>
      <c r="N188" s="28" t="s">
        <v>527</v>
      </c>
      <c r="O188" s="28" t="s">
        <v>608</v>
      </c>
      <c r="Q188" s="23" t="n">
        <v>744566.853413978</v>
      </c>
    </row>
    <row r="189" customFormat="false" ht="15" hidden="false" customHeight="false" outlineLevel="0" collapsed="false">
      <c r="A189" s="28" t="s">
        <v>322</v>
      </c>
      <c r="B189" s="28" t="s">
        <v>469</v>
      </c>
      <c r="C189" s="28" t="s">
        <v>242</v>
      </c>
      <c r="D189" s="28" t="s">
        <v>609</v>
      </c>
      <c r="E189" s="23" t="n">
        <v>74688.3604</v>
      </c>
      <c r="F189" s="23" t="n">
        <v>73788.6082042922</v>
      </c>
      <c r="G189" s="19" t="n">
        <v>0.012</v>
      </c>
      <c r="H189" s="28" t="s">
        <v>471</v>
      </c>
      <c r="I189" s="28" t="s">
        <v>450</v>
      </c>
      <c r="J189" s="31" t="n">
        <v>9.129</v>
      </c>
      <c r="K189" s="31" t="n">
        <v>4.9181</v>
      </c>
      <c r="L189" s="31" t="n">
        <v>144.3652</v>
      </c>
      <c r="M189" s="28" t="s">
        <v>493</v>
      </c>
      <c r="N189" s="28" t="s">
        <v>527</v>
      </c>
      <c r="O189" s="28" t="s">
        <v>610</v>
      </c>
      <c r="Q189" s="23" t="n">
        <v>58393.5645082874</v>
      </c>
    </row>
    <row r="190" customFormat="false" ht="15" hidden="false" customHeight="false" outlineLevel="0" collapsed="false">
      <c r="A190" s="28" t="s">
        <v>322</v>
      </c>
      <c r="B190" s="28" t="s">
        <v>469</v>
      </c>
      <c r="C190" s="28" t="s">
        <v>242</v>
      </c>
      <c r="D190" s="28" t="s">
        <v>611</v>
      </c>
      <c r="E190" s="23" t="n">
        <v>14494.065</v>
      </c>
      <c r="F190" s="23" t="n">
        <v>14319.4585855783</v>
      </c>
      <c r="G190" s="19" t="n">
        <v>0.004</v>
      </c>
      <c r="H190" s="28" t="s">
        <v>471</v>
      </c>
      <c r="I190" s="28" t="s">
        <v>450</v>
      </c>
      <c r="J190" s="31" t="n">
        <v>3.517</v>
      </c>
      <c r="K190" s="31" t="n">
        <v>2.6436</v>
      </c>
      <c r="L190" s="31" t="n">
        <v>16.7022</v>
      </c>
      <c r="M190" s="28" t="s">
        <v>493</v>
      </c>
      <c r="N190" s="28" t="s">
        <v>527</v>
      </c>
      <c r="O190" s="28" t="s">
        <v>612</v>
      </c>
      <c r="Q190" s="23" t="n">
        <v>12873.4705060105</v>
      </c>
    </row>
    <row r="191" customFormat="false" ht="15" hidden="false" customHeight="false" outlineLevel="0" collapsed="false">
      <c r="A191" s="28" t="s">
        <v>322</v>
      </c>
      <c r="B191" s="28" t="s">
        <v>469</v>
      </c>
      <c r="C191" s="28" t="s">
        <v>242</v>
      </c>
      <c r="D191" s="28" t="s">
        <v>613</v>
      </c>
      <c r="E191" s="23" t="n">
        <v>734544.639</v>
      </c>
      <c r="F191" s="23" t="n">
        <v>725695.761500934</v>
      </c>
      <c r="G191" s="19" t="n">
        <v>0.037835</v>
      </c>
      <c r="H191" s="28" t="s">
        <v>461</v>
      </c>
      <c r="I191" s="28" t="s">
        <v>450</v>
      </c>
      <c r="J191" s="31" t="n">
        <v>0.771</v>
      </c>
      <c r="K191" s="31" t="n">
        <v>0.7337</v>
      </c>
      <c r="L191" s="31" t="n">
        <v>1.4499</v>
      </c>
      <c r="M191" s="28" t="s">
        <v>493</v>
      </c>
      <c r="N191" s="28" t="s">
        <v>527</v>
      </c>
      <c r="O191" s="28" t="s">
        <v>614</v>
      </c>
      <c r="Q191" s="23" t="n">
        <v>733335.073898464</v>
      </c>
    </row>
    <row r="192" customFormat="false" ht="15" hidden="false" customHeight="false" outlineLevel="0" collapsed="false">
      <c r="A192" s="28" t="s">
        <v>322</v>
      </c>
      <c r="B192" s="28" t="s">
        <v>469</v>
      </c>
      <c r="C192" s="28" t="s">
        <v>242</v>
      </c>
      <c r="D192" s="28" t="s">
        <v>615</v>
      </c>
      <c r="E192" s="23" t="n">
        <v>860301.67</v>
      </c>
      <c r="F192" s="23" t="n">
        <v>849937.828667722</v>
      </c>
      <c r="G192" s="19" t="n">
        <v>0.038936</v>
      </c>
      <c r="H192" s="28" t="s">
        <v>461</v>
      </c>
      <c r="I192" s="28" t="s">
        <v>450</v>
      </c>
      <c r="J192" s="31" t="n">
        <v>0.771</v>
      </c>
      <c r="K192" s="31" t="n">
        <v>0.7337</v>
      </c>
      <c r="L192" s="31" t="n">
        <v>1.4501</v>
      </c>
      <c r="M192" s="28" t="s">
        <v>493</v>
      </c>
      <c r="N192" s="28" t="s">
        <v>527</v>
      </c>
      <c r="O192" s="28" t="s">
        <v>616</v>
      </c>
      <c r="Q192" s="23" t="n">
        <v>859591.344075332</v>
      </c>
    </row>
    <row r="193" customFormat="false" ht="15" hidden="false" customHeight="false" outlineLevel="0" collapsed="false">
      <c r="A193" s="28" t="s">
        <v>322</v>
      </c>
      <c r="B193" s="28" t="s">
        <v>469</v>
      </c>
      <c r="C193" s="28" t="s">
        <v>242</v>
      </c>
      <c r="D193" s="28" t="s">
        <v>617</v>
      </c>
      <c r="E193" s="23" t="n">
        <v>112032.5406</v>
      </c>
      <c r="F193" s="23" t="n">
        <v>110682.912306438</v>
      </c>
      <c r="G193" s="19" t="n">
        <v>0.038925</v>
      </c>
      <c r="H193" s="28" t="s">
        <v>461</v>
      </c>
      <c r="I193" s="28" t="s">
        <v>450</v>
      </c>
      <c r="J193" s="31" t="n">
        <v>1.492</v>
      </c>
      <c r="K193" s="31" t="n">
        <v>1.3971</v>
      </c>
      <c r="L193" s="31" t="n">
        <v>3.8276</v>
      </c>
      <c r="M193" s="28" t="s">
        <v>493</v>
      </c>
      <c r="N193" s="28" t="s">
        <v>527</v>
      </c>
      <c r="O193" s="28" t="s">
        <v>618</v>
      </c>
      <c r="Q193" s="23" t="n">
        <v>111800.889815408</v>
      </c>
    </row>
    <row r="194" customFormat="false" ht="15" hidden="false" customHeight="false" outlineLevel="0" collapsed="false">
      <c r="A194" s="28" t="s">
        <v>322</v>
      </c>
      <c r="B194" s="28" t="s">
        <v>223</v>
      </c>
      <c r="C194" s="28" t="s">
        <v>223</v>
      </c>
      <c r="D194" s="28" t="s">
        <v>619</v>
      </c>
      <c r="E194" s="23" t="n">
        <v>1106858.045</v>
      </c>
      <c r="H194" s="28" t="s">
        <v>450</v>
      </c>
      <c r="I194" s="28" t="s">
        <v>450</v>
      </c>
      <c r="M194" s="28" t="s">
        <v>497</v>
      </c>
      <c r="N194" s="28" t="s">
        <v>510</v>
      </c>
      <c r="O194" s="28" t="s">
        <v>620</v>
      </c>
    </row>
    <row r="195" customFormat="false" ht="15" hidden="false" customHeight="false" outlineLevel="0" collapsed="false">
      <c r="A195" s="28" t="s">
        <v>322</v>
      </c>
      <c r="B195" s="28" t="s">
        <v>223</v>
      </c>
      <c r="C195" s="28" t="s">
        <v>223</v>
      </c>
      <c r="D195" s="28" t="s">
        <v>507</v>
      </c>
      <c r="E195" s="23" t="n">
        <v>54770.059</v>
      </c>
      <c r="H195" s="28" t="s">
        <v>450</v>
      </c>
      <c r="I195" s="28" t="s">
        <v>450</v>
      </c>
      <c r="M195" s="28" t="s">
        <v>497</v>
      </c>
      <c r="N195" s="28" t="s">
        <v>510</v>
      </c>
      <c r="O195" s="28" t="s">
        <v>621</v>
      </c>
    </row>
    <row r="196" customFormat="false" ht="15" hidden="false" customHeight="false" outlineLevel="0" collapsed="false">
      <c r="A196" s="28" t="s">
        <v>322</v>
      </c>
      <c r="B196" s="28" t="s">
        <v>223</v>
      </c>
      <c r="C196" s="28" t="s">
        <v>223</v>
      </c>
      <c r="D196" s="28" t="s">
        <v>622</v>
      </c>
      <c r="E196" s="23" t="n">
        <v>-256606.17</v>
      </c>
      <c r="H196" s="28" t="s">
        <v>450</v>
      </c>
      <c r="I196" s="28" t="s">
        <v>450</v>
      </c>
      <c r="M196" s="28" t="s">
        <v>497</v>
      </c>
      <c r="N196" s="28" t="s">
        <v>510</v>
      </c>
      <c r="O196" s="28" t="s">
        <v>623</v>
      </c>
    </row>
    <row r="197" customFormat="false" ht="15" hidden="false" customHeight="false" outlineLevel="0" collapsed="false">
      <c r="A197" s="28" t="s">
        <v>322</v>
      </c>
      <c r="B197" s="28" t="s">
        <v>223</v>
      </c>
      <c r="C197" s="28" t="s">
        <v>223</v>
      </c>
      <c r="D197" s="28" t="s">
        <v>624</v>
      </c>
      <c r="E197" s="23" t="n">
        <v>2804.572</v>
      </c>
      <c r="H197" s="28" t="s">
        <v>450</v>
      </c>
      <c r="I197" s="28" t="s">
        <v>450</v>
      </c>
      <c r="M197" s="28" t="s">
        <v>497</v>
      </c>
      <c r="N197" s="28" t="s">
        <v>510</v>
      </c>
      <c r="O197" s="28" t="s">
        <v>625</v>
      </c>
    </row>
  </sheetData>
  <autoFilter ref="A1:Q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21"/>
    <col collapsed="false" customWidth="true" hidden="false" outlineLevel="0" max="4" min="4" style="0" width="60"/>
    <col collapsed="false" customWidth="true" hidden="false" outlineLevel="0" max="5" min="5" style="0" width="21"/>
    <col collapsed="false" customWidth="true" hidden="false" outlineLevel="0" max="6" min="6" style="0" width="12"/>
    <col collapsed="false" customWidth="true" hidden="false" outlineLevel="0" max="7" min="7" style="0" width="80"/>
  </cols>
  <sheetData>
    <row r="1" customFormat="false" ht="30" hidden="false" customHeight="true" outlineLevel="0" collapsed="false">
      <c r="A1" s="27" t="s">
        <v>430</v>
      </c>
      <c r="B1" s="27" t="s">
        <v>626</v>
      </c>
      <c r="C1" s="27" t="s">
        <v>432</v>
      </c>
      <c r="D1" s="27" t="s">
        <v>433</v>
      </c>
      <c r="E1" s="27" t="s">
        <v>627</v>
      </c>
      <c r="F1" s="27" t="s">
        <v>442</v>
      </c>
      <c r="G1" s="27" t="s">
        <v>443</v>
      </c>
    </row>
    <row r="2" customFormat="false" ht="15" hidden="false" customHeight="false" outlineLevel="0" collapsed="false">
      <c r="A2" s="28" t="s">
        <v>315</v>
      </c>
      <c r="B2" s="28" t="s">
        <v>628</v>
      </c>
      <c r="C2" s="28" t="s">
        <v>629</v>
      </c>
      <c r="D2" s="28" t="s">
        <v>630</v>
      </c>
      <c r="E2" s="23" t="n">
        <v>91018.771</v>
      </c>
      <c r="F2" s="28" t="s">
        <v>452</v>
      </c>
      <c r="G2" s="28" t="s">
        <v>453</v>
      </c>
    </row>
    <row r="3" customFormat="false" ht="15" hidden="false" customHeight="false" outlineLevel="0" collapsed="false">
      <c r="A3" s="28" t="s">
        <v>315</v>
      </c>
      <c r="B3" s="28" t="s">
        <v>628</v>
      </c>
      <c r="C3" s="28" t="s">
        <v>629</v>
      </c>
      <c r="D3" s="28" t="s">
        <v>631</v>
      </c>
      <c r="E3" s="23" t="n">
        <v>66327.688</v>
      </c>
      <c r="F3" s="28" t="s">
        <v>452</v>
      </c>
      <c r="G3" s="28" t="s">
        <v>453</v>
      </c>
    </row>
    <row r="4" customFormat="false" ht="15" hidden="false" customHeight="false" outlineLevel="0" collapsed="false">
      <c r="A4" s="28" t="s">
        <v>315</v>
      </c>
      <c r="B4" s="28" t="s">
        <v>628</v>
      </c>
      <c r="C4" s="28" t="s">
        <v>632</v>
      </c>
      <c r="D4" s="28" t="s">
        <v>633</v>
      </c>
      <c r="E4" s="23" t="n">
        <v>23323.156</v>
      </c>
      <c r="F4" s="28" t="s">
        <v>493</v>
      </c>
      <c r="G4" s="28" t="s">
        <v>634</v>
      </c>
    </row>
    <row r="5" customFormat="false" ht="15" hidden="false" customHeight="false" outlineLevel="0" collapsed="false">
      <c r="A5" s="28" t="s">
        <v>315</v>
      </c>
      <c r="B5" s="28" t="s">
        <v>628</v>
      </c>
      <c r="C5" s="28" t="s">
        <v>632</v>
      </c>
      <c r="D5" s="28" t="s">
        <v>635</v>
      </c>
      <c r="E5" s="23" t="n">
        <v>1289.674</v>
      </c>
      <c r="F5" s="28" t="s">
        <v>452</v>
      </c>
      <c r="G5" s="28" t="s">
        <v>453</v>
      </c>
    </row>
    <row r="6" customFormat="false" ht="15" hidden="false" customHeight="false" outlineLevel="0" collapsed="false">
      <c r="A6" s="28" t="s">
        <v>315</v>
      </c>
      <c r="B6" s="28" t="s">
        <v>628</v>
      </c>
      <c r="C6" s="28" t="s">
        <v>636</v>
      </c>
      <c r="D6" s="28" t="s">
        <v>637</v>
      </c>
      <c r="E6" s="23" t="n">
        <v>9000</v>
      </c>
      <c r="F6" s="28" t="s">
        <v>493</v>
      </c>
      <c r="G6" s="28" t="s">
        <v>638</v>
      </c>
    </row>
    <row r="7" customFormat="false" ht="15" hidden="false" customHeight="false" outlineLevel="0" collapsed="false">
      <c r="A7" s="28" t="s">
        <v>315</v>
      </c>
      <c r="B7" s="28" t="s">
        <v>628</v>
      </c>
      <c r="C7" s="28" t="s">
        <v>639</v>
      </c>
      <c r="D7" s="28" t="s">
        <v>640</v>
      </c>
      <c r="E7" s="23" t="n">
        <v>13133.373</v>
      </c>
      <c r="F7" s="28" t="s">
        <v>452</v>
      </c>
      <c r="G7" s="28" t="s">
        <v>453</v>
      </c>
    </row>
    <row r="8" customFormat="false" ht="15" hidden="false" customHeight="false" outlineLevel="0" collapsed="false">
      <c r="A8" s="28" t="s">
        <v>315</v>
      </c>
      <c r="B8" s="28" t="s">
        <v>628</v>
      </c>
      <c r="C8" s="28" t="s">
        <v>641</v>
      </c>
      <c r="D8" s="28" t="s">
        <v>642</v>
      </c>
      <c r="E8" s="23" t="n">
        <v>42216.268</v>
      </c>
      <c r="F8" s="28" t="s">
        <v>452</v>
      </c>
      <c r="G8" s="28" t="s">
        <v>453</v>
      </c>
    </row>
    <row r="9" customFormat="false" ht="15" hidden="false" customHeight="false" outlineLevel="0" collapsed="false">
      <c r="A9" s="28" t="s">
        <v>315</v>
      </c>
      <c r="B9" s="28" t="s">
        <v>628</v>
      </c>
      <c r="C9" s="28" t="s">
        <v>641</v>
      </c>
      <c r="D9" s="28" t="s">
        <v>643</v>
      </c>
      <c r="E9" s="23" t="n">
        <v>36043.388</v>
      </c>
      <c r="F9" s="28" t="s">
        <v>452</v>
      </c>
      <c r="G9" s="28" t="s">
        <v>453</v>
      </c>
    </row>
    <row r="10" customFormat="false" ht="15" hidden="false" customHeight="false" outlineLevel="0" collapsed="false">
      <c r="A10" s="28" t="s">
        <v>315</v>
      </c>
      <c r="B10" s="28" t="s">
        <v>628</v>
      </c>
      <c r="C10" s="28" t="s">
        <v>641</v>
      </c>
      <c r="D10" s="28" t="s">
        <v>644</v>
      </c>
      <c r="E10" s="23" t="n">
        <v>26115.984</v>
      </c>
      <c r="F10" s="28" t="s">
        <v>452</v>
      </c>
      <c r="G10" s="28" t="s">
        <v>453</v>
      </c>
    </row>
    <row r="11" customFormat="false" ht="15" hidden="false" customHeight="false" outlineLevel="0" collapsed="false">
      <c r="A11" s="28" t="s">
        <v>315</v>
      </c>
      <c r="B11" s="28" t="s">
        <v>628</v>
      </c>
      <c r="C11" s="28" t="s">
        <v>641</v>
      </c>
      <c r="D11" s="28" t="s">
        <v>645</v>
      </c>
      <c r="E11" s="23" t="n">
        <v>14883.924</v>
      </c>
      <c r="F11" s="28" t="s">
        <v>452</v>
      </c>
      <c r="G11" s="28" t="s">
        <v>453</v>
      </c>
    </row>
    <row r="12" customFormat="false" ht="15" hidden="false" customHeight="false" outlineLevel="0" collapsed="false">
      <c r="A12" s="28" t="s">
        <v>315</v>
      </c>
      <c r="B12" s="28" t="s">
        <v>628</v>
      </c>
      <c r="C12" s="28" t="s">
        <v>641</v>
      </c>
      <c r="D12" s="28" t="s">
        <v>646</v>
      </c>
      <c r="E12" s="23" t="n">
        <v>7165.058</v>
      </c>
      <c r="F12" s="28" t="s">
        <v>452</v>
      </c>
      <c r="G12" s="28" t="s">
        <v>453</v>
      </c>
    </row>
    <row r="13" customFormat="false" ht="15" hidden="false" customHeight="false" outlineLevel="0" collapsed="false">
      <c r="A13" s="28" t="s">
        <v>315</v>
      </c>
      <c r="B13" s="28" t="s">
        <v>628</v>
      </c>
      <c r="C13" s="28" t="s">
        <v>641</v>
      </c>
      <c r="D13" s="28" t="s">
        <v>647</v>
      </c>
      <c r="E13" s="23" t="n">
        <v>6423.329</v>
      </c>
      <c r="F13" s="28" t="s">
        <v>452</v>
      </c>
      <c r="G13" s="28" t="s">
        <v>453</v>
      </c>
    </row>
    <row r="14" customFormat="false" ht="15" hidden="false" customHeight="false" outlineLevel="0" collapsed="false">
      <c r="A14" s="28" t="s">
        <v>315</v>
      </c>
      <c r="B14" s="28" t="s">
        <v>628</v>
      </c>
      <c r="C14" s="28" t="s">
        <v>641</v>
      </c>
      <c r="D14" s="28" t="s">
        <v>648</v>
      </c>
      <c r="E14" s="23" t="n">
        <v>2733.916</v>
      </c>
      <c r="F14" s="28" t="s">
        <v>452</v>
      </c>
      <c r="G14" s="28" t="s">
        <v>453</v>
      </c>
    </row>
    <row r="15" customFormat="false" ht="15" hidden="false" customHeight="false" outlineLevel="0" collapsed="false">
      <c r="A15" s="28" t="s">
        <v>315</v>
      </c>
      <c r="B15" s="28" t="s">
        <v>628</v>
      </c>
      <c r="C15" s="28" t="s">
        <v>649</v>
      </c>
      <c r="D15" s="28" t="s">
        <v>650</v>
      </c>
      <c r="E15" s="23" t="n">
        <v>114227.934</v>
      </c>
      <c r="F15" s="28" t="s">
        <v>452</v>
      </c>
      <c r="G15" s="28" t="s">
        <v>453</v>
      </c>
    </row>
    <row r="16" customFormat="false" ht="15" hidden="false" customHeight="false" outlineLevel="0" collapsed="false">
      <c r="A16" s="28" t="s">
        <v>315</v>
      </c>
      <c r="B16" s="28" t="s">
        <v>628</v>
      </c>
      <c r="C16" s="28" t="s">
        <v>649</v>
      </c>
      <c r="D16" s="28" t="s">
        <v>651</v>
      </c>
      <c r="E16" s="23" t="n">
        <v>40181.526</v>
      </c>
      <c r="F16" s="28" t="s">
        <v>452</v>
      </c>
      <c r="G16" s="28" t="s">
        <v>453</v>
      </c>
    </row>
    <row r="17" customFormat="false" ht="15" hidden="false" customHeight="false" outlineLevel="0" collapsed="false">
      <c r="A17" s="28" t="s">
        <v>315</v>
      </c>
      <c r="B17" s="28" t="s">
        <v>628</v>
      </c>
      <c r="C17" s="28" t="s">
        <v>649</v>
      </c>
      <c r="D17" s="28" t="s">
        <v>652</v>
      </c>
      <c r="E17" s="23" t="n">
        <v>12325.345</v>
      </c>
      <c r="F17" s="28" t="s">
        <v>452</v>
      </c>
      <c r="G17" s="28" t="s">
        <v>453</v>
      </c>
    </row>
    <row r="18" customFormat="false" ht="15" hidden="false" customHeight="false" outlineLevel="0" collapsed="false">
      <c r="A18" s="28" t="s">
        <v>315</v>
      </c>
      <c r="B18" s="28" t="s">
        <v>628</v>
      </c>
      <c r="C18" s="28" t="s">
        <v>649</v>
      </c>
      <c r="D18" s="28" t="s">
        <v>653</v>
      </c>
      <c r="E18" s="23" t="n">
        <v>13735.177</v>
      </c>
      <c r="F18" s="28" t="s">
        <v>452</v>
      </c>
      <c r="G18" s="28" t="s">
        <v>453</v>
      </c>
    </row>
    <row r="19" customFormat="false" ht="15" hidden="false" customHeight="false" outlineLevel="0" collapsed="false">
      <c r="A19" s="28" t="s">
        <v>315</v>
      </c>
      <c r="B19" s="28" t="s">
        <v>628</v>
      </c>
      <c r="C19" s="28" t="s">
        <v>649</v>
      </c>
      <c r="D19" s="28" t="s">
        <v>654</v>
      </c>
      <c r="E19" s="23" t="n">
        <v>10505.908</v>
      </c>
      <c r="F19" s="28" t="s">
        <v>452</v>
      </c>
      <c r="G19" s="28" t="s">
        <v>453</v>
      </c>
    </row>
    <row r="20" customFormat="false" ht="15" hidden="false" customHeight="false" outlineLevel="0" collapsed="false">
      <c r="A20" s="28" t="s">
        <v>315</v>
      </c>
      <c r="B20" s="28" t="s">
        <v>628</v>
      </c>
      <c r="C20" s="28" t="s">
        <v>649</v>
      </c>
      <c r="D20" s="28" t="s">
        <v>655</v>
      </c>
      <c r="E20" s="23" t="n">
        <v>4552.836</v>
      </c>
      <c r="F20" s="28" t="s">
        <v>452</v>
      </c>
      <c r="G20" s="28" t="s">
        <v>453</v>
      </c>
    </row>
    <row r="21" customFormat="false" ht="15" hidden="false" customHeight="false" outlineLevel="0" collapsed="false">
      <c r="A21" s="28" t="s">
        <v>315</v>
      </c>
      <c r="B21" s="28" t="s">
        <v>628</v>
      </c>
      <c r="C21" s="28" t="s">
        <v>649</v>
      </c>
      <c r="D21" s="28" t="s">
        <v>656</v>
      </c>
      <c r="E21" s="23" t="n">
        <v>8111.922</v>
      </c>
      <c r="F21" s="28" t="s">
        <v>452</v>
      </c>
      <c r="G21" s="28" t="s">
        <v>453</v>
      </c>
    </row>
    <row r="22" customFormat="false" ht="15" hidden="false" customHeight="false" outlineLevel="0" collapsed="false">
      <c r="A22" s="28" t="s">
        <v>316</v>
      </c>
      <c r="B22" s="28" t="s">
        <v>628</v>
      </c>
      <c r="C22" s="28" t="s">
        <v>629</v>
      </c>
      <c r="D22" s="28" t="s">
        <v>630</v>
      </c>
      <c r="E22" s="23" t="n">
        <v>94753.611</v>
      </c>
      <c r="F22" s="28" t="s">
        <v>452</v>
      </c>
      <c r="G22" s="28" t="s">
        <v>479</v>
      </c>
    </row>
    <row r="23" customFormat="false" ht="15" hidden="false" customHeight="false" outlineLevel="0" collapsed="false">
      <c r="A23" s="28" t="s">
        <v>316</v>
      </c>
      <c r="B23" s="28" t="s">
        <v>628</v>
      </c>
      <c r="C23" s="28" t="s">
        <v>629</v>
      </c>
      <c r="D23" s="28" t="s">
        <v>631</v>
      </c>
      <c r="E23" s="23" t="n">
        <v>68552.336</v>
      </c>
      <c r="F23" s="28" t="s">
        <v>452</v>
      </c>
      <c r="G23" s="28" t="s">
        <v>479</v>
      </c>
    </row>
    <row r="24" customFormat="false" ht="15" hidden="false" customHeight="false" outlineLevel="0" collapsed="false">
      <c r="A24" s="28" t="s">
        <v>316</v>
      </c>
      <c r="B24" s="28" t="s">
        <v>628</v>
      </c>
      <c r="C24" s="28" t="s">
        <v>632</v>
      </c>
      <c r="D24" s="28" t="s">
        <v>633</v>
      </c>
      <c r="E24" s="23" t="n">
        <v>16239.348</v>
      </c>
      <c r="F24" s="28" t="s">
        <v>493</v>
      </c>
      <c r="G24" s="28" t="s">
        <v>657</v>
      </c>
    </row>
    <row r="25" customFormat="false" ht="15" hidden="false" customHeight="false" outlineLevel="0" collapsed="false">
      <c r="A25" s="28" t="s">
        <v>316</v>
      </c>
      <c r="B25" s="28" t="s">
        <v>628</v>
      </c>
      <c r="C25" s="28" t="s">
        <v>632</v>
      </c>
      <c r="D25" s="28" t="s">
        <v>635</v>
      </c>
      <c r="E25" s="23" t="n">
        <v>4034.027</v>
      </c>
      <c r="F25" s="28" t="s">
        <v>452</v>
      </c>
      <c r="G25" s="28" t="s">
        <v>479</v>
      </c>
    </row>
    <row r="26" customFormat="false" ht="15" hidden="false" customHeight="false" outlineLevel="0" collapsed="false">
      <c r="A26" s="28" t="s">
        <v>316</v>
      </c>
      <c r="B26" s="28" t="s">
        <v>628</v>
      </c>
      <c r="C26" s="28" t="s">
        <v>636</v>
      </c>
      <c r="D26" s="28" t="s">
        <v>637</v>
      </c>
      <c r="E26" s="23" t="n">
        <v>14000</v>
      </c>
      <c r="F26" s="28" t="s">
        <v>497</v>
      </c>
      <c r="G26" s="28" t="s">
        <v>638</v>
      </c>
    </row>
    <row r="27" customFormat="false" ht="15" hidden="false" customHeight="false" outlineLevel="0" collapsed="false">
      <c r="A27" s="28" t="s">
        <v>316</v>
      </c>
      <c r="B27" s="28" t="s">
        <v>628</v>
      </c>
      <c r="C27" s="28" t="s">
        <v>639</v>
      </c>
      <c r="D27" s="28" t="s">
        <v>640</v>
      </c>
      <c r="E27" s="23" t="n">
        <v>-2212.344</v>
      </c>
      <c r="F27" s="28" t="s">
        <v>452</v>
      </c>
      <c r="G27" s="28" t="s">
        <v>479</v>
      </c>
    </row>
    <row r="28" customFormat="false" ht="15" hidden="false" customHeight="false" outlineLevel="0" collapsed="false">
      <c r="A28" s="28" t="s">
        <v>316</v>
      </c>
      <c r="B28" s="28" t="s">
        <v>628</v>
      </c>
      <c r="C28" s="28" t="s">
        <v>641</v>
      </c>
      <c r="D28" s="28" t="s">
        <v>642</v>
      </c>
      <c r="E28" s="23" t="n">
        <v>48581.493</v>
      </c>
      <c r="F28" s="28" t="s">
        <v>452</v>
      </c>
      <c r="G28" s="28" t="s">
        <v>479</v>
      </c>
    </row>
    <row r="29" customFormat="false" ht="15" hidden="false" customHeight="false" outlineLevel="0" collapsed="false">
      <c r="A29" s="28" t="s">
        <v>316</v>
      </c>
      <c r="B29" s="28" t="s">
        <v>628</v>
      </c>
      <c r="C29" s="28" t="s">
        <v>641</v>
      </c>
      <c r="D29" s="28" t="s">
        <v>643</v>
      </c>
      <c r="E29" s="23" t="n">
        <v>45617.953</v>
      </c>
      <c r="F29" s="28" t="s">
        <v>452</v>
      </c>
      <c r="G29" s="28" t="s">
        <v>479</v>
      </c>
    </row>
    <row r="30" customFormat="false" ht="15" hidden="false" customHeight="false" outlineLevel="0" collapsed="false">
      <c r="A30" s="28" t="s">
        <v>316</v>
      </c>
      <c r="B30" s="28" t="s">
        <v>628</v>
      </c>
      <c r="C30" s="28" t="s">
        <v>641</v>
      </c>
      <c r="D30" s="28" t="s">
        <v>644</v>
      </c>
      <c r="E30" s="23" t="n">
        <v>22712.784</v>
      </c>
      <c r="F30" s="28" t="s">
        <v>452</v>
      </c>
      <c r="G30" s="28" t="s">
        <v>479</v>
      </c>
    </row>
    <row r="31" customFormat="false" ht="15" hidden="false" customHeight="false" outlineLevel="0" collapsed="false">
      <c r="A31" s="28" t="s">
        <v>316</v>
      </c>
      <c r="B31" s="28" t="s">
        <v>628</v>
      </c>
      <c r="C31" s="28" t="s">
        <v>658</v>
      </c>
      <c r="D31" s="28" t="s">
        <v>659</v>
      </c>
      <c r="E31" s="23" t="n">
        <v>20504.997</v>
      </c>
      <c r="F31" s="28" t="s">
        <v>452</v>
      </c>
      <c r="G31" s="28" t="s">
        <v>479</v>
      </c>
    </row>
    <row r="32" customFormat="false" ht="15" hidden="false" customHeight="false" outlineLevel="0" collapsed="false">
      <c r="A32" s="28" t="s">
        <v>316</v>
      </c>
      <c r="B32" s="28" t="s">
        <v>628</v>
      </c>
      <c r="C32" s="28" t="s">
        <v>641</v>
      </c>
      <c r="D32" s="28" t="s">
        <v>645</v>
      </c>
      <c r="E32" s="23" t="n">
        <v>13460.056</v>
      </c>
      <c r="F32" s="28" t="s">
        <v>452</v>
      </c>
      <c r="G32" s="28" t="s">
        <v>479</v>
      </c>
    </row>
    <row r="33" customFormat="false" ht="15" hidden="false" customHeight="false" outlineLevel="0" collapsed="false">
      <c r="A33" s="28" t="s">
        <v>316</v>
      </c>
      <c r="B33" s="28" t="s">
        <v>628</v>
      </c>
      <c r="C33" s="28" t="s">
        <v>641</v>
      </c>
      <c r="D33" s="28" t="s">
        <v>646</v>
      </c>
      <c r="E33" s="23" t="n">
        <v>9022.769</v>
      </c>
      <c r="F33" s="28" t="s">
        <v>452</v>
      </c>
      <c r="G33" s="28" t="s">
        <v>479</v>
      </c>
    </row>
    <row r="34" customFormat="false" ht="15" hidden="false" customHeight="false" outlineLevel="0" collapsed="false">
      <c r="A34" s="28" t="s">
        <v>316</v>
      </c>
      <c r="B34" s="28" t="s">
        <v>628</v>
      </c>
      <c r="C34" s="28" t="s">
        <v>641</v>
      </c>
      <c r="D34" s="28" t="s">
        <v>647</v>
      </c>
      <c r="E34" s="23" t="n">
        <v>6842.05</v>
      </c>
      <c r="F34" s="28" t="s">
        <v>452</v>
      </c>
      <c r="G34" s="28" t="s">
        <v>479</v>
      </c>
    </row>
    <row r="35" customFormat="false" ht="15" hidden="false" customHeight="false" outlineLevel="0" collapsed="false">
      <c r="A35" s="28" t="s">
        <v>316</v>
      </c>
      <c r="B35" s="28" t="s">
        <v>628</v>
      </c>
      <c r="C35" s="28" t="s">
        <v>641</v>
      </c>
      <c r="D35" s="28" t="s">
        <v>648</v>
      </c>
      <c r="E35" s="23" t="n">
        <v>4348.507</v>
      </c>
      <c r="F35" s="28" t="s">
        <v>452</v>
      </c>
      <c r="G35" s="28" t="s">
        <v>479</v>
      </c>
    </row>
    <row r="36" customFormat="false" ht="15" hidden="false" customHeight="false" outlineLevel="0" collapsed="false">
      <c r="A36" s="28" t="s">
        <v>316</v>
      </c>
      <c r="B36" s="28" t="s">
        <v>628</v>
      </c>
      <c r="C36" s="28" t="s">
        <v>649</v>
      </c>
      <c r="D36" s="28" t="s">
        <v>650</v>
      </c>
      <c r="E36" s="23" t="n">
        <v>127830.922</v>
      </c>
      <c r="F36" s="28" t="s">
        <v>452</v>
      </c>
      <c r="G36" s="28" t="s">
        <v>479</v>
      </c>
    </row>
    <row r="37" customFormat="false" ht="15" hidden="false" customHeight="false" outlineLevel="0" collapsed="false">
      <c r="A37" s="28" t="s">
        <v>316</v>
      </c>
      <c r="B37" s="28" t="s">
        <v>628</v>
      </c>
      <c r="C37" s="28" t="s">
        <v>649</v>
      </c>
      <c r="D37" s="28" t="s">
        <v>651</v>
      </c>
      <c r="E37" s="23" t="n">
        <v>45480.294</v>
      </c>
      <c r="F37" s="28" t="s">
        <v>452</v>
      </c>
      <c r="G37" s="28" t="s">
        <v>479</v>
      </c>
    </row>
    <row r="38" customFormat="false" ht="15" hidden="false" customHeight="false" outlineLevel="0" collapsed="false">
      <c r="A38" s="28" t="s">
        <v>316</v>
      </c>
      <c r="B38" s="28" t="s">
        <v>628</v>
      </c>
      <c r="C38" s="28" t="s">
        <v>649</v>
      </c>
      <c r="D38" s="28" t="s">
        <v>652</v>
      </c>
      <c r="E38" s="23" t="n">
        <v>14082.823</v>
      </c>
      <c r="F38" s="28" t="s">
        <v>452</v>
      </c>
      <c r="G38" s="28" t="s">
        <v>479</v>
      </c>
    </row>
    <row r="39" customFormat="false" ht="15" hidden="false" customHeight="false" outlineLevel="0" collapsed="false">
      <c r="A39" s="28" t="s">
        <v>316</v>
      </c>
      <c r="B39" s="28" t="s">
        <v>628</v>
      </c>
      <c r="C39" s="28" t="s">
        <v>649</v>
      </c>
      <c r="D39" s="28" t="s">
        <v>653</v>
      </c>
      <c r="E39" s="23" t="n">
        <v>13051.898</v>
      </c>
      <c r="F39" s="28" t="s">
        <v>452</v>
      </c>
      <c r="G39" s="28" t="s">
        <v>479</v>
      </c>
    </row>
    <row r="40" customFormat="false" ht="15" hidden="false" customHeight="false" outlineLevel="0" collapsed="false">
      <c r="A40" s="28" t="s">
        <v>316</v>
      </c>
      <c r="B40" s="28" t="s">
        <v>628</v>
      </c>
      <c r="C40" s="28" t="s">
        <v>649</v>
      </c>
      <c r="D40" s="28" t="s">
        <v>654</v>
      </c>
      <c r="E40" s="23" t="n">
        <v>7498.956</v>
      </c>
      <c r="F40" s="28" t="s">
        <v>452</v>
      </c>
      <c r="G40" s="28" t="s">
        <v>479</v>
      </c>
    </row>
    <row r="41" customFormat="false" ht="15" hidden="false" customHeight="false" outlineLevel="0" collapsed="false">
      <c r="A41" s="28" t="s">
        <v>316</v>
      </c>
      <c r="B41" s="28" t="s">
        <v>628</v>
      </c>
      <c r="C41" s="28" t="s">
        <v>649</v>
      </c>
      <c r="D41" s="28" t="s">
        <v>655</v>
      </c>
      <c r="E41" s="23" t="n">
        <v>3792.473</v>
      </c>
      <c r="F41" s="28" t="s">
        <v>452</v>
      </c>
      <c r="G41" s="28" t="s">
        <v>479</v>
      </c>
    </row>
    <row r="42" customFormat="false" ht="15" hidden="false" customHeight="false" outlineLevel="0" collapsed="false">
      <c r="A42" s="28" t="s">
        <v>316</v>
      </c>
      <c r="B42" s="28" t="s">
        <v>628</v>
      </c>
      <c r="C42" s="28" t="s">
        <v>649</v>
      </c>
      <c r="D42" s="28" t="s">
        <v>656</v>
      </c>
      <c r="E42" s="23" t="n">
        <v>3156.337</v>
      </c>
      <c r="F42" s="28" t="s">
        <v>452</v>
      </c>
      <c r="G42" s="28" t="s">
        <v>479</v>
      </c>
    </row>
    <row r="43" customFormat="false" ht="15" hidden="false" customHeight="false" outlineLevel="0" collapsed="false">
      <c r="A43" s="28" t="s">
        <v>317</v>
      </c>
      <c r="B43" s="28" t="s">
        <v>628</v>
      </c>
      <c r="C43" s="28" t="s">
        <v>629</v>
      </c>
      <c r="D43" s="28" t="s">
        <v>630</v>
      </c>
      <c r="E43" s="23" t="n">
        <v>129796.032</v>
      </c>
      <c r="F43" s="28" t="s">
        <v>452</v>
      </c>
      <c r="G43" s="28" t="s">
        <v>481</v>
      </c>
    </row>
    <row r="44" customFormat="false" ht="15" hidden="false" customHeight="false" outlineLevel="0" collapsed="false">
      <c r="A44" s="28" t="s">
        <v>317</v>
      </c>
      <c r="B44" s="28" t="s">
        <v>628</v>
      </c>
      <c r="C44" s="28" t="s">
        <v>629</v>
      </c>
      <c r="D44" s="28" t="s">
        <v>631</v>
      </c>
      <c r="E44" s="23" t="n">
        <v>111621.732</v>
      </c>
      <c r="F44" s="28" t="s">
        <v>452</v>
      </c>
      <c r="G44" s="28" t="s">
        <v>481</v>
      </c>
    </row>
    <row r="45" customFormat="false" ht="15" hidden="false" customHeight="false" outlineLevel="0" collapsed="false">
      <c r="A45" s="28" t="s">
        <v>317</v>
      </c>
      <c r="B45" s="28" t="s">
        <v>628</v>
      </c>
      <c r="C45" s="28" t="s">
        <v>632</v>
      </c>
      <c r="D45" s="28" t="s">
        <v>633</v>
      </c>
      <c r="E45" s="23" t="n">
        <v>21809.448</v>
      </c>
      <c r="F45" s="28" t="s">
        <v>493</v>
      </c>
      <c r="G45" s="28" t="s">
        <v>660</v>
      </c>
    </row>
    <row r="46" customFormat="false" ht="15" hidden="false" customHeight="false" outlineLevel="0" collapsed="false">
      <c r="A46" s="28" t="s">
        <v>317</v>
      </c>
      <c r="B46" s="28" t="s">
        <v>628</v>
      </c>
      <c r="C46" s="28" t="s">
        <v>632</v>
      </c>
      <c r="D46" s="28" t="s">
        <v>635</v>
      </c>
      <c r="E46" s="23" t="n">
        <v>21332.3</v>
      </c>
      <c r="F46" s="28" t="s">
        <v>452</v>
      </c>
      <c r="G46" s="28" t="s">
        <v>481</v>
      </c>
    </row>
    <row r="47" customFormat="false" ht="15" hidden="false" customHeight="false" outlineLevel="0" collapsed="false">
      <c r="A47" s="28" t="s">
        <v>317</v>
      </c>
      <c r="B47" s="28" t="s">
        <v>628</v>
      </c>
      <c r="C47" s="28" t="s">
        <v>636</v>
      </c>
      <c r="D47" s="28" t="s">
        <v>637</v>
      </c>
      <c r="E47" s="23" t="n">
        <v>15000</v>
      </c>
      <c r="F47" s="28" t="s">
        <v>497</v>
      </c>
      <c r="G47" s="28" t="s">
        <v>638</v>
      </c>
    </row>
    <row r="48" customFormat="false" ht="15" hidden="false" customHeight="false" outlineLevel="0" collapsed="false">
      <c r="A48" s="28" t="s">
        <v>317</v>
      </c>
      <c r="B48" s="28" t="s">
        <v>628</v>
      </c>
      <c r="C48" s="28" t="s">
        <v>639</v>
      </c>
      <c r="D48" s="28" t="s">
        <v>640</v>
      </c>
      <c r="E48" s="23" t="n">
        <v>-492.306</v>
      </c>
      <c r="F48" s="28" t="s">
        <v>452</v>
      </c>
      <c r="G48" s="28" t="s">
        <v>481</v>
      </c>
    </row>
    <row r="49" customFormat="false" ht="15" hidden="false" customHeight="false" outlineLevel="0" collapsed="false">
      <c r="A49" s="28" t="s">
        <v>317</v>
      </c>
      <c r="B49" s="28" t="s">
        <v>628</v>
      </c>
      <c r="C49" s="28" t="s">
        <v>641</v>
      </c>
      <c r="D49" s="28" t="s">
        <v>642</v>
      </c>
      <c r="E49" s="23" t="n">
        <v>55121.743</v>
      </c>
      <c r="F49" s="28" t="s">
        <v>452</v>
      </c>
      <c r="G49" s="28" t="s">
        <v>481</v>
      </c>
    </row>
    <row r="50" customFormat="false" ht="15" hidden="false" customHeight="false" outlineLevel="0" collapsed="false">
      <c r="A50" s="28" t="s">
        <v>317</v>
      </c>
      <c r="B50" s="28" t="s">
        <v>628</v>
      </c>
      <c r="C50" s="28" t="s">
        <v>641</v>
      </c>
      <c r="D50" s="28" t="s">
        <v>643</v>
      </c>
      <c r="E50" s="23" t="n">
        <v>48606.318</v>
      </c>
      <c r="F50" s="28" t="s">
        <v>452</v>
      </c>
      <c r="G50" s="28" t="s">
        <v>481</v>
      </c>
    </row>
    <row r="51" customFormat="false" ht="15" hidden="false" customHeight="false" outlineLevel="0" collapsed="false">
      <c r="A51" s="28" t="s">
        <v>317</v>
      </c>
      <c r="B51" s="28" t="s">
        <v>628</v>
      </c>
      <c r="C51" s="28" t="s">
        <v>641</v>
      </c>
      <c r="D51" s="28" t="s">
        <v>645</v>
      </c>
      <c r="E51" s="23" t="n">
        <v>7993.678</v>
      </c>
      <c r="F51" s="28" t="s">
        <v>452</v>
      </c>
      <c r="G51" s="28" t="s">
        <v>481</v>
      </c>
    </row>
    <row r="52" customFormat="false" ht="15" hidden="false" customHeight="false" outlineLevel="0" collapsed="false">
      <c r="A52" s="28" t="s">
        <v>317</v>
      </c>
      <c r="B52" s="28" t="s">
        <v>628</v>
      </c>
      <c r="C52" s="28" t="s">
        <v>641</v>
      </c>
      <c r="D52" s="28" t="s">
        <v>646</v>
      </c>
      <c r="E52" s="23" t="n">
        <v>10367.952</v>
      </c>
      <c r="F52" s="28" t="s">
        <v>452</v>
      </c>
      <c r="G52" s="28" t="s">
        <v>481</v>
      </c>
    </row>
    <row r="53" customFormat="false" ht="15" hidden="false" customHeight="false" outlineLevel="0" collapsed="false">
      <c r="A53" s="28" t="s">
        <v>317</v>
      </c>
      <c r="B53" s="28" t="s">
        <v>628</v>
      </c>
      <c r="C53" s="28" t="s">
        <v>641</v>
      </c>
      <c r="D53" s="28" t="s">
        <v>648</v>
      </c>
      <c r="E53" s="23" t="n">
        <v>3525.987</v>
      </c>
      <c r="F53" s="28" t="s">
        <v>452</v>
      </c>
      <c r="G53" s="28" t="s">
        <v>481</v>
      </c>
    </row>
    <row r="54" customFormat="false" ht="15" hidden="false" customHeight="false" outlineLevel="0" collapsed="false">
      <c r="A54" s="28" t="s">
        <v>317</v>
      </c>
      <c r="B54" s="28" t="s">
        <v>628</v>
      </c>
      <c r="C54" s="28" t="s">
        <v>641</v>
      </c>
      <c r="D54" s="28" t="s">
        <v>644</v>
      </c>
      <c r="E54" s="23" t="n">
        <v>3864.228</v>
      </c>
      <c r="F54" s="28" t="s">
        <v>452</v>
      </c>
      <c r="G54" s="28" t="s">
        <v>481</v>
      </c>
    </row>
    <row r="55" customFormat="false" ht="15" hidden="false" customHeight="false" outlineLevel="0" collapsed="false">
      <c r="A55" s="28" t="s">
        <v>317</v>
      </c>
      <c r="B55" s="28" t="s">
        <v>628</v>
      </c>
      <c r="C55" s="28" t="s">
        <v>641</v>
      </c>
      <c r="D55" s="28" t="s">
        <v>647</v>
      </c>
      <c r="E55" s="23" t="n">
        <v>1993.994</v>
      </c>
      <c r="F55" s="28" t="s">
        <v>452</v>
      </c>
      <c r="G55" s="28" t="s">
        <v>481</v>
      </c>
    </row>
    <row r="56" customFormat="false" ht="15" hidden="false" customHeight="false" outlineLevel="0" collapsed="false">
      <c r="A56" s="28" t="s">
        <v>317</v>
      </c>
      <c r="B56" s="28" t="s">
        <v>628</v>
      </c>
      <c r="C56" s="28" t="s">
        <v>658</v>
      </c>
      <c r="D56" s="28" t="s">
        <v>661</v>
      </c>
      <c r="E56" s="23" t="n">
        <v>4991.685</v>
      </c>
      <c r="F56" s="28" t="s">
        <v>452</v>
      </c>
      <c r="G56" s="28" t="s">
        <v>481</v>
      </c>
    </row>
    <row r="57" customFormat="false" ht="15" hidden="false" customHeight="false" outlineLevel="0" collapsed="false">
      <c r="A57" s="28" t="s">
        <v>317</v>
      </c>
      <c r="B57" s="28" t="s">
        <v>628</v>
      </c>
      <c r="C57" s="28" t="s">
        <v>649</v>
      </c>
      <c r="D57" s="28" t="s">
        <v>650</v>
      </c>
      <c r="E57" s="23" t="n">
        <v>135791.791</v>
      </c>
      <c r="F57" s="28" t="s">
        <v>452</v>
      </c>
      <c r="G57" s="28" t="s">
        <v>481</v>
      </c>
    </row>
    <row r="58" customFormat="false" ht="15" hidden="false" customHeight="false" outlineLevel="0" collapsed="false">
      <c r="A58" s="28" t="s">
        <v>317</v>
      </c>
      <c r="B58" s="28" t="s">
        <v>628</v>
      </c>
      <c r="C58" s="28" t="s">
        <v>649</v>
      </c>
      <c r="D58" s="28" t="s">
        <v>651</v>
      </c>
      <c r="E58" s="23" t="n">
        <v>49333.409</v>
      </c>
      <c r="F58" s="28" t="s">
        <v>452</v>
      </c>
      <c r="G58" s="28" t="s">
        <v>481</v>
      </c>
    </row>
    <row r="59" customFormat="false" ht="15" hidden="false" customHeight="false" outlineLevel="0" collapsed="false">
      <c r="A59" s="28" t="s">
        <v>317</v>
      </c>
      <c r="B59" s="28" t="s">
        <v>628</v>
      </c>
      <c r="C59" s="28" t="s">
        <v>649</v>
      </c>
      <c r="D59" s="28" t="s">
        <v>652</v>
      </c>
      <c r="E59" s="23" t="n">
        <v>16000.555</v>
      </c>
      <c r="F59" s="28" t="s">
        <v>452</v>
      </c>
      <c r="G59" s="28" t="s">
        <v>481</v>
      </c>
    </row>
    <row r="60" customFormat="false" ht="15" hidden="false" customHeight="false" outlineLevel="0" collapsed="false">
      <c r="A60" s="28" t="s">
        <v>317</v>
      </c>
      <c r="B60" s="28" t="s">
        <v>628</v>
      </c>
      <c r="C60" s="28" t="s">
        <v>649</v>
      </c>
      <c r="D60" s="28" t="s">
        <v>653</v>
      </c>
      <c r="E60" s="23" t="n">
        <v>13371.402</v>
      </c>
      <c r="F60" s="28" t="s">
        <v>452</v>
      </c>
      <c r="G60" s="28" t="s">
        <v>481</v>
      </c>
    </row>
    <row r="61" customFormat="false" ht="15" hidden="false" customHeight="false" outlineLevel="0" collapsed="false">
      <c r="A61" s="28" t="s">
        <v>317</v>
      </c>
      <c r="B61" s="28" t="s">
        <v>628</v>
      </c>
      <c r="C61" s="28" t="s">
        <v>649</v>
      </c>
      <c r="D61" s="28" t="s">
        <v>654</v>
      </c>
      <c r="E61" s="23" t="n">
        <v>4731.683</v>
      </c>
      <c r="F61" s="28" t="s">
        <v>452</v>
      </c>
      <c r="G61" s="28" t="s">
        <v>481</v>
      </c>
    </row>
    <row r="62" customFormat="false" ht="15" hidden="false" customHeight="false" outlineLevel="0" collapsed="false">
      <c r="A62" s="28" t="s">
        <v>317</v>
      </c>
      <c r="B62" s="28" t="s">
        <v>628</v>
      </c>
      <c r="C62" s="28" t="s">
        <v>649</v>
      </c>
      <c r="D62" s="28" t="s">
        <v>655</v>
      </c>
      <c r="E62" s="23" t="n">
        <v>5075.567</v>
      </c>
      <c r="F62" s="28" t="s">
        <v>452</v>
      </c>
      <c r="G62" s="28" t="s">
        <v>481</v>
      </c>
    </row>
    <row r="63" customFormat="false" ht="15" hidden="false" customHeight="false" outlineLevel="0" collapsed="false">
      <c r="A63" s="28" t="s">
        <v>317</v>
      </c>
      <c r="B63" s="28" t="s">
        <v>628</v>
      </c>
      <c r="C63" s="28" t="s">
        <v>658</v>
      </c>
      <c r="D63" s="28" t="s">
        <v>662</v>
      </c>
      <c r="E63" s="23" t="n">
        <v>-3906.633</v>
      </c>
      <c r="F63" s="28" t="s">
        <v>452</v>
      </c>
      <c r="G63" s="28" t="s">
        <v>663</v>
      </c>
    </row>
    <row r="64" customFormat="false" ht="15" hidden="false" customHeight="false" outlineLevel="0" collapsed="false">
      <c r="A64" s="28" t="s">
        <v>317</v>
      </c>
      <c r="B64" s="28" t="s">
        <v>628</v>
      </c>
      <c r="C64" s="28" t="s">
        <v>658</v>
      </c>
      <c r="D64" s="28" t="s">
        <v>664</v>
      </c>
      <c r="E64" s="23" t="n">
        <v>-6000</v>
      </c>
      <c r="F64" s="28" t="s">
        <v>452</v>
      </c>
      <c r="G64" s="28" t="s">
        <v>663</v>
      </c>
    </row>
    <row r="65" customFormat="false" ht="15" hidden="false" customHeight="false" outlineLevel="0" collapsed="false">
      <c r="A65" s="28" t="s">
        <v>318</v>
      </c>
      <c r="B65" s="28" t="s">
        <v>628</v>
      </c>
      <c r="C65" s="28" t="s">
        <v>629</v>
      </c>
      <c r="D65" s="28" t="s">
        <v>630</v>
      </c>
      <c r="E65" s="23" t="n">
        <v>197211.144</v>
      </c>
      <c r="F65" s="28" t="s">
        <v>452</v>
      </c>
      <c r="G65" s="28" t="s">
        <v>483</v>
      </c>
    </row>
    <row r="66" customFormat="false" ht="15" hidden="false" customHeight="false" outlineLevel="0" collapsed="false">
      <c r="A66" s="28" t="s">
        <v>318</v>
      </c>
      <c r="B66" s="28" t="s">
        <v>628</v>
      </c>
      <c r="C66" s="28" t="s">
        <v>629</v>
      </c>
      <c r="D66" s="28" t="s">
        <v>631</v>
      </c>
      <c r="E66" s="23" t="n">
        <v>106694.825</v>
      </c>
      <c r="F66" s="28" t="s">
        <v>452</v>
      </c>
      <c r="G66" s="28" t="s">
        <v>483</v>
      </c>
    </row>
    <row r="67" customFormat="false" ht="15" hidden="false" customHeight="false" outlineLevel="0" collapsed="false">
      <c r="A67" s="28" t="s">
        <v>318</v>
      </c>
      <c r="B67" s="28" t="s">
        <v>628</v>
      </c>
      <c r="C67" s="28" t="s">
        <v>632</v>
      </c>
      <c r="D67" s="28" t="s">
        <v>633</v>
      </c>
      <c r="E67" s="23" t="n">
        <v>80641.104</v>
      </c>
      <c r="F67" s="28" t="s">
        <v>493</v>
      </c>
      <c r="G67" s="28" t="s">
        <v>665</v>
      </c>
    </row>
    <row r="68" customFormat="false" ht="15" hidden="false" customHeight="false" outlineLevel="0" collapsed="false">
      <c r="A68" s="28" t="s">
        <v>318</v>
      </c>
      <c r="B68" s="28" t="s">
        <v>628</v>
      </c>
      <c r="C68" s="28" t="s">
        <v>632</v>
      </c>
      <c r="D68" s="28" t="s">
        <v>635</v>
      </c>
      <c r="E68" s="23" t="n">
        <v>10844.223</v>
      </c>
      <c r="F68" s="28" t="s">
        <v>452</v>
      </c>
      <c r="G68" s="28" t="s">
        <v>483</v>
      </c>
    </row>
    <row r="69" customFormat="false" ht="15" hidden="false" customHeight="false" outlineLevel="0" collapsed="false">
      <c r="A69" s="28" t="s">
        <v>318</v>
      </c>
      <c r="B69" s="28" t="s">
        <v>628</v>
      </c>
      <c r="C69" s="28" t="s">
        <v>636</v>
      </c>
      <c r="D69" s="28" t="s">
        <v>637</v>
      </c>
      <c r="E69" s="23" t="n">
        <v>17000</v>
      </c>
      <c r="F69" s="28" t="s">
        <v>497</v>
      </c>
      <c r="G69" s="28" t="s">
        <v>638</v>
      </c>
    </row>
    <row r="70" customFormat="false" ht="15" hidden="false" customHeight="false" outlineLevel="0" collapsed="false">
      <c r="A70" s="28" t="s">
        <v>318</v>
      </c>
      <c r="B70" s="28" t="s">
        <v>628</v>
      </c>
      <c r="C70" s="28" t="s">
        <v>639</v>
      </c>
      <c r="D70" s="28" t="s">
        <v>640</v>
      </c>
      <c r="E70" s="23" t="n">
        <v>15849.591</v>
      </c>
      <c r="F70" s="28" t="s">
        <v>452</v>
      </c>
      <c r="G70" s="28" t="s">
        <v>483</v>
      </c>
    </row>
    <row r="71" customFormat="false" ht="15" hidden="false" customHeight="false" outlineLevel="0" collapsed="false">
      <c r="A71" s="28" t="s">
        <v>318</v>
      </c>
      <c r="B71" s="28" t="s">
        <v>628</v>
      </c>
      <c r="C71" s="28" t="s">
        <v>641</v>
      </c>
      <c r="D71" s="28" t="s">
        <v>642</v>
      </c>
      <c r="E71" s="23" t="n">
        <v>59807.82</v>
      </c>
      <c r="F71" s="28" t="s">
        <v>452</v>
      </c>
      <c r="G71" s="28" t="s">
        <v>483</v>
      </c>
    </row>
    <row r="72" customFormat="false" ht="15" hidden="false" customHeight="false" outlineLevel="0" collapsed="false">
      <c r="A72" s="28" t="s">
        <v>318</v>
      </c>
      <c r="B72" s="28" t="s">
        <v>628</v>
      </c>
      <c r="C72" s="28" t="s">
        <v>641</v>
      </c>
      <c r="D72" s="28" t="s">
        <v>643</v>
      </c>
      <c r="E72" s="23" t="n">
        <v>48704.005</v>
      </c>
      <c r="F72" s="28" t="s">
        <v>452</v>
      </c>
      <c r="G72" s="28" t="s">
        <v>483</v>
      </c>
    </row>
    <row r="73" customFormat="false" ht="15" hidden="false" customHeight="false" outlineLevel="0" collapsed="false">
      <c r="A73" s="28" t="s">
        <v>318</v>
      </c>
      <c r="B73" s="28" t="s">
        <v>628</v>
      </c>
      <c r="C73" s="28" t="s">
        <v>641</v>
      </c>
      <c r="D73" s="28" t="s">
        <v>645</v>
      </c>
      <c r="E73" s="23" t="n">
        <v>14704.048</v>
      </c>
      <c r="F73" s="28" t="s">
        <v>452</v>
      </c>
      <c r="G73" s="28" t="s">
        <v>483</v>
      </c>
    </row>
    <row r="74" customFormat="false" ht="15" hidden="false" customHeight="false" outlineLevel="0" collapsed="false">
      <c r="A74" s="28" t="s">
        <v>318</v>
      </c>
      <c r="B74" s="28" t="s">
        <v>628</v>
      </c>
      <c r="C74" s="28" t="s">
        <v>641</v>
      </c>
      <c r="D74" s="28" t="s">
        <v>646</v>
      </c>
      <c r="E74" s="23" t="n">
        <v>11468.39</v>
      </c>
      <c r="F74" s="28" t="s">
        <v>452</v>
      </c>
      <c r="G74" s="28" t="s">
        <v>483</v>
      </c>
    </row>
    <row r="75" customFormat="false" ht="15" hidden="false" customHeight="false" outlineLevel="0" collapsed="false">
      <c r="A75" s="28" t="s">
        <v>318</v>
      </c>
      <c r="B75" s="28" t="s">
        <v>628</v>
      </c>
      <c r="C75" s="28" t="s">
        <v>658</v>
      </c>
      <c r="D75" s="28" t="s">
        <v>659</v>
      </c>
      <c r="E75" s="23" t="n">
        <v>10100.444</v>
      </c>
      <c r="F75" s="28" t="s">
        <v>452</v>
      </c>
      <c r="G75" s="28" t="s">
        <v>483</v>
      </c>
    </row>
    <row r="76" customFormat="false" ht="15" hidden="false" customHeight="false" outlineLevel="0" collapsed="false">
      <c r="A76" s="28" t="s">
        <v>318</v>
      </c>
      <c r="B76" s="28" t="s">
        <v>628</v>
      </c>
      <c r="C76" s="28" t="s">
        <v>641</v>
      </c>
      <c r="D76" s="28" t="s">
        <v>648</v>
      </c>
      <c r="E76" s="23" t="n">
        <v>4123.958</v>
      </c>
      <c r="F76" s="28" t="s">
        <v>452</v>
      </c>
      <c r="G76" s="28" t="s">
        <v>483</v>
      </c>
    </row>
    <row r="77" customFormat="false" ht="15" hidden="false" customHeight="false" outlineLevel="0" collapsed="false">
      <c r="A77" s="28" t="s">
        <v>318</v>
      </c>
      <c r="B77" s="28" t="s">
        <v>628</v>
      </c>
      <c r="C77" s="28" t="s">
        <v>641</v>
      </c>
      <c r="D77" s="28" t="s">
        <v>644</v>
      </c>
      <c r="E77" s="23" t="n">
        <v>1738.624</v>
      </c>
      <c r="F77" s="28" t="s">
        <v>452</v>
      </c>
      <c r="G77" s="28" t="s">
        <v>483</v>
      </c>
    </row>
    <row r="78" customFormat="false" ht="15" hidden="false" customHeight="false" outlineLevel="0" collapsed="false">
      <c r="A78" s="28" t="s">
        <v>318</v>
      </c>
      <c r="B78" s="28" t="s">
        <v>628</v>
      </c>
      <c r="C78" s="28" t="s">
        <v>641</v>
      </c>
      <c r="D78" s="28" t="s">
        <v>647</v>
      </c>
      <c r="E78" s="23" t="n">
        <v>1086.789</v>
      </c>
      <c r="F78" s="28" t="s">
        <v>452</v>
      </c>
      <c r="G78" s="28" t="s">
        <v>483</v>
      </c>
    </row>
    <row r="79" customFormat="false" ht="15" hidden="false" customHeight="false" outlineLevel="0" collapsed="false">
      <c r="A79" s="28" t="s">
        <v>318</v>
      </c>
      <c r="B79" s="28" t="s">
        <v>628</v>
      </c>
      <c r="C79" s="28" t="s">
        <v>649</v>
      </c>
      <c r="D79" s="28" t="s">
        <v>650</v>
      </c>
      <c r="E79" s="23" t="n">
        <v>146389.707</v>
      </c>
      <c r="F79" s="28" t="s">
        <v>452</v>
      </c>
      <c r="G79" s="28" t="s">
        <v>483</v>
      </c>
    </row>
    <row r="80" customFormat="false" ht="15" hidden="false" customHeight="false" outlineLevel="0" collapsed="false">
      <c r="A80" s="28" t="s">
        <v>318</v>
      </c>
      <c r="B80" s="28" t="s">
        <v>628</v>
      </c>
      <c r="C80" s="28" t="s">
        <v>649</v>
      </c>
      <c r="D80" s="28" t="s">
        <v>651</v>
      </c>
      <c r="E80" s="23" t="n">
        <v>52883.258</v>
      </c>
      <c r="F80" s="28" t="s">
        <v>452</v>
      </c>
      <c r="G80" s="28" t="s">
        <v>483</v>
      </c>
    </row>
    <row r="81" customFormat="false" ht="15" hidden="false" customHeight="false" outlineLevel="0" collapsed="false">
      <c r="A81" s="28" t="s">
        <v>318</v>
      </c>
      <c r="B81" s="28" t="s">
        <v>628</v>
      </c>
      <c r="C81" s="28" t="s">
        <v>649</v>
      </c>
      <c r="D81" s="28" t="s">
        <v>652</v>
      </c>
      <c r="E81" s="23" t="n">
        <v>17147.996</v>
      </c>
      <c r="F81" s="28" t="s">
        <v>452</v>
      </c>
      <c r="G81" s="28" t="s">
        <v>483</v>
      </c>
    </row>
    <row r="82" customFormat="false" ht="15" hidden="false" customHeight="false" outlineLevel="0" collapsed="false">
      <c r="A82" s="28" t="s">
        <v>318</v>
      </c>
      <c r="B82" s="28" t="s">
        <v>628</v>
      </c>
      <c r="C82" s="28" t="s">
        <v>649</v>
      </c>
      <c r="D82" s="28" t="s">
        <v>653</v>
      </c>
      <c r="E82" s="23" t="n">
        <v>13132.832</v>
      </c>
      <c r="F82" s="28" t="s">
        <v>452</v>
      </c>
      <c r="G82" s="28" t="s">
        <v>483</v>
      </c>
    </row>
    <row r="83" customFormat="false" ht="15" hidden="false" customHeight="false" outlineLevel="0" collapsed="false">
      <c r="A83" s="28" t="s">
        <v>318</v>
      </c>
      <c r="B83" s="28" t="s">
        <v>628</v>
      </c>
      <c r="C83" s="28" t="s">
        <v>649</v>
      </c>
      <c r="D83" s="28" t="s">
        <v>654</v>
      </c>
      <c r="E83" s="23" t="n">
        <v>7387.01</v>
      </c>
      <c r="F83" s="28" t="s">
        <v>452</v>
      </c>
      <c r="G83" s="28" t="s">
        <v>483</v>
      </c>
    </row>
    <row r="84" customFormat="false" ht="15" hidden="false" customHeight="false" outlineLevel="0" collapsed="false">
      <c r="A84" s="28" t="s">
        <v>318</v>
      </c>
      <c r="B84" s="28" t="s">
        <v>628</v>
      </c>
      <c r="C84" s="28" t="s">
        <v>649</v>
      </c>
      <c r="D84" s="28" t="s">
        <v>655</v>
      </c>
      <c r="E84" s="23" t="n">
        <v>9069.908</v>
      </c>
      <c r="F84" s="28" t="s">
        <v>452</v>
      </c>
      <c r="G84" s="28" t="s">
        <v>483</v>
      </c>
    </row>
    <row r="85" customFormat="false" ht="15" hidden="false" customHeight="false" outlineLevel="0" collapsed="false">
      <c r="A85" s="28" t="s">
        <v>319</v>
      </c>
      <c r="B85" s="28" t="s">
        <v>628</v>
      </c>
      <c r="C85" s="28" t="s">
        <v>629</v>
      </c>
      <c r="D85" s="28" t="s">
        <v>630</v>
      </c>
      <c r="E85" s="23" t="n">
        <v>246574.839</v>
      </c>
      <c r="F85" s="28" t="s">
        <v>452</v>
      </c>
      <c r="G85" s="28" t="s">
        <v>485</v>
      </c>
    </row>
    <row r="86" customFormat="false" ht="15" hidden="false" customHeight="false" outlineLevel="0" collapsed="false">
      <c r="A86" s="28" t="s">
        <v>319</v>
      </c>
      <c r="B86" s="28" t="s">
        <v>628</v>
      </c>
      <c r="C86" s="28" t="s">
        <v>629</v>
      </c>
      <c r="D86" s="28" t="s">
        <v>666</v>
      </c>
      <c r="E86" s="23" t="n">
        <v>86930.421</v>
      </c>
      <c r="F86" s="28" t="s">
        <v>452</v>
      </c>
      <c r="G86" s="28" t="s">
        <v>485</v>
      </c>
    </row>
    <row r="87" customFormat="false" ht="15" hidden="false" customHeight="false" outlineLevel="0" collapsed="false">
      <c r="A87" s="28" t="s">
        <v>319</v>
      </c>
      <c r="B87" s="28" t="s">
        <v>628</v>
      </c>
      <c r="C87" s="28" t="s">
        <v>629</v>
      </c>
      <c r="D87" s="28" t="s">
        <v>667</v>
      </c>
      <c r="E87" s="23" t="n">
        <v>36605.73</v>
      </c>
      <c r="F87" s="28" t="s">
        <v>452</v>
      </c>
      <c r="G87" s="28" t="s">
        <v>485</v>
      </c>
    </row>
    <row r="88" customFormat="false" ht="15" hidden="false" customHeight="false" outlineLevel="0" collapsed="false">
      <c r="A88" s="28" t="s">
        <v>319</v>
      </c>
      <c r="B88" s="28" t="s">
        <v>628</v>
      </c>
      <c r="C88" s="28" t="s">
        <v>632</v>
      </c>
      <c r="D88" s="28" t="s">
        <v>633</v>
      </c>
      <c r="E88" s="23" t="n">
        <v>135947.44</v>
      </c>
      <c r="F88" s="28" t="s">
        <v>493</v>
      </c>
      <c r="G88" s="28" t="s">
        <v>668</v>
      </c>
    </row>
    <row r="89" customFormat="false" ht="15" hidden="false" customHeight="false" outlineLevel="0" collapsed="false">
      <c r="A89" s="28" t="s">
        <v>319</v>
      </c>
      <c r="B89" s="28" t="s">
        <v>628</v>
      </c>
      <c r="C89" s="28" t="s">
        <v>632</v>
      </c>
      <c r="D89" s="28" t="s">
        <v>635</v>
      </c>
      <c r="E89" s="23" t="n">
        <v>16458.492</v>
      </c>
      <c r="F89" s="28" t="s">
        <v>452</v>
      </c>
      <c r="G89" s="28" t="s">
        <v>485</v>
      </c>
    </row>
    <row r="90" customFormat="false" ht="15" hidden="false" customHeight="false" outlineLevel="0" collapsed="false">
      <c r="A90" s="28" t="s">
        <v>319</v>
      </c>
      <c r="B90" s="28" t="s">
        <v>628</v>
      </c>
      <c r="C90" s="28" t="s">
        <v>636</v>
      </c>
      <c r="D90" s="28" t="s">
        <v>637</v>
      </c>
      <c r="E90" s="23" t="n">
        <v>20000</v>
      </c>
      <c r="F90" s="28" t="s">
        <v>497</v>
      </c>
      <c r="G90" s="28" t="s">
        <v>638</v>
      </c>
    </row>
    <row r="91" customFormat="false" ht="15" hidden="false" customHeight="false" outlineLevel="0" collapsed="false">
      <c r="A91" s="28" t="s">
        <v>319</v>
      </c>
      <c r="B91" s="28" t="s">
        <v>628</v>
      </c>
      <c r="C91" s="28" t="s">
        <v>639</v>
      </c>
      <c r="D91" s="28" t="s">
        <v>640</v>
      </c>
      <c r="E91" s="23" t="n">
        <v>16682.647</v>
      </c>
      <c r="F91" s="28" t="s">
        <v>452</v>
      </c>
      <c r="G91" s="28" t="s">
        <v>485</v>
      </c>
    </row>
    <row r="92" customFormat="false" ht="15" hidden="false" customHeight="false" outlineLevel="0" collapsed="false">
      <c r="A92" s="28" t="s">
        <v>319</v>
      </c>
      <c r="B92" s="28" t="s">
        <v>628</v>
      </c>
      <c r="C92" s="28" t="s">
        <v>641</v>
      </c>
      <c r="D92" s="28" t="s">
        <v>643</v>
      </c>
      <c r="E92" s="23" t="n">
        <v>49482.404</v>
      </c>
      <c r="F92" s="28" t="s">
        <v>452</v>
      </c>
      <c r="G92" s="28" t="s">
        <v>485</v>
      </c>
    </row>
    <row r="93" customFormat="false" ht="15" hidden="false" customHeight="false" outlineLevel="0" collapsed="false">
      <c r="A93" s="28" t="s">
        <v>319</v>
      </c>
      <c r="B93" s="28" t="s">
        <v>628</v>
      </c>
      <c r="C93" s="28" t="s">
        <v>641</v>
      </c>
      <c r="D93" s="28" t="s">
        <v>669</v>
      </c>
      <c r="E93" s="23" t="n">
        <v>39137.009</v>
      </c>
      <c r="F93" s="28" t="s">
        <v>452</v>
      </c>
      <c r="G93" s="28" t="s">
        <v>485</v>
      </c>
    </row>
    <row r="94" customFormat="false" ht="15" hidden="false" customHeight="false" outlineLevel="0" collapsed="false">
      <c r="A94" s="28" t="s">
        <v>319</v>
      </c>
      <c r="B94" s="28" t="s">
        <v>628</v>
      </c>
      <c r="C94" s="28" t="s">
        <v>641</v>
      </c>
      <c r="D94" s="28" t="s">
        <v>670</v>
      </c>
      <c r="E94" s="23" t="n">
        <v>34056.596</v>
      </c>
      <c r="F94" s="28" t="s">
        <v>452</v>
      </c>
      <c r="G94" s="28" t="s">
        <v>485</v>
      </c>
    </row>
    <row r="95" customFormat="false" ht="15" hidden="false" customHeight="false" outlineLevel="0" collapsed="false">
      <c r="A95" s="28" t="s">
        <v>319</v>
      </c>
      <c r="B95" s="28" t="s">
        <v>628</v>
      </c>
      <c r="C95" s="28" t="s">
        <v>641</v>
      </c>
      <c r="D95" s="28" t="s">
        <v>671</v>
      </c>
      <c r="E95" s="23" t="n">
        <v>16324.704</v>
      </c>
      <c r="F95" s="28" t="s">
        <v>452</v>
      </c>
      <c r="G95" s="28" t="s">
        <v>485</v>
      </c>
    </row>
    <row r="96" customFormat="false" ht="15" hidden="false" customHeight="false" outlineLevel="0" collapsed="false">
      <c r="A96" s="28" t="s">
        <v>319</v>
      </c>
      <c r="B96" s="28" t="s">
        <v>628</v>
      </c>
      <c r="C96" s="28" t="s">
        <v>658</v>
      </c>
      <c r="D96" s="28" t="s">
        <v>672</v>
      </c>
      <c r="E96" s="23" t="n">
        <v>21293.215</v>
      </c>
      <c r="F96" s="28" t="s">
        <v>452</v>
      </c>
      <c r="G96" s="28" t="s">
        <v>485</v>
      </c>
    </row>
    <row r="97" customFormat="false" ht="15" hidden="false" customHeight="false" outlineLevel="0" collapsed="false">
      <c r="A97" s="28" t="s">
        <v>319</v>
      </c>
      <c r="B97" s="28" t="s">
        <v>628</v>
      </c>
      <c r="C97" s="28" t="s">
        <v>649</v>
      </c>
      <c r="D97" s="28" t="s">
        <v>673</v>
      </c>
      <c r="E97" s="23" t="n">
        <v>160566.793</v>
      </c>
      <c r="F97" s="28" t="s">
        <v>452</v>
      </c>
      <c r="G97" s="28" t="s">
        <v>485</v>
      </c>
    </row>
    <row r="98" customFormat="false" ht="15" hidden="false" customHeight="false" outlineLevel="0" collapsed="false">
      <c r="A98" s="28" t="s">
        <v>319</v>
      </c>
      <c r="B98" s="28" t="s">
        <v>628</v>
      </c>
      <c r="C98" s="28" t="s">
        <v>649</v>
      </c>
      <c r="D98" s="28" t="s">
        <v>674</v>
      </c>
      <c r="E98" s="23" t="n">
        <v>61915.735</v>
      </c>
      <c r="F98" s="28" t="s">
        <v>452</v>
      </c>
      <c r="G98" s="28" t="s">
        <v>485</v>
      </c>
    </row>
    <row r="99" customFormat="false" ht="15" hidden="false" customHeight="false" outlineLevel="0" collapsed="false">
      <c r="A99" s="28" t="s">
        <v>319</v>
      </c>
      <c r="B99" s="28" t="s">
        <v>628</v>
      </c>
      <c r="C99" s="28" t="s">
        <v>649</v>
      </c>
      <c r="D99" s="28" t="s">
        <v>675</v>
      </c>
      <c r="E99" s="23" t="n">
        <v>25391.325</v>
      </c>
      <c r="F99" s="28" t="s">
        <v>452</v>
      </c>
      <c r="G99" s="28" t="s">
        <v>485</v>
      </c>
    </row>
    <row r="100" customFormat="false" ht="15" hidden="false" customHeight="false" outlineLevel="0" collapsed="false">
      <c r="A100" s="28" t="s">
        <v>319</v>
      </c>
      <c r="B100" s="28" t="s">
        <v>628</v>
      </c>
      <c r="C100" s="28" t="s">
        <v>649</v>
      </c>
      <c r="D100" s="28" t="s">
        <v>653</v>
      </c>
      <c r="E100" s="23" t="n">
        <v>13344.891</v>
      </c>
      <c r="F100" s="28" t="s">
        <v>452</v>
      </c>
      <c r="G100" s="28" t="s">
        <v>485</v>
      </c>
    </row>
    <row r="101" customFormat="false" ht="15" hidden="false" customHeight="false" outlineLevel="0" collapsed="false">
      <c r="A101" s="28" t="s">
        <v>319</v>
      </c>
      <c r="B101" s="28" t="s">
        <v>628</v>
      </c>
      <c r="C101" s="28" t="s">
        <v>649</v>
      </c>
      <c r="D101" s="28" t="s">
        <v>676</v>
      </c>
      <c r="E101" s="23" t="n">
        <v>7880.487</v>
      </c>
      <c r="F101" s="28" t="s">
        <v>452</v>
      </c>
      <c r="G101" s="28" t="s">
        <v>485</v>
      </c>
    </row>
    <row r="102" customFormat="false" ht="15" hidden="false" customHeight="false" outlineLevel="0" collapsed="false">
      <c r="A102" s="28" t="s">
        <v>320</v>
      </c>
      <c r="B102" s="28" t="s">
        <v>628</v>
      </c>
      <c r="C102" s="28" t="s">
        <v>629</v>
      </c>
      <c r="D102" s="28" t="s">
        <v>630</v>
      </c>
      <c r="E102" s="23" t="n">
        <v>294599.665</v>
      </c>
      <c r="F102" s="28" t="s">
        <v>452</v>
      </c>
      <c r="G102" s="28" t="s">
        <v>490</v>
      </c>
    </row>
    <row r="103" customFormat="false" ht="15" hidden="false" customHeight="false" outlineLevel="0" collapsed="false">
      <c r="A103" s="28" t="s">
        <v>320</v>
      </c>
      <c r="B103" s="28" t="s">
        <v>628</v>
      </c>
      <c r="C103" s="28" t="s">
        <v>629</v>
      </c>
      <c r="D103" s="28" t="s">
        <v>666</v>
      </c>
      <c r="E103" s="23" t="n">
        <v>90773.565</v>
      </c>
      <c r="F103" s="28" t="s">
        <v>452</v>
      </c>
      <c r="G103" s="28" t="s">
        <v>490</v>
      </c>
    </row>
    <row r="104" customFormat="false" ht="15" hidden="false" customHeight="false" outlineLevel="0" collapsed="false">
      <c r="A104" s="28" t="s">
        <v>320</v>
      </c>
      <c r="B104" s="28" t="s">
        <v>628</v>
      </c>
      <c r="C104" s="28" t="s">
        <v>629</v>
      </c>
      <c r="D104" s="28" t="s">
        <v>667</v>
      </c>
      <c r="E104" s="23" t="n">
        <v>23428.881</v>
      </c>
      <c r="F104" s="28" t="s">
        <v>452</v>
      </c>
      <c r="G104" s="28" t="s">
        <v>490</v>
      </c>
    </row>
    <row r="105" customFormat="false" ht="15" hidden="false" customHeight="false" outlineLevel="0" collapsed="false">
      <c r="A105" s="28" t="s">
        <v>320</v>
      </c>
      <c r="B105" s="28" t="s">
        <v>628</v>
      </c>
      <c r="C105" s="28" t="s">
        <v>632</v>
      </c>
      <c r="D105" s="28" t="s">
        <v>633</v>
      </c>
      <c r="E105" s="23" t="n">
        <v>146469.613</v>
      </c>
      <c r="F105" s="28" t="s">
        <v>493</v>
      </c>
      <c r="G105" s="28" t="s">
        <v>677</v>
      </c>
    </row>
    <row r="106" customFormat="false" ht="15" hidden="false" customHeight="false" outlineLevel="0" collapsed="false">
      <c r="A106" s="28" t="s">
        <v>320</v>
      </c>
      <c r="B106" s="28" t="s">
        <v>628</v>
      </c>
      <c r="C106" s="28" t="s">
        <v>632</v>
      </c>
      <c r="D106" s="28" t="s">
        <v>635</v>
      </c>
      <c r="E106" s="23" t="n">
        <v>4888.905</v>
      </c>
      <c r="F106" s="28" t="s">
        <v>452</v>
      </c>
      <c r="G106" s="28" t="s">
        <v>490</v>
      </c>
    </row>
    <row r="107" customFormat="false" ht="15" hidden="false" customHeight="false" outlineLevel="0" collapsed="false">
      <c r="A107" s="28" t="s">
        <v>320</v>
      </c>
      <c r="B107" s="28" t="s">
        <v>628</v>
      </c>
      <c r="C107" s="28" t="s">
        <v>636</v>
      </c>
      <c r="D107" s="28" t="s">
        <v>637</v>
      </c>
      <c r="E107" s="23" t="n">
        <v>16000</v>
      </c>
      <c r="F107" s="28" t="s">
        <v>497</v>
      </c>
      <c r="G107" s="28" t="s">
        <v>638</v>
      </c>
    </row>
    <row r="108" customFormat="false" ht="15" hidden="false" customHeight="false" outlineLevel="0" collapsed="false">
      <c r="A108" s="28" t="s">
        <v>320</v>
      </c>
      <c r="B108" s="28" t="s">
        <v>628</v>
      </c>
      <c r="C108" s="28" t="s">
        <v>639</v>
      </c>
      <c r="D108" s="28" t="s">
        <v>640</v>
      </c>
      <c r="E108" s="23" t="n">
        <v>20022.718</v>
      </c>
      <c r="F108" s="28" t="s">
        <v>452</v>
      </c>
      <c r="G108" s="28" t="s">
        <v>490</v>
      </c>
    </row>
    <row r="109" customFormat="false" ht="15" hidden="false" customHeight="false" outlineLevel="0" collapsed="false">
      <c r="A109" s="28" t="s">
        <v>320</v>
      </c>
      <c r="B109" s="28" t="s">
        <v>628</v>
      </c>
      <c r="C109" s="28" t="s">
        <v>641</v>
      </c>
      <c r="D109" s="28" t="s">
        <v>643</v>
      </c>
      <c r="E109" s="23" t="n">
        <v>50463.856</v>
      </c>
      <c r="F109" s="28" t="s">
        <v>452</v>
      </c>
      <c r="G109" s="28" t="s">
        <v>490</v>
      </c>
    </row>
    <row r="110" customFormat="false" ht="15" hidden="false" customHeight="false" outlineLevel="0" collapsed="false">
      <c r="A110" s="28" t="s">
        <v>320</v>
      </c>
      <c r="B110" s="28" t="s">
        <v>628</v>
      </c>
      <c r="C110" s="28" t="s">
        <v>641</v>
      </c>
      <c r="D110" s="28" t="s">
        <v>669</v>
      </c>
      <c r="E110" s="23" t="n">
        <v>44449.095</v>
      </c>
      <c r="F110" s="28" t="s">
        <v>452</v>
      </c>
      <c r="G110" s="28" t="s">
        <v>490</v>
      </c>
    </row>
    <row r="111" customFormat="false" ht="15" hidden="false" customHeight="false" outlineLevel="0" collapsed="false">
      <c r="A111" s="28" t="s">
        <v>320</v>
      </c>
      <c r="B111" s="28" t="s">
        <v>628</v>
      </c>
      <c r="C111" s="28" t="s">
        <v>641</v>
      </c>
      <c r="D111" s="28" t="s">
        <v>670</v>
      </c>
      <c r="E111" s="23" t="n">
        <v>34579.031</v>
      </c>
      <c r="F111" s="28" t="s">
        <v>452</v>
      </c>
      <c r="G111" s="28" t="s">
        <v>490</v>
      </c>
    </row>
    <row r="112" customFormat="false" ht="15" hidden="false" customHeight="false" outlineLevel="0" collapsed="false">
      <c r="A112" s="28" t="s">
        <v>320</v>
      </c>
      <c r="B112" s="28" t="s">
        <v>628</v>
      </c>
      <c r="C112" s="28" t="s">
        <v>641</v>
      </c>
      <c r="D112" s="28" t="s">
        <v>671</v>
      </c>
      <c r="E112" s="23" t="n">
        <v>19453.614</v>
      </c>
      <c r="F112" s="28" t="s">
        <v>452</v>
      </c>
      <c r="G112" s="28" t="s">
        <v>490</v>
      </c>
    </row>
    <row r="113" customFormat="false" ht="15" hidden="false" customHeight="false" outlineLevel="0" collapsed="false">
      <c r="A113" s="28" t="s">
        <v>320</v>
      </c>
      <c r="B113" s="28" t="s">
        <v>628</v>
      </c>
      <c r="C113" s="28" t="s">
        <v>658</v>
      </c>
      <c r="D113" s="28" t="s">
        <v>672</v>
      </c>
      <c r="E113" s="23" t="n">
        <v>4245.4</v>
      </c>
      <c r="F113" s="28" t="s">
        <v>452</v>
      </c>
      <c r="G113" s="28" t="s">
        <v>490</v>
      </c>
    </row>
    <row r="114" customFormat="false" ht="15" hidden="false" customHeight="false" outlineLevel="0" collapsed="false">
      <c r="A114" s="28" t="s">
        <v>320</v>
      </c>
      <c r="B114" s="28" t="s">
        <v>628</v>
      </c>
      <c r="C114" s="28" t="s">
        <v>649</v>
      </c>
      <c r="D114" s="28" t="s">
        <v>673</v>
      </c>
      <c r="E114" s="23" t="n">
        <v>181856.189</v>
      </c>
      <c r="F114" s="28" t="s">
        <v>452</v>
      </c>
      <c r="G114" s="28" t="s">
        <v>490</v>
      </c>
    </row>
    <row r="115" customFormat="false" ht="15" hidden="false" customHeight="false" outlineLevel="0" collapsed="false">
      <c r="A115" s="28" t="s">
        <v>320</v>
      </c>
      <c r="B115" s="28" t="s">
        <v>628</v>
      </c>
      <c r="C115" s="28" t="s">
        <v>649</v>
      </c>
      <c r="D115" s="28" t="s">
        <v>674</v>
      </c>
      <c r="E115" s="23" t="n">
        <v>68322.588</v>
      </c>
      <c r="F115" s="28" t="s">
        <v>452</v>
      </c>
      <c r="G115" s="28" t="s">
        <v>490</v>
      </c>
    </row>
    <row r="116" customFormat="false" ht="15" hidden="false" customHeight="false" outlineLevel="0" collapsed="false">
      <c r="A116" s="28" t="s">
        <v>320</v>
      </c>
      <c r="B116" s="28" t="s">
        <v>628</v>
      </c>
      <c r="C116" s="28" t="s">
        <v>649</v>
      </c>
      <c r="D116" s="28" t="s">
        <v>675</v>
      </c>
      <c r="E116" s="23" t="n">
        <v>26261.705</v>
      </c>
      <c r="F116" s="28" t="s">
        <v>452</v>
      </c>
      <c r="G116" s="28" t="s">
        <v>490</v>
      </c>
    </row>
    <row r="117" customFormat="false" ht="15" hidden="false" customHeight="false" outlineLevel="0" collapsed="false">
      <c r="A117" s="28" t="s">
        <v>320</v>
      </c>
      <c r="B117" s="28" t="s">
        <v>628</v>
      </c>
      <c r="C117" s="28" t="s">
        <v>649</v>
      </c>
      <c r="D117" s="28" t="s">
        <v>653</v>
      </c>
      <c r="E117" s="23" t="n">
        <v>14018.691</v>
      </c>
      <c r="F117" s="28" t="s">
        <v>452</v>
      </c>
      <c r="G117" s="28" t="s">
        <v>490</v>
      </c>
    </row>
    <row r="118" customFormat="false" ht="15" hidden="false" customHeight="false" outlineLevel="0" collapsed="false">
      <c r="A118" s="28" t="s">
        <v>320</v>
      </c>
      <c r="B118" s="28" t="s">
        <v>628</v>
      </c>
      <c r="C118" s="28" t="s">
        <v>649</v>
      </c>
      <c r="D118" s="28" t="s">
        <v>676</v>
      </c>
      <c r="E118" s="23" t="n">
        <v>9582.454</v>
      </c>
      <c r="F118" s="28" t="s">
        <v>452</v>
      </c>
      <c r="G118" s="28" t="s">
        <v>490</v>
      </c>
    </row>
    <row r="119" customFormat="false" ht="15" hidden="false" customHeight="false" outlineLevel="0" collapsed="false">
      <c r="A119" s="28" t="s">
        <v>322</v>
      </c>
      <c r="B119" s="28" t="s">
        <v>628</v>
      </c>
      <c r="C119" s="28" t="s">
        <v>629</v>
      </c>
      <c r="D119" s="28" t="s">
        <v>630</v>
      </c>
      <c r="E119" s="23" t="n">
        <v>163180.069</v>
      </c>
      <c r="F119" s="28" t="s">
        <v>497</v>
      </c>
      <c r="G119" s="28" t="s">
        <v>510</v>
      </c>
    </row>
    <row r="120" customFormat="false" ht="15" hidden="false" customHeight="false" outlineLevel="0" collapsed="false">
      <c r="A120" s="28" t="s">
        <v>322</v>
      </c>
      <c r="B120" s="28" t="s">
        <v>628</v>
      </c>
      <c r="C120" s="28" t="s">
        <v>629</v>
      </c>
      <c r="D120" s="28" t="s">
        <v>678</v>
      </c>
      <c r="E120" s="23" t="n">
        <v>58380.409</v>
      </c>
      <c r="F120" s="28" t="s">
        <v>497</v>
      </c>
      <c r="G120" s="28" t="s">
        <v>510</v>
      </c>
    </row>
    <row r="121" customFormat="false" ht="15" hidden="false" customHeight="false" outlineLevel="0" collapsed="false">
      <c r="A121" s="28" t="s">
        <v>322</v>
      </c>
      <c r="B121" s="28" t="s">
        <v>628</v>
      </c>
      <c r="C121" s="28" t="s">
        <v>632</v>
      </c>
      <c r="D121" s="28" t="s">
        <v>633</v>
      </c>
      <c r="E121" s="23" t="n">
        <v>65930.219</v>
      </c>
      <c r="F121" s="28" t="s">
        <v>493</v>
      </c>
      <c r="G121" s="28" t="s">
        <v>679</v>
      </c>
    </row>
    <row r="122" customFormat="false" ht="15" hidden="false" customHeight="false" outlineLevel="0" collapsed="false">
      <c r="A122" s="28" t="s">
        <v>322</v>
      </c>
      <c r="B122" s="28" t="s">
        <v>628</v>
      </c>
      <c r="C122" s="28" t="s">
        <v>636</v>
      </c>
      <c r="D122" s="28" t="s">
        <v>680</v>
      </c>
      <c r="E122" s="23" t="n">
        <v>16000</v>
      </c>
      <c r="F122" s="28" t="s">
        <v>497</v>
      </c>
      <c r="G122" s="28" t="s">
        <v>681</v>
      </c>
    </row>
    <row r="123" customFormat="false" ht="15" hidden="false" customHeight="false" outlineLevel="0" collapsed="false">
      <c r="A123" s="28" t="s">
        <v>322</v>
      </c>
      <c r="B123" s="28" t="s">
        <v>628</v>
      </c>
      <c r="C123" s="28" t="s">
        <v>639</v>
      </c>
      <c r="D123" s="28" t="s">
        <v>682</v>
      </c>
      <c r="E123" s="23" t="n">
        <v>11996.03</v>
      </c>
      <c r="F123" s="28" t="s">
        <v>497</v>
      </c>
      <c r="G123" s="28" t="s">
        <v>510</v>
      </c>
    </row>
    <row r="124" customFormat="false" ht="15" hidden="false" customHeight="false" outlineLevel="0" collapsed="false">
      <c r="A124" s="28" t="s">
        <v>322</v>
      </c>
      <c r="B124" s="28" t="s">
        <v>628</v>
      </c>
      <c r="C124" s="28" t="s">
        <v>641</v>
      </c>
      <c r="D124" s="28" t="s">
        <v>683</v>
      </c>
      <c r="E124" s="23" t="n">
        <v>20784.154</v>
      </c>
      <c r="F124" s="28" t="s">
        <v>497</v>
      </c>
      <c r="G124" s="28" t="s">
        <v>510</v>
      </c>
    </row>
    <row r="125" customFormat="false" ht="15" hidden="false" customHeight="false" outlineLevel="0" collapsed="false">
      <c r="A125" s="28" t="s">
        <v>322</v>
      </c>
      <c r="B125" s="28" t="s">
        <v>628</v>
      </c>
      <c r="C125" s="28" t="s">
        <v>641</v>
      </c>
      <c r="D125" s="28" t="s">
        <v>684</v>
      </c>
      <c r="E125" s="23" t="n">
        <v>61310.261</v>
      </c>
      <c r="F125" s="28" t="s">
        <v>497</v>
      </c>
      <c r="G125" s="28" t="s">
        <v>685</v>
      </c>
    </row>
    <row r="126" customFormat="false" ht="15" hidden="false" customHeight="false" outlineLevel="0" collapsed="false">
      <c r="A126" s="28" t="s">
        <v>322</v>
      </c>
      <c r="B126" s="28" t="s">
        <v>628</v>
      </c>
      <c r="C126" s="28" t="s">
        <v>658</v>
      </c>
      <c r="D126" s="28" t="s">
        <v>686</v>
      </c>
      <c r="E126" s="23" t="n">
        <v>-2.292</v>
      </c>
      <c r="F126" s="28" t="s">
        <v>497</v>
      </c>
      <c r="G126" s="28" t="s">
        <v>510</v>
      </c>
    </row>
    <row r="127" customFormat="false" ht="15" hidden="false" customHeight="false" outlineLevel="0" collapsed="false">
      <c r="A127" s="28" t="s">
        <v>322</v>
      </c>
      <c r="B127" s="28" t="s">
        <v>628</v>
      </c>
      <c r="C127" s="28" t="s">
        <v>658</v>
      </c>
      <c r="D127" s="28" t="s">
        <v>687</v>
      </c>
      <c r="E127" s="23" t="n">
        <v>-178.256</v>
      </c>
      <c r="F127" s="28" t="s">
        <v>497</v>
      </c>
      <c r="G127" s="28" t="s">
        <v>510</v>
      </c>
    </row>
    <row r="128" customFormat="false" ht="15" hidden="false" customHeight="false" outlineLevel="0" collapsed="false">
      <c r="A128" s="28" t="s">
        <v>322</v>
      </c>
      <c r="B128" s="28" t="s">
        <v>628</v>
      </c>
      <c r="C128" s="28" t="s">
        <v>649</v>
      </c>
      <c r="D128" s="28" t="s">
        <v>688</v>
      </c>
      <c r="E128" s="23" t="n">
        <v>96107.136</v>
      </c>
      <c r="F128" s="28" t="s">
        <v>497</v>
      </c>
      <c r="G128" s="28" t="s">
        <v>510</v>
      </c>
    </row>
    <row r="129" customFormat="false" ht="15" hidden="false" customHeight="false" outlineLevel="0" collapsed="false">
      <c r="A129" s="28" t="s">
        <v>322</v>
      </c>
      <c r="B129" s="28" t="s">
        <v>628</v>
      </c>
      <c r="C129" s="28" t="s">
        <v>649</v>
      </c>
      <c r="D129" s="28" t="s">
        <v>689</v>
      </c>
      <c r="E129" s="23" t="n">
        <v>639.519</v>
      </c>
      <c r="F129" s="28" t="s">
        <v>497</v>
      </c>
      <c r="G129" s="28" t="s">
        <v>510</v>
      </c>
    </row>
    <row r="130" customFormat="false" ht="15" hidden="false" customHeight="false" outlineLevel="0" collapsed="false">
      <c r="A130" s="28" t="s">
        <v>322</v>
      </c>
      <c r="B130" s="28" t="s">
        <v>628</v>
      </c>
      <c r="C130" s="28" t="s">
        <v>649</v>
      </c>
      <c r="D130" s="28" t="s">
        <v>690</v>
      </c>
      <c r="E130" s="23" t="n">
        <v>7023.862</v>
      </c>
      <c r="F130" s="28" t="s">
        <v>497</v>
      </c>
      <c r="G130" s="28" t="s">
        <v>510</v>
      </c>
    </row>
    <row r="131" customFormat="false" ht="15" hidden="false" customHeight="false" outlineLevel="0" collapsed="false">
      <c r="A131" s="28" t="s">
        <v>322</v>
      </c>
      <c r="B131" s="28" t="s">
        <v>628</v>
      </c>
      <c r="C131" s="28" t="s">
        <v>649</v>
      </c>
      <c r="D131" s="28" t="s">
        <v>651</v>
      </c>
      <c r="E131" s="23" t="n">
        <v>31917.365</v>
      </c>
      <c r="F131" s="28" t="s">
        <v>497</v>
      </c>
      <c r="G131" s="28" t="s">
        <v>510</v>
      </c>
    </row>
    <row r="132" customFormat="false" ht="15" hidden="false" customHeight="false" outlineLevel="0" collapsed="false">
      <c r="A132" s="28" t="s">
        <v>322</v>
      </c>
      <c r="B132" s="28" t="s">
        <v>628</v>
      </c>
      <c r="C132" s="28" t="s">
        <v>649</v>
      </c>
      <c r="D132" s="28" t="s">
        <v>691</v>
      </c>
      <c r="E132" s="23" t="n">
        <v>12676.565</v>
      </c>
      <c r="F132" s="28" t="s">
        <v>497</v>
      </c>
      <c r="G132" s="28" t="s">
        <v>510</v>
      </c>
    </row>
    <row r="133" customFormat="false" ht="15" hidden="false" customHeight="false" outlineLevel="0" collapsed="false">
      <c r="A133" s="28" t="s">
        <v>322</v>
      </c>
      <c r="B133" s="28" t="s">
        <v>628</v>
      </c>
      <c r="C133" s="28" t="s">
        <v>649</v>
      </c>
      <c r="D133" s="28" t="s">
        <v>656</v>
      </c>
      <c r="E133" s="23" t="n">
        <v>794.259</v>
      </c>
      <c r="F133" s="28" t="s">
        <v>497</v>
      </c>
      <c r="G133" s="28" t="s">
        <v>510</v>
      </c>
    </row>
    <row r="134" customFormat="false" ht="15" hidden="false" customHeight="false" outlineLevel="0" collapsed="false">
      <c r="A134" s="28" t="s">
        <v>322</v>
      </c>
      <c r="B134" s="28" t="s">
        <v>628</v>
      </c>
      <c r="C134" s="28" t="s">
        <v>649</v>
      </c>
      <c r="D134" s="28" t="s">
        <v>654</v>
      </c>
      <c r="E134" s="23" t="n">
        <v>3785.063</v>
      </c>
      <c r="F134" s="28" t="s">
        <v>497</v>
      </c>
      <c r="G134" s="28" t="s">
        <v>510</v>
      </c>
    </row>
    <row r="135" customFormat="false" ht="15" hidden="false" customHeight="false" outlineLevel="0" collapsed="false">
      <c r="A135" s="28" t="s">
        <v>322</v>
      </c>
      <c r="B135" s="28" t="s">
        <v>628</v>
      </c>
      <c r="C135" s="28" t="s">
        <v>649</v>
      </c>
      <c r="D135" s="28" t="s">
        <v>692</v>
      </c>
      <c r="E135" s="23" t="n">
        <v>114.791</v>
      </c>
      <c r="F135" s="28" t="s">
        <v>497</v>
      </c>
      <c r="G135" s="28" t="s">
        <v>510</v>
      </c>
    </row>
    <row r="136" customFormat="false" ht="15" hidden="false" customHeight="false" outlineLevel="0" collapsed="false">
      <c r="A136" s="28" t="s">
        <v>322</v>
      </c>
      <c r="B136" s="28" t="s">
        <v>628</v>
      </c>
      <c r="C136" s="28" t="s">
        <v>649</v>
      </c>
      <c r="D136" s="28" t="s">
        <v>693</v>
      </c>
      <c r="E136" s="23" t="n">
        <v>1719.477</v>
      </c>
      <c r="F136" s="28" t="s">
        <v>497</v>
      </c>
      <c r="G136" s="28" t="s">
        <v>510</v>
      </c>
    </row>
    <row r="137" customFormat="false" ht="15" hidden="false" customHeight="false" outlineLevel="0" collapsed="false">
      <c r="A137" s="28" t="s">
        <v>694</v>
      </c>
      <c r="B137" s="28" t="s">
        <v>695</v>
      </c>
      <c r="C137" s="28" t="s">
        <v>629</v>
      </c>
      <c r="D137" s="28" t="s">
        <v>630</v>
      </c>
      <c r="E137" s="23" t="n">
        <v>69162.9405827839</v>
      </c>
      <c r="F137" s="28" t="s">
        <v>493</v>
      </c>
      <c r="G137" s="28" t="s">
        <v>696</v>
      </c>
    </row>
    <row r="138" customFormat="false" ht="15" hidden="false" customHeight="false" outlineLevel="0" collapsed="false">
      <c r="A138" s="28" t="s">
        <v>694</v>
      </c>
      <c r="B138" s="28" t="s">
        <v>695</v>
      </c>
      <c r="C138" s="28" t="s">
        <v>629</v>
      </c>
      <c r="D138" s="28" t="s">
        <v>697</v>
      </c>
      <c r="E138" s="23" t="n">
        <v>29863.4338093365</v>
      </c>
      <c r="F138" s="28" t="s">
        <v>493</v>
      </c>
      <c r="G138" s="28" t="s">
        <v>696</v>
      </c>
    </row>
    <row r="139" customFormat="false" ht="15" hidden="false" customHeight="false" outlineLevel="0" collapsed="false">
      <c r="A139" s="28" t="s">
        <v>694</v>
      </c>
      <c r="B139" s="28" t="s">
        <v>695</v>
      </c>
      <c r="C139" s="28" t="s">
        <v>632</v>
      </c>
      <c r="D139" s="28" t="s">
        <v>633</v>
      </c>
      <c r="E139" s="23" t="n">
        <v>37390.6508725226</v>
      </c>
      <c r="F139" s="28" t="s">
        <v>493</v>
      </c>
      <c r="G139" s="28" t="s">
        <v>696</v>
      </c>
    </row>
    <row r="140" customFormat="false" ht="15" hidden="false" customHeight="false" outlineLevel="0" collapsed="false">
      <c r="A140" s="28" t="s">
        <v>694</v>
      </c>
      <c r="B140" s="28" t="s">
        <v>695</v>
      </c>
      <c r="C140" s="28" t="s">
        <v>632</v>
      </c>
      <c r="D140" s="28" t="s">
        <v>635</v>
      </c>
      <c r="E140" s="23" t="n">
        <v>2695.78736510887</v>
      </c>
      <c r="F140" s="28" t="s">
        <v>493</v>
      </c>
      <c r="G140" s="28" t="s">
        <v>696</v>
      </c>
    </row>
    <row r="141" customFormat="false" ht="15" hidden="false" customHeight="false" outlineLevel="0" collapsed="false">
      <c r="A141" s="28" t="s">
        <v>694</v>
      </c>
      <c r="B141" s="28" t="s">
        <v>695</v>
      </c>
      <c r="C141" s="28" t="s">
        <v>636</v>
      </c>
      <c r="D141" s="28" t="s">
        <v>698</v>
      </c>
      <c r="E141" s="23" t="n">
        <v>16000</v>
      </c>
      <c r="F141" s="28" t="s">
        <v>497</v>
      </c>
      <c r="G141" s="28" t="s">
        <v>699</v>
      </c>
    </row>
    <row r="142" customFormat="false" ht="15" hidden="false" customHeight="false" outlineLevel="0" collapsed="false">
      <c r="A142" s="28" t="s">
        <v>694</v>
      </c>
      <c r="B142" s="28" t="s">
        <v>695</v>
      </c>
      <c r="C142" s="28" t="s">
        <v>639</v>
      </c>
      <c r="D142" s="28" t="s">
        <v>640</v>
      </c>
      <c r="E142" s="23" t="n">
        <v>4148.91019026448</v>
      </c>
      <c r="F142" s="28" t="s">
        <v>493</v>
      </c>
      <c r="G142" s="28" t="s">
        <v>696</v>
      </c>
    </row>
    <row r="143" customFormat="false" ht="15" hidden="false" customHeight="false" outlineLevel="0" collapsed="false">
      <c r="A143" s="28" t="s">
        <v>694</v>
      </c>
      <c r="B143" s="28" t="s">
        <v>695</v>
      </c>
      <c r="C143" s="28" t="s">
        <v>641</v>
      </c>
      <c r="D143" s="28" t="s">
        <v>700</v>
      </c>
      <c r="E143" s="23" t="n">
        <v>35459.0068326664</v>
      </c>
      <c r="F143" s="28" t="s">
        <v>493</v>
      </c>
      <c r="G143" s="28" t="s">
        <v>696</v>
      </c>
    </row>
    <row r="144" customFormat="false" ht="15" hidden="false" customHeight="false" outlineLevel="0" collapsed="false">
      <c r="A144" s="28" t="s">
        <v>694</v>
      </c>
      <c r="B144" s="28" t="s">
        <v>695</v>
      </c>
      <c r="C144" s="28" t="s">
        <v>649</v>
      </c>
      <c r="D144" s="28" t="s">
        <v>701</v>
      </c>
      <c r="E144" s="23" t="n">
        <v>72566.8371937457</v>
      </c>
      <c r="F144" s="28" t="s">
        <v>493</v>
      </c>
      <c r="G144" s="28" t="s">
        <v>696</v>
      </c>
    </row>
    <row r="145" customFormat="false" ht="15" hidden="false" customHeight="false" outlineLevel="0" collapsed="false">
      <c r="A145" s="28" t="s">
        <v>702</v>
      </c>
      <c r="B145" s="28" t="s">
        <v>695</v>
      </c>
      <c r="C145" s="28" t="s">
        <v>629</v>
      </c>
      <c r="D145" s="28" t="s">
        <v>630</v>
      </c>
      <c r="E145" s="23" t="n">
        <v>72297.3037188534</v>
      </c>
      <c r="F145" s="28" t="s">
        <v>493</v>
      </c>
      <c r="G145" s="28" t="s">
        <v>696</v>
      </c>
    </row>
    <row r="146" customFormat="false" ht="15" hidden="false" customHeight="false" outlineLevel="0" collapsed="false">
      <c r="A146" s="28" t="s">
        <v>702</v>
      </c>
      <c r="B146" s="28" t="s">
        <v>695</v>
      </c>
      <c r="C146" s="28" t="s">
        <v>629</v>
      </c>
      <c r="D146" s="28" t="s">
        <v>697</v>
      </c>
      <c r="E146" s="23" t="n">
        <v>28559.8130875076</v>
      </c>
      <c r="F146" s="28" t="s">
        <v>493</v>
      </c>
      <c r="G146" s="28" t="s">
        <v>696</v>
      </c>
    </row>
    <row r="147" customFormat="false" ht="15" hidden="false" customHeight="false" outlineLevel="0" collapsed="false">
      <c r="A147" s="28" t="s">
        <v>702</v>
      </c>
      <c r="B147" s="28" t="s">
        <v>695</v>
      </c>
      <c r="C147" s="28" t="s">
        <v>632</v>
      </c>
      <c r="D147" s="28" t="s">
        <v>633</v>
      </c>
      <c r="E147" s="23" t="n">
        <v>37259.6739061397</v>
      </c>
      <c r="F147" s="28" t="s">
        <v>493</v>
      </c>
      <c r="G147" s="28" t="s">
        <v>696</v>
      </c>
    </row>
    <row r="148" customFormat="false" ht="15" hidden="false" customHeight="false" outlineLevel="0" collapsed="false">
      <c r="A148" s="28" t="s">
        <v>702</v>
      </c>
      <c r="B148" s="28" t="s">
        <v>695</v>
      </c>
      <c r="C148" s="28" t="s">
        <v>632</v>
      </c>
      <c r="D148" s="28" t="s">
        <v>635</v>
      </c>
      <c r="E148" s="23" t="n">
        <v>1493.22442776622</v>
      </c>
      <c r="F148" s="28" t="s">
        <v>493</v>
      </c>
      <c r="G148" s="28" t="s">
        <v>696</v>
      </c>
    </row>
    <row r="149" customFormat="false" ht="15" hidden="false" customHeight="false" outlineLevel="0" collapsed="false">
      <c r="A149" s="28" t="s">
        <v>702</v>
      </c>
      <c r="B149" s="28" t="s">
        <v>695</v>
      </c>
      <c r="C149" s="28" t="s">
        <v>639</v>
      </c>
      <c r="D149" s="28" t="s">
        <v>640</v>
      </c>
      <c r="E149" s="23" t="n">
        <v>4635.84475204345</v>
      </c>
      <c r="F149" s="28" t="s">
        <v>493</v>
      </c>
      <c r="G149" s="28" t="s">
        <v>696</v>
      </c>
    </row>
    <row r="150" customFormat="false" ht="15" hidden="false" customHeight="false" outlineLevel="0" collapsed="false">
      <c r="A150" s="28" t="s">
        <v>702</v>
      </c>
      <c r="B150" s="28" t="s">
        <v>695</v>
      </c>
      <c r="C150" s="28" t="s">
        <v>641</v>
      </c>
      <c r="D150" s="28" t="s">
        <v>700</v>
      </c>
      <c r="E150" s="23" t="n">
        <v>36561.8311464576</v>
      </c>
      <c r="F150" s="28" t="s">
        <v>493</v>
      </c>
      <c r="G150" s="28" t="s">
        <v>696</v>
      </c>
    </row>
    <row r="151" customFormat="false" ht="15" hidden="false" customHeight="false" outlineLevel="0" collapsed="false">
      <c r="A151" s="28" t="s">
        <v>702</v>
      </c>
      <c r="B151" s="28" t="s">
        <v>695</v>
      </c>
      <c r="C151" s="28" t="s">
        <v>649</v>
      </c>
      <c r="D151" s="28" t="s">
        <v>701</v>
      </c>
      <c r="E151" s="23" t="n">
        <v>74568.9200244981</v>
      </c>
      <c r="F151" s="28" t="s">
        <v>493</v>
      </c>
      <c r="G151" s="28" t="s">
        <v>696</v>
      </c>
    </row>
    <row r="152" customFormat="false" ht="15" hidden="false" customHeight="false" outlineLevel="0" collapsed="false">
      <c r="A152" s="28" t="s">
        <v>702</v>
      </c>
      <c r="B152" s="28" t="s">
        <v>695</v>
      </c>
      <c r="C152" s="28" t="s">
        <v>658</v>
      </c>
      <c r="D152" s="28" t="s">
        <v>703</v>
      </c>
      <c r="E152" s="23" t="n">
        <v>4245.4</v>
      </c>
      <c r="F152" s="28" t="s">
        <v>493</v>
      </c>
      <c r="G152" s="28" t="s">
        <v>696</v>
      </c>
    </row>
    <row r="153" customFormat="false" ht="15" hidden="false" customHeight="false" outlineLevel="0" collapsed="false">
      <c r="A153" s="28" t="s">
        <v>704</v>
      </c>
      <c r="B153" s="28" t="s">
        <v>695</v>
      </c>
      <c r="C153" s="28" t="s">
        <v>629</v>
      </c>
      <c r="D153" s="28" t="s">
        <v>630</v>
      </c>
      <c r="E153" s="23" t="n">
        <v>75228.9919329283</v>
      </c>
      <c r="F153" s="28" t="s">
        <v>493</v>
      </c>
      <c r="G153" s="28" t="s">
        <v>696</v>
      </c>
    </row>
    <row r="154" customFormat="false" ht="15" hidden="false" customHeight="false" outlineLevel="0" collapsed="false">
      <c r="A154" s="28" t="s">
        <v>704</v>
      </c>
      <c r="B154" s="28" t="s">
        <v>695</v>
      </c>
      <c r="C154" s="28" t="s">
        <v>629</v>
      </c>
      <c r="D154" s="28" t="s">
        <v>697</v>
      </c>
      <c r="E154" s="23" t="n">
        <v>27846.6889116033</v>
      </c>
      <c r="F154" s="28" t="s">
        <v>493</v>
      </c>
      <c r="G154" s="28" t="s">
        <v>696</v>
      </c>
    </row>
    <row r="155" customFormat="false" ht="15" hidden="false" customHeight="false" outlineLevel="0" collapsed="false">
      <c r="A155" s="28" t="s">
        <v>704</v>
      </c>
      <c r="B155" s="28" t="s">
        <v>695</v>
      </c>
      <c r="C155" s="28" t="s">
        <v>632</v>
      </c>
      <c r="D155" s="28" t="s">
        <v>633</v>
      </c>
      <c r="E155" s="23" t="n">
        <v>36518.2049394842</v>
      </c>
      <c r="F155" s="28" t="s">
        <v>493</v>
      </c>
      <c r="G155" s="28" t="s">
        <v>696</v>
      </c>
    </row>
    <row r="156" customFormat="false" ht="15" hidden="false" customHeight="false" outlineLevel="0" collapsed="false">
      <c r="A156" s="28" t="s">
        <v>704</v>
      </c>
      <c r="B156" s="28" t="s">
        <v>695</v>
      </c>
      <c r="C156" s="28" t="s">
        <v>632</v>
      </c>
      <c r="D156" s="28" t="s">
        <v>635</v>
      </c>
      <c r="E156" s="23" t="n">
        <v>588.463342248565</v>
      </c>
      <c r="F156" s="28" t="s">
        <v>493</v>
      </c>
      <c r="G156" s="28" t="s">
        <v>696</v>
      </c>
    </row>
    <row r="157" customFormat="false" ht="15" hidden="false" customHeight="false" outlineLevel="0" collapsed="false">
      <c r="A157" s="28" t="s">
        <v>704</v>
      </c>
      <c r="B157" s="28" t="s">
        <v>695</v>
      </c>
      <c r="C157" s="28" t="s">
        <v>639</v>
      </c>
      <c r="D157" s="28" t="s">
        <v>640</v>
      </c>
      <c r="E157" s="23" t="n">
        <v>5300.49290734368</v>
      </c>
      <c r="F157" s="28" t="s">
        <v>493</v>
      </c>
      <c r="G157" s="28" t="s">
        <v>696</v>
      </c>
    </row>
    <row r="158" customFormat="false" ht="15" hidden="false" customHeight="false" outlineLevel="0" collapsed="false">
      <c r="A158" s="28" t="s">
        <v>704</v>
      </c>
      <c r="B158" s="28" t="s">
        <v>695</v>
      </c>
      <c r="C158" s="28" t="s">
        <v>641</v>
      </c>
      <c r="D158" s="28" t="s">
        <v>700</v>
      </c>
      <c r="E158" s="23" t="n">
        <v>37813.8977466924</v>
      </c>
      <c r="F158" s="28" t="s">
        <v>493</v>
      </c>
      <c r="G158" s="28" t="s">
        <v>696</v>
      </c>
    </row>
    <row r="159" customFormat="false" ht="15" hidden="false" customHeight="false" outlineLevel="0" collapsed="false">
      <c r="A159" s="28" t="s">
        <v>704</v>
      </c>
      <c r="B159" s="28" t="s">
        <v>695</v>
      </c>
      <c r="C159" s="28" t="s">
        <v>649</v>
      </c>
      <c r="D159" s="28" t="s">
        <v>701</v>
      </c>
      <c r="E159" s="23" t="n">
        <v>76024.172061039</v>
      </c>
      <c r="F159" s="28" t="s">
        <v>493</v>
      </c>
      <c r="G159" s="28" t="s">
        <v>696</v>
      </c>
    </row>
    <row r="160" customFormat="false" ht="15" hidden="false" customHeight="false" outlineLevel="0" collapsed="false">
      <c r="A160" s="28" t="s">
        <v>320</v>
      </c>
      <c r="B160" s="28" t="s">
        <v>695</v>
      </c>
      <c r="C160" s="28" t="s">
        <v>629</v>
      </c>
      <c r="D160" s="28" t="s">
        <v>630</v>
      </c>
      <c r="E160" s="23" t="n">
        <v>77910.4287654348</v>
      </c>
      <c r="F160" s="28" t="s">
        <v>493</v>
      </c>
      <c r="G160" s="28" t="s">
        <v>696</v>
      </c>
    </row>
    <row r="161" customFormat="false" ht="15" hidden="false" customHeight="false" outlineLevel="0" collapsed="false">
      <c r="A161" s="28" t="s">
        <v>320</v>
      </c>
      <c r="B161" s="28" t="s">
        <v>695</v>
      </c>
      <c r="C161" s="28" t="s">
        <v>629</v>
      </c>
      <c r="D161" s="28" t="s">
        <v>697</v>
      </c>
      <c r="E161" s="23" t="n">
        <v>27932.5101915528</v>
      </c>
      <c r="F161" s="28" t="s">
        <v>493</v>
      </c>
      <c r="G161" s="28" t="s">
        <v>696</v>
      </c>
    </row>
    <row r="162" customFormat="false" ht="15" hidden="false" customHeight="false" outlineLevel="0" collapsed="false">
      <c r="A162" s="28" t="s">
        <v>320</v>
      </c>
      <c r="B162" s="28" t="s">
        <v>695</v>
      </c>
      <c r="C162" s="28" t="s">
        <v>632</v>
      </c>
      <c r="D162" s="28" t="s">
        <v>633</v>
      </c>
      <c r="E162" s="23" t="n">
        <v>35301.0832818537</v>
      </c>
      <c r="F162" s="28" t="s">
        <v>493</v>
      </c>
      <c r="G162" s="28" t="s">
        <v>696</v>
      </c>
    </row>
    <row r="163" customFormat="false" ht="15" hidden="false" customHeight="false" outlineLevel="0" collapsed="false">
      <c r="A163" s="28" t="s">
        <v>320</v>
      </c>
      <c r="B163" s="28" t="s">
        <v>695</v>
      </c>
      <c r="C163" s="28" t="s">
        <v>632</v>
      </c>
      <c r="D163" s="28" t="s">
        <v>635</v>
      </c>
      <c r="E163" s="23" t="n">
        <v>111.429864876345</v>
      </c>
      <c r="F163" s="28" t="s">
        <v>493</v>
      </c>
      <c r="G163" s="28" t="s">
        <v>696</v>
      </c>
    </row>
    <row r="164" customFormat="false" ht="15" hidden="false" customHeight="false" outlineLevel="0" collapsed="false">
      <c r="A164" s="28" t="s">
        <v>320</v>
      </c>
      <c r="B164" s="28" t="s">
        <v>695</v>
      </c>
      <c r="C164" s="28" t="s">
        <v>639</v>
      </c>
      <c r="D164" s="28" t="s">
        <v>640</v>
      </c>
      <c r="E164" s="23" t="n">
        <v>5937.4701503484</v>
      </c>
      <c r="F164" s="28" t="s">
        <v>493</v>
      </c>
      <c r="G164" s="28" t="s">
        <v>696</v>
      </c>
    </row>
    <row r="165" customFormat="false" ht="15" hidden="false" customHeight="false" outlineLevel="0" collapsed="false">
      <c r="A165" s="28" t="s">
        <v>320</v>
      </c>
      <c r="B165" s="28" t="s">
        <v>695</v>
      </c>
      <c r="C165" s="28" t="s">
        <v>641</v>
      </c>
      <c r="D165" s="28" t="s">
        <v>700</v>
      </c>
      <c r="E165" s="23" t="n">
        <v>39110.8602741839</v>
      </c>
      <c r="F165" s="28" t="s">
        <v>493</v>
      </c>
      <c r="G165" s="28" t="s">
        <v>696</v>
      </c>
    </row>
    <row r="166" customFormat="false" ht="15" hidden="false" customHeight="false" outlineLevel="0" collapsed="false">
      <c r="A166" s="28" t="s">
        <v>320</v>
      </c>
      <c r="B166" s="28" t="s">
        <v>695</v>
      </c>
      <c r="C166" s="28" t="s">
        <v>649</v>
      </c>
      <c r="D166" s="28" t="s">
        <v>701</v>
      </c>
      <c r="E166" s="23" t="n">
        <v>76881.6977207174</v>
      </c>
      <c r="F166" s="28" t="s">
        <v>493</v>
      </c>
      <c r="G166" s="28" t="s">
        <v>696</v>
      </c>
    </row>
    <row r="167" customFormat="false" ht="15" hidden="false" customHeight="false" outlineLevel="0" collapsed="false">
      <c r="A167" s="28" t="s">
        <v>321</v>
      </c>
      <c r="B167" s="28" t="s">
        <v>695</v>
      </c>
      <c r="C167" s="28" t="s">
        <v>629</v>
      </c>
      <c r="D167" s="28" t="s">
        <v>630</v>
      </c>
      <c r="E167" s="23" t="n">
        <v>80386.3358894246</v>
      </c>
      <c r="F167" s="28" t="s">
        <v>493</v>
      </c>
      <c r="G167" s="28" t="s">
        <v>696</v>
      </c>
    </row>
    <row r="168" customFormat="false" ht="15" hidden="false" customHeight="false" outlineLevel="0" collapsed="false">
      <c r="A168" s="28" t="s">
        <v>321</v>
      </c>
      <c r="B168" s="28" t="s">
        <v>695</v>
      </c>
      <c r="C168" s="28" t="s">
        <v>629</v>
      </c>
      <c r="D168" s="28" t="s">
        <v>697</v>
      </c>
      <c r="E168" s="23" t="n">
        <v>30423.9092195394</v>
      </c>
      <c r="F168" s="28" t="s">
        <v>493</v>
      </c>
      <c r="G168" s="28" t="s">
        <v>696</v>
      </c>
    </row>
    <row r="169" customFormat="false" ht="15" hidden="false" customHeight="false" outlineLevel="0" collapsed="false">
      <c r="A169" s="28" t="s">
        <v>321</v>
      </c>
      <c r="B169" s="28" t="s">
        <v>695</v>
      </c>
      <c r="C169" s="28" t="s">
        <v>632</v>
      </c>
      <c r="D169" s="28" t="s">
        <v>633</v>
      </c>
      <c r="E169" s="23" t="n">
        <v>33777.7868469784</v>
      </c>
      <c r="F169" s="28" t="s">
        <v>493</v>
      </c>
      <c r="G169" s="28" t="s">
        <v>696</v>
      </c>
    </row>
    <row r="170" customFormat="false" ht="15" hidden="false" customHeight="false" outlineLevel="0" collapsed="false">
      <c r="A170" s="28" t="s">
        <v>321</v>
      </c>
      <c r="B170" s="28" t="s">
        <v>695</v>
      </c>
      <c r="C170" s="28" t="s">
        <v>636</v>
      </c>
      <c r="D170" s="28" t="s">
        <v>698</v>
      </c>
      <c r="E170" s="23" t="n">
        <v>16000</v>
      </c>
      <c r="F170" s="28" t="s">
        <v>497</v>
      </c>
      <c r="G170" s="28" t="s">
        <v>699</v>
      </c>
    </row>
    <row r="171" customFormat="false" ht="15" hidden="false" customHeight="false" outlineLevel="0" collapsed="false">
      <c r="A171" s="28" t="s">
        <v>321</v>
      </c>
      <c r="B171" s="28" t="s">
        <v>695</v>
      </c>
      <c r="C171" s="28" t="s">
        <v>639</v>
      </c>
      <c r="D171" s="28" t="s">
        <v>640</v>
      </c>
      <c r="E171" s="23" t="n">
        <v>6232.686</v>
      </c>
      <c r="F171" s="28" t="s">
        <v>497</v>
      </c>
      <c r="G171" s="28" t="s">
        <v>498</v>
      </c>
    </row>
    <row r="172" customFormat="false" ht="15" hidden="false" customHeight="false" outlineLevel="0" collapsed="false">
      <c r="A172" s="28" t="s">
        <v>321</v>
      </c>
      <c r="B172" s="28" t="s">
        <v>695</v>
      </c>
      <c r="C172" s="28" t="s">
        <v>641</v>
      </c>
      <c r="D172" s="28" t="s">
        <v>700</v>
      </c>
      <c r="E172" s="23" t="n">
        <v>42130.565177346</v>
      </c>
      <c r="F172" s="28" t="s">
        <v>493</v>
      </c>
      <c r="G172" s="28" t="s">
        <v>696</v>
      </c>
    </row>
    <row r="173" customFormat="false" ht="15" hidden="false" customHeight="false" outlineLevel="0" collapsed="false">
      <c r="A173" s="28" t="s">
        <v>321</v>
      </c>
      <c r="B173" s="28" t="s">
        <v>695</v>
      </c>
      <c r="C173" s="28" t="s">
        <v>649</v>
      </c>
      <c r="D173" s="28" t="s">
        <v>701</v>
      </c>
      <c r="E173" s="23" t="n">
        <v>75543.6424393315</v>
      </c>
      <c r="F173" s="28" t="s">
        <v>493</v>
      </c>
      <c r="G173" s="28" t="s">
        <v>696</v>
      </c>
    </row>
    <row r="174" customFormat="false" ht="15" hidden="false" customHeight="false" outlineLevel="0" collapsed="false">
      <c r="A174" s="28" t="s">
        <v>321</v>
      </c>
      <c r="B174" s="28" t="s">
        <v>695</v>
      </c>
      <c r="C174" s="28" t="s">
        <v>658</v>
      </c>
      <c r="D174" s="28" t="s">
        <v>703</v>
      </c>
      <c r="E174" s="23" t="n">
        <v>-180.548</v>
      </c>
      <c r="F174" s="28" t="s">
        <v>493</v>
      </c>
      <c r="G174" s="28" t="s">
        <v>696</v>
      </c>
    </row>
    <row r="175" customFormat="false" ht="15" hidden="false" customHeight="false" outlineLevel="0" collapsed="false">
      <c r="A175" s="28" t="s">
        <v>321</v>
      </c>
      <c r="B175" s="28" t="s">
        <v>628</v>
      </c>
      <c r="C175" s="28" t="s">
        <v>629</v>
      </c>
      <c r="D175" s="28" t="s">
        <v>630</v>
      </c>
      <c r="E175" s="23" t="n">
        <v>80386.3358894246</v>
      </c>
      <c r="F175" s="28" t="s">
        <v>493</v>
      </c>
      <c r="G175" s="28" t="s">
        <v>696</v>
      </c>
    </row>
    <row r="176" customFormat="false" ht="15" hidden="false" customHeight="false" outlineLevel="0" collapsed="false">
      <c r="A176" s="28" t="s">
        <v>321</v>
      </c>
      <c r="B176" s="28" t="s">
        <v>628</v>
      </c>
      <c r="C176" s="28" t="s">
        <v>629</v>
      </c>
      <c r="D176" s="28" t="s">
        <v>697</v>
      </c>
      <c r="E176" s="23" t="n">
        <v>30423.9092195394</v>
      </c>
      <c r="F176" s="28" t="s">
        <v>493</v>
      </c>
      <c r="G176" s="28" t="s">
        <v>696</v>
      </c>
    </row>
    <row r="177" customFormat="false" ht="15" hidden="false" customHeight="false" outlineLevel="0" collapsed="false">
      <c r="A177" s="28" t="s">
        <v>321</v>
      </c>
      <c r="B177" s="28" t="s">
        <v>628</v>
      </c>
      <c r="C177" s="28" t="s">
        <v>632</v>
      </c>
      <c r="D177" s="28" t="s">
        <v>633</v>
      </c>
      <c r="E177" s="23" t="n">
        <v>33777.7868469784</v>
      </c>
      <c r="F177" s="28" t="s">
        <v>493</v>
      </c>
      <c r="G177" s="28" t="s">
        <v>696</v>
      </c>
    </row>
    <row r="178" customFormat="false" ht="15" hidden="false" customHeight="false" outlineLevel="0" collapsed="false">
      <c r="A178" s="28" t="s">
        <v>321</v>
      </c>
      <c r="B178" s="28" t="s">
        <v>628</v>
      </c>
      <c r="C178" s="28" t="s">
        <v>636</v>
      </c>
      <c r="D178" s="28" t="s">
        <v>698</v>
      </c>
      <c r="E178" s="23" t="n">
        <v>16000</v>
      </c>
      <c r="F178" s="28" t="s">
        <v>497</v>
      </c>
      <c r="G178" s="28" t="s">
        <v>699</v>
      </c>
    </row>
    <row r="179" customFormat="false" ht="15" hidden="false" customHeight="false" outlineLevel="0" collapsed="false">
      <c r="A179" s="28" t="s">
        <v>321</v>
      </c>
      <c r="B179" s="28" t="s">
        <v>628</v>
      </c>
      <c r="C179" s="28" t="s">
        <v>639</v>
      </c>
      <c r="D179" s="28" t="s">
        <v>640</v>
      </c>
      <c r="E179" s="23" t="n">
        <v>6232.686</v>
      </c>
      <c r="F179" s="28" t="s">
        <v>497</v>
      </c>
      <c r="G179" s="28" t="s">
        <v>498</v>
      </c>
    </row>
    <row r="180" customFormat="false" ht="15" hidden="false" customHeight="false" outlineLevel="0" collapsed="false">
      <c r="A180" s="28" t="s">
        <v>321</v>
      </c>
      <c r="B180" s="28" t="s">
        <v>628</v>
      </c>
      <c r="C180" s="28" t="s">
        <v>641</v>
      </c>
      <c r="D180" s="28" t="s">
        <v>700</v>
      </c>
      <c r="E180" s="23" t="n">
        <v>42130.565177346</v>
      </c>
      <c r="F180" s="28" t="s">
        <v>493</v>
      </c>
      <c r="G180" s="28" t="s">
        <v>696</v>
      </c>
    </row>
    <row r="181" customFormat="false" ht="15" hidden="false" customHeight="false" outlineLevel="0" collapsed="false">
      <c r="A181" s="28" t="s">
        <v>321</v>
      </c>
      <c r="B181" s="28" t="s">
        <v>628</v>
      </c>
      <c r="C181" s="28" t="s">
        <v>649</v>
      </c>
      <c r="D181" s="28" t="s">
        <v>701</v>
      </c>
      <c r="E181" s="23" t="n">
        <v>75543.6424393315</v>
      </c>
      <c r="F181" s="28" t="s">
        <v>493</v>
      </c>
      <c r="G181" s="28" t="s">
        <v>696</v>
      </c>
    </row>
    <row r="182" customFormat="false" ht="15" hidden="false" customHeight="false" outlineLevel="0" collapsed="false">
      <c r="A182" s="28" t="s">
        <v>321</v>
      </c>
      <c r="B182" s="28" t="s">
        <v>628</v>
      </c>
      <c r="C182" s="28" t="s">
        <v>658</v>
      </c>
      <c r="D182" s="28" t="s">
        <v>703</v>
      </c>
      <c r="E182" s="23" t="n">
        <v>-180.548</v>
      </c>
      <c r="F182" s="28" t="s">
        <v>493</v>
      </c>
      <c r="G182" s="28" t="s">
        <v>696</v>
      </c>
    </row>
    <row r="183" customFormat="false" ht="15" hidden="false" customHeight="false" outlineLevel="0" collapsed="false">
      <c r="A183" s="28" t="s">
        <v>322</v>
      </c>
      <c r="B183" s="28" t="s">
        <v>695</v>
      </c>
      <c r="C183" s="28" t="s">
        <v>629</v>
      </c>
      <c r="D183" s="28" t="s">
        <v>630</v>
      </c>
      <c r="E183" s="23" t="n">
        <v>82793.7331105755</v>
      </c>
      <c r="F183" s="28" t="s">
        <v>493</v>
      </c>
      <c r="G183" s="28" t="s">
        <v>696</v>
      </c>
    </row>
    <row r="184" customFormat="false" ht="15" hidden="false" customHeight="false" outlineLevel="0" collapsed="false">
      <c r="A184" s="28" t="s">
        <v>322</v>
      </c>
      <c r="B184" s="28" t="s">
        <v>695</v>
      </c>
      <c r="C184" s="28" t="s">
        <v>629</v>
      </c>
      <c r="D184" s="28" t="s">
        <v>697</v>
      </c>
      <c r="E184" s="23" t="n">
        <v>27956.4997804606</v>
      </c>
      <c r="F184" s="28" t="s">
        <v>493</v>
      </c>
      <c r="G184" s="28" t="s">
        <v>696</v>
      </c>
    </row>
    <row r="185" customFormat="false" ht="15" hidden="false" customHeight="false" outlineLevel="0" collapsed="false">
      <c r="A185" s="28" t="s">
        <v>322</v>
      </c>
      <c r="B185" s="28" t="s">
        <v>695</v>
      </c>
      <c r="C185" s="28" t="s">
        <v>632</v>
      </c>
      <c r="D185" s="28" t="s">
        <v>633</v>
      </c>
      <c r="E185" s="23" t="n">
        <v>32152.4321530216</v>
      </c>
      <c r="F185" s="28" t="s">
        <v>493</v>
      </c>
      <c r="G185" s="28" t="s">
        <v>696</v>
      </c>
    </row>
    <row r="186" customFormat="false" ht="15" hidden="false" customHeight="false" outlineLevel="0" collapsed="false">
      <c r="A186" s="28" t="s">
        <v>322</v>
      </c>
      <c r="B186" s="28" t="s">
        <v>695</v>
      </c>
      <c r="C186" s="28" t="s">
        <v>639</v>
      </c>
      <c r="D186" s="28" t="s">
        <v>640</v>
      </c>
      <c r="E186" s="23" t="n">
        <v>5763.34400000001</v>
      </c>
      <c r="F186" s="28" t="s">
        <v>493</v>
      </c>
      <c r="G186" s="28" t="s">
        <v>696</v>
      </c>
    </row>
    <row r="187" customFormat="false" ht="15" hidden="false" customHeight="false" outlineLevel="0" collapsed="false">
      <c r="A187" s="28" t="s">
        <v>322</v>
      </c>
      <c r="B187" s="28" t="s">
        <v>695</v>
      </c>
      <c r="C187" s="28" t="s">
        <v>641</v>
      </c>
      <c r="D187" s="28" t="s">
        <v>700</v>
      </c>
      <c r="E187" s="23" t="n">
        <v>39963.849822654</v>
      </c>
      <c r="F187" s="28" t="s">
        <v>493</v>
      </c>
      <c r="G187" s="28" t="s">
        <v>696</v>
      </c>
    </row>
    <row r="188" customFormat="false" ht="15" hidden="false" customHeight="false" outlineLevel="0" collapsed="false">
      <c r="A188" s="28" t="s">
        <v>322</v>
      </c>
      <c r="B188" s="28" t="s">
        <v>695</v>
      </c>
      <c r="C188" s="28" t="s">
        <v>649</v>
      </c>
      <c r="D188" s="28" t="s">
        <v>701</v>
      </c>
      <c r="E188" s="23" t="n">
        <v>79234.3945606685</v>
      </c>
      <c r="F188" s="28" t="s">
        <v>493</v>
      </c>
      <c r="G188" s="28" t="s">
        <v>696</v>
      </c>
    </row>
  </sheetData>
  <autoFilter ref="A1:G18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M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20"/>
    <col collapsed="false" customWidth="true" hidden="false" outlineLevel="0" max="4" min="4" style="0" width="27"/>
    <col collapsed="false" customWidth="true" hidden="false" outlineLevel="0" max="5" min="5" style="0" width="20"/>
    <col collapsed="false" customWidth="true" hidden="false" outlineLevel="0" max="6" min="6" style="0" width="17"/>
    <col collapsed="false" customWidth="true" hidden="false" outlineLevel="0" max="7" min="7" style="0" width="21"/>
    <col collapsed="false" customWidth="true" hidden="false" outlineLevel="0" max="8" min="8" style="0" width="29"/>
    <col collapsed="false" customWidth="true" hidden="false" outlineLevel="0" max="9" min="9" style="0" width="30"/>
    <col collapsed="false" customWidth="true" hidden="false" outlineLevel="0" max="10" min="10" style="0" width="21"/>
    <col collapsed="false" customWidth="true" hidden="false" outlineLevel="0" max="11" min="11" style="0" width="12"/>
    <col collapsed="false" customWidth="true" hidden="false" outlineLevel="0" max="12" min="12" style="0" width="80"/>
    <col collapsed="false" customWidth="true" hidden="false" outlineLevel="0" max="13" min="13" style="0" width="17"/>
  </cols>
  <sheetData>
    <row r="1" customFormat="false" ht="30" hidden="false" customHeight="true" outlineLevel="0" collapsed="false">
      <c r="A1" s="27" t="s">
        <v>430</v>
      </c>
      <c r="B1" s="27" t="s">
        <v>626</v>
      </c>
      <c r="C1" s="27" t="s">
        <v>629</v>
      </c>
      <c r="D1" s="27" t="s">
        <v>705</v>
      </c>
      <c r="E1" s="27" t="s">
        <v>706</v>
      </c>
      <c r="F1" s="27" t="s">
        <v>636</v>
      </c>
      <c r="G1" s="27" t="s">
        <v>639</v>
      </c>
      <c r="H1" s="27" t="s">
        <v>707</v>
      </c>
      <c r="I1" s="27" t="s">
        <v>708</v>
      </c>
      <c r="J1" s="27" t="s">
        <v>709</v>
      </c>
      <c r="K1" s="27" t="s">
        <v>442</v>
      </c>
      <c r="L1" s="27" t="s">
        <v>443</v>
      </c>
      <c r="M1" s="27" t="s">
        <v>710</v>
      </c>
    </row>
    <row r="2" customFormat="false" ht="15" hidden="false" customHeight="false" outlineLevel="0" collapsed="false">
      <c r="A2" s="28" t="s">
        <v>315</v>
      </c>
      <c r="B2" s="28" t="s">
        <v>628</v>
      </c>
      <c r="C2" s="23" t="n">
        <v>157346.459</v>
      </c>
      <c r="D2" s="23" t="n">
        <v>33612.83</v>
      </c>
      <c r="E2" s="23" t="n">
        <v>123733.629</v>
      </c>
      <c r="F2" s="23" t="n">
        <v>9000</v>
      </c>
      <c r="G2" s="23" t="n">
        <v>13133.373</v>
      </c>
      <c r="H2" s="23" t="n">
        <v>135581.867</v>
      </c>
      <c r="I2" s="23" t="n">
        <v>203640.648</v>
      </c>
      <c r="J2" s="23" t="n">
        <v>42541.475</v>
      </c>
      <c r="K2" s="28" t="s">
        <v>452</v>
      </c>
      <c r="L2" s="28" t="s">
        <v>453</v>
      </c>
      <c r="M2" s="15" t="n">
        <f aca="false">E2+F2</f>
        <v>132733.629</v>
      </c>
    </row>
    <row r="3" customFormat="false" ht="15" hidden="false" customHeight="false" outlineLevel="0" collapsed="false">
      <c r="A3" s="28" t="s">
        <v>316</v>
      </c>
      <c r="B3" s="28" t="s">
        <v>628</v>
      </c>
      <c r="C3" s="23" t="n">
        <v>163305.947</v>
      </c>
      <c r="D3" s="23" t="n">
        <v>34273.375</v>
      </c>
      <c r="E3" s="23" t="n">
        <v>129032.572</v>
      </c>
      <c r="F3" s="23" t="n">
        <v>14000</v>
      </c>
      <c r="G3" s="23" t="n">
        <v>-2212.344</v>
      </c>
      <c r="H3" s="23" t="n">
        <v>171090.609</v>
      </c>
      <c r="I3" s="23" t="n">
        <v>214893.703</v>
      </c>
      <c r="J3" s="23" t="n">
        <v>87441.822</v>
      </c>
      <c r="K3" s="28" t="s">
        <v>452</v>
      </c>
      <c r="L3" s="28" t="s">
        <v>479</v>
      </c>
      <c r="M3" s="15" t="n">
        <f aca="false">E3+F3</f>
        <v>143032.572</v>
      </c>
    </row>
    <row r="4" customFormat="false" ht="15" hidden="false" customHeight="false" outlineLevel="0" collapsed="false">
      <c r="A4" s="28" t="s">
        <v>317</v>
      </c>
      <c r="B4" s="28" t="s">
        <v>628</v>
      </c>
      <c r="C4" s="23" t="n">
        <v>241417.764</v>
      </c>
      <c r="D4" s="23" t="n">
        <v>58141.748</v>
      </c>
      <c r="E4" s="23" t="n">
        <v>183276.016</v>
      </c>
      <c r="F4" s="23" t="n">
        <v>15000</v>
      </c>
      <c r="G4" s="23" t="n">
        <v>-492.306</v>
      </c>
      <c r="H4" s="23" t="n">
        <v>136465.585</v>
      </c>
      <c r="I4" s="23" t="n">
        <v>234211.04</v>
      </c>
      <c r="J4" s="23" t="n">
        <v>86022.867</v>
      </c>
      <c r="K4" s="28" t="s">
        <v>452</v>
      </c>
      <c r="L4" s="28" t="s">
        <v>481</v>
      </c>
      <c r="M4" s="15" t="n">
        <f aca="false">E4+F4</f>
        <v>198276.016</v>
      </c>
    </row>
    <row r="5" customFormat="false" ht="15" hidden="false" customHeight="false" outlineLevel="0" collapsed="false">
      <c r="A5" s="28" t="s">
        <v>318</v>
      </c>
      <c r="B5" s="28" t="s">
        <v>628</v>
      </c>
      <c r="C5" s="23" t="n">
        <v>303905.969</v>
      </c>
      <c r="D5" s="23" t="n">
        <v>108485.327</v>
      </c>
      <c r="E5" s="23" t="n">
        <v>195420.642</v>
      </c>
      <c r="F5" s="23" t="n">
        <v>17000</v>
      </c>
      <c r="G5" s="23" t="n">
        <v>15849.591</v>
      </c>
      <c r="H5" s="23" t="n">
        <v>151734.078</v>
      </c>
      <c r="I5" s="23" t="n">
        <v>246010.711</v>
      </c>
      <c r="J5" s="23" t="n">
        <v>85294.418</v>
      </c>
      <c r="K5" s="28" t="s">
        <v>452</v>
      </c>
      <c r="L5" s="28" t="s">
        <v>483</v>
      </c>
      <c r="M5" s="15" t="n">
        <f aca="false">E5+F5</f>
        <v>212420.642</v>
      </c>
    </row>
    <row r="6" customFormat="false" ht="15" hidden="false" customHeight="false" outlineLevel="0" collapsed="false">
      <c r="A6" s="28" t="s">
        <v>319</v>
      </c>
      <c r="B6" s="28" t="s">
        <v>628</v>
      </c>
      <c r="C6" s="23" t="n">
        <v>370110.99</v>
      </c>
      <c r="D6" s="23" t="n">
        <v>172405.932</v>
      </c>
      <c r="E6" s="23" t="n">
        <v>197705.058</v>
      </c>
      <c r="F6" s="23" t="n">
        <v>20000</v>
      </c>
      <c r="G6" s="23" t="n">
        <v>16682.647</v>
      </c>
      <c r="H6" s="23" t="n">
        <v>160293.928</v>
      </c>
      <c r="I6" s="23" t="n">
        <v>269099.231</v>
      </c>
      <c r="J6" s="23" t="n">
        <v>72217.108</v>
      </c>
      <c r="K6" s="28" t="s">
        <v>452</v>
      </c>
      <c r="L6" s="28" t="s">
        <v>485</v>
      </c>
      <c r="M6" s="15" t="n">
        <f aca="false">E6+F6</f>
        <v>217705.058</v>
      </c>
    </row>
    <row r="7" customFormat="false" ht="15" hidden="false" customHeight="false" outlineLevel="0" collapsed="false">
      <c r="A7" s="28" t="s">
        <v>320</v>
      </c>
      <c r="B7" s="28" t="s">
        <v>628</v>
      </c>
      <c r="C7" s="23" t="n">
        <v>408802.111</v>
      </c>
      <c r="D7" s="23" t="n">
        <v>167358.518</v>
      </c>
      <c r="E7" s="23" t="n">
        <v>241443.593</v>
      </c>
      <c r="F7" s="23" t="n">
        <v>16000</v>
      </c>
      <c r="G7" s="23" t="n">
        <v>20022.718</v>
      </c>
      <c r="H7" s="23" t="n">
        <v>153190.996</v>
      </c>
      <c r="I7" s="23" t="n">
        <v>300041.627</v>
      </c>
      <c r="J7" s="23" t="n">
        <v>74570.244</v>
      </c>
      <c r="K7" s="28" t="s">
        <v>452</v>
      </c>
      <c r="L7" s="28" t="s">
        <v>490</v>
      </c>
      <c r="M7" s="15" t="n">
        <f aca="false">E7+F7</f>
        <v>257443.593</v>
      </c>
    </row>
    <row r="8" customFormat="false" ht="15" hidden="false" customHeight="false" outlineLevel="0" collapsed="false">
      <c r="A8" s="28" t="s">
        <v>322</v>
      </c>
      <c r="B8" s="28" t="s">
        <v>628</v>
      </c>
      <c r="C8" s="23" t="n">
        <v>221560.478</v>
      </c>
      <c r="D8" s="23" t="n">
        <v>81930.219</v>
      </c>
      <c r="E8" s="23" t="n">
        <v>139630.259</v>
      </c>
      <c r="F8" s="23" t="n">
        <v>16000</v>
      </c>
      <c r="G8" s="23" t="n">
        <v>11996.03</v>
      </c>
      <c r="H8" s="23" t="n">
        <v>81913.867</v>
      </c>
      <c r="I8" s="23" t="n">
        <v>154778.037</v>
      </c>
      <c r="J8" s="23" t="n">
        <v>54770.059</v>
      </c>
      <c r="K8" s="28" t="s">
        <v>497</v>
      </c>
      <c r="L8" s="28" t="s">
        <v>510</v>
      </c>
      <c r="M8" s="15" t="n">
        <f aca="false">E8+F8</f>
        <v>155630.259</v>
      </c>
    </row>
    <row r="9" customFormat="false" ht="15" hidden="false" customHeight="false" outlineLevel="0" collapsed="false">
      <c r="A9" s="28" t="s">
        <v>694</v>
      </c>
      <c r="B9" s="28" t="s">
        <v>695</v>
      </c>
      <c r="C9" s="23" t="n">
        <v>99026.3743921204</v>
      </c>
      <c r="D9" s="23" t="n">
        <v>56086.4382376315</v>
      </c>
      <c r="E9" s="23" t="n">
        <v>42939.9361544889</v>
      </c>
      <c r="F9" s="23" t="n">
        <v>16000</v>
      </c>
      <c r="G9" s="23" t="n">
        <v>4148.91019026448</v>
      </c>
      <c r="H9" s="23" t="n">
        <v>35459.0068326664</v>
      </c>
      <c r="I9" s="23" t="n">
        <v>72566.8371937457</v>
      </c>
      <c r="J9" s="23" t="n">
        <v>1683.19560314508</v>
      </c>
      <c r="K9" s="28" t="s">
        <v>493</v>
      </c>
      <c r="L9" s="28" t="s">
        <v>696</v>
      </c>
      <c r="M9" s="15" t="n">
        <f aca="false">E9+F9</f>
        <v>58939.9361544889</v>
      </c>
    </row>
    <row r="10" customFormat="false" ht="15" hidden="false" customHeight="false" outlineLevel="0" collapsed="false">
      <c r="A10" s="28" t="s">
        <v>702</v>
      </c>
      <c r="B10" s="28" t="s">
        <v>695</v>
      </c>
      <c r="C10" s="23" t="n">
        <v>100857.116806361</v>
      </c>
      <c r="D10" s="23" t="n">
        <v>38752.8983339059</v>
      </c>
      <c r="E10" s="23" t="n">
        <v>62104.218472455</v>
      </c>
      <c r="F10" s="23" t="n">
        <v>0</v>
      </c>
      <c r="G10" s="23" t="n">
        <v>4635.84475204345</v>
      </c>
      <c r="H10" s="23" t="n">
        <v>40807.2311464576</v>
      </c>
      <c r="I10" s="23" t="n">
        <v>74568.9200244981</v>
      </c>
      <c r="J10" s="23" t="n">
        <v>23706.684842371</v>
      </c>
      <c r="K10" s="28" t="s">
        <v>493</v>
      </c>
      <c r="L10" s="28" t="s">
        <v>696</v>
      </c>
      <c r="M10" s="15" t="n">
        <f aca="false">E10+F10</f>
        <v>62104.218472455</v>
      </c>
    </row>
    <row r="11" customFormat="false" ht="15" hidden="false" customHeight="false" outlineLevel="0" collapsed="false">
      <c r="A11" s="28" t="s">
        <v>704</v>
      </c>
      <c r="B11" s="28" t="s">
        <v>695</v>
      </c>
      <c r="C11" s="23" t="n">
        <v>103075.680844532</v>
      </c>
      <c r="D11" s="23" t="n">
        <v>37106.6682817327</v>
      </c>
      <c r="E11" s="23" t="n">
        <v>65969.0125627988</v>
      </c>
      <c r="F11" s="23" t="n">
        <v>0</v>
      </c>
      <c r="G11" s="23" t="n">
        <v>5300.49290734368</v>
      </c>
      <c r="H11" s="23" t="n">
        <v>37813.8977466924</v>
      </c>
      <c r="I11" s="23" t="n">
        <v>76024.172061039</v>
      </c>
      <c r="J11" s="23" t="n">
        <v>22458.2453411086</v>
      </c>
      <c r="K11" s="28" t="s">
        <v>493</v>
      </c>
      <c r="L11" s="28" t="s">
        <v>696</v>
      </c>
      <c r="M11" s="15" t="n">
        <f aca="false">E11+F11</f>
        <v>65969.0125627988</v>
      </c>
    </row>
    <row r="12" customFormat="false" ht="15" hidden="false" customHeight="false" outlineLevel="0" collapsed="false">
      <c r="A12" s="28" t="s">
        <v>320</v>
      </c>
      <c r="B12" s="28" t="s">
        <v>695</v>
      </c>
      <c r="C12" s="23" t="n">
        <v>105842.938956988</v>
      </c>
      <c r="D12" s="23" t="n">
        <v>35412.51314673</v>
      </c>
      <c r="E12" s="23" t="n">
        <v>70430.4258102576</v>
      </c>
      <c r="F12" s="23" t="n">
        <v>0</v>
      </c>
      <c r="G12" s="23" t="n">
        <v>5937.4701503484</v>
      </c>
      <c r="H12" s="23" t="n">
        <v>39110.8602741839</v>
      </c>
      <c r="I12" s="23" t="n">
        <v>76881.6977207174</v>
      </c>
      <c r="J12" s="23" t="n">
        <v>26722.1182133757</v>
      </c>
      <c r="K12" s="28" t="s">
        <v>493</v>
      </c>
      <c r="L12" s="28" t="s">
        <v>696</v>
      </c>
      <c r="M12" s="15" t="n">
        <f aca="false">E12+F12</f>
        <v>70430.4258102576</v>
      </c>
    </row>
    <row r="13" customFormat="false" ht="15" hidden="false" customHeight="false" outlineLevel="0" collapsed="false">
      <c r="A13" s="28" t="s">
        <v>321</v>
      </c>
      <c r="B13" s="28" t="s">
        <v>695</v>
      </c>
      <c r="C13" s="23" t="n">
        <v>110810.245108964</v>
      </c>
      <c r="D13" s="23" t="n">
        <v>49777.7868469784</v>
      </c>
      <c r="E13" s="23" t="n">
        <v>61032.4582619855</v>
      </c>
      <c r="F13" s="23" t="n">
        <v>16000</v>
      </c>
      <c r="G13" s="23" t="n">
        <v>6232.686</v>
      </c>
      <c r="H13" s="23" t="n">
        <v>42130.565177346</v>
      </c>
      <c r="I13" s="23" t="n">
        <v>75724.1904393315</v>
      </c>
      <c r="J13" s="23" t="n">
        <v>21206.147</v>
      </c>
      <c r="K13" s="28" t="s">
        <v>497</v>
      </c>
      <c r="L13" s="28" t="s">
        <v>711</v>
      </c>
      <c r="M13" s="15" t="n">
        <f aca="false">E13+F13</f>
        <v>77032.4582619855</v>
      </c>
    </row>
    <row r="14" customFormat="false" ht="15" hidden="false" customHeight="false" outlineLevel="0" collapsed="false">
      <c r="A14" s="28" t="s">
        <v>321</v>
      </c>
      <c r="B14" s="28" t="s">
        <v>628</v>
      </c>
      <c r="C14" s="23" t="n">
        <v>110810.245108964</v>
      </c>
      <c r="D14" s="23" t="n">
        <v>49777.7868469784</v>
      </c>
      <c r="E14" s="23" t="n">
        <v>61032.4582619855</v>
      </c>
      <c r="F14" s="23" t="n">
        <v>16000</v>
      </c>
      <c r="G14" s="23" t="n">
        <v>6232.686</v>
      </c>
      <c r="H14" s="23" t="n">
        <v>42130.565177346</v>
      </c>
      <c r="I14" s="23" t="n">
        <v>75724.1904393315</v>
      </c>
      <c r="J14" s="23" t="n">
        <v>21206.147</v>
      </c>
      <c r="K14" s="28" t="s">
        <v>497</v>
      </c>
      <c r="L14" s="28" t="s">
        <v>711</v>
      </c>
      <c r="M14" s="15" t="n">
        <f aca="false">E14+F14</f>
        <v>77032.4582619855</v>
      </c>
    </row>
    <row r="15" customFormat="false" ht="15" hidden="false" customHeight="false" outlineLevel="0" collapsed="false">
      <c r="A15" s="28" t="s">
        <v>322</v>
      </c>
      <c r="B15" s="28" t="s">
        <v>695</v>
      </c>
      <c r="C15" s="23" t="n">
        <v>110750.232891036</v>
      </c>
      <c r="D15" s="23" t="n">
        <v>32152.4321530216</v>
      </c>
      <c r="E15" s="23" t="n">
        <v>78597.8007380145</v>
      </c>
      <c r="F15" s="23" t="n">
        <v>0</v>
      </c>
      <c r="G15" s="23" t="n">
        <v>5763.34400000001</v>
      </c>
      <c r="H15" s="23" t="n">
        <v>39963.849822654</v>
      </c>
      <c r="I15" s="23" t="n">
        <v>79234.3945606685</v>
      </c>
      <c r="J15" s="23" t="n">
        <v>33563.9120000001</v>
      </c>
      <c r="K15" s="28" t="s">
        <v>493</v>
      </c>
      <c r="L15" s="28" t="s">
        <v>696</v>
      </c>
      <c r="M15" s="15" t="n">
        <f aca="false">E15+F15</f>
        <v>78597.8007380145</v>
      </c>
    </row>
  </sheetData>
  <autoFilter ref="A1:M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44"/>
    <col collapsed="false" customWidth="true" hidden="false" outlineLevel="0" max="4" min="4" style="0" width="20"/>
    <col collapsed="false" customWidth="true" hidden="false" outlineLevel="0" max="5" min="5" style="0" width="14"/>
    <col collapsed="false" customWidth="true" hidden="false" outlineLevel="0" max="6" min="6" style="0" width="8"/>
    <col collapsed="false" customWidth="true" hidden="false" outlineLevel="0" max="7" min="7" style="0" width="11"/>
    <col collapsed="false" customWidth="true" hidden="false" outlineLevel="0" max="8" min="8" style="0" width="10"/>
    <col collapsed="false" customWidth="true" hidden="false" outlineLevel="0" max="9" min="9" style="0" width="12"/>
    <col collapsed="false" customWidth="true" hidden="false" outlineLevel="0" max="10" min="10" style="0" width="10"/>
    <col collapsed="false" customWidth="true" hidden="false" outlineLevel="0" max="11" min="11" style="0" width="11"/>
    <col collapsed="false" customWidth="true" hidden="false" outlineLevel="0" max="12" min="12" style="0" width="14"/>
    <col collapsed="false" customWidth="true" hidden="false" outlineLevel="0" max="13" min="13" style="0" width="13"/>
    <col collapsed="false" customWidth="true" hidden="false" outlineLevel="0" max="14" min="14" style="0" width="11"/>
    <col collapsed="false" customWidth="true" hidden="false" outlineLevel="0" max="16" min="15" style="0" width="13"/>
    <col collapsed="false" customWidth="true" hidden="false" outlineLevel="0" max="18" min="17" style="0" width="11"/>
    <col collapsed="false" customWidth="true" hidden="false" outlineLevel="0" max="19" min="19" style="0" width="10"/>
    <col collapsed="false" customWidth="true" hidden="false" outlineLevel="0" max="20" min="20" style="0" width="21"/>
    <col collapsed="false" customWidth="true" hidden="false" outlineLevel="0" max="22" min="21" style="0" width="14"/>
    <col collapsed="false" customWidth="true" hidden="false" outlineLevel="0" max="23" min="23" style="0" width="20"/>
    <col collapsed="false" customWidth="true" hidden="false" outlineLevel="0" max="24" min="24" style="0" width="16"/>
    <col collapsed="false" customWidth="true" hidden="false" outlineLevel="0" max="25" min="25" style="0" width="22"/>
    <col collapsed="false" customWidth="true" hidden="false" outlineLevel="0" max="26" min="26" style="0" width="18"/>
    <col collapsed="false" customWidth="true" hidden="false" outlineLevel="0" max="27" min="27" style="0" width="19"/>
    <col collapsed="false" customWidth="true" hidden="false" outlineLevel="0" max="28" min="28" style="0" width="18"/>
    <col collapsed="false" customWidth="true" hidden="false" outlineLevel="0" max="29" min="29" style="0" width="12"/>
    <col collapsed="false" customWidth="true" hidden="false" outlineLevel="0" max="30" min="30" style="0" width="13"/>
    <col collapsed="false" customWidth="true" hidden="false" outlineLevel="0" max="31" min="31" style="0" width="15"/>
    <col collapsed="false" customWidth="true" hidden="false" outlineLevel="0" max="32" min="32" style="0" width="19"/>
    <col collapsed="false" customWidth="true" hidden="false" outlineLevel="0" max="33" min="33" style="0" width="12"/>
    <col collapsed="false" customWidth="true" hidden="false" outlineLevel="0" max="34" min="34" style="0" width="80"/>
    <col collapsed="false" customWidth="true" hidden="false" outlineLevel="0" max="36" min="35" style="0" width="14"/>
  </cols>
  <sheetData>
    <row r="1" customFormat="false" ht="30" hidden="false" customHeight="true" outlineLevel="0" collapsed="false">
      <c r="A1" s="27" t="s">
        <v>430</v>
      </c>
      <c r="B1" s="27" t="s">
        <v>712</v>
      </c>
      <c r="C1" s="27" t="s">
        <v>713</v>
      </c>
      <c r="D1" s="27" t="s">
        <v>434</v>
      </c>
      <c r="E1" s="27" t="s">
        <v>714</v>
      </c>
      <c r="F1" s="27" t="s">
        <v>715</v>
      </c>
      <c r="G1" s="27" t="s">
        <v>716</v>
      </c>
      <c r="H1" s="27" t="s">
        <v>438</v>
      </c>
      <c r="I1" s="27" t="s">
        <v>717</v>
      </c>
      <c r="J1" s="27" t="s">
        <v>718</v>
      </c>
      <c r="K1" s="27" t="s">
        <v>439</v>
      </c>
      <c r="L1" s="27" t="s">
        <v>440</v>
      </c>
      <c r="M1" s="27" t="s">
        <v>719</v>
      </c>
      <c r="N1" s="27" t="s">
        <v>720</v>
      </c>
      <c r="O1" s="27" t="s">
        <v>721</v>
      </c>
      <c r="P1" s="27" t="s">
        <v>722</v>
      </c>
      <c r="Q1" s="27" t="s">
        <v>723</v>
      </c>
      <c r="R1" s="27" t="s">
        <v>259</v>
      </c>
      <c r="S1" s="27" t="s">
        <v>724</v>
      </c>
      <c r="T1" s="27" t="s">
        <v>488</v>
      </c>
      <c r="U1" s="27" t="s">
        <v>725</v>
      </c>
      <c r="V1" s="27" t="s">
        <v>726</v>
      </c>
      <c r="W1" s="27" t="s">
        <v>727</v>
      </c>
      <c r="X1" s="27" t="s">
        <v>728</v>
      </c>
      <c r="Y1" s="27" t="s">
        <v>729</v>
      </c>
      <c r="Z1" s="27" t="s">
        <v>730</v>
      </c>
      <c r="AA1" s="27" t="s">
        <v>731</v>
      </c>
      <c r="AB1" s="27" t="s">
        <v>732</v>
      </c>
      <c r="AC1" s="27" t="s">
        <v>733</v>
      </c>
      <c r="AD1" s="27" t="s">
        <v>734</v>
      </c>
      <c r="AE1" s="27" t="s">
        <v>441</v>
      </c>
      <c r="AF1" s="27" t="s">
        <v>735</v>
      </c>
      <c r="AG1" s="27" t="s">
        <v>442</v>
      </c>
      <c r="AH1" s="27" t="s">
        <v>443</v>
      </c>
      <c r="AI1" s="27" t="s">
        <v>736</v>
      </c>
      <c r="AJ1" s="27" t="s">
        <v>737</v>
      </c>
    </row>
    <row r="2" customFormat="false" ht="15" hidden="false" customHeight="false" outlineLevel="0" collapsed="false">
      <c r="A2" s="28" t="s">
        <v>322</v>
      </c>
      <c r="B2" s="28" t="s">
        <v>562</v>
      </c>
      <c r="C2" s="28" t="s">
        <v>561</v>
      </c>
      <c r="D2" s="23" t="n">
        <v>1515773.50272</v>
      </c>
      <c r="E2" s="23" t="n">
        <v>29264</v>
      </c>
      <c r="F2" s="19" t="n">
        <v>0.0645</v>
      </c>
      <c r="G2" s="19" t="n">
        <v>0</v>
      </c>
      <c r="H2" s="28" t="s">
        <v>551</v>
      </c>
      <c r="I2" s="19" t="n">
        <v>0.0375</v>
      </c>
      <c r="J2" s="19" t="n">
        <v>0.18</v>
      </c>
      <c r="K2" s="31" t="n">
        <v>3.871</v>
      </c>
      <c r="L2" s="31" t="n">
        <v>-0.051</v>
      </c>
      <c r="M2" s="19" t="n">
        <v>0.2</v>
      </c>
      <c r="N2" s="19" t="n">
        <v>0.2</v>
      </c>
      <c r="O2" s="19" t="n">
        <v>0.2</v>
      </c>
      <c r="P2" s="28" t="s">
        <v>738</v>
      </c>
      <c r="Q2" s="19" t="n">
        <v>0.004339</v>
      </c>
      <c r="R2" s="19" t="n">
        <v>0.002712</v>
      </c>
      <c r="S2" s="19" t="n">
        <v>0.000417</v>
      </c>
      <c r="T2" s="23" t="n">
        <v>6553.12468096157</v>
      </c>
      <c r="U2" s="23" t="n">
        <v>774</v>
      </c>
      <c r="V2" s="19" t="n">
        <v>0.63</v>
      </c>
      <c r="W2" s="23" t="n">
        <v>323521.242840311</v>
      </c>
      <c r="X2" s="19" t="n">
        <v>0</v>
      </c>
      <c r="Y2" s="23" t="n">
        <v>1240000</v>
      </c>
      <c r="Z2" s="19" t="n">
        <v>0.55</v>
      </c>
      <c r="AA2" s="28" t="s">
        <v>739</v>
      </c>
      <c r="AB2" s="19" t="n">
        <v>0.064</v>
      </c>
      <c r="AC2" s="19" t="n">
        <v>0.0671</v>
      </c>
      <c r="AD2" s="19" t="n">
        <v>0.020614</v>
      </c>
      <c r="AE2" s="31" t="n">
        <v>1.069</v>
      </c>
      <c r="AF2" s="31" t="n">
        <v>0.083</v>
      </c>
      <c r="AG2" s="28" t="s">
        <v>493</v>
      </c>
      <c r="AH2" s="28" t="s">
        <v>740</v>
      </c>
      <c r="AI2" s="15" t="n">
        <f aca="false">COUNTIFS($A$2:$A$200,A2,$B$2:$B$200,B2)</f>
        <v>1</v>
      </c>
      <c r="AJ2" s="14" t="n">
        <f aca="false">D2/SUMIFS($D$2:$D$200,$A$2:$A$200,A2)</f>
        <v>0.285701723704782</v>
      </c>
    </row>
    <row r="3" customFormat="false" ht="15" hidden="false" customHeight="false" outlineLevel="0" collapsed="false">
      <c r="A3" s="28" t="s">
        <v>322</v>
      </c>
      <c r="B3" s="28" t="s">
        <v>564</v>
      </c>
      <c r="C3" s="28" t="s">
        <v>563</v>
      </c>
      <c r="D3" s="23" t="n">
        <v>589467.47328</v>
      </c>
      <c r="E3" s="23" t="n">
        <v>9241</v>
      </c>
      <c r="F3" s="19" t="n">
        <v>0.0545</v>
      </c>
      <c r="G3" s="19" t="n">
        <v>1</v>
      </c>
      <c r="H3" s="28" t="s">
        <v>518</v>
      </c>
      <c r="K3" s="31" t="n">
        <v>4.865</v>
      </c>
      <c r="L3" s="31" t="n">
        <v>4.118</v>
      </c>
      <c r="M3" s="19" t="n">
        <v>0.0874</v>
      </c>
      <c r="N3" s="19" t="n">
        <v>0.055</v>
      </c>
      <c r="O3" s="19" t="n">
        <v>0.1996</v>
      </c>
      <c r="P3" s="28" t="s">
        <v>738</v>
      </c>
      <c r="Q3" s="19" t="n">
        <v>0.003944</v>
      </c>
      <c r="R3" s="19" t="n">
        <v>0.002465</v>
      </c>
      <c r="S3" s="19" t="n">
        <v>0.000417</v>
      </c>
      <c r="T3" s="23" t="n">
        <v>2831.59708436611</v>
      </c>
      <c r="U3" s="23" t="n">
        <v>768</v>
      </c>
      <c r="V3" s="19" t="n">
        <v>0.61</v>
      </c>
      <c r="W3" s="23" t="n">
        <v>97666.7902914147</v>
      </c>
      <c r="X3" s="19" t="n">
        <v>0</v>
      </c>
      <c r="Y3" s="23" t="n">
        <v>0</v>
      </c>
      <c r="AA3" s="28" t="s">
        <v>739</v>
      </c>
      <c r="AB3" s="19" t="n">
        <v>0.064</v>
      </c>
      <c r="AC3" s="19" t="n">
        <v>0.0629</v>
      </c>
      <c r="AD3" s="19" t="n">
        <v>0.015355</v>
      </c>
      <c r="AE3" s="31" t="n">
        <v>-14.8445</v>
      </c>
      <c r="AF3" s="31" t="n">
        <v>4.865</v>
      </c>
      <c r="AG3" s="28" t="s">
        <v>493</v>
      </c>
      <c r="AH3" s="28" t="s">
        <v>740</v>
      </c>
      <c r="AI3" s="15" t="n">
        <f aca="false">COUNTIFS($A$2:$A$200,A3,$B$2:$B$200,B3)</f>
        <v>1</v>
      </c>
      <c r="AJ3" s="14" t="n">
        <f aca="false">D3/SUMIFS($D$2:$D$200,$A$2:$A$200,A3)</f>
        <v>0.111106225885193</v>
      </c>
    </row>
    <row r="4" customFormat="false" ht="15" hidden="false" customHeight="false" outlineLevel="0" collapsed="false">
      <c r="A4" s="28" t="s">
        <v>322</v>
      </c>
      <c r="B4" s="28" t="s">
        <v>566</v>
      </c>
      <c r="C4" s="28" t="s">
        <v>565</v>
      </c>
      <c r="D4" s="23" t="n">
        <v>1104190.947</v>
      </c>
      <c r="E4" s="23" t="n">
        <v>53898</v>
      </c>
      <c r="F4" s="19" t="n">
        <v>0.071</v>
      </c>
      <c r="G4" s="19" t="n">
        <v>1</v>
      </c>
      <c r="H4" s="28" t="s">
        <v>518</v>
      </c>
      <c r="K4" s="31" t="n">
        <v>1.874</v>
      </c>
      <c r="L4" s="31" t="n">
        <v>1.7126</v>
      </c>
      <c r="M4" s="19" t="n">
        <v>0.181</v>
      </c>
      <c r="N4" s="19" t="n">
        <v>0.14</v>
      </c>
      <c r="O4" s="19" t="n">
        <v>0.2465</v>
      </c>
      <c r="P4" s="28" t="s">
        <v>738</v>
      </c>
      <c r="Q4" s="19" t="n">
        <v>0.016049</v>
      </c>
      <c r="R4" s="19" t="n">
        <v>0.007642</v>
      </c>
      <c r="S4" s="19" t="n">
        <v>0.010002</v>
      </c>
      <c r="T4" s="23" t="n">
        <v>15382.0348411457</v>
      </c>
      <c r="U4" s="23" t="n">
        <v>721</v>
      </c>
      <c r="V4" s="19" t="n">
        <v>0.97</v>
      </c>
      <c r="W4" s="23" t="n">
        <v>398806.06035661</v>
      </c>
      <c r="X4" s="19" t="n">
        <v>0.5</v>
      </c>
      <c r="Y4" s="23" t="n">
        <v>0</v>
      </c>
      <c r="AA4" s="28" t="s">
        <v>741</v>
      </c>
      <c r="AB4" s="19" t="n">
        <v>0.0805</v>
      </c>
      <c r="AC4" s="19" t="n">
        <v>0.0805</v>
      </c>
      <c r="AD4" s="19" t="n">
        <v>0.029417</v>
      </c>
      <c r="AE4" s="31" t="n">
        <v>-5.2589</v>
      </c>
      <c r="AF4" s="31" t="n">
        <v>1.874</v>
      </c>
      <c r="AG4" s="28" t="s">
        <v>493</v>
      </c>
      <c r="AH4" s="28" t="s">
        <v>740</v>
      </c>
      <c r="AI4" s="15" t="n">
        <f aca="false">COUNTIFS($A$2:$A$200,A4,$B$2:$B$200,B4)</f>
        <v>1</v>
      </c>
      <c r="AJ4" s="14" t="n">
        <f aca="false">D4/SUMIFS($D$2:$D$200,$A$2:$A$200,A4)</f>
        <v>0.208124272057149</v>
      </c>
    </row>
    <row r="5" customFormat="false" ht="15" hidden="false" customHeight="false" outlineLevel="0" collapsed="false">
      <c r="A5" s="28" t="s">
        <v>322</v>
      </c>
      <c r="B5" s="28" t="s">
        <v>568</v>
      </c>
      <c r="C5" s="28" t="s">
        <v>567</v>
      </c>
      <c r="D5" s="23" t="n">
        <v>476328.947</v>
      </c>
      <c r="E5" s="23" t="n">
        <v>17545</v>
      </c>
      <c r="F5" s="19" t="n">
        <v>0.0625</v>
      </c>
      <c r="G5" s="19" t="n">
        <v>1</v>
      </c>
      <c r="H5" s="28" t="s">
        <v>518</v>
      </c>
      <c r="K5" s="31" t="n">
        <v>1.989</v>
      </c>
      <c r="L5" s="31" t="n">
        <v>1.8378</v>
      </c>
      <c r="M5" s="19" t="n">
        <v>0.158</v>
      </c>
      <c r="N5" s="19" t="n">
        <v>0.12</v>
      </c>
      <c r="O5" s="19" t="n">
        <v>0.222</v>
      </c>
      <c r="P5" s="28" t="s">
        <v>738</v>
      </c>
      <c r="Q5" s="19" t="n">
        <v>0.009837</v>
      </c>
      <c r="R5" s="19" t="n">
        <v>0.004684</v>
      </c>
      <c r="S5" s="19" t="n">
        <v>0.005626</v>
      </c>
      <c r="T5" s="23" t="n">
        <v>4805.04965785582</v>
      </c>
      <c r="U5" s="23" t="n">
        <v>742</v>
      </c>
      <c r="V5" s="19" t="n">
        <v>0.92</v>
      </c>
      <c r="W5" s="23" t="n">
        <v>174986.332605451</v>
      </c>
      <c r="X5" s="19" t="n">
        <v>0.55</v>
      </c>
      <c r="Y5" s="23" t="n">
        <v>0</v>
      </c>
      <c r="AA5" s="28" t="s">
        <v>742</v>
      </c>
      <c r="AB5" s="19" t="n">
        <v>0.0736</v>
      </c>
      <c r="AC5" s="19" t="n">
        <v>0.0735</v>
      </c>
      <c r="AD5" s="19" t="n">
        <v>0.023365</v>
      </c>
      <c r="AE5" s="31" t="n">
        <v>-5.6686</v>
      </c>
      <c r="AF5" s="31" t="n">
        <v>1.989</v>
      </c>
      <c r="AG5" s="28" t="s">
        <v>493</v>
      </c>
      <c r="AH5" s="28" t="s">
        <v>740</v>
      </c>
      <c r="AI5" s="15" t="n">
        <f aca="false">COUNTIFS($A$2:$A$200,A5,$B$2:$B$200,B5)</f>
        <v>1</v>
      </c>
      <c r="AJ5" s="14" t="n">
        <f aca="false">D5/SUMIFS($D$2:$D$200,$A$2:$A$200,A5)</f>
        <v>0.0897812245458696</v>
      </c>
    </row>
    <row r="6" customFormat="false" ht="15" hidden="false" customHeight="false" outlineLevel="0" collapsed="false">
      <c r="A6" s="28" t="s">
        <v>322</v>
      </c>
      <c r="B6" s="28" t="s">
        <v>570</v>
      </c>
      <c r="C6" s="28" t="s">
        <v>569</v>
      </c>
      <c r="D6" s="23" t="n">
        <v>374430.3036</v>
      </c>
      <c r="E6" s="23" t="n">
        <v>1603</v>
      </c>
      <c r="F6" s="19" t="n">
        <v>0.043</v>
      </c>
      <c r="G6" s="19" t="n">
        <v>1</v>
      </c>
      <c r="H6" s="28" t="s">
        <v>518</v>
      </c>
      <c r="K6" s="31" t="n">
        <v>10.631</v>
      </c>
      <c r="L6" s="31" t="n">
        <v>7.2648</v>
      </c>
      <c r="M6" s="19" t="n">
        <v>0.035</v>
      </c>
      <c r="N6" s="19" t="n">
        <v>0.035</v>
      </c>
      <c r="O6" s="19" t="n">
        <v>0.0872</v>
      </c>
      <c r="P6" s="28" t="s">
        <v>738</v>
      </c>
      <c r="Q6" s="19" t="n">
        <v>0.004733</v>
      </c>
      <c r="R6" s="19" t="n">
        <v>0.002958</v>
      </c>
      <c r="S6" s="19" t="n">
        <v>0.000208</v>
      </c>
      <c r="T6" s="23" t="n">
        <v>1079.1799079999</v>
      </c>
      <c r="U6" s="23" t="n">
        <v>765</v>
      </c>
      <c r="V6" s="19" t="n">
        <v>0.66</v>
      </c>
      <c r="W6" s="23" t="n">
        <v>41711.858353625</v>
      </c>
      <c r="X6" s="19" t="n">
        <v>0</v>
      </c>
      <c r="Y6" s="23" t="n">
        <v>0</v>
      </c>
      <c r="AA6" s="28" t="s">
        <v>743</v>
      </c>
      <c r="AB6" s="19" t="n">
        <v>0.0576</v>
      </c>
      <c r="AC6" s="19" t="n">
        <v>0.0649</v>
      </c>
      <c r="AD6" s="19" t="n">
        <v>0.016045</v>
      </c>
      <c r="AE6" s="31" t="n">
        <v>149.5557</v>
      </c>
      <c r="AF6" s="31" t="n">
        <v>10.631</v>
      </c>
      <c r="AG6" s="28" t="s">
        <v>493</v>
      </c>
      <c r="AH6" s="28" t="s">
        <v>740</v>
      </c>
      <c r="AI6" s="15" t="n">
        <f aca="false">COUNTIFS($A$2:$A$200,A6,$B$2:$B$200,B6)</f>
        <v>1</v>
      </c>
      <c r="AJ6" s="14" t="n">
        <f aca="false">D6/SUMIFS($D$2:$D$200,$A$2:$A$200,A6)</f>
        <v>0.0705747810961607</v>
      </c>
    </row>
    <row r="7" customFormat="false" ht="15" hidden="false" customHeight="false" outlineLevel="0" collapsed="false">
      <c r="A7" s="28" t="s">
        <v>322</v>
      </c>
      <c r="B7" s="28" t="s">
        <v>572</v>
      </c>
      <c r="C7" s="28" t="s">
        <v>571</v>
      </c>
      <c r="D7" s="23" t="n">
        <v>249620.2024</v>
      </c>
      <c r="E7" s="23" t="n">
        <v>982</v>
      </c>
      <c r="F7" s="19" t="n">
        <v>0.059</v>
      </c>
      <c r="G7" s="19" t="n">
        <v>1</v>
      </c>
      <c r="H7" s="28" t="s">
        <v>518</v>
      </c>
      <c r="I7" s="19" t="n">
        <v>0.03</v>
      </c>
      <c r="J7" s="19" t="n">
        <v>0.105</v>
      </c>
      <c r="K7" s="31" t="n">
        <v>8.85</v>
      </c>
      <c r="L7" s="31" t="n">
        <v>1.9182</v>
      </c>
      <c r="M7" s="19" t="n">
        <v>0.0771</v>
      </c>
      <c r="N7" s="19" t="n">
        <v>0.065</v>
      </c>
      <c r="O7" s="19" t="n">
        <v>0.1946</v>
      </c>
      <c r="P7" s="28" t="s">
        <v>738</v>
      </c>
      <c r="Q7" s="19" t="n">
        <v>0.004339</v>
      </c>
      <c r="R7" s="19" t="n">
        <v>0.002712</v>
      </c>
      <c r="S7" s="19" t="n">
        <v>0.000208</v>
      </c>
      <c r="T7" s="23" t="n">
        <v>719.453271999936</v>
      </c>
      <c r="U7" s="23" t="n">
        <v>770</v>
      </c>
      <c r="V7" s="19" t="n">
        <v>0.68</v>
      </c>
      <c r="W7" s="23" t="n">
        <v>63076.468729872</v>
      </c>
      <c r="X7" s="19" t="n">
        <v>0</v>
      </c>
      <c r="Y7" s="23" t="n">
        <v>0</v>
      </c>
      <c r="AA7" s="28" t="s">
        <v>743</v>
      </c>
      <c r="AB7" s="19" t="n">
        <v>0.0576</v>
      </c>
      <c r="AC7" s="19" t="n">
        <v>0.0574</v>
      </c>
      <c r="AD7" s="19" t="n">
        <v>0.013773</v>
      </c>
      <c r="AE7" s="31" t="n">
        <v>4.5411</v>
      </c>
      <c r="AF7" s="31" t="n">
        <v>2.185</v>
      </c>
      <c r="AG7" s="28" t="s">
        <v>493</v>
      </c>
      <c r="AH7" s="28" t="s">
        <v>740</v>
      </c>
      <c r="AI7" s="15" t="n">
        <f aca="false">COUNTIFS($A$2:$A$200,A7,$B$2:$B$200,B7)</f>
        <v>1</v>
      </c>
      <c r="AJ7" s="14" t="n">
        <f aca="false">D7/SUMIFS($D$2:$D$200,$A$2:$A$200,A7)</f>
        <v>0.0470498540641071</v>
      </c>
    </row>
    <row r="8" customFormat="false" ht="15" hidden="false" customHeight="false" outlineLevel="0" collapsed="false">
      <c r="A8" s="28" t="s">
        <v>322</v>
      </c>
      <c r="B8" s="28" t="s">
        <v>574</v>
      </c>
      <c r="C8" s="28" t="s">
        <v>573</v>
      </c>
      <c r="D8" s="23" t="n">
        <v>720674.90295</v>
      </c>
      <c r="E8" s="23" t="n">
        <v>547</v>
      </c>
      <c r="F8" s="19" t="n">
        <v>0.0595</v>
      </c>
      <c r="G8" s="19" t="n">
        <v>1</v>
      </c>
      <c r="H8" s="28" t="s">
        <v>518</v>
      </c>
      <c r="I8" s="19" t="n">
        <v>0.04</v>
      </c>
      <c r="K8" s="31" t="n">
        <v>7.791</v>
      </c>
      <c r="L8" s="31" t="n">
        <v>1.9496</v>
      </c>
      <c r="M8" s="19" t="n">
        <v>0.0651</v>
      </c>
      <c r="N8" s="19" t="n">
        <v>0.04</v>
      </c>
      <c r="O8" s="19" t="n">
        <v>0.1504</v>
      </c>
      <c r="P8" s="28" t="s">
        <v>738</v>
      </c>
      <c r="Q8" s="19" t="n">
        <v>0.008678</v>
      </c>
      <c r="R8" s="19" t="n">
        <v>0.005424</v>
      </c>
      <c r="S8" s="19" t="n">
        <v>0.000834</v>
      </c>
      <c r="T8" s="23" t="n">
        <v>9000.86725870842</v>
      </c>
      <c r="V8" s="19" t="n">
        <v>0.6</v>
      </c>
      <c r="W8" s="23" t="n">
        <v>113944.588673317</v>
      </c>
      <c r="X8" s="19" t="n">
        <v>0</v>
      </c>
      <c r="Y8" s="23" t="n">
        <v>45000</v>
      </c>
      <c r="AA8" s="28" t="s">
        <v>744</v>
      </c>
      <c r="AB8" s="19" t="n">
        <v>0.0641</v>
      </c>
      <c r="AC8" s="19" t="n">
        <v>0.0644</v>
      </c>
      <c r="AD8" s="19" t="n">
        <v>0.016879</v>
      </c>
      <c r="AE8" s="31" t="n">
        <v>1.1211</v>
      </c>
      <c r="AF8" s="31" t="n">
        <v>2.184</v>
      </c>
      <c r="AG8" s="28" t="s">
        <v>493</v>
      </c>
      <c r="AH8" s="28" t="s">
        <v>740</v>
      </c>
      <c r="AI8" s="15" t="n">
        <f aca="false">COUNTIFS($A$2:$A$200,A8,$B$2:$B$200,B8)</f>
        <v>1</v>
      </c>
      <c r="AJ8" s="14" t="n">
        <f aca="false">D8/SUMIFS($D$2:$D$200,$A$2:$A$200,A8)</f>
        <v>0.135836958248785</v>
      </c>
    </row>
    <row r="9" customFormat="false" ht="15" hidden="false" customHeight="false" outlineLevel="0" collapsed="false">
      <c r="A9" s="28" t="s">
        <v>322</v>
      </c>
      <c r="B9" s="28" t="s">
        <v>576</v>
      </c>
      <c r="C9" s="28" t="s">
        <v>575</v>
      </c>
      <c r="D9" s="23" t="n">
        <v>127177.92405</v>
      </c>
      <c r="E9" s="23" t="n">
        <v>104</v>
      </c>
      <c r="F9" s="19" t="n">
        <v>0.07</v>
      </c>
      <c r="G9" s="19" t="n">
        <v>0</v>
      </c>
      <c r="H9" s="28" t="s">
        <v>551</v>
      </c>
      <c r="I9" s="19" t="n">
        <v>0.05</v>
      </c>
      <c r="K9" s="31" t="n">
        <v>5.747</v>
      </c>
      <c r="L9" s="31" t="n">
        <v>-0.0674</v>
      </c>
      <c r="M9" s="19" t="n">
        <v>0.12</v>
      </c>
      <c r="N9" s="19" t="n">
        <v>0.12</v>
      </c>
      <c r="O9" s="19" t="n">
        <v>0.12</v>
      </c>
      <c r="P9" s="28" t="s">
        <v>738</v>
      </c>
      <c r="Q9" s="19" t="n">
        <v>0.008678</v>
      </c>
      <c r="R9" s="19" t="n">
        <v>0.005424</v>
      </c>
      <c r="S9" s="19" t="n">
        <v>0.000834</v>
      </c>
      <c r="T9" s="23" t="n">
        <v>1588.38833977207</v>
      </c>
      <c r="V9" s="19" t="n">
        <v>0.58</v>
      </c>
      <c r="W9" s="23" t="n">
        <v>19329.8855785092</v>
      </c>
      <c r="X9" s="19" t="n">
        <v>0</v>
      </c>
      <c r="Y9" s="23" t="n">
        <v>30000</v>
      </c>
      <c r="Z9" s="19" t="n">
        <v>0.72</v>
      </c>
      <c r="AA9" s="28" t="s">
        <v>744</v>
      </c>
      <c r="AB9" s="19" t="n">
        <v>0.0641</v>
      </c>
      <c r="AC9" s="19" t="n">
        <v>0.071</v>
      </c>
      <c r="AD9" s="19" t="n">
        <v>0.02557</v>
      </c>
      <c r="AE9" s="31" t="n">
        <v>1.3815</v>
      </c>
      <c r="AF9" s="31" t="n">
        <v>0.083</v>
      </c>
      <c r="AG9" s="28" t="s">
        <v>493</v>
      </c>
      <c r="AH9" s="28" t="s">
        <v>740</v>
      </c>
      <c r="AI9" s="15" t="n">
        <f aca="false">COUNTIFS($A$2:$A$200,A9,$B$2:$B$200,B9)</f>
        <v>1</v>
      </c>
      <c r="AJ9" s="14" t="n">
        <f aca="false">D9/SUMIFS($D$2:$D$200,$A$2:$A$200,A9)</f>
        <v>0.0239712279262562</v>
      </c>
    </row>
    <row r="10" customFormat="false" ht="15" hidden="false" customHeight="false" outlineLevel="0" collapsed="false">
      <c r="A10" s="28" t="s">
        <v>322</v>
      </c>
      <c r="B10" s="28" t="s">
        <v>578</v>
      </c>
      <c r="C10" s="28" t="s">
        <v>577</v>
      </c>
      <c r="D10" s="23" t="n">
        <v>20543.822</v>
      </c>
      <c r="E10" s="23" t="n">
        <v>193</v>
      </c>
      <c r="F10" s="19" t="n">
        <v>0.076</v>
      </c>
      <c r="G10" s="19" t="n">
        <v>0</v>
      </c>
      <c r="H10" s="28" t="s">
        <v>551</v>
      </c>
      <c r="I10" s="19" t="n">
        <v>0.055</v>
      </c>
      <c r="K10" s="31" t="n">
        <v>1.917</v>
      </c>
      <c r="L10" s="31" t="n">
        <v>-0.0239</v>
      </c>
      <c r="M10" s="19" t="n">
        <v>0.2</v>
      </c>
      <c r="N10" s="19" t="n">
        <v>0.2</v>
      </c>
      <c r="O10" s="19" t="n">
        <v>0.2</v>
      </c>
      <c r="P10" s="28" t="s">
        <v>738</v>
      </c>
      <c r="Q10" s="19" t="n">
        <v>0.022779</v>
      </c>
      <c r="R10" s="19" t="n">
        <v>0.010847</v>
      </c>
      <c r="S10" s="19" t="n">
        <v>0.006251</v>
      </c>
      <c r="T10" s="23" t="n">
        <v>394.74155310554</v>
      </c>
      <c r="W10" s="23" t="n">
        <v>7630.21799151677</v>
      </c>
      <c r="X10" s="19" t="n">
        <v>0</v>
      </c>
      <c r="Y10" s="23" t="n">
        <v>18000</v>
      </c>
      <c r="Z10" s="19" t="n">
        <v>0.53</v>
      </c>
      <c r="AA10" s="28" t="s">
        <v>578</v>
      </c>
      <c r="AB10" s="19" t="n">
        <v>0.0776</v>
      </c>
      <c r="AC10" s="19" t="n">
        <v>0.0775</v>
      </c>
      <c r="AD10" s="19" t="n">
        <v>0.033481</v>
      </c>
      <c r="AE10" s="31" t="n">
        <v>0.6475</v>
      </c>
      <c r="AF10" s="31" t="n">
        <v>0.083</v>
      </c>
      <c r="AG10" s="28" t="s">
        <v>493</v>
      </c>
      <c r="AH10" s="28" t="s">
        <v>740</v>
      </c>
      <c r="AI10" s="15" t="n">
        <f aca="false">COUNTIFS($A$2:$A$200,A10,$B$2:$B$200,B10)</f>
        <v>1</v>
      </c>
      <c r="AJ10" s="14" t="n">
        <f aca="false">D10/SUMIFS($D$2:$D$200,$A$2:$A$200,A10)</f>
        <v>0.00387221794440382</v>
      </c>
    </row>
    <row r="11" customFormat="false" ht="15" hidden="false" customHeight="false" outlineLevel="0" collapsed="false">
      <c r="A11" s="28" t="s">
        <v>322</v>
      </c>
      <c r="B11" s="28" t="s">
        <v>580</v>
      </c>
      <c r="C11" s="28" t="s">
        <v>579</v>
      </c>
      <c r="D11" s="23" t="n">
        <v>62649.693</v>
      </c>
      <c r="E11" s="23" t="n">
        <v>16887</v>
      </c>
      <c r="F11" s="19" t="n">
        <v>0.119</v>
      </c>
      <c r="G11" s="19" t="n">
        <v>1</v>
      </c>
      <c r="H11" s="28" t="s">
        <v>518</v>
      </c>
      <c r="K11" s="31" t="n">
        <v>1.248</v>
      </c>
      <c r="L11" s="31" t="n">
        <v>1.115</v>
      </c>
      <c r="M11" s="19" t="n">
        <v>0.25</v>
      </c>
      <c r="N11" s="19" t="n">
        <v>0.25</v>
      </c>
      <c r="O11" s="19" t="n">
        <v>0.25</v>
      </c>
      <c r="P11" s="28" t="s">
        <v>738</v>
      </c>
      <c r="Q11" s="19" t="n">
        <v>0.035204</v>
      </c>
      <c r="R11" s="19" t="n">
        <v>0.016764</v>
      </c>
      <c r="S11" s="19" t="n">
        <v>0.035424</v>
      </c>
      <c r="T11" s="23" t="n">
        <v>3009.47373818821</v>
      </c>
      <c r="U11" s="23" t="n">
        <v>718</v>
      </c>
      <c r="W11" s="23" t="n">
        <v>34590.3215615427</v>
      </c>
      <c r="X11" s="19" t="n">
        <v>0</v>
      </c>
      <c r="Y11" s="23" t="n">
        <v>0</v>
      </c>
      <c r="AA11" s="28" t="s">
        <v>745</v>
      </c>
      <c r="AB11" s="19" t="n">
        <v>0.1379</v>
      </c>
      <c r="AC11" s="19" t="n">
        <v>0.1265</v>
      </c>
      <c r="AD11" s="19" t="n">
        <v>0.072908</v>
      </c>
      <c r="AE11" s="31" t="n">
        <v>2.3948</v>
      </c>
      <c r="AF11" s="31" t="n">
        <v>1.248</v>
      </c>
      <c r="AG11" s="28" t="s">
        <v>493</v>
      </c>
      <c r="AH11" s="28" t="s">
        <v>740</v>
      </c>
      <c r="AI11" s="15" t="n">
        <f aca="false">COUNTIFS($A$2:$A$200,A11,$B$2:$B$200,B11)</f>
        <v>1</v>
      </c>
      <c r="AJ11" s="14" t="n">
        <f aca="false">D11/SUMIFS($D$2:$D$200,$A$2:$A$200,A11)</f>
        <v>0.0118085751252124</v>
      </c>
    </row>
    <row r="12" customFormat="false" ht="15" hidden="false" customHeight="false" outlineLevel="0" collapsed="false">
      <c r="A12" s="28" t="s">
        <v>322</v>
      </c>
      <c r="B12" s="28" t="s">
        <v>582</v>
      </c>
      <c r="C12" s="28" t="s">
        <v>581</v>
      </c>
      <c r="D12" s="23" t="n">
        <v>41766.462</v>
      </c>
      <c r="E12" s="23" t="n">
        <v>20639</v>
      </c>
      <c r="F12" s="19" t="n">
        <v>0.1415</v>
      </c>
      <c r="G12" s="19" t="n">
        <v>0</v>
      </c>
      <c r="H12" s="28" t="s">
        <v>551</v>
      </c>
      <c r="I12" s="19" t="n">
        <v>0.09</v>
      </c>
      <c r="J12" s="19" t="n">
        <v>0.18</v>
      </c>
      <c r="K12" s="31" t="n">
        <v>1.664</v>
      </c>
      <c r="L12" s="31" t="n">
        <v>-0.0135</v>
      </c>
      <c r="M12" s="19" t="n">
        <v>0.3</v>
      </c>
      <c r="N12" s="19" t="n">
        <v>0.3</v>
      </c>
      <c r="O12" s="19" t="n">
        <v>0.3</v>
      </c>
      <c r="P12" s="28" t="s">
        <v>738</v>
      </c>
      <c r="Q12" s="19" t="n">
        <v>0.032098</v>
      </c>
      <c r="R12" s="19" t="n">
        <v>0.015285</v>
      </c>
      <c r="S12" s="19" t="n">
        <v>0.031257</v>
      </c>
      <c r="T12" s="23" t="n">
        <v>1805.68424291293</v>
      </c>
      <c r="U12" s="23" t="n">
        <v>712</v>
      </c>
      <c r="W12" s="23" t="n">
        <v>11699.6675869924</v>
      </c>
      <c r="X12" s="19" t="n">
        <v>0</v>
      </c>
      <c r="Y12" s="23" t="n">
        <v>36000</v>
      </c>
      <c r="Z12" s="19" t="n">
        <v>0.54</v>
      </c>
      <c r="AA12" s="28" t="s">
        <v>745</v>
      </c>
      <c r="AB12" s="19" t="n">
        <v>0.1379</v>
      </c>
      <c r="AC12" s="19" t="n">
        <v>0.1415</v>
      </c>
      <c r="AD12" s="19" t="n">
        <v>0.08522</v>
      </c>
      <c r="AE12" s="31" t="n">
        <v>0.5404</v>
      </c>
      <c r="AF12" s="31" t="n">
        <v>0.083</v>
      </c>
      <c r="AG12" s="28" t="s">
        <v>493</v>
      </c>
      <c r="AH12" s="28" t="s">
        <v>740</v>
      </c>
      <c r="AI12" s="15" t="n">
        <f aca="false">COUNTIFS($A$2:$A$200,A12,$B$2:$B$200,B12)</f>
        <v>1</v>
      </c>
      <c r="AJ12" s="14" t="n">
        <f aca="false">D12/SUMIFS($D$2:$D$200,$A$2:$A$200,A12)</f>
        <v>0.00787238341680824</v>
      </c>
    </row>
    <row r="13" customFormat="false" ht="15" hidden="false" customHeight="false" outlineLevel="0" collapsed="false">
      <c r="A13" s="28" t="s">
        <v>322</v>
      </c>
      <c r="B13" s="28" t="s">
        <v>584</v>
      </c>
      <c r="C13" s="28" t="s">
        <v>583</v>
      </c>
      <c r="D13" s="23" t="n">
        <v>21376.155</v>
      </c>
      <c r="E13" s="23" t="n">
        <v>958</v>
      </c>
      <c r="F13" s="19" t="n">
        <v>0.092</v>
      </c>
      <c r="G13" s="19" t="n">
        <v>1</v>
      </c>
      <c r="H13" s="28" t="s">
        <v>518</v>
      </c>
      <c r="K13" s="31" t="n">
        <v>2.383</v>
      </c>
      <c r="L13" s="31" t="n">
        <v>2.0183</v>
      </c>
      <c r="M13" s="19" t="n">
        <v>0.15</v>
      </c>
      <c r="N13" s="19" t="n">
        <v>0.15</v>
      </c>
      <c r="O13" s="19" t="n">
        <v>0.15</v>
      </c>
      <c r="P13" s="28" t="s">
        <v>738</v>
      </c>
      <c r="Q13" s="19" t="n">
        <v>0.016567</v>
      </c>
      <c r="R13" s="19" t="n">
        <v>0.007889</v>
      </c>
      <c r="S13" s="19" t="n">
        <v>0.006251</v>
      </c>
      <c r="T13" s="23" t="n">
        <v>328.587606497944</v>
      </c>
      <c r="U13" s="23" t="n">
        <v>735</v>
      </c>
      <c r="V13" s="19" t="n">
        <v>0.85</v>
      </c>
      <c r="W13" s="23" t="n">
        <v>8138.89919095122</v>
      </c>
      <c r="X13" s="19" t="n">
        <v>0.1</v>
      </c>
      <c r="Y13" s="23" t="n">
        <v>0</v>
      </c>
      <c r="AA13" s="28" t="s">
        <v>584</v>
      </c>
      <c r="AB13" s="19" t="n">
        <v>0.1008</v>
      </c>
      <c r="AC13" s="19" t="n">
        <v>0.1009</v>
      </c>
      <c r="AD13" s="19" t="n">
        <v>0.050197</v>
      </c>
      <c r="AE13" s="31" t="n">
        <v>7.2815</v>
      </c>
      <c r="AF13" s="31" t="n">
        <v>2.383</v>
      </c>
      <c r="AG13" s="28" t="s">
        <v>493</v>
      </c>
      <c r="AH13" s="28" t="s">
        <v>740</v>
      </c>
      <c r="AI13" s="15" t="n">
        <f aca="false">COUNTIFS($A$2:$A$200,A13,$B$2:$B$200,B13)</f>
        <v>1</v>
      </c>
      <c r="AJ13" s="14" t="n">
        <f aca="false">D13/SUMIFS($D$2:$D$200,$A$2:$A$200,A13)</f>
        <v>0.0040291008641604</v>
      </c>
    </row>
    <row r="14" customFormat="false" ht="15" hidden="false" customHeight="false" outlineLevel="0" collapsed="false">
      <c r="A14" s="28" t="s">
        <v>322</v>
      </c>
      <c r="B14" s="28" t="s">
        <v>586</v>
      </c>
      <c r="C14" s="28" t="s">
        <v>585</v>
      </c>
      <c r="D14" s="23" t="n">
        <v>1397.217</v>
      </c>
      <c r="E14" s="23" t="n">
        <v>60</v>
      </c>
      <c r="F14" s="19" t="n">
        <v>0.095</v>
      </c>
      <c r="G14" s="19" t="n">
        <v>1</v>
      </c>
      <c r="H14" s="28" t="s">
        <v>518</v>
      </c>
      <c r="K14" s="31" t="n">
        <v>3.774</v>
      </c>
      <c r="L14" s="31" t="n">
        <v>2.9167</v>
      </c>
      <c r="M14" s="19" t="n">
        <v>0.08</v>
      </c>
      <c r="N14" s="19" t="n">
        <v>0.08</v>
      </c>
      <c r="O14" s="19" t="n">
        <v>0.08</v>
      </c>
      <c r="P14" s="28" t="s">
        <v>738</v>
      </c>
      <c r="Q14" s="19" t="n">
        <v>0.031063</v>
      </c>
      <c r="R14" s="19" t="n">
        <v>0.014792</v>
      </c>
      <c r="S14" s="19" t="n">
        <v>0.012503</v>
      </c>
      <c r="T14" s="23" t="n">
        <v>53.6939629447201</v>
      </c>
      <c r="U14" s="23" t="n">
        <v>730</v>
      </c>
      <c r="W14" s="23" t="n">
        <v>101.73623988689</v>
      </c>
      <c r="X14" s="19" t="n">
        <v>0</v>
      </c>
      <c r="Y14" s="23" t="n">
        <v>0</v>
      </c>
      <c r="AA14" s="28" t="s">
        <v>586</v>
      </c>
      <c r="AB14" s="19" t="n">
        <v>0.1125</v>
      </c>
      <c r="AC14" s="19" t="n">
        <v>0.1124</v>
      </c>
      <c r="AD14" s="19" t="n">
        <v>0.060516</v>
      </c>
      <c r="AE14" s="31" t="n">
        <v>14.5666</v>
      </c>
      <c r="AF14" s="31" t="n">
        <v>3.774</v>
      </c>
      <c r="AG14" s="28" t="s">
        <v>493</v>
      </c>
      <c r="AH14" s="28" t="s">
        <v>740</v>
      </c>
      <c r="AI14" s="15" t="n">
        <f aca="false">COUNTIFS($A$2:$A$200,A14,$B$2:$B$200,B14)</f>
        <v>1</v>
      </c>
      <c r="AJ14" s="14" t="n">
        <f aca="false">D14/SUMIFS($D$2:$D$200,$A$2:$A$200,A14)</f>
        <v>0.000263355510947577</v>
      </c>
    </row>
    <row r="15" customFormat="false" ht="15" hidden="false" customHeight="false" outlineLevel="0" collapsed="false">
      <c r="A15" s="28" t="s">
        <v>322</v>
      </c>
      <c r="B15" s="28" t="s">
        <v>588</v>
      </c>
      <c r="C15" s="28" t="s">
        <v>587</v>
      </c>
      <c r="D15" s="23" t="n">
        <v>42.972</v>
      </c>
      <c r="E15" s="23" t="n">
        <v>2</v>
      </c>
      <c r="F15" s="19" t="n">
        <v>0.0575</v>
      </c>
      <c r="G15" s="19" t="n">
        <v>1</v>
      </c>
      <c r="H15" s="28" t="s">
        <v>518</v>
      </c>
      <c r="K15" s="31" t="n">
        <v>6.225</v>
      </c>
      <c r="L15" s="31" t="n">
        <v>4.6923</v>
      </c>
      <c r="M15" s="19" t="n">
        <v>0.08</v>
      </c>
      <c r="N15" s="19" t="n">
        <v>0.08</v>
      </c>
      <c r="O15" s="19" t="n">
        <v>0.08</v>
      </c>
      <c r="P15" s="28" t="s">
        <v>738</v>
      </c>
      <c r="Q15" s="19" t="n">
        <v>0</v>
      </c>
      <c r="R15" s="19" t="n">
        <v>0</v>
      </c>
      <c r="S15" s="19" t="n">
        <v>0</v>
      </c>
      <c r="T15" s="23" t="n">
        <v>0.123853541128213</v>
      </c>
      <c r="W15" s="23" t="n">
        <v>0</v>
      </c>
      <c r="X15" s="19" t="n">
        <v>0</v>
      </c>
      <c r="Y15" s="23" t="n">
        <v>0</v>
      </c>
      <c r="AA15" s="28" t="s">
        <v>588</v>
      </c>
      <c r="AB15" s="19" t="n">
        <v>0.0575</v>
      </c>
      <c r="AC15" s="19" t="n">
        <v>0.0649</v>
      </c>
      <c r="AD15" s="19" t="n">
        <v>0.018308</v>
      </c>
      <c r="AE15" s="31" t="n">
        <v>39.0319</v>
      </c>
      <c r="AF15" s="31" t="n">
        <v>6.225</v>
      </c>
      <c r="AG15" s="28" t="s">
        <v>493</v>
      </c>
      <c r="AH15" s="28" t="s">
        <v>740</v>
      </c>
      <c r="AI15" s="15" t="n">
        <f aca="false">COUNTIFS($A$2:$A$200,A15,$B$2:$B$200,B15)</f>
        <v>1</v>
      </c>
      <c r="AJ15" s="14" t="n">
        <f aca="false">D15/SUMIFS($D$2:$D$200,$A$2:$A$200,A15)</f>
        <v>8.09961016537823E-006</v>
      </c>
    </row>
  </sheetData>
  <autoFilter ref="A1:AJ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44"/>
    <col collapsed="false" customWidth="true" hidden="false" outlineLevel="0" max="4" min="4" style="0" width="18"/>
    <col collapsed="false" customWidth="true" hidden="false" outlineLevel="0" max="5" min="5" style="0" width="19"/>
    <col collapsed="false" customWidth="true" hidden="false" outlineLevel="0" max="6" min="6" style="0" width="14"/>
    <col collapsed="false" customWidth="true" hidden="false" outlineLevel="0" max="7" min="7" style="0" width="10"/>
    <col collapsed="false" customWidth="true" hidden="false" outlineLevel="0" max="8" min="8" style="0" width="9"/>
    <col collapsed="false" customWidth="true" hidden="false" outlineLevel="0" max="9" min="9" style="0" width="11"/>
    <col collapsed="false" customWidth="true" hidden="false" outlineLevel="0" max="11" min="10" style="0" width="17"/>
    <col collapsed="false" customWidth="true" hidden="false" outlineLevel="0" max="12" min="12" style="0" width="19"/>
    <col collapsed="false" customWidth="true" hidden="false" outlineLevel="0" max="13" min="13" style="0" width="20"/>
    <col collapsed="false" customWidth="true" hidden="false" outlineLevel="0" max="14" min="14" style="0" width="22"/>
    <col collapsed="false" customWidth="true" hidden="false" outlineLevel="0" max="16" min="15" style="0" width="12"/>
    <col collapsed="false" customWidth="true" hidden="false" outlineLevel="0" max="17" min="17" style="0" width="16"/>
    <col collapsed="false" customWidth="true" hidden="false" outlineLevel="0" max="18" min="18" style="0" width="21"/>
    <col collapsed="false" customWidth="true" hidden="false" outlineLevel="0" max="19" min="19" style="0" width="14"/>
    <col collapsed="false" customWidth="true" hidden="false" outlineLevel="0" max="20" min="20" style="0" width="20"/>
    <col collapsed="false" customWidth="true" hidden="false" outlineLevel="0" max="21" min="21" style="0" width="12"/>
    <col collapsed="false" customWidth="true" hidden="false" outlineLevel="0" max="22" min="22" style="0" width="70"/>
    <col collapsed="false" customWidth="true" hidden="false" outlineLevel="0" max="24" min="23" style="0" width="14"/>
  </cols>
  <sheetData>
    <row r="1" customFormat="false" ht="30" hidden="false" customHeight="true" outlineLevel="0" collapsed="false">
      <c r="A1" s="27" t="s">
        <v>430</v>
      </c>
      <c r="B1" s="27" t="s">
        <v>712</v>
      </c>
      <c r="C1" s="27" t="s">
        <v>713</v>
      </c>
      <c r="D1" s="27" t="s">
        <v>746</v>
      </c>
      <c r="E1" s="27" t="s">
        <v>434</v>
      </c>
      <c r="F1" s="27" t="s">
        <v>747</v>
      </c>
      <c r="G1" s="27" t="s">
        <v>436</v>
      </c>
      <c r="H1" s="27" t="s">
        <v>748</v>
      </c>
      <c r="I1" s="27" t="s">
        <v>749</v>
      </c>
      <c r="J1" s="27" t="s">
        <v>750</v>
      </c>
      <c r="K1" s="27" t="s">
        <v>751</v>
      </c>
      <c r="L1" s="27" t="s">
        <v>752</v>
      </c>
      <c r="M1" s="27" t="s">
        <v>753</v>
      </c>
      <c r="N1" s="27" t="s">
        <v>754</v>
      </c>
      <c r="O1" s="27" t="s">
        <v>755</v>
      </c>
      <c r="P1" s="27" t="s">
        <v>756</v>
      </c>
      <c r="Q1" s="27" t="s">
        <v>757</v>
      </c>
      <c r="R1" s="27" t="s">
        <v>758</v>
      </c>
      <c r="S1" s="27" t="s">
        <v>440</v>
      </c>
      <c r="T1" s="27" t="s">
        <v>446</v>
      </c>
      <c r="U1" s="27" t="s">
        <v>442</v>
      </c>
      <c r="V1" s="27" t="s">
        <v>443</v>
      </c>
      <c r="W1" s="27" t="s">
        <v>736</v>
      </c>
      <c r="X1" s="27" t="s">
        <v>737</v>
      </c>
    </row>
    <row r="2" customFormat="false" ht="15" hidden="false" customHeight="false" outlineLevel="0" collapsed="false">
      <c r="A2" s="28" t="s">
        <v>322</v>
      </c>
      <c r="B2" s="28" t="s">
        <v>759</v>
      </c>
      <c r="C2" s="28" t="s">
        <v>593</v>
      </c>
      <c r="D2" s="28" t="s">
        <v>760</v>
      </c>
      <c r="E2" s="23" t="n">
        <v>1551679.623</v>
      </c>
      <c r="F2" s="23" t="n">
        <v>398000</v>
      </c>
      <c r="G2" s="19" t="n">
        <v>0.0006</v>
      </c>
      <c r="H2" s="32" t="n">
        <v>0.02</v>
      </c>
      <c r="I2" s="32" t="n">
        <v>0.02</v>
      </c>
      <c r="J2" s="31" t="n">
        <v>0</v>
      </c>
      <c r="K2" s="31" t="n">
        <v>6.6</v>
      </c>
      <c r="L2" s="19" t="n">
        <v>0.97</v>
      </c>
      <c r="O2" s="19" t="n">
        <v>0.14</v>
      </c>
      <c r="P2" s="19" t="n">
        <v>0.0002</v>
      </c>
      <c r="Q2" s="19" t="n">
        <v>0.0075</v>
      </c>
      <c r="R2" s="19" t="n">
        <v>0.01</v>
      </c>
      <c r="S2" s="31" t="n">
        <v>4.8098</v>
      </c>
      <c r="T2" s="23" t="n">
        <v>1240835.91815688</v>
      </c>
      <c r="U2" s="28" t="s">
        <v>493</v>
      </c>
      <c r="V2" s="28" t="s">
        <v>761</v>
      </c>
      <c r="W2" s="15" t="n">
        <f aca="false">COUNTIFS($A$2:$A$200,A2,$B$2:$B$200,B2,$D$2:$D$200,D2)</f>
        <v>1</v>
      </c>
      <c r="X2" s="14" t="n">
        <f aca="false">E2/SUMIFS($E$2:$E$200,$A$2:$A$200,A2)</f>
        <v>0.175220150645179</v>
      </c>
    </row>
    <row r="3" customFormat="false" ht="15" hidden="false" customHeight="false" outlineLevel="0" collapsed="false">
      <c r="A3" s="28" t="s">
        <v>322</v>
      </c>
      <c r="B3" s="28" t="s">
        <v>759</v>
      </c>
      <c r="C3" s="28" t="s">
        <v>595</v>
      </c>
      <c r="D3" s="28" t="s">
        <v>762</v>
      </c>
      <c r="E3" s="23" t="n">
        <v>330000</v>
      </c>
      <c r="F3" s="23" t="n">
        <v>24500</v>
      </c>
      <c r="G3" s="19" t="n">
        <v>0.0015</v>
      </c>
      <c r="H3" s="32" t="n">
        <v>0.1</v>
      </c>
      <c r="I3" s="32" t="n">
        <v>0.08</v>
      </c>
      <c r="J3" s="31" t="n">
        <v>1</v>
      </c>
      <c r="K3" s="31" t="n">
        <v>4.518</v>
      </c>
      <c r="L3" s="19" t="n">
        <v>0.6</v>
      </c>
      <c r="O3" s="19" t="n">
        <v>0.2</v>
      </c>
      <c r="P3" s="19" t="n">
        <v>0.0005</v>
      </c>
      <c r="Q3" s="19" t="n">
        <v>0.006</v>
      </c>
      <c r="R3" s="19" t="n">
        <v>0.02</v>
      </c>
      <c r="S3" s="31" t="n">
        <v>3.2594</v>
      </c>
      <c r="T3" s="23" t="n">
        <v>281801.815089628</v>
      </c>
      <c r="U3" s="28" t="s">
        <v>493</v>
      </c>
      <c r="V3" s="28" t="s">
        <v>761</v>
      </c>
      <c r="W3" s="15" t="n">
        <f aca="false">COUNTIFS($A$2:$A$200,A3,$B$2:$B$200,B3,$D$2:$D$200,D3)</f>
        <v>1</v>
      </c>
      <c r="X3" s="14" t="n">
        <f aca="false">E3/SUMIFS($E$2:$E$200,$A$2:$A$200,A3)</f>
        <v>0.0372645543937192</v>
      </c>
    </row>
    <row r="4" customFormat="false" ht="15" hidden="false" customHeight="false" outlineLevel="0" collapsed="false">
      <c r="A4" s="28" t="s">
        <v>322</v>
      </c>
      <c r="B4" s="28" t="s">
        <v>763</v>
      </c>
      <c r="C4" s="28" t="s">
        <v>597</v>
      </c>
      <c r="D4" s="28" t="s">
        <v>760</v>
      </c>
      <c r="E4" s="23" t="n">
        <v>1462571.75</v>
      </c>
      <c r="F4" s="23" t="n">
        <v>515000</v>
      </c>
      <c r="G4" s="19" t="n">
        <v>0.001</v>
      </c>
      <c r="H4" s="32" t="n">
        <v>0.05</v>
      </c>
      <c r="I4" s="32" t="n">
        <v>0.05</v>
      </c>
      <c r="J4" s="31" t="n">
        <v>3</v>
      </c>
      <c r="K4" s="31" t="n">
        <v>6.6</v>
      </c>
      <c r="L4" s="19" t="n">
        <v>0.99</v>
      </c>
      <c r="O4" s="19" t="n">
        <v>0.14</v>
      </c>
      <c r="P4" s="19" t="n">
        <v>0.0005</v>
      </c>
      <c r="Q4" s="19" t="n">
        <v>0.005</v>
      </c>
      <c r="R4" s="19" t="n">
        <v>0.02</v>
      </c>
      <c r="S4" s="31" t="n">
        <v>4.6275</v>
      </c>
      <c r="T4" s="23" t="n">
        <v>1154074.35528948</v>
      </c>
      <c r="U4" s="28" t="s">
        <v>493</v>
      </c>
      <c r="V4" s="28" t="s">
        <v>761</v>
      </c>
      <c r="W4" s="15" t="n">
        <f aca="false">COUNTIFS($A$2:$A$200,A4,$B$2:$B$200,B4,$D$2:$D$200,D4)</f>
        <v>1</v>
      </c>
      <c r="X4" s="14" t="n">
        <f aca="false">E4/SUMIFS($E$2:$E$200,$A$2:$A$200,A4)</f>
        <v>0.165157831916946</v>
      </c>
    </row>
    <row r="5" customFormat="false" ht="15" hidden="false" customHeight="false" outlineLevel="0" collapsed="false">
      <c r="A5" s="28" t="s">
        <v>322</v>
      </c>
      <c r="B5" s="28" t="s">
        <v>763</v>
      </c>
      <c r="C5" s="28" t="s">
        <v>599</v>
      </c>
      <c r="D5" s="28" t="s">
        <v>762</v>
      </c>
      <c r="E5" s="23" t="n">
        <v>50000</v>
      </c>
      <c r="F5" s="23" t="n">
        <v>21000</v>
      </c>
      <c r="G5" s="19" t="n">
        <v>0.001</v>
      </c>
      <c r="H5" s="32" t="n">
        <v>0.08</v>
      </c>
      <c r="I5" s="32" t="n">
        <v>0.06</v>
      </c>
      <c r="J5" s="31" t="n">
        <v>2</v>
      </c>
      <c r="K5" s="31" t="n">
        <v>4.518</v>
      </c>
      <c r="L5" s="19" t="n">
        <v>0.85</v>
      </c>
      <c r="O5" s="19" t="n">
        <v>0.2</v>
      </c>
      <c r="P5" s="19" t="n">
        <v>0.0005</v>
      </c>
      <c r="Q5" s="19" t="n">
        <v>0.004</v>
      </c>
      <c r="R5" s="19" t="n">
        <v>0.02</v>
      </c>
      <c r="S5" s="31" t="n">
        <v>3.3505</v>
      </c>
      <c r="T5" s="23" t="n">
        <v>42230.401559415</v>
      </c>
      <c r="U5" s="28" t="s">
        <v>493</v>
      </c>
      <c r="V5" s="28" t="s">
        <v>761</v>
      </c>
      <c r="W5" s="15" t="n">
        <f aca="false">COUNTIFS($A$2:$A$200,A5,$B$2:$B$200,B5,$D$2:$D$200,D5)</f>
        <v>1</v>
      </c>
      <c r="X5" s="14" t="n">
        <f aca="false">E5/SUMIFS($E$2:$E$200,$A$2:$A$200,A5)</f>
        <v>0.00564614460510897</v>
      </c>
    </row>
    <row r="6" customFormat="false" ht="15" hidden="false" customHeight="false" outlineLevel="0" collapsed="false">
      <c r="A6" s="28" t="s">
        <v>322</v>
      </c>
      <c r="B6" s="28" t="s">
        <v>764</v>
      </c>
      <c r="C6" s="28" t="s">
        <v>601</v>
      </c>
      <c r="D6" s="28" t="s">
        <v>765</v>
      </c>
      <c r="E6" s="23" t="n">
        <v>1000000</v>
      </c>
      <c r="F6" s="23" t="n">
        <v>112000</v>
      </c>
      <c r="G6" s="19" t="n">
        <v>0.0055</v>
      </c>
      <c r="H6" s="32" t="n">
        <v>0.15</v>
      </c>
      <c r="I6" s="32" t="n">
        <v>0.1</v>
      </c>
      <c r="J6" s="31" t="n">
        <v>3</v>
      </c>
      <c r="K6" s="31" t="n">
        <v>4.518</v>
      </c>
      <c r="L6" s="19" t="n">
        <v>1</v>
      </c>
      <c r="O6" s="19" t="n">
        <v>0.2</v>
      </c>
      <c r="P6" s="19" t="n">
        <v>0.001</v>
      </c>
      <c r="Q6" s="19" t="n">
        <v>0.0025</v>
      </c>
      <c r="R6" s="19" t="n">
        <v>0.02</v>
      </c>
      <c r="S6" s="31" t="n">
        <v>3.1326</v>
      </c>
      <c r="T6" s="23" t="n">
        <v>855812.266815533</v>
      </c>
      <c r="U6" s="28" t="s">
        <v>493</v>
      </c>
      <c r="V6" s="28" t="s">
        <v>761</v>
      </c>
      <c r="W6" s="15" t="n">
        <f aca="false">COUNTIFS($A$2:$A$200,A6,$B$2:$B$200,B6,$D$2:$D$200,D6)</f>
        <v>1</v>
      </c>
      <c r="X6" s="14" t="n">
        <f aca="false">E6/SUMIFS($E$2:$E$200,$A$2:$A$200,A6)</f>
        <v>0.112922892102179</v>
      </c>
    </row>
    <row r="7" customFormat="false" ht="15" hidden="false" customHeight="false" outlineLevel="0" collapsed="false">
      <c r="A7" s="28" t="s">
        <v>322</v>
      </c>
      <c r="B7" s="28" t="s">
        <v>764</v>
      </c>
      <c r="C7" s="28" t="s">
        <v>603</v>
      </c>
      <c r="D7" s="28" t="s">
        <v>766</v>
      </c>
      <c r="E7" s="23" t="n">
        <v>1100000</v>
      </c>
      <c r="F7" s="23" t="n">
        <v>23500</v>
      </c>
      <c r="G7" s="19" t="n">
        <v>0.0145</v>
      </c>
      <c r="H7" s="32" t="n">
        <v>0.4</v>
      </c>
      <c r="I7" s="32" t="n">
        <v>0.3</v>
      </c>
      <c r="J7" s="31" t="n">
        <v>2</v>
      </c>
      <c r="K7" s="31" t="n">
        <v>3.517</v>
      </c>
      <c r="L7" s="19" t="n">
        <v>1</v>
      </c>
      <c r="O7" s="19" t="n">
        <v>0.25</v>
      </c>
      <c r="P7" s="19" t="n">
        <v>0.0025</v>
      </c>
      <c r="Q7" s="19" t="n">
        <v>0.0025</v>
      </c>
      <c r="R7" s="19" t="n">
        <v>0.03</v>
      </c>
      <c r="S7" s="31" t="n">
        <v>1.8385</v>
      </c>
      <c r="T7" s="23" t="n">
        <v>1003659.15846778</v>
      </c>
      <c r="U7" s="28" t="s">
        <v>493</v>
      </c>
      <c r="V7" s="28" t="s">
        <v>761</v>
      </c>
      <c r="W7" s="15" t="n">
        <f aca="false">COUNTIFS($A$2:$A$200,A7,$B$2:$B$200,B7,$D$2:$D$200,D7)</f>
        <v>1</v>
      </c>
      <c r="X7" s="14" t="n">
        <f aca="false">E7/SUMIFS($E$2:$E$200,$A$2:$A$200,A7)</f>
        <v>0.124215181312397</v>
      </c>
    </row>
    <row r="8" customFormat="false" ht="15" hidden="false" customHeight="false" outlineLevel="0" collapsed="false">
      <c r="A8" s="28" t="s">
        <v>322</v>
      </c>
      <c r="B8" s="28" t="s">
        <v>764</v>
      </c>
      <c r="C8" s="28" t="s">
        <v>605</v>
      </c>
      <c r="D8" s="28" t="s">
        <v>767</v>
      </c>
      <c r="E8" s="23" t="n">
        <v>800000</v>
      </c>
      <c r="F8" s="23" t="n">
        <v>5300</v>
      </c>
      <c r="G8" s="19" t="n">
        <v>0.0225</v>
      </c>
      <c r="H8" s="32" t="n">
        <v>0.55</v>
      </c>
      <c r="I8" s="32" t="n">
        <v>0.45</v>
      </c>
      <c r="J8" s="31" t="n">
        <v>1</v>
      </c>
      <c r="K8" s="31" t="n">
        <v>2.845</v>
      </c>
      <c r="L8" s="19" t="n">
        <v>0.99</v>
      </c>
      <c r="O8" s="19" t="n">
        <v>0.3</v>
      </c>
      <c r="P8" s="19" t="n">
        <v>0.005</v>
      </c>
      <c r="Q8" s="19" t="n">
        <v>0.002</v>
      </c>
      <c r="R8" s="19" t="n">
        <v>0.04</v>
      </c>
      <c r="S8" s="31" t="n">
        <v>1.1424</v>
      </c>
      <c r="T8" s="23" t="n">
        <v>757831.77669435</v>
      </c>
      <c r="U8" s="28" t="s">
        <v>493</v>
      </c>
      <c r="V8" s="28" t="s">
        <v>761</v>
      </c>
      <c r="W8" s="15" t="n">
        <f aca="false">COUNTIFS($A$2:$A$200,A8,$B$2:$B$200,B8,$D$2:$D$200,D8)</f>
        <v>1</v>
      </c>
      <c r="X8" s="14" t="n">
        <f aca="false">E8/SUMIFS($E$2:$E$200,$A$2:$A$200,A8)</f>
        <v>0.0903383136817435</v>
      </c>
    </row>
    <row r="9" customFormat="false" ht="15" hidden="false" customHeight="false" outlineLevel="0" collapsed="false">
      <c r="A9" s="28" t="s">
        <v>322</v>
      </c>
      <c r="B9" s="28" t="s">
        <v>764</v>
      </c>
      <c r="C9" s="28" t="s">
        <v>607</v>
      </c>
      <c r="D9" s="28" t="s">
        <v>768</v>
      </c>
      <c r="E9" s="23" t="n">
        <v>765287.677</v>
      </c>
      <c r="F9" s="23" t="n">
        <v>1550</v>
      </c>
      <c r="G9" s="19" t="n">
        <v>0.0285</v>
      </c>
      <c r="H9" s="32" t="n">
        <v>0.7</v>
      </c>
      <c r="I9" s="32" t="n">
        <v>0.6</v>
      </c>
      <c r="J9" s="31" t="n">
        <v>1</v>
      </c>
      <c r="K9" s="31" t="n">
        <v>2</v>
      </c>
      <c r="L9" s="19" t="n">
        <v>0.5</v>
      </c>
      <c r="O9" s="19" t="n">
        <v>0.4</v>
      </c>
      <c r="P9" s="19" t="n">
        <v>0.0075</v>
      </c>
      <c r="Q9" s="19" t="n">
        <v>0.0015</v>
      </c>
      <c r="R9" s="19" t="n">
        <v>0.05</v>
      </c>
      <c r="S9" s="31" t="n">
        <v>0.5771</v>
      </c>
      <c r="T9" s="23" t="n">
        <v>744566.853413978</v>
      </c>
      <c r="U9" s="28" t="s">
        <v>493</v>
      </c>
      <c r="V9" s="28" t="s">
        <v>761</v>
      </c>
      <c r="W9" s="15" t="n">
        <f aca="false">COUNTIFS($A$2:$A$200,A9,$B$2:$B$200,B9,$D$2:$D$200,D9)</f>
        <v>1</v>
      </c>
      <c r="X9" s="14" t="n">
        <f aca="false">E9/SUMIFS($E$2:$E$200,$A$2:$A$200,A9)</f>
        <v>0.0864184977769985</v>
      </c>
    </row>
    <row r="10" customFormat="false" ht="15" hidden="false" customHeight="false" outlineLevel="0" collapsed="false">
      <c r="A10" s="28" t="s">
        <v>322</v>
      </c>
      <c r="B10" s="28" t="s">
        <v>769</v>
      </c>
      <c r="C10" s="28" t="s">
        <v>609</v>
      </c>
      <c r="D10" s="28" t="s">
        <v>770</v>
      </c>
      <c r="E10" s="23" t="n">
        <v>74688.3604</v>
      </c>
      <c r="F10" s="23" t="n">
        <v>6200</v>
      </c>
      <c r="G10" s="19" t="n">
        <v>0.012</v>
      </c>
      <c r="H10" s="32" t="n">
        <v>0.2</v>
      </c>
      <c r="I10" s="32" t="n">
        <v>0.15</v>
      </c>
      <c r="J10" s="31" t="n">
        <v>2</v>
      </c>
      <c r="K10" s="31" t="n">
        <v>9.129</v>
      </c>
      <c r="L10" s="19" t="n">
        <v>1</v>
      </c>
      <c r="O10" s="19" t="n">
        <v>0.1</v>
      </c>
      <c r="P10" s="19" t="n">
        <v>0.001</v>
      </c>
      <c r="Q10" s="19" t="n">
        <v>0.003</v>
      </c>
      <c r="R10" s="19" t="n">
        <v>0.02</v>
      </c>
      <c r="S10" s="31" t="n">
        <v>4.9181</v>
      </c>
      <c r="T10" s="23" t="n">
        <v>58393.5645082874</v>
      </c>
      <c r="U10" s="28" t="s">
        <v>493</v>
      </c>
      <c r="V10" s="28" t="s">
        <v>761</v>
      </c>
      <c r="W10" s="15" t="n">
        <f aca="false">COUNTIFS($A$2:$A$200,A10,$B$2:$B$200,B10,$D$2:$D$200,D10)</f>
        <v>1</v>
      </c>
      <c r="X10" s="14" t="n">
        <f aca="false">E10/SUMIFS($E$2:$E$200,$A$2:$A$200,A10)</f>
        <v>0.00843402566273789</v>
      </c>
    </row>
    <row r="11" customFormat="false" ht="15" hidden="false" customHeight="false" outlineLevel="0" collapsed="false">
      <c r="A11" s="28" t="s">
        <v>322</v>
      </c>
      <c r="B11" s="28" t="s">
        <v>771</v>
      </c>
      <c r="C11" s="28" t="s">
        <v>611</v>
      </c>
      <c r="D11" s="28" t="s">
        <v>772</v>
      </c>
      <c r="E11" s="23" t="n">
        <v>14494.065</v>
      </c>
      <c r="F11" s="23" t="n">
        <v>9800</v>
      </c>
      <c r="G11" s="19" t="n">
        <v>0.004</v>
      </c>
      <c r="H11" s="32" t="n">
        <v>0.1</v>
      </c>
      <c r="I11" s="32" t="n">
        <v>0.1</v>
      </c>
      <c r="J11" s="31" t="n">
        <v>3</v>
      </c>
      <c r="K11" s="31" t="n">
        <v>3.517</v>
      </c>
      <c r="L11" s="19" t="n">
        <v>1</v>
      </c>
      <c r="O11" s="19" t="n">
        <v>0.25</v>
      </c>
      <c r="P11" s="19" t="n">
        <v>0.0005</v>
      </c>
      <c r="Q11" s="19" t="n">
        <v>0.005</v>
      </c>
      <c r="R11" s="19" t="n">
        <v>0</v>
      </c>
      <c r="S11" s="31" t="n">
        <v>2.6436</v>
      </c>
      <c r="T11" s="23" t="n">
        <v>12873.4705060105</v>
      </c>
      <c r="U11" s="28" t="s">
        <v>493</v>
      </c>
      <c r="V11" s="28" t="s">
        <v>761</v>
      </c>
      <c r="W11" s="15" t="n">
        <f aca="false">COUNTIFS($A$2:$A$200,A11,$B$2:$B$200,B11,$D$2:$D$200,D11)</f>
        <v>1</v>
      </c>
      <c r="X11" s="14" t="n">
        <f aca="false">E11/SUMIFS($E$2:$E$200,$A$2:$A$200,A11)</f>
        <v>0.00163671173811698</v>
      </c>
    </row>
    <row r="12" customFormat="false" ht="15" hidden="false" customHeight="false" outlineLevel="0" collapsed="false">
      <c r="A12" s="28" t="s">
        <v>322</v>
      </c>
      <c r="B12" s="28" t="s">
        <v>773</v>
      </c>
      <c r="C12" s="28" t="s">
        <v>613</v>
      </c>
      <c r="D12" s="28" t="s">
        <v>774</v>
      </c>
      <c r="E12" s="23" t="n">
        <v>734544.639</v>
      </c>
      <c r="F12" s="23" t="n">
        <v>31500</v>
      </c>
      <c r="G12" s="19" t="n">
        <v>0.037835</v>
      </c>
      <c r="H12" s="32" t="n">
        <v>1</v>
      </c>
      <c r="I12" s="32" t="n">
        <v>1</v>
      </c>
      <c r="J12" s="31" t="n">
        <v>9.3</v>
      </c>
      <c r="K12" s="31" t="n">
        <v>0.771</v>
      </c>
      <c r="L12" s="19" t="n">
        <v>1</v>
      </c>
      <c r="M12" s="19" t="n">
        <v>0.85</v>
      </c>
      <c r="N12" s="19" t="n">
        <v>0.65</v>
      </c>
      <c r="S12" s="31" t="n">
        <v>0.7337</v>
      </c>
      <c r="T12" s="23" t="n">
        <v>733335.073898464</v>
      </c>
      <c r="U12" s="28" t="s">
        <v>493</v>
      </c>
      <c r="V12" s="28" t="s">
        <v>775</v>
      </c>
      <c r="W12" s="15" t="n">
        <f aca="false">COUNTIFS($A$2:$A$200,A12,$B$2:$B$200,B12,$D$2:$D$200,D12)</f>
        <v>1</v>
      </c>
      <c r="X12" s="14" t="n">
        <f aca="false">E12/SUMIFS($E$2:$E$200,$A$2:$A$200,A12)</f>
        <v>0.0829469050140313</v>
      </c>
    </row>
    <row r="13" customFormat="false" ht="15" hidden="false" customHeight="false" outlineLevel="0" collapsed="false">
      <c r="A13" s="28" t="s">
        <v>322</v>
      </c>
      <c r="B13" s="28" t="s">
        <v>773</v>
      </c>
      <c r="C13" s="28" t="s">
        <v>615</v>
      </c>
      <c r="D13" s="28" t="s">
        <v>776</v>
      </c>
      <c r="E13" s="23" t="n">
        <v>860301.67</v>
      </c>
      <c r="F13" s="23" t="n">
        <v>5600</v>
      </c>
      <c r="G13" s="19" t="n">
        <v>0.038936</v>
      </c>
      <c r="H13" s="32" t="n">
        <v>1</v>
      </c>
      <c r="I13" s="32" t="n">
        <v>1</v>
      </c>
      <c r="J13" s="31" t="n">
        <v>9.3</v>
      </c>
      <c r="K13" s="31" t="n">
        <v>0.771</v>
      </c>
      <c r="L13" s="19" t="n">
        <v>0.8</v>
      </c>
      <c r="M13" s="19" t="n">
        <v>0.8</v>
      </c>
      <c r="N13" s="19" t="n">
        <v>0.55</v>
      </c>
      <c r="S13" s="31" t="n">
        <v>0.7337</v>
      </c>
      <c r="T13" s="23" t="n">
        <v>859591.344075332</v>
      </c>
      <c r="U13" s="28" t="s">
        <v>493</v>
      </c>
      <c r="V13" s="28" t="s">
        <v>775</v>
      </c>
      <c r="W13" s="15" t="n">
        <f aca="false">COUNTIFS($A$2:$A$200,A13,$B$2:$B$200,B13,$D$2:$D$200,D13)</f>
        <v>1</v>
      </c>
      <c r="X13" s="14" t="n">
        <f aca="false">E13/SUMIFS($E$2:$E$200,$A$2:$A$200,A13)</f>
        <v>0.0971477526567348</v>
      </c>
    </row>
    <row r="14" customFormat="false" ht="15" hidden="false" customHeight="false" outlineLevel="0" collapsed="false">
      <c r="A14" s="28" t="s">
        <v>322</v>
      </c>
      <c r="B14" s="28" t="s">
        <v>769</v>
      </c>
      <c r="C14" s="28" t="s">
        <v>617</v>
      </c>
      <c r="D14" s="28" t="s">
        <v>777</v>
      </c>
      <c r="E14" s="23" t="n">
        <v>112032.5406</v>
      </c>
      <c r="F14" s="23" t="n">
        <v>4300</v>
      </c>
      <c r="G14" s="19" t="n">
        <v>0.038925</v>
      </c>
      <c r="H14" s="32" t="n">
        <v>1</v>
      </c>
      <c r="I14" s="32" t="n">
        <v>1</v>
      </c>
      <c r="J14" s="31" t="n">
        <v>17.9</v>
      </c>
      <c r="K14" s="31" t="n">
        <v>1.492</v>
      </c>
      <c r="L14" s="19" t="n">
        <v>1</v>
      </c>
      <c r="M14" s="19" t="n">
        <v>0.9</v>
      </c>
      <c r="N14" s="19" t="n">
        <v>0.75</v>
      </c>
      <c r="S14" s="31" t="n">
        <v>1.3971</v>
      </c>
      <c r="T14" s="23" t="n">
        <v>111800.889815408</v>
      </c>
      <c r="U14" s="28" t="s">
        <v>493</v>
      </c>
      <c r="V14" s="28" t="s">
        <v>775</v>
      </c>
      <c r="W14" s="15" t="n">
        <f aca="false">COUNTIFS($A$2:$A$200,A14,$B$2:$B$200,B14,$D$2:$D$200,D14)</f>
        <v>1</v>
      </c>
      <c r="X14" s="14" t="n">
        <f aca="false">E14/SUMIFS($E$2:$E$200,$A$2:$A$200,A14)</f>
        <v>0.0126510384941068</v>
      </c>
    </row>
  </sheetData>
  <autoFilter ref="A1:X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0"/>
    <col collapsed="false" customWidth="true" hidden="false" outlineLevel="0" max="4" min="4" style="0" width="10"/>
    <col collapsed="false" customWidth="true" hidden="false" outlineLevel="0" max="5" min="5" style="0" width="16"/>
    <col collapsed="false" customWidth="true" hidden="false" outlineLevel="0" max="8" min="6" style="0" width="20"/>
  </cols>
  <sheetData>
    <row r="1" customFormat="false" ht="30" hidden="false" customHeight="true" outlineLevel="0" collapsed="false">
      <c r="A1" s="27" t="s">
        <v>430</v>
      </c>
      <c r="B1" s="27" t="s">
        <v>778</v>
      </c>
      <c r="C1" s="27" t="s">
        <v>434</v>
      </c>
      <c r="D1" s="27" t="s">
        <v>436</v>
      </c>
      <c r="E1" s="27" t="s">
        <v>779</v>
      </c>
      <c r="F1" s="27" t="s">
        <v>780</v>
      </c>
      <c r="G1" s="27" t="s">
        <v>781</v>
      </c>
      <c r="H1" s="27" t="s">
        <v>782</v>
      </c>
    </row>
    <row r="2" customFormat="false" ht="15" hidden="false" customHeight="false" outlineLevel="0" collapsed="false">
      <c r="A2" s="28" t="s">
        <v>322</v>
      </c>
      <c r="B2" s="23" t="n">
        <v>1</v>
      </c>
      <c r="C2" s="23" t="n">
        <v>150927.0807005</v>
      </c>
      <c r="D2" s="19" t="n">
        <v>0.03998</v>
      </c>
      <c r="E2" s="28" t="s">
        <v>783</v>
      </c>
      <c r="F2" s="23" t="n">
        <v>67578.106788</v>
      </c>
      <c r="G2" s="23" t="n">
        <v>79147.75364</v>
      </c>
      <c r="H2" s="23" t="n">
        <v>4201.2202725</v>
      </c>
    </row>
    <row r="3" customFormat="false" ht="15" hidden="false" customHeight="false" outlineLevel="0" collapsed="false">
      <c r="A3" s="28" t="s">
        <v>322</v>
      </c>
      <c r="B3" s="23" t="n">
        <v>2</v>
      </c>
      <c r="C3" s="23" t="n">
        <v>150927.0807005</v>
      </c>
      <c r="D3" s="19" t="n">
        <v>0.03998</v>
      </c>
      <c r="E3" s="28" t="s">
        <v>784</v>
      </c>
      <c r="F3" s="23" t="n">
        <v>67578.106788</v>
      </c>
      <c r="G3" s="23" t="n">
        <v>79147.75364</v>
      </c>
      <c r="H3" s="23" t="n">
        <v>4201.2202725</v>
      </c>
    </row>
    <row r="4" customFormat="false" ht="15" hidden="false" customHeight="false" outlineLevel="0" collapsed="false">
      <c r="A4" s="28" t="s">
        <v>322</v>
      </c>
      <c r="B4" s="23" t="n">
        <v>3</v>
      </c>
      <c r="C4" s="23" t="n">
        <v>150927.0807005</v>
      </c>
      <c r="D4" s="19" t="n">
        <v>0.03998</v>
      </c>
      <c r="E4" s="28" t="s">
        <v>785</v>
      </c>
      <c r="F4" s="23" t="n">
        <v>67578.106788</v>
      </c>
      <c r="G4" s="23" t="n">
        <v>79147.75364</v>
      </c>
      <c r="H4" s="23" t="n">
        <v>4201.2202725</v>
      </c>
    </row>
    <row r="5" customFormat="false" ht="15" hidden="false" customHeight="false" outlineLevel="0" collapsed="false">
      <c r="A5" s="28" t="s">
        <v>322</v>
      </c>
      <c r="B5" s="23" t="n">
        <v>4</v>
      </c>
      <c r="C5" s="23" t="n">
        <v>130725.694119833</v>
      </c>
      <c r="D5" s="19" t="n">
        <v>0.03901</v>
      </c>
      <c r="E5" s="28" t="s">
        <v>786</v>
      </c>
      <c r="F5" s="23" t="n">
        <v>58273.874694</v>
      </c>
      <c r="G5" s="23" t="n">
        <v>68250.5991533333</v>
      </c>
      <c r="H5" s="23" t="n">
        <v>4201.2202725</v>
      </c>
    </row>
    <row r="6" customFormat="false" ht="15" hidden="false" customHeight="false" outlineLevel="0" collapsed="false">
      <c r="A6" s="28" t="s">
        <v>322</v>
      </c>
      <c r="B6" s="23" t="n">
        <v>5</v>
      </c>
      <c r="C6" s="23" t="n">
        <v>130725.694119833</v>
      </c>
      <c r="D6" s="19" t="n">
        <v>0.03901</v>
      </c>
      <c r="E6" s="28" t="s">
        <v>787</v>
      </c>
      <c r="F6" s="23" t="n">
        <v>58273.874694</v>
      </c>
      <c r="G6" s="23" t="n">
        <v>68250.5991533333</v>
      </c>
      <c r="H6" s="23" t="n">
        <v>4201.2202725</v>
      </c>
    </row>
    <row r="7" customFormat="false" ht="15" hidden="false" customHeight="false" outlineLevel="0" collapsed="false">
      <c r="A7" s="28" t="s">
        <v>322</v>
      </c>
      <c r="B7" s="23" t="n">
        <v>6</v>
      </c>
      <c r="C7" s="23" t="n">
        <v>130725.694119833</v>
      </c>
      <c r="D7" s="19" t="n">
        <v>0.03901</v>
      </c>
      <c r="E7" s="28" t="s">
        <v>788</v>
      </c>
      <c r="F7" s="23" t="n">
        <v>58273.874694</v>
      </c>
      <c r="G7" s="23" t="n">
        <v>68250.5991533333</v>
      </c>
      <c r="H7" s="23" t="n">
        <v>4201.2202725</v>
      </c>
    </row>
    <row r="8" customFormat="false" ht="15" hidden="false" customHeight="false" outlineLevel="0" collapsed="false">
      <c r="A8" s="28" t="s">
        <v>322</v>
      </c>
      <c r="B8" s="23" t="n">
        <v>7</v>
      </c>
      <c r="C8" s="23" t="n">
        <v>90854.5363948333</v>
      </c>
      <c r="D8" s="19" t="n">
        <v>0.037586</v>
      </c>
      <c r="E8" s="28" t="s">
        <v>789</v>
      </c>
      <c r="F8" s="23" t="n">
        <v>39910.258719</v>
      </c>
      <c r="G8" s="23" t="n">
        <v>46743.0574033333</v>
      </c>
      <c r="H8" s="23" t="n">
        <v>4201.2202725</v>
      </c>
    </row>
    <row r="9" customFormat="false" ht="15" hidden="false" customHeight="false" outlineLevel="0" collapsed="false">
      <c r="A9" s="28" t="s">
        <v>322</v>
      </c>
      <c r="B9" s="23" t="n">
        <v>8</v>
      </c>
      <c r="C9" s="23" t="n">
        <v>90854.5363948333</v>
      </c>
      <c r="D9" s="19" t="n">
        <v>0.037586</v>
      </c>
      <c r="E9" s="28" t="s">
        <v>790</v>
      </c>
      <c r="F9" s="23" t="n">
        <v>39910.258719</v>
      </c>
      <c r="G9" s="23" t="n">
        <v>46743.0574033333</v>
      </c>
      <c r="H9" s="23" t="n">
        <v>4201.2202725</v>
      </c>
    </row>
    <row r="10" customFormat="false" ht="15" hidden="false" customHeight="false" outlineLevel="0" collapsed="false">
      <c r="A10" s="28" t="s">
        <v>322</v>
      </c>
      <c r="B10" s="23" t="n">
        <v>9</v>
      </c>
      <c r="C10" s="23" t="n">
        <v>90854.5363948333</v>
      </c>
      <c r="D10" s="19" t="n">
        <v>0.037586</v>
      </c>
      <c r="E10" s="28" t="s">
        <v>791</v>
      </c>
      <c r="F10" s="23" t="n">
        <v>39910.258719</v>
      </c>
      <c r="G10" s="23" t="n">
        <v>46743.0574033333</v>
      </c>
      <c r="H10" s="23" t="n">
        <v>4201.2202725</v>
      </c>
    </row>
    <row r="11" customFormat="false" ht="15" hidden="false" customHeight="false" outlineLevel="0" collapsed="false">
      <c r="A11" s="28" t="s">
        <v>322</v>
      </c>
      <c r="B11" s="23" t="n">
        <v>10</v>
      </c>
      <c r="C11" s="23" t="n">
        <v>74374.4578685</v>
      </c>
      <c r="D11" s="19" t="n">
        <v>0.036663</v>
      </c>
      <c r="E11" s="28" t="s">
        <v>792</v>
      </c>
      <c r="F11" s="23" t="n">
        <v>32319.964116</v>
      </c>
      <c r="G11" s="23" t="n">
        <v>37853.27348</v>
      </c>
      <c r="H11" s="23" t="n">
        <v>4201.2202725</v>
      </c>
    </row>
    <row r="12" customFormat="false" ht="15" hidden="false" customHeight="false" outlineLevel="0" collapsed="false">
      <c r="A12" s="28" t="s">
        <v>322</v>
      </c>
      <c r="B12" s="23" t="n">
        <v>11</v>
      </c>
      <c r="C12" s="23" t="n">
        <v>74374.4578685</v>
      </c>
      <c r="D12" s="19" t="n">
        <v>0.036663</v>
      </c>
      <c r="E12" s="28" t="s">
        <v>793</v>
      </c>
      <c r="F12" s="23" t="n">
        <v>32319.964116</v>
      </c>
      <c r="G12" s="23" t="n">
        <v>37853.27348</v>
      </c>
      <c r="H12" s="23" t="n">
        <v>4201.2202725</v>
      </c>
    </row>
    <row r="13" customFormat="false" ht="15" hidden="false" customHeight="false" outlineLevel="0" collapsed="false">
      <c r="A13" s="28" t="s">
        <v>322</v>
      </c>
      <c r="B13" s="23" t="n">
        <v>12</v>
      </c>
      <c r="C13" s="23" t="n">
        <v>74374.4578685</v>
      </c>
      <c r="D13" s="19" t="n">
        <v>0.036663</v>
      </c>
      <c r="E13" s="28" t="s">
        <v>794</v>
      </c>
      <c r="F13" s="23" t="n">
        <v>32319.964116</v>
      </c>
      <c r="G13" s="23" t="n">
        <v>37853.27348</v>
      </c>
      <c r="H13" s="23" t="n">
        <v>4201.2202725</v>
      </c>
    </row>
    <row r="14" customFormat="false" ht="15" hidden="false" customHeight="false" outlineLevel="0" collapsed="false">
      <c r="A14" s="28" t="s">
        <v>322</v>
      </c>
      <c r="B14" s="23" t="n">
        <v>13</v>
      </c>
      <c r="C14" s="23" t="n">
        <v>22736.3923775</v>
      </c>
      <c r="D14" s="19" t="n">
        <v>0.038179</v>
      </c>
      <c r="E14" s="28" t="s">
        <v>795</v>
      </c>
      <c r="F14" s="23" t="n">
        <v>9181.8079875</v>
      </c>
      <c r="G14" s="23" t="n">
        <v>10753.770875</v>
      </c>
      <c r="H14" s="23" t="n">
        <v>2800.813515</v>
      </c>
    </row>
    <row r="15" customFormat="false" ht="15" hidden="false" customHeight="false" outlineLevel="0" collapsed="false">
      <c r="A15" s="28" t="s">
        <v>322</v>
      </c>
      <c r="B15" s="23" t="n">
        <v>14</v>
      </c>
      <c r="C15" s="23" t="n">
        <v>22736.3923775</v>
      </c>
      <c r="D15" s="19" t="n">
        <v>0.038179</v>
      </c>
      <c r="E15" s="28" t="s">
        <v>796</v>
      </c>
      <c r="F15" s="23" t="n">
        <v>9181.8079875</v>
      </c>
      <c r="G15" s="23" t="n">
        <v>10753.770875</v>
      </c>
      <c r="H15" s="23" t="n">
        <v>2800.813515</v>
      </c>
    </row>
    <row r="16" customFormat="false" ht="15" hidden="false" customHeight="false" outlineLevel="0" collapsed="false">
      <c r="A16" s="28" t="s">
        <v>322</v>
      </c>
      <c r="B16" s="23" t="n">
        <v>15</v>
      </c>
      <c r="C16" s="23" t="n">
        <v>22736.3923775</v>
      </c>
      <c r="D16" s="19" t="n">
        <v>0.038179</v>
      </c>
      <c r="E16" s="28" t="s">
        <v>797</v>
      </c>
      <c r="F16" s="23" t="n">
        <v>9181.8079875</v>
      </c>
      <c r="G16" s="23" t="n">
        <v>10753.770875</v>
      </c>
      <c r="H16" s="23" t="n">
        <v>2800.813515</v>
      </c>
    </row>
    <row r="17" customFormat="false" ht="15" hidden="false" customHeight="false" outlineLevel="0" collapsed="false">
      <c r="A17" s="28" t="s">
        <v>322</v>
      </c>
      <c r="B17" s="23" t="n">
        <v>16</v>
      </c>
      <c r="C17" s="23" t="n">
        <v>22736.3923775</v>
      </c>
      <c r="D17" s="19" t="n">
        <v>0.038179</v>
      </c>
      <c r="E17" s="28" t="s">
        <v>798</v>
      </c>
      <c r="F17" s="23" t="n">
        <v>9181.8079875</v>
      </c>
      <c r="G17" s="23" t="n">
        <v>10753.770875</v>
      </c>
      <c r="H17" s="23" t="n">
        <v>2800.813515</v>
      </c>
    </row>
    <row r="18" customFormat="false" ht="15" hidden="false" customHeight="false" outlineLevel="0" collapsed="false">
      <c r="A18" s="28" t="s">
        <v>322</v>
      </c>
      <c r="B18" s="23" t="n">
        <v>17</v>
      </c>
      <c r="C18" s="23" t="n">
        <v>22736.3923775</v>
      </c>
      <c r="D18" s="19" t="n">
        <v>0.038179</v>
      </c>
      <c r="E18" s="28" t="s">
        <v>799</v>
      </c>
      <c r="F18" s="23" t="n">
        <v>9181.8079875</v>
      </c>
      <c r="G18" s="23" t="n">
        <v>10753.770875</v>
      </c>
      <c r="H18" s="23" t="n">
        <v>2800.813515</v>
      </c>
    </row>
    <row r="19" customFormat="false" ht="15" hidden="false" customHeight="false" outlineLevel="0" collapsed="false">
      <c r="A19" s="28" t="s">
        <v>322</v>
      </c>
      <c r="B19" s="23" t="n">
        <v>18</v>
      </c>
      <c r="C19" s="23" t="n">
        <v>22736.3923775</v>
      </c>
      <c r="D19" s="19" t="n">
        <v>0.038179</v>
      </c>
      <c r="E19" s="28" t="s">
        <v>800</v>
      </c>
      <c r="F19" s="23" t="n">
        <v>9181.8079875</v>
      </c>
      <c r="G19" s="23" t="n">
        <v>10753.770875</v>
      </c>
      <c r="H19" s="23" t="n">
        <v>2800.813515</v>
      </c>
    </row>
    <row r="20" customFormat="false" ht="15" hidden="false" customHeight="false" outlineLevel="0" collapsed="false">
      <c r="A20" s="28" t="s">
        <v>322</v>
      </c>
      <c r="B20" s="23" t="n">
        <v>19</v>
      </c>
      <c r="C20" s="23" t="n">
        <v>16091.1994233333</v>
      </c>
      <c r="D20" s="19" t="n">
        <v>0.039495</v>
      </c>
      <c r="E20" s="28" t="s">
        <v>801</v>
      </c>
      <c r="F20" s="23" t="n">
        <v>6121.205325</v>
      </c>
      <c r="G20" s="23" t="n">
        <v>7169.18058333333</v>
      </c>
      <c r="H20" s="23" t="n">
        <v>2800.813515</v>
      </c>
    </row>
    <row r="21" customFormat="false" ht="15" hidden="false" customHeight="false" outlineLevel="0" collapsed="false">
      <c r="A21" s="28" t="s">
        <v>322</v>
      </c>
      <c r="B21" s="23" t="n">
        <v>20</v>
      </c>
      <c r="C21" s="23" t="n">
        <v>16091.1994233333</v>
      </c>
      <c r="D21" s="19" t="n">
        <v>0.039495</v>
      </c>
      <c r="E21" s="28" t="s">
        <v>802</v>
      </c>
      <c r="F21" s="23" t="n">
        <v>6121.205325</v>
      </c>
      <c r="G21" s="23" t="n">
        <v>7169.18058333333</v>
      </c>
      <c r="H21" s="23" t="n">
        <v>2800.813515</v>
      </c>
    </row>
    <row r="22" customFormat="false" ht="15" hidden="false" customHeight="false" outlineLevel="0" collapsed="false">
      <c r="A22" s="28" t="s">
        <v>322</v>
      </c>
      <c r="B22" s="23" t="n">
        <v>21</v>
      </c>
      <c r="C22" s="23" t="n">
        <v>16091.1994233333</v>
      </c>
      <c r="D22" s="19" t="n">
        <v>0.039495</v>
      </c>
      <c r="E22" s="28" t="s">
        <v>803</v>
      </c>
      <c r="F22" s="23" t="n">
        <v>6121.205325</v>
      </c>
      <c r="G22" s="23" t="n">
        <v>7169.18058333333</v>
      </c>
      <c r="H22" s="23" t="n">
        <v>2800.813515</v>
      </c>
    </row>
    <row r="23" customFormat="false" ht="15" hidden="false" customHeight="false" outlineLevel="0" collapsed="false">
      <c r="A23" s="28" t="s">
        <v>322</v>
      </c>
      <c r="B23" s="23" t="n">
        <v>22</v>
      </c>
      <c r="C23" s="23" t="n">
        <v>16091.1994233333</v>
      </c>
      <c r="D23" s="19" t="n">
        <v>0.039495</v>
      </c>
      <c r="E23" s="28" t="s">
        <v>804</v>
      </c>
      <c r="F23" s="23" t="n">
        <v>6121.205325</v>
      </c>
      <c r="G23" s="23" t="n">
        <v>7169.18058333333</v>
      </c>
      <c r="H23" s="23" t="n">
        <v>2800.813515</v>
      </c>
    </row>
    <row r="24" customFormat="false" ht="15" hidden="false" customHeight="false" outlineLevel="0" collapsed="false">
      <c r="A24" s="28" t="s">
        <v>322</v>
      </c>
      <c r="B24" s="23" t="n">
        <v>23</v>
      </c>
      <c r="C24" s="23" t="n">
        <v>16091.1994233333</v>
      </c>
      <c r="D24" s="19" t="n">
        <v>0.039495</v>
      </c>
      <c r="E24" s="28" t="s">
        <v>805</v>
      </c>
      <c r="F24" s="23" t="n">
        <v>6121.205325</v>
      </c>
      <c r="G24" s="23" t="n">
        <v>7169.18058333333</v>
      </c>
      <c r="H24" s="23" t="n">
        <v>2800.813515</v>
      </c>
    </row>
    <row r="25" customFormat="false" ht="15" hidden="false" customHeight="false" outlineLevel="0" collapsed="false">
      <c r="A25" s="28" t="s">
        <v>322</v>
      </c>
      <c r="B25" s="23" t="n">
        <v>24</v>
      </c>
      <c r="C25" s="23" t="n">
        <v>16091.1994233333</v>
      </c>
      <c r="D25" s="19" t="n">
        <v>0.039495</v>
      </c>
      <c r="E25" s="28" t="s">
        <v>806</v>
      </c>
      <c r="F25" s="23" t="n">
        <v>6121.205325</v>
      </c>
      <c r="G25" s="23" t="n">
        <v>7169.18058333333</v>
      </c>
      <c r="H25" s="23" t="n">
        <v>2800.813515</v>
      </c>
    </row>
    <row r="26" customFormat="false" ht="15" hidden="false" customHeight="false" outlineLevel="0" collapsed="false">
      <c r="A26" s="28" t="s">
        <v>322</v>
      </c>
      <c r="B26" s="23" t="n">
        <v>25</v>
      </c>
      <c r="C26" s="23" t="n">
        <v>6450.75340266667</v>
      </c>
      <c r="D26" s="19" t="n">
        <v>0.037212</v>
      </c>
      <c r="E26" s="28" t="s">
        <v>807</v>
      </c>
      <c r="F26" s="23" t="n">
        <v>2326.0580235</v>
      </c>
      <c r="G26" s="23" t="n">
        <v>2724.28862166667</v>
      </c>
      <c r="H26" s="23" t="n">
        <v>1400.4067575</v>
      </c>
    </row>
    <row r="27" customFormat="false" ht="15" hidden="false" customHeight="false" outlineLevel="0" collapsed="false">
      <c r="A27" s="28" t="s">
        <v>322</v>
      </c>
      <c r="B27" s="23" t="n">
        <v>26</v>
      </c>
      <c r="C27" s="23" t="n">
        <v>6450.75340266667</v>
      </c>
      <c r="D27" s="19" t="n">
        <v>0.037212</v>
      </c>
      <c r="E27" s="28" t="s">
        <v>808</v>
      </c>
      <c r="F27" s="23" t="n">
        <v>2326.0580235</v>
      </c>
      <c r="G27" s="23" t="n">
        <v>2724.28862166667</v>
      </c>
      <c r="H27" s="23" t="n">
        <v>1400.4067575</v>
      </c>
    </row>
    <row r="28" customFormat="false" ht="15" hidden="false" customHeight="false" outlineLevel="0" collapsed="false">
      <c r="A28" s="28" t="s">
        <v>322</v>
      </c>
      <c r="B28" s="23" t="n">
        <v>27</v>
      </c>
      <c r="C28" s="23" t="n">
        <v>6450.75340266667</v>
      </c>
      <c r="D28" s="19" t="n">
        <v>0.037212</v>
      </c>
      <c r="E28" s="28" t="s">
        <v>809</v>
      </c>
      <c r="F28" s="23" t="n">
        <v>2326.0580235</v>
      </c>
      <c r="G28" s="23" t="n">
        <v>2724.28862166667</v>
      </c>
      <c r="H28" s="23" t="n">
        <v>1400.4067575</v>
      </c>
    </row>
    <row r="29" customFormat="false" ht="15" hidden="false" customHeight="false" outlineLevel="0" collapsed="false">
      <c r="A29" s="28" t="s">
        <v>322</v>
      </c>
      <c r="B29" s="23" t="n">
        <v>28</v>
      </c>
      <c r="C29" s="23" t="n">
        <v>6450.75340266667</v>
      </c>
      <c r="D29" s="19" t="n">
        <v>0.037212</v>
      </c>
      <c r="E29" s="28" t="s">
        <v>810</v>
      </c>
      <c r="F29" s="23" t="n">
        <v>2326.0580235</v>
      </c>
      <c r="G29" s="23" t="n">
        <v>2724.28862166667</v>
      </c>
      <c r="H29" s="23" t="n">
        <v>1400.4067575</v>
      </c>
    </row>
    <row r="30" customFormat="false" ht="15" hidden="false" customHeight="false" outlineLevel="0" collapsed="false">
      <c r="A30" s="28" t="s">
        <v>322</v>
      </c>
      <c r="B30" s="23" t="n">
        <v>29</v>
      </c>
      <c r="C30" s="23" t="n">
        <v>6450.75340266667</v>
      </c>
      <c r="D30" s="19" t="n">
        <v>0.037212</v>
      </c>
      <c r="E30" s="28" t="s">
        <v>811</v>
      </c>
      <c r="F30" s="23" t="n">
        <v>2326.0580235</v>
      </c>
      <c r="G30" s="23" t="n">
        <v>2724.28862166667</v>
      </c>
      <c r="H30" s="23" t="n">
        <v>1400.4067575</v>
      </c>
    </row>
    <row r="31" customFormat="false" ht="15" hidden="false" customHeight="false" outlineLevel="0" collapsed="false">
      <c r="A31" s="28" t="s">
        <v>322</v>
      </c>
      <c r="B31" s="23" t="n">
        <v>30</v>
      </c>
      <c r="C31" s="23" t="n">
        <v>6450.75340266667</v>
      </c>
      <c r="D31" s="19" t="n">
        <v>0.037212</v>
      </c>
      <c r="E31" s="28" t="s">
        <v>812</v>
      </c>
      <c r="F31" s="23" t="n">
        <v>2326.0580235</v>
      </c>
      <c r="G31" s="23" t="n">
        <v>2724.28862166667</v>
      </c>
      <c r="H31" s="23" t="n">
        <v>1400.4067575</v>
      </c>
    </row>
    <row r="32" customFormat="false" ht="15" hidden="false" customHeight="false" outlineLevel="0" collapsed="false">
      <c r="A32" s="28" t="s">
        <v>322</v>
      </c>
      <c r="B32" s="23" t="n">
        <v>31</v>
      </c>
      <c r="C32" s="23" t="n">
        <v>6450.75340266667</v>
      </c>
      <c r="D32" s="19" t="n">
        <v>0.037212</v>
      </c>
      <c r="E32" s="28" t="s">
        <v>813</v>
      </c>
      <c r="F32" s="23" t="n">
        <v>2326.0580235</v>
      </c>
      <c r="G32" s="23" t="n">
        <v>2724.28862166667</v>
      </c>
      <c r="H32" s="23" t="n">
        <v>1400.4067575</v>
      </c>
    </row>
    <row r="33" customFormat="false" ht="15" hidden="false" customHeight="false" outlineLevel="0" collapsed="false">
      <c r="A33" s="28" t="s">
        <v>322</v>
      </c>
      <c r="B33" s="23" t="n">
        <v>32</v>
      </c>
      <c r="C33" s="23" t="n">
        <v>6450.75340266667</v>
      </c>
      <c r="D33" s="19" t="n">
        <v>0.037212</v>
      </c>
      <c r="E33" s="28" t="s">
        <v>814</v>
      </c>
      <c r="F33" s="23" t="n">
        <v>2326.0580235</v>
      </c>
      <c r="G33" s="23" t="n">
        <v>2724.28862166667</v>
      </c>
      <c r="H33" s="23" t="n">
        <v>1400.4067575</v>
      </c>
    </row>
    <row r="34" customFormat="false" ht="15" hidden="false" customHeight="false" outlineLevel="0" collapsed="false">
      <c r="A34" s="28" t="s">
        <v>322</v>
      </c>
      <c r="B34" s="23" t="n">
        <v>33</v>
      </c>
      <c r="C34" s="23" t="n">
        <v>6450.75340266667</v>
      </c>
      <c r="D34" s="19" t="n">
        <v>0.037212</v>
      </c>
      <c r="E34" s="28" t="s">
        <v>815</v>
      </c>
      <c r="F34" s="23" t="n">
        <v>2326.0580235</v>
      </c>
      <c r="G34" s="23" t="n">
        <v>2724.28862166667</v>
      </c>
      <c r="H34" s="23" t="n">
        <v>1400.4067575</v>
      </c>
    </row>
    <row r="35" customFormat="false" ht="15" hidden="false" customHeight="false" outlineLevel="0" collapsed="false">
      <c r="A35" s="28" t="s">
        <v>322</v>
      </c>
      <c r="B35" s="23" t="n">
        <v>34</v>
      </c>
      <c r="C35" s="23" t="n">
        <v>6450.75340266667</v>
      </c>
      <c r="D35" s="19" t="n">
        <v>0.037212</v>
      </c>
      <c r="E35" s="28" t="s">
        <v>816</v>
      </c>
      <c r="F35" s="23" t="n">
        <v>2326.0580235</v>
      </c>
      <c r="G35" s="23" t="n">
        <v>2724.28862166667</v>
      </c>
      <c r="H35" s="23" t="n">
        <v>1400.4067575</v>
      </c>
    </row>
    <row r="36" customFormat="false" ht="15" hidden="false" customHeight="false" outlineLevel="0" collapsed="false">
      <c r="A36" s="28" t="s">
        <v>322</v>
      </c>
      <c r="B36" s="23" t="n">
        <v>35</v>
      </c>
      <c r="C36" s="23" t="n">
        <v>6450.75340266667</v>
      </c>
      <c r="D36" s="19" t="n">
        <v>0.037212</v>
      </c>
      <c r="E36" s="28" t="s">
        <v>817</v>
      </c>
      <c r="F36" s="23" t="n">
        <v>2326.0580235</v>
      </c>
      <c r="G36" s="23" t="n">
        <v>2724.28862166667</v>
      </c>
      <c r="H36" s="23" t="n">
        <v>1400.4067575</v>
      </c>
    </row>
    <row r="37" customFormat="false" ht="15" hidden="false" customHeight="false" outlineLevel="0" collapsed="false">
      <c r="A37" s="28" t="s">
        <v>322</v>
      </c>
      <c r="B37" s="23" t="n">
        <v>36</v>
      </c>
      <c r="C37" s="23" t="n">
        <v>6450.75340266667</v>
      </c>
      <c r="D37" s="19" t="n">
        <v>0.037212</v>
      </c>
      <c r="E37" s="28" t="s">
        <v>818</v>
      </c>
      <c r="F37" s="23" t="n">
        <v>2326.0580235</v>
      </c>
      <c r="G37" s="23" t="n">
        <v>2724.28862166667</v>
      </c>
      <c r="H37" s="23" t="n">
        <v>1400.4067575</v>
      </c>
    </row>
    <row r="38" customFormat="false" ht="15" hidden="false" customHeight="false" outlineLevel="0" collapsed="false">
      <c r="A38" s="28" t="s">
        <v>322</v>
      </c>
      <c r="B38" s="23" t="n">
        <v>37</v>
      </c>
      <c r="C38" s="23" t="n">
        <v>2327.45627966667</v>
      </c>
      <c r="D38" s="19" t="n">
        <v>0.034396</v>
      </c>
      <c r="E38" s="28" t="s">
        <v>819</v>
      </c>
      <c r="F38" s="23" t="n">
        <v>856.9687455</v>
      </c>
      <c r="G38" s="23" t="n">
        <v>1003.68528166667</v>
      </c>
      <c r="H38" s="23" t="n">
        <v>466.8022525</v>
      </c>
    </row>
    <row r="39" customFormat="false" ht="15" hidden="false" customHeight="false" outlineLevel="0" collapsed="false">
      <c r="A39" s="28" t="s">
        <v>322</v>
      </c>
      <c r="B39" s="23" t="n">
        <v>38</v>
      </c>
      <c r="C39" s="23" t="n">
        <v>2327.45627966667</v>
      </c>
      <c r="D39" s="19" t="n">
        <v>0.034396</v>
      </c>
      <c r="E39" s="28" t="s">
        <v>820</v>
      </c>
      <c r="F39" s="23" t="n">
        <v>856.9687455</v>
      </c>
      <c r="G39" s="23" t="n">
        <v>1003.68528166667</v>
      </c>
      <c r="H39" s="23" t="n">
        <v>466.8022525</v>
      </c>
    </row>
    <row r="40" customFormat="false" ht="15" hidden="false" customHeight="false" outlineLevel="0" collapsed="false">
      <c r="A40" s="28" t="s">
        <v>322</v>
      </c>
      <c r="B40" s="23" t="n">
        <v>39</v>
      </c>
      <c r="C40" s="23" t="n">
        <v>2327.45627966667</v>
      </c>
      <c r="D40" s="19" t="n">
        <v>0.034396</v>
      </c>
      <c r="E40" s="28" t="s">
        <v>821</v>
      </c>
      <c r="F40" s="23" t="n">
        <v>856.9687455</v>
      </c>
      <c r="G40" s="23" t="n">
        <v>1003.68528166667</v>
      </c>
      <c r="H40" s="23" t="n">
        <v>466.8022525</v>
      </c>
    </row>
    <row r="41" customFormat="false" ht="15" hidden="false" customHeight="false" outlineLevel="0" collapsed="false">
      <c r="A41" s="28" t="s">
        <v>322</v>
      </c>
      <c r="B41" s="23" t="n">
        <v>40</v>
      </c>
      <c r="C41" s="23" t="n">
        <v>2327.45627966667</v>
      </c>
      <c r="D41" s="19" t="n">
        <v>0.034396</v>
      </c>
      <c r="E41" s="28" t="s">
        <v>822</v>
      </c>
      <c r="F41" s="23" t="n">
        <v>856.9687455</v>
      </c>
      <c r="G41" s="23" t="n">
        <v>1003.68528166667</v>
      </c>
      <c r="H41" s="23" t="n">
        <v>466.8022525</v>
      </c>
    </row>
    <row r="42" customFormat="false" ht="15" hidden="false" customHeight="false" outlineLevel="0" collapsed="false">
      <c r="A42" s="28" t="s">
        <v>322</v>
      </c>
      <c r="B42" s="23" t="n">
        <v>41</v>
      </c>
      <c r="C42" s="23" t="n">
        <v>2327.45627966667</v>
      </c>
      <c r="D42" s="19" t="n">
        <v>0.034396</v>
      </c>
      <c r="E42" s="28" t="s">
        <v>823</v>
      </c>
      <c r="F42" s="23" t="n">
        <v>856.9687455</v>
      </c>
      <c r="G42" s="23" t="n">
        <v>1003.68528166667</v>
      </c>
      <c r="H42" s="23" t="n">
        <v>466.8022525</v>
      </c>
    </row>
    <row r="43" customFormat="false" ht="15" hidden="false" customHeight="false" outlineLevel="0" collapsed="false">
      <c r="A43" s="28" t="s">
        <v>322</v>
      </c>
      <c r="B43" s="23" t="n">
        <v>42</v>
      </c>
      <c r="C43" s="23" t="n">
        <v>2327.45627966667</v>
      </c>
      <c r="D43" s="19" t="n">
        <v>0.034396</v>
      </c>
      <c r="E43" s="28" t="s">
        <v>824</v>
      </c>
      <c r="F43" s="23" t="n">
        <v>856.9687455</v>
      </c>
      <c r="G43" s="23" t="n">
        <v>1003.68528166667</v>
      </c>
      <c r="H43" s="23" t="n">
        <v>466.8022525</v>
      </c>
    </row>
    <row r="44" customFormat="false" ht="15" hidden="false" customHeight="false" outlineLevel="0" collapsed="false">
      <c r="A44" s="28" t="s">
        <v>322</v>
      </c>
      <c r="B44" s="23" t="n">
        <v>43</v>
      </c>
      <c r="C44" s="23" t="n">
        <v>2327.45627966667</v>
      </c>
      <c r="D44" s="19" t="n">
        <v>0.034396</v>
      </c>
      <c r="E44" s="28" t="s">
        <v>825</v>
      </c>
      <c r="F44" s="23" t="n">
        <v>856.9687455</v>
      </c>
      <c r="G44" s="23" t="n">
        <v>1003.68528166667</v>
      </c>
      <c r="H44" s="23" t="n">
        <v>466.8022525</v>
      </c>
    </row>
    <row r="45" customFormat="false" ht="15" hidden="false" customHeight="false" outlineLevel="0" collapsed="false">
      <c r="A45" s="28" t="s">
        <v>322</v>
      </c>
      <c r="B45" s="23" t="n">
        <v>44</v>
      </c>
      <c r="C45" s="23" t="n">
        <v>2327.45627966667</v>
      </c>
      <c r="D45" s="19" t="n">
        <v>0.034396</v>
      </c>
      <c r="E45" s="28" t="s">
        <v>826</v>
      </c>
      <c r="F45" s="23" t="n">
        <v>856.9687455</v>
      </c>
      <c r="G45" s="23" t="n">
        <v>1003.68528166667</v>
      </c>
      <c r="H45" s="23" t="n">
        <v>466.8022525</v>
      </c>
    </row>
    <row r="46" customFormat="false" ht="15" hidden="false" customHeight="false" outlineLevel="0" collapsed="false">
      <c r="A46" s="28" t="s">
        <v>322</v>
      </c>
      <c r="B46" s="23" t="n">
        <v>45</v>
      </c>
      <c r="C46" s="23" t="n">
        <v>2327.45627966667</v>
      </c>
      <c r="D46" s="19" t="n">
        <v>0.034396</v>
      </c>
      <c r="E46" s="28" t="s">
        <v>827</v>
      </c>
      <c r="F46" s="23" t="n">
        <v>856.9687455</v>
      </c>
      <c r="G46" s="23" t="n">
        <v>1003.68528166667</v>
      </c>
      <c r="H46" s="23" t="n">
        <v>466.8022525</v>
      </c>
    </row>
    <row r="47" customFormat="false" ht="15" hidden="false" customHeight="false" outlineLevel="0" collapsed="false">
      <c r="A47" s="28" t="s">
        <v>322</v>
      </c>
      <c r="B47" s="23" t="n">
        <v>46</v>
      </c>
      <c r="C47" s="23" t="n">
        <v>2327.45627966667</v>
      </c>
      <c r="D47" s="19" t="n">
        <v>0.034396</v>
      </c>
      <c r="E47" s="28" t="s">
        <v>828</v>
      </c>
      <c r="F47" s="23" t="n">
        <v>856.9687455</v>
      </c>
      <c r="G47" s="23" t="n">
        <v>1003.68528166667</v>
      </c>
      <c r="H47" s="23" t="n">
        <v>466.8022525</v>
      </c>
    </row>
    <row r="48" customFormat="false" ht="15" hidden="false" customHeight="false" outlineLevel="0" collapsed="false">
      <c r="A48" s="28" t="s">
        <v>322</v>
      </c>
      <c r="B48" s="23" t="n">
        <v>47</v>
      </c>
      <c r="C48" s="23" t="n">
        <v>2327.45627966667</v>
      </c>
      <c r="D48" s="19" t="n">
        <v>0.034396</v>
      </c>
      <c r="E48" s="28" t="s">
        <v>829</v>
      </c>
      <c r="F48" s="23" t="n">
        <v>856.9687455</v>
      </c>
      <c r="G48" s="23" t="n">
        <v>1003.68528166667</v>
      </c>
      <c r="H48" s="23" t="n">
        <v>466.8022525</v>
      </c>
    </row>
    <row r="49" customFormat="false" ht="15" hidden="false" customHeight="false" outlineLevel="0" collapsed="false">
      <c r="A49" s="28" t="s">
        <v>322</v>
      </c>
      <c r="B49" s="23" t="n">
        <v>48</v>
      </c>
      <c r="C49" s="23" t="n">
        <v>2327.45627966667</v>
      </c>
      <c r="D49" s="19" t="n">
        <v>0.034396</v>
      </c>
      <c r="E49" s="28" t="s">
        <v>830</v>
      </c>
      <c r="F49" s="23" t="n">
        <v>856.9687455</v>
      </c>
      <c r="G49" s="23" t="n">
        <v>1003.68528166667</v>
      </c>
      <c r="H49" s="23" t="n">
        <v>466.8022525</v>
      </c>
    </row>
    <row r="50" customFormat="false" ht="15" hidden="false" customHeight="false" outlineLevel="0" collapsed="false">
      <c r="A50" s="28" t="s">
        <v>322</v>
      </c>
      <c r="B50" s="23" t="n">
        <v>49</v>
      </c>
      <c r="C50" s="23" t="n">
        <v>2327.45627966667</v>
      </c>
      <c r="D50" s="19" t="n">
        <v>0.034396</v>
      </c>
      <c r="E50" s="28" t="s">
        <v>831</v>
      </c>
      <c r="F50" s="23" t="n">
        <v>856.9687455</v>
      </c>
      <c r="G50" s="23" t="n">
        <v>1003.68528166667</v>
      </c>
      <c r="H50" s="23" t="n">
        <v>466.8022525</v>
      </c>
    </row>
    <row r="51" customFormat="false" ht="15" hidden="false" customHeight="false" outlineLevel="0" collapsed="false">
      <c r="A51" s="28" t="s">
        <v>322</v>
      </c>
      <c r="B51" s="23" t="n">
        <v>50</v>
      </c>
      <c r="C51" s="23" t="n">
        <v>2327.45627966667</v>
      </c>
      <c r="D51" s="19" t="n">
        <v>0.034396</v>
      </c>
      <c r="E51" s="28" t="s">
        <v>832</v>
      </c>
      <c r="F51" s="23" t="n">
        <v>856.9687455</v>
      </c>
      <c r="G51" s="23" t="n">
        <v>1003.68528166667</v>
      </c>
      <c r="H51" s="23" t="n">
        <v>466.8022525</v>
      </c>
    </row>
    <row r="52" customFormat="false" ht="15" hidden="false" customHeight="false" outlineLevel="0" collapsed="false">
      <c r="A52" s="28" t="s">
        <v>322</v>
      </c>
      <c r="B52" s="23" t="n">
        <v>51</v>
      </c>
      <c r="C52" s="23" t="n">
        <v>2327.45627966667</v>
      </c>
      <c r="D52" s="19" t="n">
        <v>0.034396</v>
      </c>
      <c r="E52" s="28" t="s">
        <v>833</v>
      </c>
      <c r="F52" s="23" t="n">
        <v>856.9687455</v>
      </c>
      <c r="G52" s="23" t="n">
        <v>1003.68528166667</v>
      </c>
      <c r="H52" s="23" t="n">
        <v>466.8022525</v>
      </c>
    </row>
    <row r="53" customFormat="false" ht="15" hidden="false" customHeight="false" outlineLevel="0" collapsed="false">
      <c r="A53" s="28" t="s">
        <v>322</v>
      </c>
      <c r="B53" s="23" t="n">
        <v>52</v>
      </c>
      <c r="C53" s="23" t="n">
        <v>2327.45627966667</v>
      </c>
      <c r="D53" s="19" t="n">
        <v>0.034396</v>
      </c>
      <c r="E53" s="28" t="s">
        <v>834</v>
      </c>
      <c r="F53" s="23" t="n">
        <v>856.9687455</v>
      </c>
      <c r="G53" s="23" t="n">
        <v>1003.68528166667</v>
      </c>
      <c r="H53" s="23" t="n">
        <v>466.8022525</v>
      </c>
    </row>
    <row r="54" customFormat="false" ht="15" hidden="false" customHeight="false" outlineLevel="0" collapsed="false">
      <c r="A54" s="28" t="s">
        <v>322</v>
      </c>
      <c r="B54" s="23" t="n">
        <v>53</v>
      </c>
      <c r="C54" s="23" t="n">
        <v>2327.45627966667</v>
      </c>
      <c r="D54" s="19" t="n">
        <v>0.034396</v>
      </c>
      <c r="E54" s="28" t="s">
        <v>835</v>
      </c>
      <c r="F54" s="23" t="n">
        <v>856.9687455</v>
      </c>
      <c r="G54" s="23" t="n">
        <v>1003.68528166667</v>
      </c>
      <c r="H54" s="23" t="n">
        <v>466.8022525</v>
      </c>
    </row>
    <row r="55" customFormat="false" ht="15" hidden="false" customHeight="false" outlineLevel="0" collapsed="false">
      <c r="A55" s="28" t="s">
        <v>322</v>
      </c>
      <c r="B55" s="23" t="n">
        <v>54</v>
      </c>
      <c r="C55" s="23" t="n">
        <v>2327.45627966667</v>
      </c>
      <c r="D55" s="19" t="n">
        <v>0.034396</v>
      </c>
      <c r="E55" s="28" t="s">
        <v>836</v>
      </c>
      <c r="F55" s="23" t="n">
        <v>856.9687455</v>
      </c>
      <c r="G55" s="23" t="n">
        <v>1003.68528166667</v>
      </c>
      <c r="H55" s="23" t="n">
        <v>466.8022525</v>
      </c>
    </row>
    <row r="56" customFormat="false" ht="15" hidden="false" customHeight="false" outlineLevel="0" collapsed="false">
      <c r="A56" s="28" t="s">
        <v>322</v>
      </c>
      <c r="B56" s="23" t="n">
        <v>55</v>
      </c>
      <c r="C56" s="23" t="n">
        <v>2327.45627966667</v>
      </c>
      <c r="D56" s="19" t="n">
        <v>0.034396</v>
      </c>
      <c r="E56" s="28" t="s">
        <v>837</v>
      </c>
      <c r="F56" s="23" t="n">
        <v>856.9687455</v>
      </c>
      <c r="G56" s="23" t="n">
        <v>1003.68528166667</v>
      </c>
      <c r="H56" s="23" t="n">
        <v>466.8022525</v>
      </c>
    </row>
    <row r="57" customFormat="false" ht="15" hidden="false" customHeight="false" outlineLevel="0" collapsed="false">
      <c r="A57" s="28" t="s">
        <v>322</v>
      </c>
      <c r="B57" s="23" t="n">
        <v>56</v>
      </c>
      <c r="C57" s="23" t="n">
        <v>2327.45627966667</v>
      </c>
      <c r="D57" s="19" t="n">
        <v>0.034396</v>
      </c>
      <c r="E57" s="28" t="s">
        <v>838</v>
      </c>
      <c r="F57" s="23" t="n">
        <v>856.9687455</v>
      </c>
      <c r="G57" s="23" t="n">
        <v>1003.68528166667</v>
      </c>
      <c r="H57" s="23" t="n">
        <v>466.8022525</v>
      </c>
    </row>
    <row r="58" customFormat="false" ht="15" hidden="false" customHeight="false" outlineLevel="0" collapsed="false">
      <c r="A58" s="28" t="s">
        <v>322</v>
      </c>
      <c r="B58" s="23" t="n">
        <v>57</v>
      </c>
      <c r="C58" s="23" t="n">
        <v>2327.45627966667</v>
      </c>
      <c r="D58" s="19" t="n">
        <v>0.034396</v>
      </c>
      <c r="E58" s="28" t="s">
        <v>839</v>
      </c>
      <c r="F58" s="23" t="n">
        <v>856.9687455</v>
      </c>
      <c r="G58" s="23" t="n">
        <v>1003.68528166667</v>
      </c>
      <c r="H58" s="23" t="n">
        <v>466.8022525</v>
      </c>
    </row>
    <row r="59" customFormat="false" ht="15" hidden="false" customHeight="false" outlineLevel="0" collapsed="false">
      <c r="A59" s="28" t="s">
        <v>322</v>
      </c>
      <c r="B59" s="23" t="n">
        <v>58</v>
      </c>
      <c r="C59" s="23" t="n">
        <v>2327.45627966667</v>
      </c>
      <c r="D59" s="19" t="n">
        <v>0.034396</v>
      </c>
      <c r="E59" s="28" t="s">
        <v>840</v>
      </c>
      <c r="F59" s="23" t="n">
        <v>856.9687455</v>
      </c>
      <c r="G59" s="23" t="n">
        <v>1003.68528166667</v>
      </c>
      <c r="H59" s="23" t="n">
        <v>466.8022525</v>
      </c>
    </row>
    <row r="60" customFormat="false" ht="15" hidden="false" customHeight="false" outlineLevel="0" collapsed="false">
      <c r="A60" s="28" t="s">
        <v>322</v>
      </c>
      <c r="B60" s="23" t="n">
        <v>59</v>
      </c>
      <c r="C60" s="23" t="n">
        <v>2327.45627966667</v>
      </c>
      <c r="D60" s="19" t="n">
        <v>0.034396</v>
      </c>
      <c r="E60" s="28" t="s">
        <v>841</v>
      </c>
      <c r="F60" s="23" t="n">
        <v>856.9687455</v>
      </c>
      <c r="G60" s="23" t="n">
        <v>1003.68528166667</v>
      </c>
      <c r="H60" s="23" t="n">
        <v>466.8022525</v>
      </c>
    </row>
    <row r="61" customFormat="false" ht="15" hidden="false" customHeight="false" outlineLevel="0" collapsed="false">
      <c r="A61" s="28" t="s">
        <v>322</v>
      </c>
      <c r="B61" s="23" t="n">
        <v>60</v>
      </c>
      <c r="C61" s="23" t="n">
        <v>2327.45627966667</v>
      </c>
      <c r="D61" s="19" t="n">
        <v>0.034396</v>
      </c>
      <c r="E61" s="28" t="s">
        <v>842</v>
      </c>
      <c r="F61" s="23" t="n">
        <v>856.9687455</v>
      </c>
      <c r="G61" s="23" t="n">
        <v>1003.68528166667</v>
      </c>
      <c r="H61" s="23" t="n">
        <v>466.8022525</v>
      </c>
    </row>
  </sheetData>
  <autoFilter ref="A1:H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5" min="4" style="0" width="20"/>
    <col collapsed="false" customWidth="true" hidden="false" outlineLevel="0" max="6" min="6" style="0" width="10"/>
    <col collapsed="false" customWidth="true" hidden="false" outlineLevel="0" max="7" min="7" style="0" width="14"/>
    <col collapsed="false" customWidth="true" hidden="false" outlineLevel="0" max="8" min="8" style="0" width="15"/>
    <col collapsed="false" customWidth="true" hidden="false" outlineLevel="0" max="9" min="9" style="0" width="11"/>
    <col collapsed="false" customWidth="true" hidden="false" outlineLevel="0" max="10" min="10" style="0" width="14"/>
    <col collapsed="false" customWidth="true" hidden="false" outlineLevel="0" max="11" min="11" style="0" width="80"/>
    <col collapsed="false" customWidth="true" hidden="false" outlineLevel="0" max="12" min="12" style="0" width="12"/>
    <col collapsed="false" customWidth="true" hidden="false" outlineLevel="0" max="13" min="13" style="0" width="80"/>
    <col collapsed="false" customWidth="true" hidden="false" outlineLevel="0" max="14" min="14" style="0" width="22"/>
    <col collapsed="false" customWidth="true" hidden="false" outlineLevel="0" max="15" min="15" style="0" width="14"/>
  </cols>
  <sheetData>
    <row r="1" customFormat="false" ht="30" hidden="false" customHeight="true" outlineLevel="0" collapsed="false">
      <c r="A1" s="27" t="s">
        <v>430</v>
      </c>
      <c r="B1" s="27" t="s">
        <v>843</v>
      </c>
      <c r="C1" s="27" t="s">
        <v>844</v>
      </c>
      <c r="D1" s="27" t="s">
        <v>845</v>
      </c>
      <c r="E1" s="27" t="s">
        <v>137</v>
      </c>
      <c r="F1" s="27" t="s">
        <v>715</v>
      </c>
      <c r="G1" s="27" t="s">
        <v>440</v>
      </c>
      <c r="H1" s="27" t="s">
        <v>441</v>
      </c>
      <c r="I1" s="27" t="s">
        <v>439</v>
      </c>
      <c r="J1" s="27" t="s">
        <v>846</v>
      </c>
      <c r="K1" s="27" t="s">
        <v>237</v>
      </c>
      <c r="L1" s="27" t="s">
        <v>442</v>
      </c>
      <c r="M1" s="27" t="s">
        <v>443</v>
      </c>
      <c r="N1" s="27" t="s">
        <v>847</v>
      </c>
      <c r="O1" s="27" t="s">
        <v>736</v>
      </c>
    </row>
    <row r="2" customFormat="false" ht="15" hidden="false" customHeight="false" outlineLevel="0" collapsed="false">
      <c r="A2" s="28" t="s">
        <v>322</v>
      </c>
      <c r="B2" s="28" t="s">
        <v>848</v>
      </c>
      <c r="C2" s="28" t="s">
        <v>223</v>
      </c>
      <c r="D2" s="23" t="n">
        <v>24065.482</v>
      </c>
      <c r="E2" s="23" t="n">
        <v>24065.482</v>
      </c>
      <c r="G2" s="31" t="n">
        <v>0</v>
      </c>
      <c r="H2" s="31" t="n">
        <v>0</v>
      </c>
      <c r="J2" s="23" t="n">
        <v>0</v>
      </c>
      <c r="K2" s="28" t="s">
        <v>514</v>
      </c>
      <c r="L2" s="28" t="s">
        <v>497</v>
      </c>
      <c r="M2" s="28" t="s">
        <v>510</v>
      </c>
      <c r="N2" s="15" t="n">
        <f aca="false">E2-D2</f>
        <v>0</v>
      </c>
      <c r="O2" s="15" t="n">
        <f aca="false">COUNTIFS($A$2:$A$100,A2,$B$2:$B$100,B2,$C$2:$C$100,C2)</f>
        <v>1</v>
      </c>
    </row>
    <row r="3" customFormat="false" ht="15" hidden="false" customHeight="false" outlineLevel="0" collapsed="false">
      <c r="A3" s="28" t="s">
        <v>322</v>
      </c>
      <c r="B3" s="28" t="s">
        <v>849</v>
      </c>
      <c r="C3" s="28" t="s">
        <v>850</v>
      </c>
      <c r="D3" s="23" t="n">
        <v>150000</v>
      </c>
      <c r="E3" s="23" t="n">
        <v>150051.434903246</v>
      </c>
      <c r="F3" s="19" t="n">
        <v>0.0408</v>
      </c>
      <c r="G3" s="31" t="n">
        <v>1.9386</v>
      </c>
      <c r="H3" s="31" t="n">
        <v>5.9199</v>
      </c>
      <c r="I3" s="31" t="n">
        <v>2.083</v>
      </c>
      <c r="J3" s="23" t="n">
        <v>0</v>
      </c>
      <c r="K3" s="28" t="s">
        <v>538</v>
      </c>
      <c r="L3" s="28" t="s">
        <v>493</v>
      </c>
      <c r="M3" s="28" t="s">
        <v>851</v>
      </c>
      <c r="N3" s="15" t="n">
        <f aca="false">E3-D3</f>
        <v>51.4349032460887</v>
      </c>
      <c r="O3" s="15" t="n">
        <f aca="false">COUNTIFS($A$2:$A$100,A3,$B$2:$B$100,B3,$C$2:$C$100,C3)</f>
        <v>1</v>
      </c>
    </row>
    <row r="4" customFormat="false" ht="15" hidden="false" customHeight="false" outlineLevel="0" collapsed="false">
      <c r="A4" s="28" t="s">
        <v>322</v>
      </c>
      <c r="B4" s="28" t="s">
        <v>852</v>
      </c>
      <c r="C4" s="28" t="s">
        <v>850</v>
      </c>
      <c r="D4" s="23" t="n">
        <v>400000</v>
      </c>
      <c r="E4" s="23" t="n">
        <v>367549.241673984</v>
      </c>
      <c r="F4" s="19" t="n">
        <v>0.011375</v>
      </c>
      <c r="G4" s="31" t="n">
        <v>2.8165</v>
      </c>
      <c r="H4" s="31" t="n">
        <v>11.3748</v>
      </c>
      <c r="I4" s="31" t="n">
        <v>3</v>
      </c>
      <c r="J4" s="23" t="n">
        <v>0</v>
      </c>
      <c r="K4" s="28" t="s">
        <v>540</v>
      </c>
      <c r="L4" s="28" t="s">
        <v>493</v>
      </c>
      <c r="M4" s="28" t="s">
        <v>851</v>
      </c>
      <c r="N4" s="15" t="n">
        <f aca="false">E4-D4</f>
        <v>-32450.7583260156</v>
      </c>
      <c r="O4" s="15" t="n">
        <f aca="false">COUNTIFS($A$2:$A$100,A4,$B$2:$B$100,B4,$C$2:$C$100,C4)</f>
        <v>1</v>
      </c>
    </row>
    <row r="5" customFormat="false" ht="15" hidden="false" customHeight="false" outlineLevel="0" collapsed="false">
      <c r="A5" s="28" t="s">
        <v>322</v>
      </c>
      <c r="B5" s="28" t="s">
        <v>853</v>
      </c>
      <c r="C5" s="28" t="s">
        <v>850</v>
      </c>
      <c r="D5" s="23" t="n">
        <v>1000000</v>
      </c>
      <c r="E5" s="23" t="n">
        <v>853908.473162874</v>
      </c>
      <c r="F5" s="19" t="n">
        <v>0.02975</v>
      </c>
      <c r="G5" s="31" t="n">
        <v>6.956</v>
      </c>
      <c r="H5" s="31" t="n">
        <v>57.4124</v>
      </c>
      <c r="I5" s="31" t="n">
        <v>9.584</v>
      </c>
      <c r="J5" s="23" t="n">
        <v>0</v>
      </c>
      <c r="K5" s="28" t="s">
        <v>854</v>
      </c>
      <c r="L5" s="28" t="s">
        <v>493</v>
      </c>
      <c r="M5" s="28" t="s">
        <v>851</v>
      </c>
      <c r="N5" s="15" t="n">
        <f aca="false">E5-D5</f>
        <v>-146091.526837126</v>
      </c>
      <c r="O5" s="15" t="n">
        <f aca="false">COUNTIFS($A$2:$A$100,A5,$B$2:$B$100,B5,$C$2:$C$100,C5)</f>
        <v>1</v>
      </c>
    </row>
    <row r="6" customFormat="false" ht="15" hidden="false" customHeight="false" outlineLevel="0" collapsed="false">
      <c r="A6" s="28" t="s">
        <v>322</v>
      </c>
      <c r="B6" s="28" t="s">
        <v>855</v>
      </c>
      <c r="C6" s="28" t="s">
        <v>850</v>
      </c>
      <c r="D6" s="23" t="n">
        <v>400000</v>
      </c>
      <c r="E6" s="23" t="n">
        <v>352414.480607701</v>
      </c>
      <c r="F6" s="19" t="n">
        <v>0.025</v>
      </c>
      <c r="G6" s="31" t="n">
        <v>5.0754</v>
      </c>
      <c r="H6" s="31" t="n">
        <v>76.4512</v>
      </c>
      <c r="I6" s="31" t="n">
        <v>6.085</v>
      </c>
      <c r="J6" s="23" t="n">
        <v>0</v>
      </c>
      <c r="K6" s="28" t="s">
        <v>546</v>
      </c>
      <c r="L6" s="28" t="s">
        <v>493</v>
      </c>
      <c r="M6" s="28" t="s">
        <v>851</v>
      </c>
      <c r="N6" s="15" t="n">
        <f aca="false">E6-D6</f>
        <v>-47585.5193922992</v>
      </c>
      <c r="O6" s="15" t="n">
        <f aca="false">COUNTIFS($A$2:$A$100,A6,$B$2:$B$100,B6,$C$2:$C$100,C6)</f>
        <v>1</v>
      </c>
    </row>
    <row r="7" customFormat="false" ht="15" hidden="false" customHeight="false" outlineLevel="0" collapsed="false">
      <c r="A7" s="28" t="s">
        <v>322</v>
      </c>
      <c r="B7" s="28" t="s">
        <v>856</v>
      </c>
      <c r="C7" s="28" t="s">
        <v>850</v>
      </c>
      <c r="D7" s="23" t="n">
        <v>164880.483</v>
      </c>
      <c r="E7" s="23" t="n">
        <v>136497.166545512</v>
      </c>
      <c r="F7" s="19" t="n">
        <v>0.020015</v>
      </c>
      <c r="G7" s="31" t="n">
        <v>6.4141</v>
      </c>
      <c r="H7" s="31" t="n">
        <v>48.2931</v>
      </c>
      <c r="I7" s="31" t="n">
        <v>7.151</v>
      </c>
      <c r="J7" s="23" t="n">
        <v>0</v>
      </c>
      <c r="K7" s="28" t="s">
        <v>548</v>
      </c>
      <c r="L7" s="28" t="s">
        <v>493</v>
      </c>
      <c r="M7" s="28" t="s">
        <v>851</v>
      </c>
      <c r="N7" s="15" t="n">
        <f aca="false">E7-D7</f>
        <v>-28383.3164544877</v>
      </c>
      <c r="O7" s="15" t="n">
        <f aca="false">COUNTIFS($A$2:$A$100,A7,$B$2:$B$100,B7,$C$2:$C$100,C7)</f>
        <v>1</v>
      </c>
    </row>
    <row r="8" customFormat="false" ht="15" hidden="false" customHeight="false" outlineLevel="0" collapsed="false">
      <c r="A8" s="28" t="s">
        <v>322</v>
      </c>
      <c r="B8" s="28" t="s">
        <v>848</v>
      </c>
      <c r="C8" s="28" t="s">
        <v>850</v>
      </c>
      <c r="D8" s="23" t="n">
        <v>100000</v>
      </c>
      <c r="E8" s="23" t="n">
        <v>97853.5160956092</v>
      </c>
      <c r="F8" s="19" t="n">
        <v>0.0425</v>
      </c>
      <c r="G8" s="31" t="n">
        <v>-0.1097</v>
      </c>
      <c r="H8" s="31" t="n">
        <v>1.334</v>
      </c>
      <c r="I8" s="31" t="n">
        <v>4.71</v>
      </c>
      <c r="J8" s="23" t="n">
        <v>0</v>
      </c>
      <c r="K8" s="28" t="s">
        <v>550</v>
      </c>
      <c r="L8" s="28" t="s">
        <v>493</v>
      </c>
      <c r="M8" s="28" t="s">
        <v>851</v>
      </c>
      <c r="N8" s="15" t="n">
        <f aca="false">E8-D8</f>
        <v>-2146.48390439084</v>
      </c>
      <c r="O8" s="15" t="n">
        <f aca="false">COUNTIFS($A$2:$A$100,A8,$B$2:$B$100,B8,$C$2:$C$100,C8)</f>
        <v>1</v>
      </c>
    </row>
    <row r="9" customFormat="false" ht="15" hidden="false" customHeight="false" outlineLevel="0" collapsed="false">
      <c r="A9" s="28" t="s">
        <v>322</v>
      </c>
      <c r="B9" s="28" t="s">
        <v>853</v>
      </c>
      <c r="C9" s="28" t="s">
        <v>857</v>
      </c>
      <c r="D9" s="23" t="n">
        <v>1000000</v>
      </c>
      <c r="E9" s="23" t="n">
        <v>863099.226916919</v>
      </c>
      <c r="F9" s="19" t="n">
        <v>0.0205</v>
      </c>
      <c r="G9" s="31" t="n">
        <v>4.993</v>
      </c>
      <c r="H9" s="31" t="n">
        <v>40.687</v>
      </c>
      <c r="I9" s="31" t="n">
        <v>6.029</v>
      </c>
      <c r="J9" s="23" t="n">
        <v>0</v>
      </c>
      <c r="K9" s="28" t="s">
        <v>858</v>
      </c>
      <c r="L9" s="28" t="s">
        <v>493</v>
      </c>
      <c r="M9" s="28" t="s">
        <v>859</v>
      </c>
      <c r="N9" s="15" t="n">
        <f aca="false">E9-D9</f>
        <v>-136900.773083081</v>
      </c>
      <c r="O9" s="15" t="n">
        <f aca="false">COUNTIFS($A$2:$A$100,A9,$B$2:$B$100,B9,$C$2:$C$100,C9)</f>
        <v>1</v>
      </c>
    </row>
    <row r="10" customFormat="false" ht="15" hidden="false" customHeight="false" outlineLevel="0" collapsed="false">
      <c r="A10" s="28" t="s">
        <v>322</v>
      </c>
      <c r="B10" s="28" t="s">
        <v>856</v>
      </c>
      <c r="C10" s="28" t="s">
        <v>857</v>
      </c>
      <c r="D10" s="23" t="n">
        <v>200000</v>
      </c>
      <c r="E10" s="23" t="n">
        <v>169099.283745517</v>
      </c>
      <c r="F10" s="19" t="n">
        <v>0.026</v>
      </c>
      <c r="G10" s="31" t="n">
        <v>7.0554</v>
      </c>
      <c r="H10" s="31" t="n">
        <v>58.784</v>
      </c>
      <c r="I10" s="31" t="n">
        <v>8.125</v>
      </c>
      <c r="J10" s="23" t="n">
        <v>0</v>
      </c>
      <c r="K10" s="28" t="s">
        <v>557</v>
      </c>
      <c r="L10" s="28" t="s">
        <v>493</v>
      </c>
      <c r="M10" s="28" t="s">
        <v>859</v>
      </c>
      <c r="N10" s="15" t="n">
        <f aca="false">E10-D10</f>
        <v>-30900.7162544827</v>
      </c>
      <c r="O10" s="15" t="n">
        <f aca="false">COUNTIFS($A$2:$A$100,A10,$B$2:$B$100,B10,$C$2:$C$100,C10)</f>
        <v>1</v>
      </c>
    </row>
    <row r="11" customFormat="false" ht="15" hidden="false" customHeight="false" outlineLevel="0" collapsed="false">
      <c r="A11" s="28" t="s">
        <v>322</v>
      </c>
      <c r="B11" s="28" t="s">
        <v>852</v>
      </c>
      <c r="C11" s="28" t="s">
        <v>857</v>
      </c>
      <c r="D11" s="23" t="n">
        <v>148403.71</v>
      </c>
      <c r="E11" s="23" t="n">
        <v>150178.331180842</v>
      </c>
      <c r="F11" s="19" t="n">
        <v>0.046</v>
      </c>
      <c r="G11" s="31" t="n">
        <v>2.7542</v>
      </c>
      <c r="H11" s="31" t="n">
        <v>9.2631</v>
      </c>
      <c r="I11" s="31" t="n">
        <v>3</v>
      </c>
      <c r="J11" s="23" t="n">
        <v>0</v>
      </c>
      <c r="K11" s="28" t="s">
        <v>559</v>
      </c>
      <c r="L11" s="28" t="s">
        <v>493</v>
      </c>
      <c r="M11" s="28" t="s">
        <v>859</v>
      </c>
      <c r="N11" s="15" t="n">
        <f aca="false">E11-D11</f>
        <v>1774.62118084219</v>
      </c>
      <c r="O11" s="15" t="n">
        <f aca="false">COUNTIFS($A$2:$A$100,A11,$B$2:$B$100,B11,$C$2:$C$100,C11)</f>
        <v>1</v>
      </c>
    </row>
  </sheetData>
  <autoFilter ref="A1:O1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S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60"/>
    <col collapsed="false" customWidth="true" hidden="false" outlineLevel="0" max="4" min="4" style="0" width="12"/>
    <col collapsed="false" customWidth="true" hidden="false" outlineLevel="0" max="5" min="5" style="0" width="16"/>
    <col collapsed="false" customWidth="true" hidden="false" outlineLevel="0" max="7" min="6" style="0" width="20"/>
    <col collapsed="false" customWidth="true" hidden="false" outlineLevel="0" max="8" min="8" style="0" width="10"/>
    <col collapsed="false" customWidth="true" hidden="false" outlineLevel="0" max="9" min="9" style="0" width="12"/>
    <col collapsed="false" customWidth="true" hidden="false" outlineLevel="0" max="10" min="10" style="0" width="14"/>
    <col collapsed="false" customWidth="true" hidden="false" outlineLevel="0" max="11" min="11" style="0" width="15"/>
    <col collapsed="false" customWidth="true" hidden="false" outlineLevel="0" max="12" min="12" style="0" width="11"/>
    <col collapsed="false" customWidth="true" hidden="false" outlineLevel="0" max="13" min="13" style="0" width="10"/>
    <col collapsed="false" customWidth="true" hidden="false" outlineLevel="0" max="14" min="14" style="0" width="13"/>
    <col collapsed="false" customWidth="true" hidden="false" outlineLevel="0" max="17" min="15" style="0" width="20"/>
    <col collapsed="false" customWidth="true" hidden="false" outlineLevel="0" max="18" min="18" style="0" width="12"/>
    <col collapsed="false" customWidth="true" hidden="false" outlineLevel="0" max="19" min="19" style="0" width="56"/>
  </cols>
  <sheetData>
    <row r="1" customFormat="false" ht="30" hidden="false" customHeight="true" outlineLevel="0" collapsed="false">
      <c r="A1" s="27" t="s">
        <v>430</v>
      </c>
      <c r="B1" s="27" t="s">
        <v>860</v>
      </c>
      <c r="C1" s="27" t="s">
        <v>237</v>
      </c>
      <c r="D1" s="27" t="s">
        <v>843</v>
      </c>
      <c r="E1" s="27" t="s">
        <v>844</v>
      </c>
      <c r="F1" s="27" t="s">
        <v>845</v>
      </c>
      <c r="G1" s="27" t="s">
        <v>137</v>
      </c>
      <c r="H1" s="27" t="s">
        <v>861</v>
      </c>
      <c r="I1" s="27" t="s">
        <v>862</v>
      </c>
      <c r="J1" s="27" t="s">
        <v>440</v>
      </c>
      <c r="K1" s="27" t="s">
        <v>441</v>
      </c>
      <c r="L1" s="27" t="s">
        <v>439</v>
      </c>
      <c r="M1" s="27" t="s">
        <v>863</v>
      </c>
      <c r="N1" s="27" t="s">
        <v>734</v>
      </c>
      <c r="O1" s="27" t="s">
        <v>864</v>
      </c>
      <c r="P1" s="27" t="s">
        <v>865</v>
      </c>
      <c r="Q1" s="27" t="s">
        <v>866</v>
      </c>
      <c r="R1" s="27" t="s">
        <v>442</v>
      </c>
      <c r="S1" s="27" t="s">
        <v>443</v>
      </c>
    </row>
    <row r="2" customFormat="false" ht="15" hidden="false" customHeight="false" outlineLevel="0" collapsed="false">
      <c r="A2" s="28" t="s">
        <v>322</v>
      </c>
      <c r="B2" s="28" t="s">
        <v>539</v>
      </c>
      <c r="C2" s="28" t="s">
        <v>538</v>
      </c>
      <c r="D2" s="28" t="s">
        <v>849</v>
      </c>
      <c r="E2" s="28" t="s">
        <v>850</v>
      </c>
      <c r="F2" s="23" t="n">
        <v>150000</v>
      </c>
      <c r="G2" s="23" t="n">
        <v>150051.434903246</v>
      </c>
      <c r="H2" s="31" t="n">
        <v>1.000343</v>
      </c>
      <c r="I2" s="19" t="n">
        <v>0.0408</v>
      </c>
      <c r="J2" s="31" t="n">
        <v>1.9386</v>
      </c>
      <c r="K2" s="31" t="n">
        <v>5.9199</v>
      </c>
      <c r="L2" s="31" t="n">
        <v>2.083</v>
      </c>
      <c r="N2" s="19" t="n">
        <v>-0.000889</v>
      </c>
      <c r="O2" s="23" t="n">
        <v>141709.972894691</v>
      </c>
      <c r="P2" s="23" t="n">
        <v>159193.37970654</v>
      </c>
      <c r="Q2" s="23" t="n">
        <v>147852.168324403</v>
      </c>
      <c r="R2" s="28" t="s">
        <v>493</v>
      </c>
      <c r="S2" s="28" t="s">
        <v>867</v>
      </c>
    </row>
    <row r="3" customFormat="false" ht="15" hidden="false" customHeight="false" outlineLevel="0" collapsed="false">
      <c r="A3" s="28" t="s">
        <v>322</v>
      </c>
      <c r="B3" s="28" t="s">
        <v>541</v>
      </c>
      <c r="C3" s="28" t="s">
        <v>540</v>
      </c>
      <c r="D3" s="28" t="s">
        <v>852</v>
      </c>
      <c r="E3" s="28" t="s">
        <v>850</v>
      </c>
      <c r="F3" s="23" t="n">
        <v>400000</v>
      </c>
      <c r="G3" s="23" t="n">
        <v>367549.241673984</v>
      </c>
      <c r="H3" s="31" t="n">
        <v>0.918873</v>
      </c>
      <c r="I3" s="19" t="n">
        <v>0.011375</v>
      </c>
      <c r="J3" s="31" t="n">
        <v>2.8165</v>
      </c>
      <c r="K3" s="31" t="n">
        <v>11.3748</v>
      </c>
      <c r="L3" s="31" t="n">
        <v>3</v>
      </c>
      <c r="N3" s="19" t="n">
        <v>0.000611</v>
      </c>
      <c r="O3" s="23" t="n">
        <v>338286.916085903</v>
      </c>
      <c r="P3" s="23" t="n">
        <v>400582.123539449</v>
      </c>
      <c r="Q3" s="23" t="n">
        <v>359211.572394639</v>
      </c>
      <c r="R3" s="28" t="s">
        <v>493</v>
      </c>
      <c r="S3" s="28" t="s">
        <v>867</v>
      </c>
    </row>
    <row r="4" customFormat="false" ht="15" hidden="false" customHeight="false" outlineLevel="0" collapsed="false">
      <c r="A4" s="28" t="s">
        <v>322</v>
      </c>
      <c r="B4" s="28" t="s">
        <v>543</v>
      </c>
      <c r="C4" s="28" t="s">
        <v>542</v>
      </c>
      <c r="D4" s="28" t="s">
        <v>853</v>
      </c>
      <c r="E4" s="28" t="s">
        <v>850</v>
      </c>
      <c r="F4" s="23" t="n">
        <v>700000</v>
      </c>
      <c r="G4" s="23" t="n">
        <v>548633.753403125</v>
      </c>
      <c r="H4" s="31" t="n">
        <v>0.783763</v>
      </c>
      <c r="I4" s="19" t="n">
        <v>0.02</v>
      </c>
      <c r="J4" s="31" t="n">
        <v>7.3241</v>
      </c>
      <c r="K4" s="31" t="n">
        <v>91.3318</v>
      </c>
      <c r="L4" s="31" t="n">
        <v>9.929</v>
      </c>
      <c r="M4" s="19" t="n">
        <v>0.035</v>
      </c>
      <c r="N4" s="19" t="n">
        <v>0.004611</v>
      </c>
      <c r="O4" s="23" t="n">
        <v>447590.718440845</v>
      </c>
      <c r="P4" s="23" t="n">
        <v>697526.772042683</v>
      </c>
      <c r="Q4" s="23" t="n">
        <v>519088.336043811</v>
      </c>
      <c r="R4" s="28" t="s">
        <v>493</v>
      </c>
      <c r="S4" s="28" t="s">
        <v>867</v>
      </c>
    </row>
    <row r="5" customFormat="false" ht="15" hidden="false" customHeight="false" outlineLevel="0" collapsed="false">
      <c r="A5" s="28" t="s">
        <v>322</v>
      </c>
      <c r="B5" s="28" t="s">
        <v>545</v>
      </c>
      <c r="C5" s="28" t="s">
        <v>544</v>
      </c>
      <c r="D5" s="28" t="s">
        <v>853</v>
      </c>
      <c r="E5" s="28" t="s">
        <v>850</v>
      </c>
      <c r="F5" s="23" t="n">
        <v>300000</v>
      </c>
      <c r="G5" s="23" t="n">
        <v>305274.71975975</v>
      </c>
      <c r="H5" s="31" t="n">
        <v>1.017582</v>
      </c>
      <c r="I5" s="19" t="n">
        <v>0.0525</v>
      </c>
      <c r="J5" s="31" t="n">
        <v>6.2944</v>
      </c>
      <c r="K5" s="31" t="n">
        <v>-3.5469</v>
      </c>
      <c r="L5" s="31" t="n">
        <v>8.779</v>
      </c>
      <c r="M5" s="19" t="n">
        <v>0.0746</v>
      </c>
      <c r="N5" s="19" t="n">
        <v>0.004611</v>
      </c>
      <c r="O5" s="23" t="n">
        <v>249154.032393839</v>
      </c>
      <c r="P5" s="23" t="n">
        <v>321993.775867547</v>
      </c>
      <c r="Q5" s="23" t="n">
        <v>290273.101134709</v>
      </c>
      <c r="R5" s="28" t="s">
        <v>493</v>
      </c>
      <c r="S5" s="28" t="s">
        <v>867</v>
      </c>
    </row>
    <row r="6" customFormat="false" ht="15" hidden="false" customHeight="false" outlineLevel="0" collapsed="false">
      <c r="A6" s="28" t="s">
        <v>322</v>
      </c>
      <c r="B6" s="28" t="s">
        <v>547</v>
      </c>
      <c r="C6" s="28" t="s">
        <v>546</v>
      </c>
      <c r="D6" s="28" t="s">
        <v>855</v>
      </c>
      <c r="E6" s="28" t="s">
        <v>850</v>
      </c>
      <c r="F6" s="23" t="n">
        <v>400000</v>
      </c>
      <c r="G6" s="23" t="n">
        <v>352414.480607701</v>
      </c>
      <c r="H6" s="31" t="n">
        <v>0.881036</v>
      </c>
      <c r="I6" s="19" t="n">
        <v>0.025</v>
      </c>
      <c r="J6" s="31" t="n">
        <v>5.0754</v>
      </c>
      <c r="K6" s="31" t="n">
        <v>76.4512</v>
      </c>
      <c r="L6" s="31" t="n">
        <v>6.085</v>
      </c>
      <c r="M6" s="19" t="n">
        <v>0.056</v>
      </c>
      <c r="N6" s="19" t="n">
        <v>0.005611</v>
      </c>
      <c r="O6" s="23" t="n">
        <v>305668.855061411</v>
      </c>
      <c r="P6" s="23" t="n">
        <v>411854.536476872</v>
      </c>
      <c r="Q6" s="23" t="n">
        <v>338570.881843711</v>
      </c>
      <c r="R6" s="28" t="s">
        <v>493</v>
      </c>
      <c r="S6" s="28" t="s">
        <v>867</v>
      </c>
    </row>
    <row r="7" customFormat="false" ht="15" hidden="false" customHeight="false" outlineLevel="0" collapsed="false">
      <c r="A7" s="28" t="s">
        <v>322</v>
      </c>
      <c r="B7" s="28" t="s">
        <v>549</v>
      </c>
      <c r="C7" s="28" t="s">
        <v>548</v>
      </c>
      <c r="D7" s="28" t="s">
        <v>856</v>
      </c>
      <c r="E7" s="28" t="s">
        <v>850</v>
      </c>
      <c r="F7" s="23" t="n">
        <v>164880.483</v>
      </c>
      <c r="G7" s="23" t="n">
        <v>136497.166545512</v>
      </c>
      <c r="H7" s="31" t="n">
        <v>0.827855</v>
      </c>
      <c r="I7" s="19" t="n">
        <v>0.020015</v>
      </c>
      <c r="J7" s="31" t="n">
        <v>6.4141</v>
      </c>
      <c r="K7" s="31" t="n">
        <v>48.2931</v>
      </c>
      <c r="L7" s="31" t="n">
        <v>7.151</v>
      </c>
      <c r="N7" s="19" t="n">
        <v>0.006111</v>
      </c>
      <c r="O7" s="23" t="n">
        <v>112972.92168945</v>
      </c>
      <c r="P7" s="23" t="n">
        <v>165987.082387336</v>
      </c>
      <c r="Q7" s="23" t="n">
        <v>129270.024351053</v>
      </c>
      <c r="R7" s="28" t="s">
        <v>493</v>
      </c>
      <c r="S7" s="28" t="s">
        <v>867</v>
      </c>
    </row>
    <row r="8" customFormat="false" ht="15" hidden="false" customHeight="false" outlineLevel="0" collapsed="false">
      <c r="A8" s="28" t="s">
        <v>322</v>
      </c>
      <c r="B8" s="28" t="s">
        <v>552</v>
      </c>
      <c r="C8" s="28" t="s">
        <v>550</v>
      </c>
      <c r="D8" s="28" t="s">
        <v>848</v>
      </c>
      <c r="E8" s="28" t="s">
        <v>850</v>
      </c>
      <c r="F8" s="23" t="n">
        <v>100000</v>
      </c>
      <c r="G8" s="23" t="n">
        <v>97853.5160956092</v>
      </c>
      <c r="H8" s="31" t="n">
        <v>0.978535</v>
      </c>
      <c r="I8" s="19" t="n">
        <v>0.0425</v>
      </c>
      <c r="J8" s="31" t="n">
        <v>-0.1097</v>
      </c>
      <c r="K8" s="31" t="n">
        <v>1.334</v>
      </c>
      <c r="L8" s="31" t="n">
        <v>4.71</v>
      </c>
      <c r="M8" s="19" t="n">
        <v>0.12</v>
      </c>
      <c r="N8" s="19" t="n">
        <v>0.005111</v>
      </c>
      <c r="O8" s="23" t="n">
        <v>98229.5994471397</v>
      </c>
      <c r="P8" s="23" t="n">
        <v>97595.1326370001</v>
      </c>
      <c r="Q8" s="23" t="n">
        <v>95781.7719620237</v>
      </c>
      <c r="R8" s="28" t="s">
        <v>493</v>
      </c>
      <c r="S8" s="28" t="s">
        <v>867</v>
      </c>
    </row>
    <row r="9" customFormat="false" ht="15" hidden="false" customHeight="false" outlineLevel="0" collapsed="false">
      <c r="A9" s="28" t="s">
        <v>322</v>
      </c>
      <c r="B9" s="28" t="s">
        <v>554</v>
      </c>
      <c r="C9" s="28" t="s">
        <v>553</v>
      </c>
      <c r="D9" s="28" t="s">
        <v>853</v>
      </c>
      <c r="E9" s="28" t="s">
        <v>857</v>
      </c>
      <c r="F9" s="23" t="n">
        <v>700000</v>
      </c>
      <c r="G9" s="23" t="n">
        <v>586409.092944032</v>
      </c>
      <c r="H9" s="31" t="n">
        <v>0.837727</v>
      </c>
      <c r="I9" s="19" t="n">
        <v>0.019</v>
      </c>
      <c r="J9" s="31" t="n">
        <v>5.5966</v>
      </c>
      <c r="K9" s="31" t="n">
        <v>52.0346</v>
      </c>
      <c r="L9" s="31" t="n">
        <v>6.899</v>
      </c>
      <c r="M9" s="19" t="n">
        <v>0.045</v>
      </c>
      <c r="N9" s="19" t="n">
        <v>0.004611</v>
      </c>
      <c r="O9" s="23" t="n">
        <v>500273.901930295</v>
      </c>
      <c r="P9" s="23" t="n">
        <v>700874.764579637</v>
      </c>
      <c r="Q9" s="23" t="n">
        <v>560906.876842082</v>
      </c>
      <c r="R9" s="28" t="s">
        <v>493</v>
      </c>
      <c r="S9" s="28" t="s">
        <v>867</v>
      </c>
    </row>
    <row r="10" customFormat="false" ht="15" hidden="false" customHeight="false" outlineLevel="0" collapsed="false">
      <c r="A10" s="28" t="s">
        <v>322</v>
      </c>
      <c r="B10" s="28" t="s">
        <v>556</v>
      </c>
      <c r="C10" s="28" t="s">
        <v>555</v>
      </c>
      <c r="D10" s="28" t="s">
        <v>853</v>
      </c>
      <c r="E10" s="28" t="s">
        <v>857</v>
      </c>
      <c r="F10" s="23" t="n">
        <v>300000</v>
      </c>
      <c r="G10" s="23" t="n">
        <v>276690.133972887</v>
      </c>
      <c r="H10" s="31" t="n">
        <v>0.9223</v>
      </c>
      <c r="I10" s="19" t="n">
        <v>0.024</v>
      </c>
      <c r="J10" s="31" t="n">
        <v>3.7137</v>
      </c>
      <c r="K10" s="31" t="n">
        <v>16.6371</v>
      </c>
      <c r="L10" s="31" t="n">
        <v>4</v>
      </c>
      <c r="N10" s="19" t="n">
        <v>0.004111</v>
      </c>
      <c r="O10" s="23" t="n">
        <v>247836.2947138</v>
      </c>
      <c r="P10" s="23" t="n">
        <v>309695.896265295</v>
      </c>
      <c r="Q10" s="23" t="n">
        <v>268055.112374178</v>
      </c>
      <c r="R10" s="28" t="s">
        <v>493</v>
      </c>
      <c r="S10" s="28" t="s">
        <v>867</v>
      </c>
    </row>
    <row r="11" customFormat="false" ht="15" hidden="false" customHeight="false" outlineLevel="0" collapsed="false">
      <c r="A11" s="28" t="s">
        <v>322</v>
      </c>
      <c r="B11" s="28" t="s">
        <v>558</v>
      </c>
      <c r="C11" s="28" t="s">
        <v>557</v>
      </c>
      <c r="D11" s="28" t="s">
        <v>856</v>
      </c>
      <c r="E11" s="28" t="s">
        <v>857</v>
      </c>
      <c r="F11" s="23" t="n">
        <v>200000</v>
      </c>
      <c r="G11" s="23" t="n">
        <v>169099.283745517</v>
      </c>
      <c r="H11" s="31" t="n">
        <v>0.845496</v>
      </c>
      <c r="I11" s="19" t="n">
        <v>0.026</v>
      </c>
      <c r="J11" s="31" t="n">
        <v>7.0554</v>
      </c>
      <c r="K11" s="31" t="n">
        <v>58.784</v>
      </c>
      <c r="L11" s="31" t="n">
        <v>8.125</v>
      </c>
      <c r="N11" s="19" t="n">
        <v>0.006111</v>
      </c>
      <c r="O11" s="23" t="n">
        <v>137408.721389001</v>
      </c>
      <c r="P11" s="23" t="n">
        <v>209796.044276948</v>
      </c>
      <c r="Q11" s="23" t="n">
        <v>159415.035598231</v>
      </c>
      <c r="R11" s="28" t="s">
        <v>493</v>
      </c>
      <c r="S11" s="28" t="s">
        <v>867</v>
      </c>
    </row>
    <row r="12" customFormat="false" ht="15" hidden="false" customHeight="false" outlineLevel="0" collapsed="false">
      <c r="A12" s="28" t="s">
        <v>322</v>
      </c>
      <c r="B12" s="28" t="s">
        <v>560</v>
      </c>
      <c r="C12" s="28" t="s">
        <v>559</v>
      </c>
      <c r="D12" s="28" t="s">
        <v>852</v>
      </c>
      <c r="E12" s="28" t="s">
        <v>857</v>
      </c>
      <c r="F12" s="23" t="n">
        <v>148403.71</v>
      </c>
      <c r="G12" s="23" t="n">
        <v>150178.331180842</v>
      </c>
      <c r="H12" s="31" t="n">
        <v>1.011958</v>
      </c>
      <c r="I12" s="19" t="n">
        <v>0.046</v>
      </c>
      <c r="J12" s="31" t="n">
        <v>2.7542</v>
      </c>
      <c r="K12" s="31" t="n">
        <v>9.2631</v>
      </c>
      <c r="L12" s="31" t="n">
        <v>3</v>
      </c>
      <c r="N12" s="19" t="n">
        <v>0.000611</v>
      </c>
      <c r="O12" s="23" t="n">
        <v>138372.844046531</v>
      </c>
      <c r="P12" s="23" t="n">
        <v>163237.377519817</v>
      </c>
      <c r="Q12" s="23" t="n">
        <v>146792.155295483</v>
      </c>
      <c r="R12" s="28" t="s">
        <v>493</v>
      </c>
      <c r="S12" s="28" t="s">
        <v>867</v>
      </c>
    </row>
  </sheetData>
  <autoFilter ref="A1:S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4" min="2" style="0" width="20"/>
    <col collapsed="false" customWidth="true" hidden="false" outlineLevel="0" max="5" min="5" style="0" width="17"/>
  </cols>
  <sheetData>
    <row r="1" customFormat="false" ht="30" hidden="false" customHeight="true" outlineLevel="0" collapsed="false">
      <c r="A1" s="27" t="s">
        <v>868</v>
      </c>
      <c r="B1" s="27" t="s">
        <v>869</v>
      </c>
      <c r="C1" s="27" t="s">
        <v>870</v>
      </c>
      <c r="D1" s="27" t="s">
        <v>871</v>
      </c>
      <c r="E1" s="27" t="s">
        <v>872</v>
      </c>
    </row>
    <row r="2" customFormat="false" ht="15" hidden="false" customHeight="false" outlineLevel="0" collapsed="false">
      <c r="A2" s="23" t="n">
        <v>1</v>
      </c>
      <c r="B2" s="23" t="n">
        <v>7496.15526071316</v>
      </c>
      <c r="C2" s="23" t="n">
        <v>7541.38504679167</v>
      </c>
      <c r="D2" s="23" t="n">
        <v>9631.29022916461</v>
      </c>
      <c r="E2" s="15" t="n">
        <f aca="false">B2+C2+D2</f>
        <v>24668.8305366694</v>
      </c>
    </row>
    <row r="3" customFormat="false" ht="15" hidden="false" customHeight="false" outlineLevel="0" collapsed="false">
      <c r="A3" s="23" t="n">
        <v>2</v>
      </c>
      <c r="B3" s="23" t="n">
        <v>7478.34061765842</v>
      </c>
      <c r="C3" s="23" t="n">
        <v>7502.69745239162</v>
      </c>
      <c r="D3" s="23" t="n">
        <v>9549.67566886557</v>
      </c>
      <c r="E3" s="15" t="n">
        <f aca="false">B3+C3+D3</f>
        <v>24530.7137389156</v>
      </c>
    </row>
    <row r="4" customFormat="false" ht="15" hidden="false" customHeight="false" outlineLevel="0" collapsed="false">
      <c r="A4" s="23" t="n">
        <v>3</v>
      </c>
      <c r="B4" s="23" t="n">
        <v>7460.57962228168</v>
      </c>
      <c r="C4" s="23" t="n">
        <v>7464.25991240249</v>
      </c>
      <c r="D4" s="23" t="n">
        <v>9468.61589900574</v>
      </c>
      <c r="E4" s="15" t="n">
        <f aca="false">B4+C4+D4</f>
        <v>24393.4554336899</v>
      </c>
    </row>
    <row r="5" customFormat="false" ht="15" hidden="false" customHeight="false" outlineLevel="0" collapsed="false">
      <c r="A5" s="23" t="n">
        <v>4</v>
      </c>
      <c r="B5" s="23" t="n">
        <v>7442.87205384952</v>
      </c>
      <c r="C5" s="23" t="n">
        <v>7426.07069108079</v>
      </c>
      <c r="D5" s="23" t="n">
        <v>9388.10680153416</v>
      </c>
      <c r="E5" s="15" t="n">
        <f aca="false">B5+C5+D5</f>
        <v>24257.0495464645</v>
      </c>
    </row>
    <row r="6" customFormat="false" ht="15" hidden="false" customHeight="false" outlineLevel="0" collapsed="false">
      <c r="A6" s="23" t="n">
        <v>5</v>
      </c>
      <c r="B6" s="23" t="n">
        <v>7425.21769282556</v>
      </c>
      <c r="C6" s="23" t="n">
        <v>7388.12806644703</v>
      </c>
      <c r="D6" s="23" t="n">
        <v>9308.14429344271</v>
      </c>
      <c r="E6" s="15" t="n">
        <f aca="false">B6+C6+D6</f>
        <v>24121.4900527153</v>
      </c>
    </row>
    <row r="7" customFormat="false" ht="15" hidden="false" customHeight="false" outlineLevel="0" collapsed="false">
      <c r="A7" s="23" t="n">
        <v>6</v>
      </c>
      <c r="B7" s="23" t="n">
        <v>7407.61632086289</v>
      </c>
      <c r="C7" s="23" t="n">
        <v>7350.43033016301</v>
      </c>
      <c r="D7" s="23" t="n">
        <v>9228.72432643507</v>
      </c>
      <c r="E7" s="15" t="n">
        <f aca="false">B7+C7+D7</f>
        <v>23986.770977461</v>
      </c>
    </row>
    <row r="8" customFormat="false" ht="15" hidden="false" customHeight="false" outlineLevel="0" collapsed="false">
      <c r="A8" s="23" t="n">
        <v>7</v>
      </c>
      <c r="B8" s="23" t="n">
        <v>7390.06772079648</v>
      </c>
      <c r="C8" s="23" t="n">
        <v>7312.97578741026</v>
      </c>
      <c r="D8" s="23" t="n">
        <v>9149.84288659897</v>
      </c>
      <c r="E8" s="15" t="n">
        <f aca="false">B8+C8+D8</f>
        <v>23852.8863948057</v>
      </c>
    </row>
    <row r="9" customFormat="false" ht="15" hidden="false" customHeight="false" outlineLevel="0" collapsed="false">
      <c r="A9" s="23" t="n">
        <v>8</v>
      </c>
      <c r="B9" s="23" t="n">
        <v>7372.57167663568</v>
      </c>
      <c r="C9" s="23" t="n">
        <v>7275.76275676967</v>
      </c>
      <c r="D9" s="23" t="n">
        <v>9071.49599408177</v>
      </c>
      <c r="E9" s="15" t="n">
        <f aca="false">B9+C9+D9</f>
        <v>23719.8304274871</v>
      </c>
    </row>
    <row r="10" customFormat="false" ht="15" hidden="false" customHeight="false" outlineLevel="0" collapsed="false">
      <c r="A10" s="23" t="n">
        <v>9</v>
      </c>
      <c r="B10" s="23" t="n">
        <v>57355.1279735568</v>
      </c>
      <c r="C10" s="23" t="n">
        <v>7238.78957010227</v>
      </c>
      <c r="D10" s="23" t="n">
        <v>8993.67970276933</v>
      </c>
      <c r="E10" s="15" t="n">
        <f aca="false">B10+C10+D10</f>
        <v>73587.5972464284</v>
      </c>
    </row>
    <row r="11" customFormat="false" ht="15" hidden="false" customHeight="false" outlineLevel="0" collapsed="false">
      <c r="A11" s="23" t="n">
        <v>10</v>
      </c>
      <c r="B11" s="23" t="n">
        <v>7337.73639789561</v>
      </c>
      <c r="C11" s="23" t="n">
        <v>7024.97123909784</v>
      </c>
      <c r="D11" s="23" t="n">
        <v>8916.39009996796</v>
      </c>
      <c r="E11" s="15" t="n">
        <f aca="false">B11+C11+D11</f>
        <v>23279.0977369614</v>
      </c>
    </row>
    <row r="12" customFormat="false" ht="15" hidden="false" customHeight="false" outlineLevel="0" collapsed="false">
      <c r="A12" s="23" t="n">
        <v>11</v>
      </c>
      <c r="B12" s="23" t="n">
        <v>7320.39673714012</v>
      </c>
      <c r="C12" s="23" t="n">
        <v>6988.47278849132</v>
      </c>
      <c r="D12" s="23" t="n">
        <v>8839.62330608974</v>
      </c>
      <c r="E12" s="15" t="n">
        <f aca="false">B12+C12+D12</f>
        <v>23148.4928317212</v>
      </c>
    </row>
    <row r="13" customFormat="false" ht="15" hidden="false" customHeight="false" outlineLevel="0" collapsed="false">
      <c r="A13" s="23" t="n">
        <v>12</v>
      </c>
      <c r="B13" s="23" t="n">
        <v>7303.10877992314</v>
      </c>
      <c r="C13" s="23" t="n">
        <v>6952.20925594699</v>
      </c>
      <c r="D13" s="23" t="n">
        <v>8763.37547434081</v>
      </c>
      <c r="E13" s="15" t="n">
        <f aca="false">B13+C13+D13</f>
        <v>23018.6935102109</v>
      </c>
    </row>
    <row r="14" customFormat="false" ht="15" hidden="false" customHeight="false" outlineLevel="0" collapsed="false">
      <c r="A14" s="23" t="n">
        <v>13</v>
      </c>
      <c r="B14" s="23" t="n">
        <v>7285.87231601514</v>
      </c>
      <c r="C14" s="23" t="n">
        <v>6916.17902527711</v>
      </c>
      <c r="D14" s="23" t="n">
        <v>8687.64279041294</v>
      </c>
      <c r="E14" s="15" t="n">
        <f aca="false">B14+C14+D14</f>
        <v>22889.6941317052</v>
      </c>
    </row>
    <row r="15" customFormat="false" ht="15" hidden="false" customHeight="false" outlineLevel="0" collapsed="false">
      <c r="A15" s="23" t="n">
        <v>14</v>
      </c>
      <c r="B15" s="23" t="n">
        <v>7268.68713631694</v>
      </c>
      <c r="C15" s="23" t="n">
        <v>6880.38049299501</v>
      </c>
      <c r="D15" s="23" t="n">
        <v>8612.42147217808</v>
      </c>
      <c r="E15" s="15" t="n">
        <f aca="false">B15+C15+D15</f>
        <v>22761.48910149</v>
      </c>
    </row>
    <row r="16" customFormat="false" ht="15" hidden="false" customHeight="false" outlineLevel="0" collapsed="false">
      <c r="A16" s="23" t="n">
        <v>15</v>
      </c>
      <c r="B16" s="23" t="n">
        <v>107251.553032853</v>
      </c>
      <c r="C16" s="23" t="n">
        <v>6844.81206820259</v>
      </c>
      <c r="D16" s="23" t="n">
        <v>8537.70776938602</v>
      </c>
      <c r="E16" s="15" t="n">
        <f aca="false">B16+C16+D16</f>
        <v>122634.072870441</v>
      </c>
    </row>
    <row r="17" customFormat="false" ht="15" hidden="false" customHeight="false" outlineLevel="0" collapsed="false">
      <c r="A17" s="23" t="n">
        <v>16</v>
      </c>
      <c r="B17" s="23" t="n">
        <v>7234.46979876246</v>
      </c>
      <c r="C17" s="23" t="n">
        <v>6742.80550581222</v>
      </c>
      <c r="D17" s="23" t="n">
        <v>8463.49796336502</v>
      </c>
      <c r="E17" s="15" t="n">
        <f aca="false">B17+C17+D17</f>
        <v>22440.7732679397</v>
      </c>
    </row>
    <row r="18" customFormat="false" ht="15" hidden="false" customHeight="false" outlineLevel="0" collapsed="false">
      <c r="A18" s="23" t="n">
        <v>17</v>
      </c>
      <c r="B18" s="23" t="n">
        <v>7217.43722829569</v>
      </c>
      <c r="C18" s="23" t="n">
        <v>6707.69257310306</v>
      </c>
      <c r="D18" s="23" t="n">
        <v>8389.78836672551</v>
      </c>
      <c r="E18" s="15" t="n">
        <f aca="false">B18+C18+D18</f>
        <v>22314.9181681243</v>
      </c>
    </row>
    <row r="19" customFormat="false" ht="15" hidden="false" customHeight="false" outlineLevel="0" collapsed="false">
      <c r="A19" s="23" t="n">
        <v>18</v>
      </c>
      <c r="B19" s="23" t="n">
        <v>7200.4551168037</v>
      </c>
      <c r="C19" s="23" t="n">
        <v>6672.80504961179</v>
      </c>
      <c r="D19" s="23" t="n">
        <v>8316.57532306671</v>
      </c>
      <c r="E19" s="15" t="n">
        <f aca="false">B19+C19+D19</f>
        <v>22189.8354894822</v>
      </c>
    </row>
    <row r="20" customFormat="false" ht="15" hidden="false" customHeight="false" outlineLevel="0" collapsed="false">
      <c r="A20" s="23" t="n">
        <v>19</v>
      </c>
      <c r="B20" s="23" t="n">
        <v>7183.52326073292</v>
      </c>
      <c r="C20" s="23" t="n">
        <v>6638.14139369099</v>
      </c>
      <c r="D20" s="23" t="n">
        <v>8243.85520668616</v>
      </c>
      <c r="E20" s="15" t="n">
        <f aca="false">B20+C20+D20</f>
        <v>22065.5198611101</v>
      </c>
    </row>
    <row r="21" customFormat="false" ht="15" hidden="false" customHeight="false" outlineLevel="0" collapsed="false">
      <c r="A21" s="23" t="n">
        <v>20</v>
      </c>
      <c r="B21" s="23" t="n">
        <v>7166.64145761801</v>
      </c>
      <c r="C21" s="23" t="n">
        <v>6603.70007573532</v>
      </c>
      <c r="D21" s="23" t="n">
        <v>8171.62442229218</v>
      </c>
      <c r="E21" s="15" t="n">
        <f aca="false">B21+C21+D21</f>
        <v>21941.9659556455</v>
      </c>
    </row>
    <row r="22" customFormat="false" ht="15" hidden="false" customHeight="false" outlineLevel="0" collapsed="false">
      <c r="A22" s="23" t="n">
        <v>21</v>
      </c>
      <c r="B22" s="23" t="n">
        <v>7149.8095060749</v>
      </c>
      <c r="C22" s="23" t="n">
        <v>6569.4795780753</v>
      </c>
      <c r="D22" s="23" t="n">
        <v>8099.87940471922</v>
      </c>
      <c r="E22" s="15" t="n">
        <f aca="false">B22+C22+D22</f>
        <v>21819.1684888694</v>
      </c>
    </row>
    <row r="23" customFormat="false" ht="15" hidden="false" customHeight="false" outlineLevel="0" collapsed="false">
      <c r="A23" s="23" t="n">
        <v>22</v>
      </c>
      <c r="B23" s="23" t="n">
        <v>7133.02720579402</v>
      </c>
      <c r="C23" s="23" t="n">
        <v>6535.47839487213</v>
      </c>
      <c r="D23" s="23" t="n">
        <v>8028.61661864599</v>
      </c>
      <c r="E23" s="15" t="n">
        <f aca="false">B23+C23+D23</f>
        <v>21697.1222193122</v>
      </c>
    </row>
    <row r="24" customFormat="false" ht="15" hidden="false" customHeight="false" outlineLevel="0" collapsed="false">
      <c r="A24" s="23" t="n">
        <v>23</v>
      </c>
      <c r="B24" s="23" t="n">
        <v>7116.29435753353</v>
      </c>
      <c r="C24" s="23" t="n">
        <v>6501.69503201361</v>
      </c>
      <c r="D24" s="23" t="n">
        <v>7957.8325583165</v>
      </c>
      <c r="E24" s="15" t="n">
        <f aca="false">B24+C24+D24</f>
        <v>21575.8219478636</v>
      </c>
    </row>
    <row r="25" customFormat="false" ht="15" hidden="false" customHeight="false" outlineLevel="0" collapsed="false">
      <c r="A25" s="23" t="n">
        <v>24</v>
      </c>
      <c r="B25" s="23" t="n">
        <v>157099.610763113</v>
      </c>
      <c r="C25" s="23" t="n">
        <v>6468.12800701088</v>
      </c>
      <c r="D25" s="23" t="n">
        <v>7887.52374726375</v>
      </c>
      <c r="E25" s="15" t="n">
        <f aca="false">B25+C25+D25</f>
        <v>171455.262517387</v>
      </c>
    </row>
    <row r="26" customFormat="false" ht="15" hidden="false" customHeight="false" outlineLevel="0" collapsed="false">
      <c r="A26" s="23" t="n">
        <v>25</v>
      </c>
      <c r="B26" s="23" t="n">
        <v>7082.97622540441</v>
      </c>
      <c r="C26" s="23" t="n">
        <v>6184.77584889632</v>
      </c>
      <c r="D26" s="23" t="n">
        <v>7817.68673803632</v>
      </c>
      <c r="E26" s="15" t="n">
        <f aca="false">B26+C26+D26</f>
        <v>21085.4388123371</v>
      </c>
    </row>
    <row r="27" customFormat="false" ht="15" hidden="false" customHeight="false" outlineLevel="0" collapsed="false">
      <c r="A27" s="23" t="n">
        <v>26</v>
      </c>
      <c r="B27" s="23" t="n">
        <v>7066.39054833027</v>
      </c>
      <c r="C27" s="23" t="n">
        <v>6151.63709812232</v>
      </c>
      <c r="D27" s="23" t="n">
        <v>7748.31811192757</v>
      </c>
      <c r="E27" s="15" t="n">
        <f aca="false">B27+C27+D27</f>
        <v>20966.3457583802</v>
      </c>
    </row>
    <row r="28" customFormat="false" ht="15" hidden="false" customHeight="false" outlineLevel="0" collapsed="false">
      <c r="A28" s="23" t="n">
        <v>27</v>
      </c>
      <c r="B28" s="23" t="n">
        <v>7049.85353685221</v>
      </c>
      <c r="C28" s="23" t="n">
        <v>6118.71030646104</v>
      </c>
      <c r="D28" s="23" t="n">
        <v>7679.41447870761</v>
      </c>
      <c r="E28" s="15" t="n">
        <f aca="false">B28+C28+D28</f>
        <v>20847.9783220209</v>
      </c>
    </row>
    <row r="29" customFormat="false" ht="15" hidden="false" customHeight="false" outlineLevel="0" collapsed="false">
      <c r="A29" s="23" t="n">
        <v>28</v>
      </c>
      <c r="B29" s="23" t="n">
        <v>7033.36499696686</v>
      </c>
      <c r="C29" s="23" t="n">
        <v>6085.99403690516</v>
      </c>
      <c r="D29" s="23" t="n">
        <v>7610.97247635791</v>
      </c>
      <c r="E29" s="15" t="n">
        <f aca="false">B29+C29+D29</f>
        <v>20730.3315102299</v>
      </c>
    </row>
    <row r="30" customFormat="false" ht="15" hidden="false" customHeight="false" outlineLevel="0" collapsed="false">
      <c r="A30" s="23" t="n">
        <v>29</v>
      </c>
      <c r="B30" s="23" t="n">
        <v>7016.92473569883</v>
      </c>
      <c r="C30" s="23" t="n">
        <v>6053.48686356953</v>
      </c>
      <c r="D30" s="23" t="n">
        <v>7542.98877080853</v>
      </c>
      <c r="E30" s="15" t="n">
        <f aca="false">B30+C30+D30</f>
        <v>20613.4003700769</v>
      </c>
    </row>
    <row r="31" customFormat="false" ht="15" hidden="false" customHeight="false" outlineLevel="0" collapsed="false">
      <c r="A31" s="23" t="n">
        <v>30</v>
      </c>
      <c r="B31" s="23" t="n">
        <v>7000.5325610943</v>
      </c>
      <c r="C31" s="23" t="n">
        <v>6021.18737159377</v>
      </c>
      <c r="D31" s="23" t="n">
        <v>7475.46005567807</v>
      </c>
      <c r="E31" s="15" t="n">
        <f aca="false">B31+C31+D31</f>
        <v>20497.1799883661</v>
      </c>
    </row>
    <row r="32" customFormat="false" ht="15" hidden="false" customHeight="false" outlineLevel="0" collapsed="false">
      <c r="A32" s="23" t="n">
        <v>31</v>
      </c>
      <c r="B32" s="23" t="n">
        <v>6984.18828221455</v>
      </c>
      <c r="C32" s="23" t="n">
        <v>5989.09415704584</v>
      </c>
      <c r="D32" s="23" t="n">
        <v>7408.38305201605</v>
      </c>
      <c r="E32" s="15" t="n">
        <f aca="false">B32+C32+D32</f>
        <v>20381.6654912764</v>
      </c>
    </row>
    <row r="33" customFormat="false" ht="15" hidden="false" customHeight="false" outlineLevel="0" collapsed="false">
      <c r="A33" s="23" t="n">
        <v>32</v>
      </c>
      <c r="B33" s="23" t="n">
        <v>6967.8917091296</v>
      </c>
      <c r="C33" s="23" t="n">
        <v>5957.20582682648</v>
      </c>
      <c r="D33" s="23" t="n">
        <v>7341.75450804797</v>
      </c>
      <c r="E33" s="15" t="n">
        <f aca="false">B33+C33+D33</f>
        <v>20266.8520440041</v>
      </c>
    </row>
    <row r="34" customFormat="false" ht="15" hidden="false" customHeight="false" outlineLevel="0" collapsed="false">
      <c r="A34" s="23" t="n">
        <v>33</v>
      </c>
      <c r="B34" s="23" t="n">
        <v>6951.6426529119</v>
      </c>
      <c r="C34" s="23" t="n">
        <v>5925.52099857456</v>
      </c>
      <c r="D34" s="23" t="n">
        <v>7275.57119892291</v>
      </c>
      <c r="E34" s="15" t="n">
        <f aca="false">B34+C34+D34</f>
        <v>20152.7348504094</v>
      </c>
    </row>
    <row r="35" customFormat="false" ht="15" hidden="false" customHeight="false" outlineLevel="0" collapsed="false">
      <c r="A35" s="23" t="n">
        <v>34</v>
      </c>
      <c r="B35" s="23" t="n">
        <v>6935.44092563002</v>
      </c>
      <c r="C35" s="23" t="n">
        <v>5894.03830057338</v>
      </c>
      <c r="D35" s="23" t="n">
        <v>7209.82992646352</v>
      </c>
      <c r="E35" s="15" t="n">
        <f aca="false">B35+C35+D35</f>
        <v>20039.3091526669</v>
      </c>
    </row>
    <row r="36" customFormat="false" ht="15" hidden="false" customHeight="false" outlineLevel="0" collapsed="false">
      <c r="A36" s="23" t="n">
        <v>35</v>
      </c>
      <c r="B36" s="23" t="n">
        <v>6919.2863403424</v>
      </c>
      <c r="C36" s="23" t="n">
        <v>5862.75637165779</v>
      </c>
      <c r="D36" s="23" t="n">
        <v>7144.52751891865</v>
      </c>
      <c r="E36" s="15" t="n">
        <f aca="false">B36+C36+D36</f>
        <v>19926.5702309188</v>
      </c>
    </row>
    <row r="37" customFormat="false" ht="15" hidden="false" customHeight="false" outlineLevel="0" collapsed="false">
      <c r="A37" s="23" t="n">
        <v>36</v>
      </c>
      <c r="B37" s="23" t="n">
        <v>255306.888711091</v>
      </c>
      <c r="C37" s="23" t="n">
        <v>5831.67386112225</v>
      </c>
      <c r="D37" s="23" t="n">
        <v>7079.66083071834</v>
      </c>
      <c r="E37" s="15" t="n">
        <f aca="false">B37+C37+D37</f>
        <v>268218.223402932</v>
      </c>
    </row>
    <row r="38" customFormat="false" ht="15" hidden="false" customHeight="false" outlineLevel="0" collapsed="false">
      <c r="A38" s="23" t="n">
        <v>37</v>
      </c>
      <c r="B38" s="23" t="n">
        <v>6887.11785289597</v>
      </c>
      <c r="C38" s="23" t="n">
        <v>5040.24187362978</v>
      </c>
      <c r="D38" s="23" t="n">
        <v>7015.22674223126</v>
      </c>
      <c r="E38" s="15" t="n">
        <f aca="false">B38+C38+D38</f>
        <v>18942.586468757</v>
      </c>
    </row>
    <row r="39" customFormat="false" ht="15" hidden="false" customHeight="false" outlineLevel="0" collapsed="false">
      <c r="A39" s="23" t="n">
        <v>38</v>
      </c>
      <c r="B39" s="23" t="n">
        <v>6871.10358174783</v>
      </c>
      <c r="C39" s="23" t="n">
        <v>5009.55418912166</v>
      </c>
      <c r="D39" s="23" t="n">
        <v>6951.22215952455</v>
      </c>
      <c r="E39" s="15" t="n">
        <f aca="false">B39+C39+D39</f>
        <v>18831.879930394</v>
      </c>
    </row>
    <row r="40" customFormat="false" ht="15" hidden="false" customHeight="false" outlineLevel="0" collapsed="false">
      <c r="A40" s="23" t="n">
        <v>39</v>
      </c>
      <c r="B40" s="23" t="n">
        <v>6855.1357146031</v>
      </c>
      <c r="C40" s="23" t="n">
        <v>4979.06193272815</v>
      </c>
      <c r="D40" s="23" t="n">
        <v>6887.64401412612</v>
      </c>
      <c r="E40" s="15" t="n">
        <f aca="false">B40+C40+D40</f>
        <v>18721.8416614574</v>
      </c>
    </row>
    <row r="41" customFormat="false" ht="15" hidden="false" customHeight="false" outlineLevel="0" collapsed="false">
      <c r="A41" s="23" t="n">
        <v>40</v>
      </c>
      <c r="B41" s="23" t="n">
        <v>6839.21406937741</v>
      </c>
      <c r="C41" s="23" t="n">
        <v>4948.7637946799</v>
      </c>
      <c r="D41" s="23" t="n">
        <v>6824.48926278917</v>
      </c>
      <c r="E41" s="15" t="n">
        <f aca="false">B41+C41+D41</f>
        <v>18612.4671268465</v>
      </c>
    </row>
    <row r="42" customFormat="false" ht="15" hidden="false" customHeight="false" outlineLevel="0" collapsed="false">
      <c r="A42" s="23" t="n">
        <v>41</v>
      </c>
      <c r="B42" s="23" t="n">
        <v>6823.33846493968</v>
      </c>
      <c r="C42" s="23" t="n">
        <v>4918.65847522035</v>
      </c>
      <c r="D42" s="23" t="n">
        <v>6761.75488725918</v>
      </c>
      <c r="E42" s="15" t="n">
        <f aca="false">B42+C42+D42</f>
        <v>18503.7518274192</v>
      </c>
    </row>
    <row r="43" customFormat="false" ht="15" hidden="false" customHeight="false" outlineLevel="0" collapsed="false">
      <c r="A43" s="23" t="n">
        <v>42</v>
      </c>
      <c r="B43" s="23" t="n">
        <v>56807.5087211061</v>
      </c>
      <c r="C43" s="23" t="n">
        <v>4888.74468451883</v>
      </c>
      <c r="D43" s="23" t="n">
        <v>6699.43789404314</v>
      </c>
      <c r="E43" s="15" t="n">
        <f aca="false">B43+C43+D43</f>
        <v>68395.6912996681</v>
      </c>
    </row>
    <row r="44" customFormat="false" ht="15" hidden="false" customHeight="false" outlineLevel="0" collapsed="false">
      <c r="A44" s="23" t="n">
        <v>43</v>
      </c>
      <c r="B44" s="23" t="n">
        <v>6791.72465863441</v>
      </c>
      <c r="C44" s="23" t="n">
        <v>4692.77114258455</v>
      </c>
      <c r="D44" s="23" t="n">
        <v>6637.53531418106</v>
      </c>
      <c r="E44" s="15" t="n">
        <f aca="false">B44+C44+D44</f>
        <v>18122.0311154</v>
      </c>
    </row>
    <row r="45" customFormat="false" ht="15" hidden="false" customHeight="false" outlineLevel="0" collapsed="false">
      <c r="A45" s="23" t="n">
        <v>44</v>
      </c>
      <c r="B45" s="23" t="n">
        <v>6775.98609921772</v>
      </c>
      <c r="C45" s="23" t="n">
        <v>4663.2365791814</v>
      </c>
      <c r="D45" s="23" t="n">
        <v>6576.04420301978</v>
      </c>
      <c r="E45" s="15" t="n">
        <f aca="false">B45+C45+D45</f>
        <v>18015.2668814189</v>
      </c>
    </row>
    <row r="46" customFormat="false" ht="15" hidden="false" customHeight="false" outlineLevel="0" collapsed="false">
      <c r="A46" s="23" t="n">
        <v>45</v>
      </c>
      <c r="B46" s="23" t="n">
        <v>106760.292865479</v>
      </c>
      <c r="C46" s="23" t="n">
        <v>4633.88973374355</v>
      </c>
      <c r="D46" s="23" t="n">
        <v>6514.96163998902</v>
      </c>
      <c r="E46" s="15" t="n">
        <f aca="false">B46+C46+D46</f>
        <v>117909.144239211</v>
      </c>
    </row>
    <row r="47" customFormat="false" ht="15" hidden="false" customHeight="false" outlineLevel="0" collapsed="false">
      <c r="A47" s="23" t="n">
        <v>46</v>
      </c>
      <c r="B47" s="23" t="n">
        <v>6744.64478096481</v>
      </c>
      <c r="C47" s="23" t="n">
        <v>4500.5626886252</v>
      </c>
      <c r="D47" s="23" t="n">
        <v>6454.28472837958</v>
      </c>
      <c r="E47" s="15" t="n">
        <f aca="false">B47+C47+D47</f>
        <v>17699.4921979696</v>
      </c>
    </row>
    <row r="48" customFormat="false" ht="15" hidden="false" customHeight="false" outlineLevel="0" collapsed="false">
      <c r="A48" s="23" t="n">
        <v>47</v>
      </c>
      <c r="B48" s="23" t="n">
        <v>6729.04167014031</v>
      </c>
      <c r="C48" s="23" t="n">
        <v>4471.58753568436</v>
      </c>
      <c r="D48" s="23" t="n">
        <v>6394.01059512384</v>
      </c>
      <c r="E48" s="15" t="n">
        <f aca="false">B48+C48+D48</f>
        <v>17594.6398009485</v>
      </c>
    </row>
    <row r="49" customFormat="false" ht="15" hidden="false" customHeight="false" outlineLevel="0" collapsed="false">
      <c r="A49" s="23" t="n">
        <v>48</v>
      </c>
      <c r="B49" s="23" t="n">
        <v>106713.483358383</v>
      </c>
      <c r="C49" s="23" t="n">
        <v>4442.79637620094</v>
      </c>
      <c r="D49" s="23" t="n">
        <v>6334.13639057836</v>
      </c>
      <c r="E49" s="15" t="n">
        <f aca="false">B49+C49+D49</f>
        <v>117490.416125162</v>
      </c>
    </row>
    <row r="50" customFormat="false" ht="15" hidden="false" customHeight="false" outlineLevel="0" collapsed="false">
      <c r="A50" s="23" t="n">
        <v>49</v>
      </c>
      <c r="B50" s="23" t="n">
        <v>6697.96967197634</v>
      </c>
      <c r="C50" s="23" t="n">
        <v>4214.18798746204</v>
      </c>
      <c r="D50" s="23" t="n">
        <v>6274.65928830862</v>
      </c>
      <c r="E50" s="15" t="n">
        <f aca="false">B50+C50+D50</f>
        <v>17186.816947747</v>
      </c>
    </row>
    <row r="51" customFormat="false" ht="15" hidden="false" customHeight="false" outlineLevel="0" collapsed="false">
      <c r="A51" s="23" t="n">
        <v>50</v>
      </c>
      <c r="B51" s="23" t="n">
        <v>6682.50043810617</v>
      </c>
      <c r="C51" s="23" t="n">
        <v>4185.76115601488</v>
      </c>
      <c r="D51" s="23" t="n">
        <v>6215.57648487596</v>
      </c>
      <c r="E51" s="15" t="n">
        <f aca="false">B51+C51+D51</f>
        <v>17083.838078997</v>
      </c>
    </row>
    <row r="52" customFormat="false" ht="15" hidden="false" customHeight="false" outlineLevel="0" collapsed="false">
      <c r="A52" s="23" t="n">
        <v>51</v>
      </c>
      <c r="B52" s="23" t="n">
        <v>6667.075484853</v>
      </c>
      <c r="C52" s="23" t="n">
        <v>4157.51467758704</v>
      </c>
      <c r="D52" s="23" t="n">
        <v>6156.88519962652</v>
      </c>
      <c r="E52" s="15" t="n">
        <f aca="false">B52+C52+D52</f>
        <v>16981.4753620666</v>
      </c>
    </row>
    <row r="53" customFormat="false" ht="15" hidden="false" customHeight="false" outlineLevel="0" collapsed="false">
      <c r="A53" s="23" t="n">
        <v>52</v>
      </c>
      <c r="B53" s="23" t="n">
        <v>6651.69464118747</v>
      </c>
      <c r="C53" s="23" t="n">
        <v>4129.4473570075</v>
      </c>
      <c r="D53" s="23" t="n">
        <v>6098.5826744824</v>
      </c>
      <c r="E53" s="15" t="n">
        <f aca="false">B53+C53+D53</f>
        <v>16879.7246726774</v>
      </c>
    </row>
    <row r="54" customFormat="false" ht="15" hidden="false" customHeight="false" outlineLevel="0" collapsed="false">
      <c r="A54" s="23" t="n">
        <v>53</v>
      </c>
      <c r="B54" s="23" t="n">
        <v>6636.35773696463</v>
      </c>
      <c r="C54" s="23" t="n">
        <v>4101.55800812837</v>
      </c>
      <c r="D54" s="23" t="n">
        <v>6040.66617373472</v>
      </c>
      <c r="E54" s="15" t="n">
        <f aca="false">B54+C54+D54</f>
        <v>16778.5819188277</v>
      </c>
    </row>
    <row r="55" customFormat="false" ht="15" hidden="false" customHeight="false" outlineLevel="0" collapsed="false">
      <c r="A55" s="23" t="n">
        <v>54</v>
      </c>
      <c r="B55" s="23" t="n">
        <v>6621.06460291847</v>
      </c>
      <c r="C55" s="23" t="n">
        <v>4073.84545374743</v>
      </c>
      <c r="D55" s="23" t="n">
        <v>5983.13298383889</v>
      </c>
      <c r="E55" s="15" t="n">
        <f aca="false">B55+C55+D55</f>
        <v>16678.0430405048</v>
      </c>
    </row>
    <row r="56" customFormat="false" ht="15" hidden="false" customHeight="false" outlineLevel="0" collapsed="false">
      <c r="A56" s="23" t="n">
        <v>55</v>
      </c>
      <c r="B56" s="23" t="n">
        <v>6605.81507065642</v>
      </c>
      <c r="C56" s="23" t="n">
        <v>4046.30852553139</v>
      </c>
      <c r="D56" s="23" t="n">
        <v>5925.98041321175</v>
      </c>
      <c r="E56" s="15" t="n">
        <f aca="false">B56+C56+D56</f>
        <v>16578.1040093995</v>
      </c>
    </row>
    <row r="57" customFormat="false" ht="15" hidden="false" customHeight="false" outlineLevel="0" collapsed="false">
      <c r="A57" s="23" t="n">
        <v>56</v>
      </c>
      <c r="B57" s="23" t="n">
        <v>6590.60897265395</v>
      </c>
      <c r="C57" s="23" t="n">
        <v>4018.94606393976</v>
      </c>
      <c r="D57" s="23" t="n">
        <v>5869.20579203083</v>
      </c>
      <c r="E57" s="15" t="n">
        <f aca="false">B57+C57+D57</f>
        <v>16478.7608286245</v>
      </c>
    </row>
    <row r="58" customFormat="false" ht="15" hidden="false" customHeight="false" outlineLevel="0" collapsed="false">
      <c r="A58" s="23" t="n">
        <v>57</v>
      </c>
      <c r="B58" s="23" t="n">
        <v>6575.44614224923</v>
      </c>
      <c r="C58" s="23" t="n">
        <v>3991.75691814962</v>
      </c>
      <c r="D58" s="23" t="n">
        <v>5812.8064720355</v>
      </c>
      <c r="E58" s="15" t="n">
        <f aca="false">B58+C58+D58</f>
        <v>16380.0095324343</v>
      </c>
    </row>
    <row r="59" customFormat="false" ht="15" hidden="false" customHeight="false" outlineLevel="0" collapsed="false">
      <c r="A59" s="23" t="n">
        <v>58</v>
      </c>
      <c r="B59" s="23" t="n">
        <v>6560.32641363774</v>
      </c>
      <c r="C59" s="23" t="n">
        <v>3964.73994598093</v>
      </c>
      <c r="D59" s="23" t="n">
        <v>5756.77982633013</v>
      </c>
      <c r="E59" s="15" t="n">
        <f aca="false">B59+C59+D59</f>
        <v>16281.8461859488</v>
      </c>
    </row>
    <row r="60" customFormat="false" ht="15" hidden="false" customHeight="false" outlineLevel="0" collapsed="false">
      <c r="A60" s="23" t="n">
        <v>59</v>
      </c>
      <c r="B60" s="23" t="n">
        <v>6545.24962186695</v>
      </c>
      <c r="C60" s="23" t="n">
        <v>3937.89401382266</v>
      </c>
      <c r="D60" s="23" t="n">
        <v>5701.12324918919</v>
      </c>
      <c r="E60" s="15" t="n">
        <f aca="false">B60+C60+D60</f>
        <v>16184.2668848788</v>
      </c>
    </row>
    <row r="61" customFormat="false" ht="15" hidden="false" customHeight="false" outlineLevel="0" collapsed="false">
      <c r="A61" s="23" t="n">
        <v>60</v>
      </c>
      <c r="B61" s="23" t="n">
        <v>246530.215602831</v>
      </c>
      <c r="C61" s="23" t="n">
        <v>3911.21799655953</v>
      </c>
      <c r="D61" s="23" t="n">
        <v>5645.83415586423</v>
      </c>
      <c r="E61" s="15" t="n">
        <f aca="false">B61+C61+D61</f>
        <v>256087.267755255</v>
      </c>
    </row>
    <row r="62" customFormat="false" ht="15" hidden="false" customHeight="false" outlineLevel="0" collapsed="false">
      <c r="A62" s="23" t="n">
        <v>61</v>
      </c>
      <c r="B62" s="23" t="n">
        <v>6515.22419326592</v>
      </c>
      <c r="C62" s="23" t="n">
        <v>3489.7107774995</v>
      </c>
      <c r="D62" s="23" t="n">
        <v>5590.90998239281</v>
      </c>
      <c r="E62" s="15" t="n">
        <f aca="false">B62+C62+D62</f>
        <v>15595.8449531582</v>
      </c>
    </row>
    <row r="63" customFormat="false" ht="15" hidden="false" customHeight="false" outlineLevel="0" collapsed="false">
      <c r="A63" s="23" t="n">
        <v>62</v>
      </c>
      <c r="B63" s="23" t="n">
        <v>6500.27523074346</v>
      </c>
      <c r="C63" s="23" t="n">
        <v>3463.37124830188</v>
      </c>
      <c r="D63" s="23" t="n">
        <v>5536.34818540923</v>
      </c>
      <c r="E63" s="15" t="n">
        <f aca="false">B63+C63+D63</f>
        <v>15499.9946644546</v>
      </c>
    </row>
    <row r="64" customFormat="false" ht="15" hidden="false" customHeight="false" outlineLevel="0" collapsed="false">
      <c r="A64" s="23" t="n">
        <v>63</v>
      </c>
      <c r="B64" s="23" t="n">
        <v>6485.36855366689</v>
      </c>
      <c r="C64" s="23" t="n">
        <v>3437.1983089062</v>
      </c>
      <c r="D64" s="23" t="n">
        <v>5482.14624195725</v>
      </c>
      <c r="E64" s="15" t="n">
        <f aca="false">B64+C64+D64</f>
        <v>15404.7131045303</v>
      </c>
    </row>
    <row r="65" customFormat="false" ht="15" hidden="false" customHeight="false" outlineLevel="0" collapsed="false">
      <c r="A65" s="23" t="n">
        <v>64</v>
      </c>
      <c r="B65" s="23" t="n">
        <v>6470.50400126539</v>
      </c>
      <c r="C65" s="23" t="n">
        <v>3411.19086746162</v>
      </c>
      <c r="D65" s="23" t="n">
        <v>5428.30164930453</v>
      </c>
      <c r="E65" s="15" t="n">
        <f aca="false">B65+C65+D65</f>
        <v>15309.9965180315</v>
      </c>
    </row>
    <row r="66" customFormat="false" ht="15" hidden="false" customHeight="false" outlineLevel="0" collapsed="false">
      <c r="A66" s="23" t="n">
        <v>65</v>
      </c>
      <c r="B66" s="23" t="n">
        <v>6455.68141358906</v>
      </c>
      <c r="C66" s="23" t="n">
        <v>3385.34784025716</v>
      </c>
      <c r="D66" s="23" t="n">
        <v>5374.81192475894</v>
      </c>
      <c r="E66" s="15" t="n">
        <f aca="false">B66+C66+D66</f>
        <v>15215.8411786052</v>
      </c>
    </row>
    <row r="67" customFormat="false" ht="15" hidden="false" customHeight="false" outlineLevel="0" collapsed="false">
      <c r="A67" s="23" t="n">
        <v>66</v>
      </c>
      <c r="B67" s="23" t="n">
        <v>6440.90063150383</v>
      </c>
      <c r="C67" s="23" t="n">
        <v>3359.66815165243</v>
      </c>
      <c r="D67" s="23" t="n">
        <v>5321.67460548669</v>
      </c>
      <c r="E67" s="15" t="n">
        <f aca="false">B67+C67+D67</f>
        <v>15122.2433886429</v>
      </c>
    </row>
    <row r="68" customFormat="false" ht="15" hidden="false" customHeight="false" outlineLevel="0" collapsed="false">
      <c r="A68" s="23" t="n">
        <v>67</v>
      </c>
      <c r="B68" s="23" t="n">
        <v>6426.16149668646</v>
      </c>
      <c r="C68" s="23" t="n">
        <v>3334.15073400909</v>
      </c>
      <c r="D68" s="23" t="n">
        <v>5268.88724833221</v>
      </c>
      <c r="E68" s="15" t="n">
        <f aca="false">B68+C68+D68</f>
        <v>15029.1994790278</v>
      </c>
    </row>
    <row r="69" customFormat="false" ht="15" hidden="false" customHeight="false" outlineLevel="0" collapsed="false">
      <c r="A69" s="23" t="n">
        <v>68</v>
      </c>
      <c r="B69" s="23" t="n">
        <v>6411.46385161951</v>
      </c>
      <c r="C69" s="23" t="n">
        <v>3308.79452762297</v>
      </c>
      <c r="D69" s="23" t="n">
        <v>5216.44742963984</v>
      </c>
      <c r="E69" s="15" t="n">
        <f aca="false">B69+C69+D69</f>
        <v>14936.7058088823</v>
      </c>
    </row>
    <row r="70" customFormat="false" ht="15" hidden="false" customHeight="false" outlineLevel="0" collapsed="false">
      <c r="A70" s="23" t="n">
        <v>69</v>
      </c>
      <c r="B70" s="23" t="n">
        <v>6396.80753958643</v>
      </c>
      <c r="C70" s="23" t="n">
        <v>3283.59848065675</v>
      </c>
      <c r="D70" s="23" t="n">
        <v>5164.35274507721</v>
      </c>
      <c r="E70" s="15" t="n">
        <f aca="false">B70+C70+D70</f>
        <v>14844.7587653204</v>
      </c>
    </row>
    <row r="71" customFormat="false" ht="15" hidden="false" customHeight="false" outlineLevel="0" collapsed="false">
      <c r="A71" s="23" t="n">
        <v>70</v>
      </c>
      <c r="B71" s="23" t="n">
        <v>6382.19240466658</v>
      </c>
      <c r="C71" s="23" t="n">
        <v>3258.56154907334</v>
      </c>
      <c r="D71" s="23" t="n">
        <v>5112.60080946044</v>
      </c>
      <c r="E71" s="15" t="n">
        <f aca="false">B71+C71+D71</f>
        <v>14753.3547632004</v>
      </c>
    </row>
    <row r="72" customFormat="false" ht="15" hidden="false" customHeight="false" outlineLevel="0" collapsed="false">
      <c r="A72" s="23" t="n">
        <v>71</v>
      </c>
      <c r="B72" s="23" t="n">
        <v>6367.61829173036</v>
      </c>
      <c r="C72" s="23" t="n">
        <v>3233.68269656982</v>
      </c>
      <c r="D72" s="23" t="n">
        <v>5061.18925658095</v>
      </c>
      <c r="E72" s="15" t="n">
        <f aca="false">B72+C72+D72</f>
        <v>14662.4902448811</v>
      </c>
    </row>
    <row r="73" customFormat="false" ht="15" hidden="false" customHeight="false" outlineLevel="0" collapsed="false">
      <c r="A73" s="23" t="n">
        <v>72</v>
      </c>
      <c r="B73" s="23" t="n">
        <v>56353.0850464344</v>
      </c>
      <c r="C73" s="23" t="n">
        <v>3208.96089451204</v>
      </c>
      <c r="D73" s="23" t="n">
        <v>5010.11573903404</v>
      </c>
      <c r="E73" s="15" t="n">
        <f aca="false">B73+C73+D73</f>
        <v>64572.1616799804</v>
      </c>
    </row>
    <row r="74" customFormat="false" ht="15" hidden="false" customHeight="false" outlineLevel="0" collapsed="false">
      <c r="A74" s="23" t="n">
        <v>73</v>
      </c>
      <c r="B74" s="23" t="n">
        <v>6338.59251521647</v>
      </c>
      <c r="C74" s="23" t="n">
        <v>3082.31178853652</v>
      </c>
      <c r="D74" s="23" t="n">
        <v>4959.37792804914</v>
      </c>
      <c r="E74" s="15" t="n">
        <f aca="false">B74+C74+D74</f>
        <v>14380.2822318021</v>
      </c>
    </row>
    <row r="75" customFormat="false" ht="15" hidden="false" customHeight="false" outlineLevel="0" collapsed="false">
      <c r="A75" s="23" t="n">
        <v>74</v>
      </c>
      <c r="B75" s="23" t="n">
        <v>6324.1405452912</v>
      </c>
      <c r="C75" s="23" t="n">
        <v>3057.9010318195</v>
      </c>
      <c r="D75" s="23" t="n">
        <v>4908.97351332166</v>
      </c>
      <c r="E75" s="15" t="n">
        <f aca="false">B75+C75+D75</f>
        <v>14291.0150904324</v>
      </c>
    </row>
    <row r="76" customFormat="false" ht="15" hidden="false" customHeight="false" outlineLevel="0" collapsed="false">
      <c r="A76" s="23" t="n">
        <v>75</v>
      </c>
      <c r="B76" s="23" t="n">
        <v>6309.72898464478</v>
      </c>
      <c r="C76" s="23" t="n">
        <v>3033.64428501344</v>
      </c>
      <c r="D76" s="23" t="n">
        <v>4858.90020284661</v>
      </c>
      <c r="E76" s="15" t="n">
        <f aca="false">B76+C76+D76</f>
        <v>14202.2734725048</v>
      </c>
    </row>
    <row r="77" customFormat="false" ht="15" hidden="false" customHeight="false" outlineLevel="0" collapsed="false">
      <c r="A77" s="23" t="n">
        <v>76</v>
      </c>
      <c r="B77" s="23" t="n">
        <v>6295.35768203053</v>
      </c>
      <c r="C77" s="23" t="n">
        <v>3009.54054951725</v>
      </c>
      <c r="D77" s="23" t="n">
        <v>4809.15572275368</v>
      </c>
      <c r="E77" s="15" t="n">
        <f aca="false">B77+C77+D77</f>
        <v>14114.0539543015</v>
      </c>
    </row>
    <row r="78" customFormat="false" ht="15" hidden="false" customHeight="false" outlineLevel="0" collapsed="false">
      <c r="A78" s="23" t="n">
        <v>77</v>
      </c>
      <c r="B78" s="23" t="n">
        <v>6281.0264869641</v>
      </c>
      <c r="C78" s="23" t="n">
        <v>2985.58883408059</v>
      </c>
      <c r="D78" s="23" t="n">
        <v>4759.73781714411</v>
      </c>
      <c r="E78" s="15" t="n">
        <f aca="false">B78+C78+D78</f>
        <v>14026.3531381888</v>
      </c>
    </row>
    <row r="79" customFormat="false" ht="15" hidden="false" customHeight="false" outlineLevel="0" collapsed="false">
      <c r="A79" s="23" t="n">
        <v>78</v>
      </c>
      <c r="B79" s="23" t="n">
        <v>46266.7352497188</v>
      </c>
      <c r="C79" s="23" t="n">
        <v>2961.78815474203</v>
      </c>
      <c r="D79" s="23" t="n">
        <v>4710.64424792901</v>
      </c>
      <c r="E79" s="15" t="n">
        <f aca="false">B79+C79+D79</f>
        <v>53939.1676523899</v>
      </c>
    </row>
    <row r="80" customFormat="false" ht="15" hidden="false" customHeight="false" outlineLevel="0" collapsed="false">
      <c r="A80" s="23" t="n">
        <v>79</v>
      </c>
      <c r="B80" s="23" t="n">
        <v>6252.48382132107</v>
      </c>
      <c r="C80" s="23" t="n">
        <v>2873.13753476773</v>
      </c>
      <c r="D80" s="23" t="n">
        <v>4661.87279466932</v>
      </c>
      <c r="E80" s="15" t="n">
        <f aca="false">B80+C80+D80</f>
        <v>13787.4941507581</v>
      </c>
    </row>
    <row r="81" customFormat="false" ht="15" hidden="false" customHeight="false" outlineLevel="0" collapsed="false">
      <c r="A81" s="23" t="n">
        <v>80</v>
      </c>
      <c r="B81" s="23" t="n">
        <v>6238.27205354566</v>
      </c>
      <c r="C81" s="23" t="n">
        <v>2849.6360045908</v>
      </c>
      <c r="D81" s="23" t="n">
        <v>4613.42125441737</v>
      </c>
      <c r="E81" s="15" t="n">
        <f aca="false">B81+C81+D81</f>
        <v>13701.3293125538</v>
      </c>
    </row>
    <row r="82" customFormat="false" ht="15" hidden="false" customHeight="false" outlineLevel="0" collapsed="false">
      <c r="A82" s="23" t="n">
        <v>81</v>
      </c>
      <c r="B82" s="23" t="n">
        <v>6224.09979891127</v>
      </c>
      <c r="C82" s="23" t="n">
        <v>2826.2826017511</v>
      </c>
      <c r="D82" s="23" t="n">
        <v>4565.28744155989</v>
      </c>
      <c r="E82" s="15" t="n">
        <f aca="false">B82+C82+D82</f>
        <v>13615.6698422223</v>
      </c>
    </row>
    <row r="83" customFormat="false" ht="15" hidden="false" customHeight="false" outlineLevel="0" collapsed="false">
      <c r="A83" s="23" t="n">
        <v>82</v>
      </c>
      <c r="B83" s="23" t="n">
        <v>6209.96691067587</v>
      </c>
      <c r="C83" s="23" t="n">
        <v>2803.07637083574</v>
      </c>
      <c r="D83" s="23" t="n">
        <v>4517.46918766265</v>
      </c>
      <c r="E83" s="15" t="n">
        <f aca="false">B83+C83+D83</f>
        <v>13530.5124691743</v>
      </c>
    </row>
    <row r="84" customFormat="false" ht="15" hidden="false" customHeight="false" outlineLevel="0" collapsed="false">
      <c r="A84" s="23" t="n">
        <v>83</v>
      </c>
      <c r="B84" s="23" t="n">
        <v>6195.87324283225</v>
      </c>
      <c r="C84" s="23" t="n">
        <v>2780.01636341997</v>
      </c>
      <c r="D84" s="23" t="n">
        <v>4469.96434131655</v>
      </c>
      <c r="E84" s="15" t="n">
        <f aca="false">B84+C84+D84</f>
        <v>13445.8539475688</v>
      </c>
    </row>
    <row r="85" customFormat="false" ht="15" hidden="false" customHeight="false" outlineLevel="0" collapsed="false">
      <c r="A85" s="23" t="n">
        <v>84</v>
      </c>
      <c r="B85" s="23" t="n">
        <v>6181.8186501035</v>
      </c>
      <c r="C85" s="23" t="n">
        <v>2757.10163800876</v>
      </c>
      <c r="D85" s="23" t="n">
        <v>4422.77076798523</v>
      </c>
      <c r="E85" s="15" t="n">
        <f aca="false">B85+C85+D85</f>
        <v>13361.6910560975</v>
      </c>
    </row>
    <row r="86" customFormat="false" ht="15" hidden="false" customHeight="false" outlineLevel="0" collapsed="false">
      <c r="A86" s="23" t="n">
        <v>85</v>
      </c>
      <c r="B86" s="23" t="n">
        <v>6167.80298793857</v>
      </c>
      <c r="C86" s="23" t="n">
        <v>2734.33125997883</v>
      </c>
      <c r="D86" s="23" t="n">
        <v>4375.88634985417</v>
      </c>
      <c r="E86" s="15" t="n">
        <f aca="false">B86+C86+D86</f>
        <v>13278.0205977716</v>
      </c>
    </row>
    <row r="87" customFormat="false" ht="15" hidden="false" customHeight="false" outlineLevel="0" collapsed="false">
      <c r="A87" s="23" t="n">
        <v>86</v>
      </c>
      <c r="B87" s="23" t="n">
        <v>6153.82611250786</v>
      </c>
      <c r="C87" s="23" t="n">
        <v>2711.70430152126</v>
      </c>
      <c r="D87" s="23" t="n">
        <v>4329.30898568129</v>
      </c>
      <c r="E87" s="15" t="n">
        <f aca="false">B87+C87+D87</f>
        <v>13194.8393997104</v>
      </c>
    </row>
    <row r="88" customFormat="false" ht="15" hidden="false" customHeight="false" outlineLevel="0" collapsed="false">
      <c r="A88" s="23" t="n">
        <v>87</v>
      </c>
      <c r="B88" s="23" t="n">
        <v>6139.88788069878</v>
      </c>
      <c r="C88" s="23" t="n">
        <v>2689.21984158459</v>
      </c>
      <c r="D88" s="23" t="n">
        <v>4283.03659064888</v>
      </c>
      <c r="E88" s="15" t="n">
        <f aca="false">B88+C88+D88</f>
        <v>13112.1443129322</v>
      </c>
    </row>
    <row r="89" customFormat="false" ht="15" hidden="false" customHeight="false" outlineLevel="0" collapsed="false">
      <c r="A89" s="23" t="n">
        <v>88</v>
      </c>
      <c r="B89" s="23" t="n">
        <v>6125.98815011143</v>
      </c>
      <c r="C89" s="23" t="n">
        <v>2666.87696581854</v>
      </c>
      <c r="D89" s="23" t="n">
        <v>4237.06709621717</v>
      </c>
      <c r="E89" s="15" t="n">
        <f aca="false">B89+C89+D89</f>
        <v>13029.9322121471</v>
      </c>
    </row>
    <row r="90" customFormat="false" ht="15" hidden="false" customHeight="false" outlineLevel="0" collapsed="false">
      <c r="A90" s="23" t="n">
        <v>89</v>
      </c>
      <c r="B90" s="23" t="n">
        <v>6112.12677905424</v>
      </c>
      <c r="C90" s="23" t="n">
        <v>2644.6747665181</v>
      </c>
      <c r="D90" s="23" t="n">
        <v>4191.39844997913</v>
      </c>
      <c r="E90" s="15" t="n">
        <f aca="false">B90+C90+D90</f>
        <v>12948.1999955515</v>
      </c>
    </row>
    <row r="91" customFormat="false" ht="15" hidden="false" customHeight="false" outlineLevel="0" collapsed="false">
      <c r="A91" s="23" t="n">
        <v>90</v>
      </c>
      <c r="B91" s="23" t="n">
        <v>56098.3036265397</v>
      </c>
      <c r="C91" s="23" t="n">
        <v>2622.61234256828</v>
      </c>
      <c r="D91" s="23" t="n">
        <v>4146.02861551679</v>
      </c>
      <c r="E91" s="15" t="n">
        <f aca="false">B91+C91+D91</f>
        <v>62866.9445846247</v>
      </c>
    </row>
    <row r="92" customFormat="false" ht="15" hidden="false" customHeight="false" outlineLevel="0" collapsed="false">
      <c r="A92" s="23" t="n">
        <v>91</v>
      </c>
      <c r="B92" s="23" t="n">
        <v>6084.51855227995</v>
      </c>
      <c r="C92" s="23" t="n">
        <v>2494.43879938928</v>
      </c>
      <c r="D92" s="23" t="n">
        <v>4100.95557225897</v>
      </c>
      <c r="E92" s="15" t="n">
        <f aca="false">B92+C92+D92</f>
        <v>12679.9129239282</v>
      </c>
    </row>
    <row r="93" customFormat="false" ht="15" hidden="false" customHeight="false" outlineLevel="0" collapsed="false">
      <c r="A93" s="23" t="n">
        <v>92</v>
      </c>
      <c r="B93" s="23" t="n">
        <v>6070.77141668276</v>
      </c>
      <c r="C93" s="23" t="n">
        <v>2472.6532488822</v>
      </c>
      <c r="D93" s="23" t="n">
        <v>4056.17731534029</v>
      </c>
      <c r="E93" s="15" t="n">
        <f aca="false">B93+C93+D93</f>
        <v>12599.6019809052</v>
      </c>
    </row>
    <row r="94" customFormat="false" ht="15" hidden="false" customHeight="false" outlineLevel="0" collapsed="false">
      <c r="A94" s="23" t="n">
        <v>93</v>
      </c>
      <c r="B94" s="23" t="n">
        <v>6057.06208084709</v>
      </c>
      <c r="C94" s="23" t="n">
        <v>2451.00480937525</v>
      </c>
      <c r="D94" s="23" t="n">
        <v>4011.69185546163</v>
      </c>
      <c r="E94" s="15" t="n">
        <f aca="false">B94+C94+D94</f>
        <v>12519.758745684</v>
      </c>
    </row>
    <row r="95" customFormat="false" ht="15" hidden="false" customHeight="false" outlineLevel="0" collapsed="false">
      <c r="A95" s="23" t="n">
        <v>94</v>
      </c>
      <c r="B95" s="23" t="n">
        <v>6043.39040655901</v>
      </c>
      <c r="C95" s="23" t="n">
        <v>2429.49260557044</v>
      </c>
      <c r="D95" s="23" t="n">
        <v>3967.49721875196</v>
      </c>
      <c r="E95" s="15" t="n">
        <f aca="false">B95+C95+D95</f>
        <v>12440.3802308814</v>
      </c>
    </row>
    <row r="96" customFormat="false" ht="15" hidden="false" customHeight="false" outlineLevel="0" collapsed="false">
      <c r="A96" s="23" t="n">
        <v>95</v>
      </c>
      <c r="B96" s="23" t="n">
        <v>6029.7562562875</v>
      </c>
      <c r="C96" s="23" t="n">
        <v>2408.11576849079</v>
      </c>
      <c r="D96" s="23" t="n">
        <v>3923.59144663145</v>
      </c>
      <c r="E96" s="15" t="n">
        <f aca="false">B96+C96+D96</f>
        <v>12361.4634714097</v>
      </c>
    </row>
    <row r="97" customFormat="false" ht="15" hidden="false" customHeight="false" outlineLevel="0" collapsed="false">
      <c r="A97" s="23" t="n">
        <v>96</v>
      </c>
      <c r="B97" s="23" t="n">
        <v>50896.6424931803</v>
      </c>
      <c r="C97" s="23" t="n">
        <v>2386.87343542796</v>
      </c>
      <c r="D97" s="23" t="n">
        <v>3879.9725956759</v>
      </c>
      <c r="E97" s="15" t="n">
        <f aca="false">B97+C97+D97</f>
        <v>57163.4885242842</v>
      </c>
    </row>
    <row r="98" customFormat="false" ht="15" hidden="false" customHeight="false" outlineLevel="0" collapsed="false">
      <c r="A98" s="23" t="n">
        <v>97</v>
      </c>
      <c r="B98" s="23" t="n">
        <v>6002.59998105994</v>
      </c>
      <c r="C98" s="23" t="n">
        <v>2289.09392476547</v>
      </c>
      <c r="D98" s="23" t="n">
        <v>3836.63873748256</v>
      </c>
      <c r="E98" s="15" t="n">
        <f aca="false">B98+C98+D98</f>
        <v>12128.332643308</v>
      </c>
    </row>
    <row r="99" customFormat="false" ht="15" hidden="false" customHeight="false" outlineLevel="0" collapsed="false">
      <c r="A99" s="23" t="n">
        <v>98</v>
      </c>
      <c r="B99" s="23" t="n">
        <v>5989.07758441934</v>
      </c>
      <c r="C99" s="23" t="n">
        <v>2268.11803642728</v>
      </c>
      <c r="D99" s="23" t="n">
        <v>3793.58795853721</v>
      </c>
      <c r="E99" s="15" t="n">
        <f aca="false">B99+C99+D99</f>
        <v>12050.7835793838</v>
      </c>
    </row>
    <row r="100" customFormat="false" ht="15" hidden="false" customHeight="false" outlineLevel="0" collapsed="false">
      <c r="A100" s="23" t="n">
        <v>99</v>
      </c>
      <c r="B100" s="23" t="n">
        <v>5975.59216841808</v>
      </c>
      <c r="C100" s="23" t="n">
        <v>2247.27410107691</v>
      </c>
      <c r="D100" s="23" t="n">
        <v>3750.81836008245</v>
      </c>
      <c r="E100" s="15" t="n">
        <f aca="false">B100+C100+D100</f>
        <v>11973.6846295774</v>
      </c>
    </row>
    <row r="101" customFormat="false" ht="15" hidden="false" customHeight="false" outlineLevel="0" collapsed="false">
      <c r="A101" s="23" t="n">
        <v>100</v>
      </c>
      <c r="B101" s="23" t="n">
        <v>5962.14359887822</v>
      </c>
      <c r="C101" s="23" t="n">
        <v>2226.56128056704</v>
      </c>
      <c r="D101" s="23" t="n">
        <v>3708.32805798742</v>
      </c>
      <c r="E101" s="15" t="n">
        <f aca="false">B101+C101+D101</f>
        <v>11897.0329374327</v>
      </c>
    </row>
    <row r="102" customFormat="false" ht="15" hidden="false" customHeight="false" outlineLevel="0" collapsed="false">
      <c r="A102" s="23" t="n">
        <v>101</v>
      </c>
      <c r="B102" s="23" t="n">
        <v>5948.73174228031</v>
      </c>
      <c r="C102" s="23" t="n">
        <v>2205.97874276448</v>
      </c>
      <c r="D102" s="23" t="n">
        <v>3666.11518261865</v>
      </c>
      <c r="E102" s="15" t="n">
        <f aca="false">B102+C102+D102</f>
        <v>11820.8256676634</v>
      </c>
    </row>
    <row r="103" customFormat="false" ht="15" hidden="false" customHeight="false" outlineLevel="0" collapsed="false">
      <c r="A103" s="23" t="n">
        <v>102</v>
      </c>
      <c r="B103" s="23" t="n">
        <v>5935.35646575944</v>
      </c>
      <c r="C103" s="23" t="n">
        <v>2185.52566150072</v>
      </c>
      <c r="D103" s="23" t="n">
        <v>3624.1778787122</v>
      </c>
      <c r="E103" s="15" t="n">
        <f aca="false">B103+C103+D103</f>
        <v>11745.0600059724</v>
      </c>
    </row>
    <row r="104" customFormat="false" ht="15" hidden="false" customHeight="false" outlineLevel="0" collapsed="false">
      <c r="A104" s="23" t="n">
        <v>103</v>
      </c>
      <c r="B104" s="23" t="n">
        <v>5922.01763710125</v>
      </c>
      <c r="C104" s="23" t="n">
        <v>2165.20121652285</v>
      </c>
      <c r="D104" s="23" t="n">
        <v>3582.51430524705</v>
      </c>
      <c r="E104" s="15" t="n">
        <f aca="false">B104+C104+D104</f>
        <v>11669.7331588712</v>
      </c>
    </row>
    <row r="105" customFormat="false" ht="15" hidden="false" customHeight="false" outlineLevel="0" collapsed="false">
      <c r="A105" s="23" t="n">
        <v>104</v>
      </c>
      <c r="B105" s="23" t="n">
        <v>5908.71512473808</v>
      </c>
      <c r="C105" s="23" t="n">
        <v>2145.00459344495</v>
      </c>
      <c r="D105" s="23" t="n">
        <v>3541.1226353197</v>
      </c>
      <c r="E105" s="15" t="n">
        <f aca="false">B105+C105+D105</f>
        <v>11594.8423535027</v>
      </c>
    </row>
    <row r="106" customFormat="false" ht="15" hidden="false" customHeight="false" outlineLevel="0" collapsed="false">
      <c r="A106" s="23" t="n">
        <v>105</v>
      </c>
      <c r="B106" s="23" t="n">
        <v>5895.448797745</v>
      </c>
      <c r="C106" s="23" t="n">
        <v>2124.93498369994</v>
      </c>
      <c r="D106" s="23" t="n">
        <v>3500.00105601996</v>
      </c>
      <c r="E106" s="15" t="n">
        <f aca="false">B106+C106+D106</f>
        <v>11520.3848374649</v>
      </c>
    </row>
    <row r="107" customFormat="false" ht="15" hidden="false" customHeight="false" outlineLevel="0" collapsed="false">
      <c r="A107" s="23" t="n">
        <v>106</v>
      </c>
      <c r="B107" s="23" t="n">
        <v>5882.21852583595</v>
      </c>
      <c r="C107" s="23" t="n">
        <v>2104.99158449183</v>
      </c>
      <c r="D107" s="23" t="n">
        <v>3459.14776830798</v>
      </c>
      <c r="E107" s="15" t="n">
        <f aca="false">B107+C107+D107</f>
        <v>11446.3578786358</v>
      </c>
    </row>
    <row r="108" customFormat="false" ht="15" hidden="false" customHeight="false" outlineLevel="0" collapsed="false">
      <c r="A108" s="23" t="n">
        <v>107</v>
      </c>
      <c r="B108" s="23" t="n">
        <v>5869.02417935997</v>
      </c>
      <c r="C108" s="23" t="n">
        <v>2085.17359874846</v>
      </c>
      <c r="D108" s="23" t="n">
        <v>3418.56098689246</v>
      </c>
      <c r="E108" s="15" t="n">
        <f aca="false">B108+C108+D108</f>
        <v>11372.7587650009</v>
      </c>
    </row>
    <row r="109" customFormat="false" ht="15" hidden="false" customHeight="false" outlineLevel="0" collapsed="false">
      <c r="A109" s="23" t="n">
        <v>108</v>
      </c>
      <c r="B109" s="23" t="n">
        <v>95855.8656292973</v>
      </c>
      <c r="C109" s="23" t="n">
        <v>2065.48023507465</v>
      </c>
      <c r="D109" s="23" t="n">
        <v>3378.23894010996</v>
      </c>
      <c r="E109" s="15" t="n">
        <f aca="false">B109+C109+D109</f>
        <v>101299.584804482</v>
      </c>
    </row>
    <row r="110" customFormat="false" ht="15" hidden="false" customHeight="false" outlineLevel="0" collapsed="false">
      <c r="A110" s="23" t="n">
        <v>109</v>
      </c>
      <c r="B110" s="23" t="n">
        <v>5842.74274725557</v>
      </c>
      <c r="C110" s="23" t="n">
        <v>1863.82737437241</v>
      </c>
      <c r="D110" s="23" t="n">
        <v>3338.17986980548</v>
      </c>
      <c r="E110" s="15" t="n">
        <f aca="false">B110+C110+D110</f>
        <v>11044.7499914335</v>
      </c>
    </row>
    <row r="111" customFormat="false" ht="15" hidden="false" customHeight="false" outlineLevel="0" collapsed="false">
      <c r="A111" s="23" t="n">
        <v>110</v>
      </c>
      <c r="B111" s="23" t="n">
        <v>5829.65540546616</v>
      </c>
      <c r="C111" s="23" t="n">
        <v>1844.38090312828</v>
      </c>
      <c r="D111" s="23" t="n">
        <v>3298.38203121412</v>
      </c>
      <c r="E111" s="15" t="n">
        <f aca="false">B111+C111+D111</f>
        <v>10972.4183398086</v>
      </c>
    </row>
    <row r="112" customFormat="false" ht="15" hidden="false" customHeight="false" outlineLevel="0" collapsed="false">
      <c r="A112" s="23" t="n">
        <v>111</v>
      </c>
      <c r="B112" s="23" t="n">
        <v>5816.60347678031</v>
      </c>
      <c r="C112" s="23" t="n">
        <v>1825.05671336776</v>
      </c>
      <c r="D112" s="23" t="n">
        <v>3258.84369284389</v>
      </c>
      <c r="E112" s="15" t="n">
        <f aca="false">B112+C112+D112</f>
        <v>10900.503882992</v>
      </c>
    </row>
    <row r="113" customFormat="false" ht="15" hidden="false" customHeight="false" outlineLevel="0" collapsed="false">
      <c r="A113" s="23" t="n">
        <v>112</v>
      </c>
      <c r="B113" s="23" t="n">
        <v>5803.58683466549</v>
      </c>
      <c r="C113" s="23" t="n">
        <v>1805.85403594345</v>
      </c>
      <c r="D113" s="23" t="n">
        <v>3219.56313635967</v>
      </c>
      <c r="E113" s="15" t="n">
        <f aca="false">B113+C113+D113</f>
        <v>10829.0040069686</v>
      </c>
    </row>
    <row r="114" customFormat="false" ht="15" hidden="false" customHeight="false" outlineLevel="0" collapsed="false">
      <c r="A114" s="23" t="n">
        <v>113</v>
      </c>
      <c r="B114" s="23" t="n">
        <v>5790.60535320167</v>
      </c>
      <c r="C114" s="23" t="n">
        <v>1786.77210715697</v>
      </c>
      <c r="D114" s="23" t="n">
        <v>3180.53865646827</v>
      </c>
      <c r="E114" s="15" t="n">
        <f aca="false">B114+C114+D114</f>
        <v>10757.9161168269</v>
      </c>
    </row>
    <row r="115" customFormat="false" ht="15" hidden="false" customHeight="false" outlineLevel="0" collapsed="false">
      <c r="A115" s="23" t="n">
        <v>114</v>
      </c>
      <c r="B115" s="23" t="n">
        <v>5777.65890707768</v>
      </c>
      <c r="C115" s="23" t="n">
        <v>1767.8101687146</v>
      </c>
      <c r="D115" s="23" t="n">
        <v>3141.76856080458</v>
      </c>
      <c r="E115" s="15" t="n">
        <f aca="false">B115+C115+D115</f>
        <v>10687.2376365969</v>
      </c>
    </row>
    <row r="116" customFormat="false" ht="15" hidden="false" customHeight="false" outlineLevel="0" collapsed="false">
      <c r="A116" s="23" t="n">
        <v>115</v>
      </c>
      <c r="B116" s="23" t="n">
        <v>5764.74737158754</v>
      </c>
      <c r="C116" s="23" t="n">
        <v>1748.96746768332</v>
      </c>
      <c r="D116" s="23" t="n">
        <v>3103.25116981882</v>
      </c>
      <c r="E116" s="15" t="n">
        <f aca="false">B116+C116+D116</f>
        <v>10616.9660090897</v>
      </c>
    </row>
    <row r="117" customFormat="false" ht="15" hidden="false" customHeight="false" outlineLevel="0" collapsed="false">
      <c r="A117" s="23" t="n">
        <v>116</v>
      </c>
      <c r="B117" s="23" t="n">
        <v>5751.87062262683</v>
      </c>
      <c r="C117" s="23" t="n">
        <v>1730.24325644729</v>
      </c>
      <c r="D117" s="23" t="n">
        <v>3064.9848166649</v>
      </c>
      <c r="E117" s="15" t="n">
        <f aca="false">B117+C117+D117</f>
        <v>10547.098695739</v>
      </c>
    </row>
    <row r="118" customFormat="false" ht="15" hidden="false" customHeight="false" outlineLevel="0" collapsed="false">
      <c r="A118" s="23" t="n">
        <v>117</v>
      </c>
      <c r="B118" s="23" t="n">
        <v>5739.02853668913</v>
      </c>
      <c r="C118" s="23" t="n">
        <v>1711.63679266468</v>
      </c>
      <c r="D118" s="23" t="n">
        <v>3026.96784708985</v>
      </c>
      <c r="E118" s="15" t="n">
        <f aca="false">B118+C118+D118</f>
        <v>10477.6331764437</v>
      </c>
    </row>
    <row r="119" customFormat="false" ht="15" hidden="false" customHeight="false" outlineLevel="0" collapsed="false">
      <c r="A119" s="23" t="n">
        <v>118</v>
      </c>
      <c r="B119" s="23" t="n">
        <v>5726.22099086245</v>
      </c>
      <c r="C119" s="23" t="n">
        <v>1693.14733922486</v>
      </c>
      <c r="D119" s="23" t="n">
        <v>2989.19861932421</v>
      </c>
      <c r="E119" s="15" t="n">
        <f aca="false">B119+C119+D119</f>
        <v>10408.5669494115</v>
      </c>
    </row>
    <row r="120" customFormat="false" ht="15" hidden="false" customHeight="false" outlineLevel="0" collapsed="false">
      <c r="A120" s="23" t="n">
        <v>119</v>
      </c>
      <c r="B120" s="23" t="n">
        <v>5713.44786282561</v>
      </c>
      <c r="C120" s="23" t="n">
        <v>1674.77416420609</v>
      </c>
      <c r="D120" s="23" t="n">
        <v>2951.67550397363</v>
      </c>
      <c r="E120" s="15" t="n">
        <f aca="false">B120+C120+D120</f>
        <v>10339.8975310053</v>
      </c>
    </row>
    <row r="121" customFormat="false" ht="15" hidden="false" customHeight="false" outlineLevel="0" collapsed="false">
      <c r="A121" s="23" t="n">
        <v>120</v>
      </c>
      <c r="B121" s="23" t="n">
        <v>55700.7090308448</v>
      </c>
      <c r="C121" s="23" t="n">
        <v>1656.5165408335</v>
      </c>
      <c r="D121" s="23" t="n">
        <v>2914.3968839114</v>
      </c>
      <c r="E121" s="15" t="n">
        <f aca="false">B121+C121+D121</f>
        <v>60271.6224555897</v>
      </c>
    </row>
    <row r="122" customFormat="false" ht="15" hidden="false" customHeight="false" outlineLevel="0" collapsed="false">
      <c r="A122" s="23" t="n">
        <v>121</v>
      </c>
      <c r="B122" s="23" t="n">
        <v>5688.00437377008</v>
      </c>
      <c r="C122" s="23" t="n">
        <v>1523.79041410412</v>
      </c>
      <c r="D122" s="23" t="n">
        <v>2877.36115417204</v>
      </c>
      <c r="E122" s="15" t="n">
        <f aca="false">B122+C122+D122</f>
        <v>10089.1559420462</v>
      </c>
    </row>
    <row r="123" customFormat="false" ht="15" hidden="false" customHeight="false" outlineLevel="0" collapsed="false">
      <c r="A123" s="23" t="n">
        <v>122</v>
      </c>
      <c r="B123" s="23" t="n">
        <v>5675.33377103178</v>
      </c>
      <c r="C123" s="23" t="n">
        <v>1505.76173407901</v>
      </c>
      <c r="D123" s="23" t="n">
        <v>2840.56672184587</v>
      </c>
      <c r="E123" s="15" t="n">
        <f aca="false">B123+C123+D123</f>
        <v>10021.6622269567</v>
      </c>
    </row>
    <row r="124" customFormat="false" ht="15" hidden="false" customHeight="false" outlineLevel="0" collapsed="false">
      <c r="A124" s="23" t="n">
        <v>123</v>
      </c>
      <c r="B124" s="23" t="n">
        <v>5662.6971026372</v>
      </c>
      <c r="C124" s="23" t="n">
        <v>1487.84645584238</v>
      </c>
      <c r="D124" s="23" t="n">
        <v>2804.01200597467</v>
      </c>
      <c r="E124" s="15" t="n">
        <f aca="false">B124+C124+D124</f>
        <v>9954.55556445425</v>
      </c>
    </row>
    <row r="125" customFormat="false" ht="15" hidden="false" customHeight="false" outlineLevel="0" collapsed="false">
      <c r="A125" s="23" t="n">
        <v>124</v>
      </c>
      <c r="B125" s="23" t="n">
        <v>5650.09424916707</v>
      </c>
      <c r="C125" s="23" t="n">
        <v>1470.04387279441</v>
      </c>
      <c r="D125" s="23" t="n">
        <v>2767.69543744829</v>
      </c>
      <c r="E125" s="15" t="n">
        <f aca="false">B125+C125+D125</f>
        <v>9887.83355940977</v>
      </c>
    </row>
    <row r="126" customFormat="false" ht="15" hidden="false" customHeight="false" outlineLevel="0" collapsed="false">
      <c r="A126" s="23" t="n">
        <v>125</v>
      </c>
      <c r="B126" s="23" t="n">
        <v>5637.52509177222</v>
      </c>
      <c r="C126" s="23" t="n">
        <v>1452.35328327781</v>
      </c>
      <c r="D126" s="23" t="n">
        <v>2731.6154589022</v>
      </c>
      <c r="E126" s="15" t="n">
        <f aca="false">B126+C126+D126</f>
        <v>9821.49383395223</v>
      </c>
    </row>
    <row r="127" customFormat="false" ht="15" hidden="false" customHeight="false" outlineLevel="0" collapsed="false">
      <c r="A127" s="23" t="n">
        <v>126</v>
      </c>
      <c r="B127" s="23" t="n">
        <v>5624.9895121701</v>
      </c>
      <c r="C127" s="23" t="n">
        <v>1434.77399053805</v>
      </c>
      <c r="D127" s="23" t="n">
        <v>2695.7705246161</v>
      </c>
      <c r="E127" s="15" t="n">
        <f aca="false">B127+C127+D127</f>
        <v>9755.53402732426</v>
      </c>
    </row>
    <row r="128" customFormat="false" ht="15" hidden="false" customHeight="false" outlineLevel="0" collapsed="false">
      <c r="A128" s="23" t="n">
        <v>127</v>
      </c>
      <c r="B128" s="23" t="n">
        <v>5612.48739264152</v>
      </c>
      <c r="C128" s="23" t="n">
        <v>1417.30530268394</v>
      </c>
      <c r="D128" s="23" t="n">
        <v>2660.15910041346</v>
      </c>
      <c r="E128" s="15" t="n">
        <f aca="false">B128+C128+D128</f>
        <v>9689.95179573892</v>
      </c>
    </row>
    <row r="129" customFormat="false" ht="15" hidden="false" customHeight="false" outlineLevel="0" collapsed="false">
      <c r="A129" s="23" t="n">
        <v>128</v>
      </c>
      <c r="B129" s="23" t="n">
        <v>5600.01861602721</v>
      </c>
      <c r="C129" s="23" t="n">
        <v>1399.94653264857</v>
      </c>
      <c r="D129" s="23" t="n">
        <v>2624.77966356202</v>
      </c>
      <c r="E129" s="15" t="n">
        <f aca="false">B129+C129+D129</f>
        <v>9624.7448122378</v>
      </c>
    </row>
    <row r="130" customFormat="false" ht="15" hidden="false" customHeight="false" outlineLevel="0" collapsed="false">
      <c r="A130" s="23" t="n">
        <v>129</v>
      </c>
      <c r="B130" s="23" t="n">
        <v>5587.58306572457</v>
      </c>
      <c r="C130" s="23" t="n">
        <v>1382.69699815062</v>
      </c>
      <c r="D130" s="23" t="n">
        <v>2589.63070267521</v>
      </c>
      <c r="E130" s="15" t="n">
        <f aca="false">B130+C130+D130</f>
        <v>9559.9107665504</v>
      </c>
    </row>
    <row r="131" customFormat="false" ht="15" hidden="false" customHeight="false" outlineLevel="0" collapsed="false">
      <c r="A131" s="23" t="n">
        <v>130</v>
      </c>
      <c r="B131" s="23" t="n">
        <v>5575.18062568434</v>
      </c>
      <c r="C131" s="23" t="n">
        <v>1365.55602165598</v>
      </c>
      <c r="D131" s="23" t="n">
        <v>2554.71071761459</v>
      </c>
      <c r="E131" s="15" t="n">
        <f aca="false">B131+C131+D131</f>
        <v>9495.4473649549</v>
      </c>
    </row>
    <row r="132" customFormat="false" ht="15" hidden="false" customHeight="false" outlineLevel="0" collapsed="false">
      <c r="A132" s="23" t="n">
        <v>131</v>
      </c>
      <c r="B132" s="23" t="n">
        <v>5562.81118040733</v>
      </c>
      <c r="C132" s="23" t="n">
        <v>1348.52293033977</v>
      </c>
      <c r="D132" s="23" t="n">
        <v>2520.01821939311</v>
      </c>
      <c r="E132" s="15" t="n">
        <f aca="false">B132+C132+D132</f>
        <v>9431.35233014021</v>
      </c>
    </row>
    <row r="133" customFormat="false" ht="15" hidden="false" customHeight="false" outlineLevel="0" collapsed="false">
      <c r="A133" s="23" t="n">
        <v>132</v>
      </c>
      <c r="B133" s="23" t="n">
        <v>5550.47461494116</v>
      </c>
      <c r="C133" s="23" t="n">
        <v>1331.59705604864</v>
      </c>
      <c r="D133" s="23" t="n">
        <v>2485.55173007939</v>
      </c>
      <c r="E133" s="15" t="n">
        <f aca="false">B133+C133+D133</f>
        <v>9367.6234010692</v>
      </c>
    </row>
    <row r="134" customFormat="false" ht="15" hidden="false" customHeight="false" outlineLevel="0" collapsed="false">
      <c r="A134" s="23" t="n">
        <v>133</v>
      </c>
      <c r="B134" s="23" t="n">
        <v>5538.17081487705</v>
      </c>
      <c r="C134" s="23" t="n">
        <v>1314.77773526346</v>
      </c>
      <c r="D134" s="23" t="n">
        <v>2451.30978270285</v>
      </c>
      <c r="E134" s="15" t="n">
        <f aca="false">B134+C134+D134</f>
        <v>9304.25833284336</v>
      </c>
    </row>
    <row r="135" customFormat="false" ht="15" hidden="false" customHeight="false" outlineLevel="0" collapsed="false">
      <c r="A135" s="23" t="n">
        <v>134</v>
      </c>
      <c r="B135" s="23" t="n">
        <v>5525.89966634655</v>
      </c>
      <c r="C135" s="23" t="n">
        <v>1298.06430906232</v>
      </c>
      <c r="D135" s="23" t="n">
        <v>2417.29092115975</v>
      </c>
      <c r="E135" s="15" t="n">
        <f aca="false">B135+C135+D135</f>
        <v>9241.25489656862</v>
      </c>
    </row>
    <row r="136" customFormat="false" ht="15" hidden="false" customHeight="false" outlineLevel="0" collapsed="false">
      <c r="A136" s="23" t="n">
        <v>135</v>
      </c>
      <c r="B136" s="23" t="n">
        <v>5513.66105601843</v>
      </c>
      <c r="C136" s="23" t="n">
        <v>1281.45612308384</v>
      </c>
      <c r="D136" s="23" t="n">
        <v>2383.49370012013</v>
      </c>
      <c r="E136" s="15" t="n">
        <f aca="false">B136+C136+D136</f>
        <v>9178.61087922239</v>
      </c>
    </row>
    <row r="137" customFormat="false" ht="15" hidden="false" customHeight="false" outlineLevel="0" collapsed="false">
      <c r="A137" s="23" t="n">
        <v>136</v>
      </c>
      <c r="B137" s="23" t="n">
        <v>5501.45487109545</v>
      </c>
      <c r="C137" s="23" t="n">
        <v>1264.95252749085</v>
      </c>
      <c r="D137" s="23" t="n">
        <v>2349.91668493565</v>
      </c>
      <c r="E137" s="15" t="n">
        <f aca="false">B137+C137+D137</f>
        <v>9116.32408352194</v>
      </c>
    </row>
    <row r="138" customFormat="false" ht="15" hidden="false" customHeight="false" outlineLevel="0" collapsed="false">
      <c r="A138" s="23" t="n">
        <v>137</v>
      </c>
      <c r="B138" s="23" t="n">
        <v>5489.28099931122</v>
      </c>
      <c r="C138" s="23" t="n">
        <v>1248.55287693439</v>
      </c>
      <c r="D138" s="23" t="n">
        <v>2316.55845154827</v>
      </c>
      <c r="E138" s="15" t="n">
        <f aca="false">B138+C138+D138</f>
        <v>9054.39232779388</v>
      </c>
    </row>
    <row r="139" customFormat="false" ht="15" hidden="false" customHeight="false" outlineLevel="0" collapsed="false">
      <c r="A139" s="23" t="n">
        <v>138</v>
      </c>
      <c r="B139" s="23" t="n">
        <v>5477.13932892712</v>
      </c>
      <c r="C139" s="23" t="n">
        <v>1232.25653051799</v>
      </c>
      <c r="D139" s="23" t="n">
        <v>2283.41758639985</v>
      </c>
      <c r="E139" s="15" t="n">
        <f aca="false">B139+C139+D139</f>
        <v>8992.81344584496</v>
      </c>
    </row>
    <row r="140" customFormat="false" ht="15" hidden="false" customHeight="false" outlineLevel="0" collapsed="false">
      <c r="A140" s="23" t="n">
        <v>139</v>
      </c>
      <c r="B140" s="23" t="n">
        <v>5465.02974872911</v>
      </c>
      <c r="C140" s="23" t="n">
        <v>1216.06285176232</v>
      </c>
      <c r="D140" s="23" t="n">
        <v>2250.49268634252</v>
      </c>
      <c r="E140" s="15" t="n">
        <f aca="false">B140+C140+D140</f>
        <v>8931.58528683395</v>
      </c>
    </row>
    <row r="141" customFormat="false" ht="15" hidden="false" customHeight="false" outlineLevel="0" collapsed="false">
      <c r="A141" s="23" t="n">
        <v>140</v>
      </c>
      <c r="B141" s="23" t="n">
        <v>5452.95214802471</v>
      </c>
      <c r="C141" s="23" t="n">
        <v>1199.97120857014</v>
      </c>
      <c r="D141" s="23" t="n">
        <v>2217.78235854997</v>
      </c>
      <c r="E141" s="15" t="n">
        <f aca="false">B141+C141+D141</f>
        <v>8870.70571514482</v>
      </c>
    </row>
    <row r="142" customFormat="false" ht="15" hidden="false" customHeight="false" outlineLevel="0" collapsed="false">
      <c r="A142" s="23" t="n">
        <v>141</v>
      </c>
      <c r="B142" s="23" t="n">
        <v>5440.90641663991</v>
      </c>
      <c r="C142" s="23" t="n">
        <v>1183.98097319153</v>
      </c>
      <c r="D142" s="23" t="n">
        <v>2185.28522042957</v>
      </c>
      <c r="E142" s="15" t="n">
        <f aca="false">B142+C142+D142</f>
        <v>8810.17261026101</v>
      </c>
    </row>
    <row r="143" customFormat="false" ht="15" hidden="false" customHeight="false" outlineLevel="0" collapsed="false">
      <c r="A143" s="23" t="n">
        <v>142</v>
      </c>
      <c r="B143" s="23" t="n">
        <v>5428.89244491614</v>
      </c>
      <c r="C143" s="23" t="n">
        <v>1168.09152218946</v>
      </c>
      <c r="D143" s="23" t="n">
        <v>2152.99989953531</v>
      </c>
      <c r="E143" s="15" t="n">
        <f aca="false">B143+C143+D143</f>
        <v>8749.98386664092</v>
      </c>
    </row>
    <row r="144" customFormat="false" ht="15" hidden="false" customHeight="false" outlineLevel="0" collapsed="false">
      <c r="A144" s="23" t="n">
        <v>143</v>
      </c>
      <c r="B144" s="23" t="n">
        <v>5416.9101237072</v>
      </c>
      <c r="C144" s="23" t="n">
        <v>1152.30223640571</v>
      </c>
      <c r="D144" s="23" t="n">
        <v>2120.92503348156</v>
      </c>
      <c r="E144" s="15" t="n">
        <f aca="false">B144+C144+D144</f>
        <v>8690.13739359447</v>
      </c>
    </row>
    <row r="145" customFormat="false" ht="15" hidden="false" customHeight="false" outlineLevel="0" collapsed="false">
      <c r="A145" s="23" t="n">
        <v>144</v>
      </c>
      <c r="B145" s="23" t="n">
        <v>5404.95934437629</v>
      </c>
      <c r="C145" s="23" t="n">
        <v>1136.61250092697</v>
      </c>
      <c r="D145" s="23" t="n">
        <v>2089.05926985762</v>
      </c>
      <c r="E145" s="15" t="n">
        <f aca="false">B145+C145+D145</f>
        <v>8630.63111516088</v>
      </c>
    </row>
    <row r="146" customFormat="false" ht="15" hidden="false" customHeight="false" outlineLevel="0" collapsed="false">
      <c r="A146" s="23" t="n">
        <v>145</v>
      </c>
      <c r="B146" s="23" t="n">
        <v>5393.03999879304</v>
      </c>
      <c r="C146" s="23" t="n">
        <v>1121.02170505138</v>
      </c>
      <c r="D146" s="23" t="n">
        <v>2057.40126614316</v>
      </c>
      <c r="E146" s="15" t="n">
        <f aca="false">B146+C146+D146</f>
        <v>8571.46296998758</v>
      </c>
    </row>
    <row r="147" customFormat="false" ht="15" hidden="false" customHeight="false" outlineLevel="0" collapsed="false">
      <c r="A147" s="23" t="n">
        <v>146</v>
      </c>
      <c r="B147" s="23" t="n">
        <v>5381.1519793305</v>
      </c>
      <c r="C147" s="23" t="n">
        <v>1105.52924225529</v>
      </c>
      <c r="D147" s="23" t="n">
        <v>2025.94968962436</v>
      </c>
      <c r="E147" s="15" t="n">
        <f aca="false">B147+C147+D147</f>
        <v>8512.63091121015</v>
      </c>
    </row>
    <row r="148" customFormat="false" ht="15" hidden="false" customHeight="false" outlineLevel="0" collapsed="false">
      <c r="A148" s="23" t="n">
        <v>147</v>
      </c>
      <c r="B148" s="23" t="n">
        <v>5369.2951788622</v>
      </c>
      <c r="C148" s="23" t="n">
        <v>1090.13451016033</v>
      </c>
      <c r="D148" s="23" t="n">
        <v>1994.7032173109</v>
      </c>
      <c r="E148" s="15" t="n">
        <f aca="false">B148+C148+D148</f>
        <v>8454.13290633342</v>
      </c>
    </row>
    <row r="149" customFormat="false" ht="15" hidden="false" customHeight="false" outlineLevel="0" collapsed="false">
      <c r="A149" s="23" t="n">
        <v>148</v>
      </c>
      <c r="B149" s="23" t="n">
        <v>5357.46949075926</v>
      </c>
      <c r="C149" s="23" t="n">
        <v>1074.83691050074</v>
      </c>
      <c r="D149" s="23" t="n">
        <v>1963.66053585371</v>
      </c>
      <c r="E149" s="15" t="n">
        <f aca="false">B149+C149+D149</f>
        <v>8395.96693711371</v>
      </c>
    </row>
    <row r="150" customFormat="false" ht="15" hidden="false" customHeight="false" outlineLevel="0" collapsed="false">
      <c r="A150" s="23" t="n">
        <v>149</v>
      </c>
      <c r="B150" s="23" t="n">
        <v>5345.67480888745</v>
      </c>
      <c r="C150" s="23" t="n">
        <v>1059.63584909109</v>
      </c>
      <c r="D150" s="23" t="n">
        <v>1932.82034146352</v>
      </c>
      <c r="E150" s="15" t="n">
        <f aca="false">B150+C150+D150</f>
        <v>8338.13099944207</v>
      </c>
    </row>
    <row r="151" customFormat="false" ht="15" hidden="false" customHeight="false" outlineLevel="0" collapsed="false">
      <c r="A151" s="23" t="n">
        <v>150</v>
      </c>
      <c r="B151" s="23" t="n">
        <v>5333.9110276043</v>
      </c>
      <c r="C151" s="23" t="n">
        <v>1044.53073579416</v>
      </c>
      <c r="D151" s="23" t="n">
        <v>1902.18133983015</v>
      </c>
      <c r="E151" s="15" t="n">
        <f aca="false">B151+C151+D151</f>
        <v>8280.62310322861</v>
      </c>
    </row>
    <row r="152" customFormat="false" ht="15" hidden="false" customHeight="false" outlineLevel="0" collapsed="false">
      <c r="A152" s="23" t="n">
        <v>151</v>
      </c>
      <c r="B152" s="23" t="n">
        <v>5322.17804175623</v>
      </c>
      <c r="C152" s="23" t="n">
        <v>1029.5209844892</v>
      </c>
      <c r="D152" s="23" t="n">
        <v>1871.74224604254</v>
      </c>
      <c r="E152" s="15" t="n">
        <f aca="false">B152+C152+D152</f>
        <v>8223.44127228797</v>
      </c>
    </row>
    <row r="153" customFormat="false" ht="15" hidden="false" customHeight="false" outlineLevel="0" collapsed="false">
      <c r="A153" s="23" t="n">
        <v>152</v>
      </c>
      <c r="B153" s="23" t="n">
        <v>5310.47574667572</v>
      </c>
      <c r="C153" s="23" t="n">
        <v>1014.6060130404</v>
      </c>
      <c r="D153" s="23" t="n">
        <v>1841.50178450961</v>
      </c>
      <c r="E153" s="15" t="n">
        <f aca="false">B153+C153+D153</f>
        <v>8166.58354422573</v>
      </c>
    </row>
    <row r="154" customFormat="false" ht="15" hidden="false" customHeight="false" outlineLevel="0" collapsed="false">
      <c r="A154" s="23" t="n">
        <v>153</v>
      </c>
      <c r="B154" s="23" t="n">
        <v>5298.80403817844</v>
      </c>
      <c r="C154" s="23" t="n">
        <v>999.785243265729</v>
      </c>
      <c r="D154" s="23" t="n">
        <v>1811.45868888177</v>
      </c>
      <c r="E154" s="15" t="n">
        <f aca="false">B154+C154+D154</f>
        <v>8110.04797032594</v>
      </c>
    </row>
    <row r="155" customFormat="false" ht="15" hidden="false" customHeight="false" outlineLevel="0" collapsed="false">
      <c r="A155" s="23" t="n">
        <v>154</v>
      </c>
      <c r="B155" s="23" t="n">
        <v>5287.16281256048</v>
      </c>
      <c r="C155" s="23" t="n">
        <v>985.058100905931</v>
      </c>
      <c r="D155" s="23" t="n">
        <v>1781.61170197324</v>
      </c>
      <c r="E155" s="15" t="n">
        <f aca="false">B155+C155+D155</f>
        <v>8053.83261543965</v>
      </c>
    </row>
    <row r="156" customFormat="false" ht="15" hidden="false" customHeight="false" outlineLevel="0" collapsed="false">
      <c r="A156" s="23" t="n">
        <v>155</v>
      </c>
      <c r="B156" s="23" t="n">
        <v>5275.55196659552</v>
      </c>
      <c r="C156" s="23" t="n">
        <v>970.424015593899</v>
      </c>
      <c r="D156" s="23" t="n">
        <v>1751.95957568507</v>
      </c>
      <c r="E156" s="15" t="n">
        <f aca="false">B156+C156+D156</f>
        <v>7997.93555787448</v>
      </c>
    </row>
    <row r="157" customFormat="false" ht="15" hidden="false" customHeight="false" outlineLevel="0" collapsed="false">
      <c r="A157" s="23" t="n">
        <v>156</v>
      </c>
      <c r="B157" s="23" t="n">
        <v>5263.97139753206</v>
      </c>
      <c r="C157" s="23" t="n">
        <v>955.882420824265</v>
      </c>
      <c r="D157" s="23" t="n">
        <v>1722.50107092884</v>
      </c>
      <c r="E157" s="15" t="n">
        <f aca="false">B157+C157+D157</f>
        <v>7942.35488928516</v>
      </c>
    </row>
    <row r="158" customFormat="false" ht="15" hidden="false" customHeight="false" outlineLevel="0" collapsed="false">
      <c r="A158" s="23" t="n">
        <v>157</v>
      </c>
      <c r="B158" s="23" t="n">
        <v>5252.42100309066</v>
      </c>
      <c r="C158" s="23" t="n">
        <v>941.432753923273</v>
      </c>
      <c r="D158" s="23" t="n">
        <v>1693.23495755118</v>
      </c>
      <c r="E158" s="15" t="n">
        <f aca="false">B158+C158+D158</f>
        <v>7887.08871456512</v>
      </c>
    </row>
    <row r="159" customFormat="false" ht="15" hidden="false" customHeight="false" outlineLevel="0" collapsed="false">
      <c r="A159" s="23" t="n">
        <v>158</v>
      </c>
      <c r="B159" s="23" t="n">
        <v>5240.90068146123</v>
      </c>
      <c r="C159" s="23" t="n">
        <v>927.074456018913</v>
      </c>
      <c r="D159" s="23" t="n">
        <v>1664.1600142589</v>
      </c>
      <c r="E159" s="15" t="n">
        <f aca="false">B159+C159+D159</f>
        <v>7832.13515173904</v>
      </c>
    </row>
    <row r="160" customFormat="false" ht="15" hidden="false" customHeight="false" outlineLevel="0" collapsed="false">
      <c r="A160" s="23" t="n">
        <v>159</v>
      </c>
      <c r="B160" s="23" t="n">
        <v>5229.41033130024</v>
      </c>
      <c r="C160" s="23" t="n">
        <v>912.806972011326</v>
      </c>
      <c r="D160" s="23" t="n">
        <v>1635.27502854484</v>
      </c>
      <c r="E160" s="15" t="n">
        <f aca="false">B160+C160+D160</f>
        <v>7777.4923318564</v>
      </c>
    </row>
    <row r="161" customFormat="false" ht="15" hidden="false" customHeight="false" outlineLevel="0" collapsed="false">
      <c r="A161" s="23" t="n">
        <v>160</v>
      </c>
      <c r="B161" s="23" t="n">
        <v>5217.94985172808</v>
      </c>
      <c r="C161" s="23" t="n">
        <v>898.629750543457</v>
      </c>
      <c r="D161" s="23" t="n">
        <v>1606.57879661447</v>
      </c>
      <c r="E161" s="15" t="n">
        <f aca="false">B161+C161+D161</f>
        <v>7723.15839888601</v>
      </c>
    </row>
    <row r="162" customFormat="false" ht="15" hidden="false" customHeight="false" outlineLevel="0" collapsed="false">
      <c r="A162" s="23" t="n">
        <v>161</v>
      </c>
      <c r="B162" s="23" t="n">
        <v>5206.51914232634</v>
      </c>
      <c r="C162" s="23" t="n">
        <v>884.542243971981</v>
      </c>
      <c r="D162" s="23" t="n">
        <v>1578.07012331312</v>
      </c>
      <c r="E162" s="15" t="n">
        <f aca="false">B162+C162+D162</f>
        <v>7669.13150961145</v>
      </c>
    </row>
    <row r="163" customFormat="false" ht="15" hidden="false" customHeight="false" outlineLevel="0" collapsed="false">
      <c r="A163" s="23" t="n">
        <v>162</v>
      </c>
      <c r="B163" s="23" t="n">
        <v>5195.11810313516</v>
      </c>
      <c r="C163" s="23" t="n">
        <v>870.54390833847</v>
      </c>
      <c r="D163" s="23" t="n">
        <v>1549.74782205389</v>
      </c>
      <c r="E163" s="15" t="n">
        <f aca="false">B163+C163+D163</f>
        <v>7615.40983352752</v>
      </c>
    </row>
    <row r="164" customFormat="false" ht="15" hidden="false" customHeight="false" outlineLevel="0" collapsed="false">
      <c r="A164" s="23" t="n">
        <v>163</v>
      </c>
      <c r="B164" s="23" t="n">
        <v>5183.74663465053</v>
      </c>
      <c r="C164" s="23" t="n">
        <v>856.634203340823</v>
      </c>
      <c r="D164" s="23" t="n">
        <v>1521.61071474625</v>
      </c>
      <c r="E164" s="15" t="n">
        <f aca="false">B164+C164+D164</f>
        <v>7561.99155273761</v>
      </c>
    </row>
    <row r="165" customFormat="false" ht="15" hidden="false" customHeight="false" outlineLevel="0" collapsed="false">
      <c r="A165" s="23" t="n">
        <v>164</v>
      </c>
      <c r="B165" s="23" t="n">
        <v>5172.40463782173</v>
      </c>
      <c r="C165" s="23" t="n">
        <v>842.812592304939</v>
      </c>
      <c r="D165" s="23" t="n">
        <v>1493.65763172535</v>
      </c>
      <c r="E165" s="15" t="n">
        <f aca="false">B165+C165+D165</f>
        <v>7508.87486185202</v>
      </c>
    </row>
    <row r="166" customFormat="false" ht="15" hidden="false" customHeight="false" outlineLevel="0" collapsed="false">
      <c r="A166" s="23" t="n">
        <v>165</v>
      </c>
      <c r="B166" s="23" t="n">
        <v>5161.09201404864</v>
      </c>
      <c r="C166" s="23" t="n">
        <v>829.07854215665</v>
      </c>
      <c r="D166" s="23" t="n">
        <v>1465.88741168189</v>
      </c>
      <c r="E166" s="15" t="n">
        <f aca="false">B166+C166+D166</f>
        <v>7456.05796788718</v>
      </c>
    </row>
    <row r="167" customFormat="false" ht="15" hidden="false" customHeight="false" outlineLevel="0" collapsed="false">
      <c r="A167" s="23" t="n">
        <v>166</v>
      </c>
      <c r="B167" s="23" t="n">
        <v>5149.80866517918</v>
      </c>
      <c r="C167" s="23" t="n">
        <v>815.431523393884</v>
      </c>
      <c r="D167" s="23" t="n">
        <v>1438.29890159273</v>
      </c>
      <c r="E167" s="15" t="n">
        <f aca="false">B167+C167+D167</f>
        <v>7403.53909016579</v>
      </c>
    </row>
    <row r="168" customFormat="false" ht="15" hidden="false" customHeight="false" outlineLevel="0" collapsed="false">
      <c r="A168" s="23" t="n">
        <v>167</v>
      </c>
      <c r="B168" s="23" t="n">
        <v>5138.55449350671</v>
      </c>
      <c r="C168" s="23" t="n">
        <v>801.871010059085</v>
      </c>
      <c r="D168" s="23" t="n">
        <v>1410.8909566521</v>
      </c>
      <c r="E168" s="15" t="n">
        <f aca="false">B168+C168+D168</f>
        <v>7351.31646021789</v>
      </c>
    </row>
    <row r="169" customFormat="false" ht="15" hidden="false" customHeight="false" outlineLevel="0" collapsed="false">
      <c r="A169" s="23" t="n">
        <v>168</v>
      </c>
      <c r="B169" s="23" t="n">
        <v>5127.32940176748</v>
      </c>
      <c r="C169" s="23" t="n">
        <v>788.396479711865</v>
      </c>
      <c r="D169" s="23" t="n">
        <v>1383.66244020348</v>
      </c>
      <c r="E169" s="15" t="n">
        <f aca="false">B169+C169+D169</f>
        <v>7299.38832168283</v>
      </c>
    </row>
    <row r="170" customFormat="false" ht="15" hidden="false" customHeight="false" outlineLevel="0" collapsed="false">
      <c r="A170" s="23" t="n">
        <v>169</v>
      </c>
      <c r="B170" s="23" t="n">
        <v>5116.13329313808</v>
      </c>
      <c r="C170" s="23" t="n">
        <v>775.007413401903</v>
      </c>
      <c r="D170" s="23" t="n">
        <v>1356.6122236721</v>
      </c>
      <c r="E170" s="15" t="n">
        <f aca="false">B170+C170+D170</f>
        <v>7247.75293021208</v>
      </c>
    </row>
    <row r="171" customFormat="false" ht="15" hidden="false" customHeight="false" outlineLevel="0" collapsed="false">
      <c r="A171" s="23" t="n">
        <v>170</v>
      </c>
      <c r="B171" s="23" t="n">
        <v>5104.96607123285</v>
      </c>
      <c r="C171" s="23" t="n">
        <v>761.703295642074</v>
      </c>
      <c r="D171" s="23" t="n">
        <v>1329.73918649804</v>
      </c>
      <c r="E171" s="15" t="n">
        <f aca="false">B171+C171+D171</f>
        <v>7196.40855337296</v>
      </c>
    </row>
    <row r="172" customFormat="false" ht="15" hidden="false" customHeight="false" outlineLevel="0" collapsed="false">
      <c r="A172" s="23" t="n">
        <v>171</v>
      </c>
      <c r="B172" s="23" t="n">
        <v>5093.82764010146</v>
      </c>
      <c r="C172" s="23" t="n">
        <v>748.483614381814</v>
      </c>
      <c r="D172" s="23" t="n">
        <v>1303.04221607001</v>
      </c>
      <c r="E172" s="15" t="n">
        <f aca="false">B172+C172+D172</f>
        <v>7145.35347055328</v>
      </c>
    </row>
    <row r="173" customFormat="false" ht="15" hidden="false" customHeight="false" outlineLevel="0" collapsed="false">
      <c r="A173" s="23" t="n">
        <v>172</v>
      </c>
      <c r="B173" s="23" t="n">
        <v>5082.71790422633</v>
      </c>
      <c r="C173" s="23" t="n">
        <v>735.347860980719</v>
      </c>
      <c r="D173" s="23" t="n">
        <v>1276.5202076597</v>
      </c>
      <c r="E173" s="15" t="n">
        <f aca="false">B173+C173+D173</f>
        <v>7094.58597286675</v>
      </c>
    </row>
    <row r="174" customFormat="false" ht="15" hidden="false" customHeight="false" outlineLevel="0" collapsed="false">
      <c r="A174" s="23" t="n">
        <v>173</v>
      </c>
      <c r="B174" s="23" t="n">
        <v>5071.63676852016</v>
      </c>
      <c r="C174" s="23" t="n">
        <v>722.295530182375</v>
      </c>
      <c r="D174" s="23" t="n">
        <v>1250.17206435677</v>
      </c>
      <c r="E174" s="15" t="n">
        <f aca="false">B174+C174+D174</f>
        <v>7044.10436305931</v>
      </c>
    </row>
    <row r="175" customFormat="false" ht="15" hidden="false" customHeight="false" outlineLevel="0" collapsed="false">
      <c r="A175" s="23" t="n">
        <v>174</v>
      </c>
      <c r="B175" s="23" t="n">
        <v>5060.58413832351</v>
      </c>
      <c r="C175" s="23" t="n">
        <v>709.32612008841</v>
      </c>
      <c r="D175" s="23" t="n">
        <v>1223.99669700439</v>
      </c>
      <c r="E175" s="15" t="n">
        <f aca="false">B175+C175+D175</f>
        <v>6993.90695541631</v>
      </c>
    </row>
    <row r="176" customFormat="false" ht="15" hidden="false" customHeight="false" outlineLevel="0" collapsed="false">
      <c r="A176" s="23" t="n">
        <v>175</v>
      </c>
      <c r="B176" s="23" t="n">
        <v>5049.55991940229</v>
      </c>
      <c r="C176" s="23" t="n">
        <v>696.439132132778</v>
      </c>
      <c r="D176" s="23" t="n">
        <v>1197.99302413543</v>
      </c>
      <c r="E176" s="15" t="n">
        <f aca="false">B176+C176+D176</f>
        <v>6943.9920756705</v>
      </c>
    </row>
    <row r="177" customFormat="false" ht="15" hidden="false" customHeight="false" outlineLevel="0" collapsed="false">
      <c r="A177" s="23" t="n">
        <v>176</v>
      </c>
      <c r="B177" s="23" t="n">
        <v>5038.56401794537</v>
      </c>
      <c r="C177" s="23" t="n">
        <v>683.634071056261</v>
      </c>
      <c r="D177" s="23" t="n">
        <v>1172.15997190926</v>
      </c>
      <c r="E177" s="15" t="n">
        <f aca="false">B177+C177+D177</f>
        <v>6894.35806091088</v>
      </c>
    </row>
    <row r="178" customFormat="false" ht="15" hidden="false" customHeight="false" outlineLevel="0" collapsed="false">
      <c r="A178" s="23" t="n">
        <v>177</v>
      </c>
      <c r="B178" s="23" t="n">
        <v>5027.5963405621</v>
      </c>
      <c r="C178" s="23" t="n">
        <v>670.910444881199</v>
      </c>
      <c r="D178" s="23" t="n">
        <v>1146.49647404902</v>
      </c>
      <c r="E178" s="15" t="n">
        <f aca="false">B178+C178+D178</f>
        <v>6845.00325949232</v>
      </c>
    </row>
    <row r="179" customFormat="false" ht="15" hidden="false" customHeight="false" outlineLevel="0" collapsed="false">
      <c r="A179" s="23" t="n">
        <v>178</v>
      </c>
      <c r="B179" s="23" t="n">
        <v>5016.65679427997</v>
      </c>
      <c r="C179" s="23" t="n">
        <v>658.267764886433</v>
      </c>
      <c r="D179" s="23" t="n">
        <v>1121.00147177963</v>
      </c>
      <c r="E179" s="15" t="n">
        <f aca="false">B179+C179+D179</f>
        <v>6795.92603094603</v>
      </c>
    </row>
    <row r="180" customFormat="false" ht="15" hidden="false" customHeight="false" outlineLevel="0" collapsed="false">
      <c r="A180" s="23" t="n">
        <v>179</v>
      </c>
      <c r="B180" s="23" t="n">
        <v>5005.74528654218</v>
      </c>
      <c r="C180" s="23" t="n">
        <v>645.705545582466</v>
      </c>
      <c r="D180" s="23" t="n">
        <v>1095.67391376625</v>
      </c>
      <c r="E180" s="15" t="n">
        <f aca="false">B180+C180+D180</f>
        <v>6747.1247458909</v>
      </c>
    </row>
    <row r="181" customFormat="false" ht="15" hidden="false" customHeight="false" outlineLevel="0" collapsed="false">
      <c r="A181" s="23" t="n">
        <v>180</v>
      </c>
      <c r="B181" s="23" t="n">
        <v>4994.86172520535</v>
      </c>
      <c r="C181" s="23" t="n">
        <v>633.223304686844</v>
      </c>
      <c r="D181" s="23" t="n">
        <v>1070.51275605335</v>
      </c>
      <c r="E181" s="15" t="n">
        <f aca="false">B181+C181+D181</f>
        <v>6698.59778594554</v>
      </c>
    </row>
    <row r="182" customFormat="false" ht="15" hidden="false" customHeight="false" outlineLevel="0" collapsed="false">
      <c r="A182" s="23" t="n">
        <v>181</v>
      </c>
      <c r="B182" s="23" t="n">
        <v>3749.79745593209</v>
      </c>
      <c r="C182" s="23" t="n">
        <v>620.820563099745</v>
      </c>
      <c r="D182" s="23" t="n">
        <v>1052.07181528158</v>
      </c>
      <c r="E182" s="15" t="n">
        <f aca="false">B182+C182+D182</f>
        <v>5422.68983431342</v>
      </c>
    </row>
    <row r="183" customFormat="false" ht="15" hidden="false" customHeight="false" outlineLevel="0" collapsed="false">
      <c r="A183" s="23" t="n">
        <v>182</v>
      </c>
      <c r="B183" s="23" t="n">
        <v>3742.80722153938</v>
      </c>
      <c r="C183" s="23" t="n">
        <v>611.213989225921</v>
      </c>
      <c r="D183" s="23" t="n">
        <v>1033.73406536153</v>
      </c>
      <c r="E183" s="15" t="n">
        <f aca="false">B183+C183+D183</f>
        <v>5387.75527612683</v>
      </c>
    </row>
    <row r="184" customFormat="false" ht="15" hidden="false" customHeight="false" outlineLevel="0" collapsed="false">
      <c r="A184" s="23" t="n">
        <v>183</v>
      </c>
      <c r="B184" s="23" t="n">
        <v>3735.8308001131</v>
      </c>
      <c r="C184" s="23" t="n">
        <v>601.661620258331</v>
      </c>
      <c r="D184" s="23" t="n">
        <v>1015.4989960378</v>
      </c>
      <c r="E184" s="15" t="n">
        <f aca="false">B184+C184+D184</f>
        <v>5352.99141640923</v>
      </c>
    </row>
    <row r="185" customFormat="false" ht="15" hidden="false" customHeight="false" outlineLevel="0" collapsed="false">
      <c r="A185" s="23" t="n">
        <v>184</v>
      </c>
      <c r="B185" s="23" t="n">
        <v>3728.86816313143</v>
      </c>
      <c r="C185" s="23" t="n">
        <v>592.163179615534</v>
      </c>
      <c r="D185" s="23" t="n">
        <v>997.366099600725</v>
      </c>
      <c r="E185" s="15" t="n">
        <f aca="false">B185+C185+D185</f>
        <v>5318.39744234769</v>
      </c>
    </row>
    <row r="186" customFormat="false" ht="15" hidden="false" customHeight="false" outlineLevel="0" collapsed="false">
      <c r="A186" s="23" t="n">
        <v>185</v>
      </c>
      <c r="B186" s="23" t="n">
        <v>3721.91928213325</v>
      </c>
      <c r="C186" s="23" t="n">
        <v>582.71839215832</v>
      </c>
      <c r="D186" s="23" t="n">
        <v>979.33487087307</v>
      </c>
      <c r="E186" s="15" t="n">
        <f aca="false">B186+C186+D186</f>
        <v>5283.97254516464</v>
      </c>
    </row>
    <row r="187" customFormat="false" ht="15" hidden="false" customHeight="false" outlineLevel="0" collapsed="false">
      <c r="A187" s="23" t="n">
        <v>186</v>
      </c>
      <c r="B187" s="23" t="n">
        <v>3714.98412871804</v>
      </c>
      <c r="C187" s="23" t="n">
        <v>573.326984181794</v>
      </c>
      <c r="D187" s="23" t="n">
        <v>961.40480719673</v>
      </c>
      <c r="E187" s="15" t="n">
        <f aca="false">B187+C187+D187</f>
        <v>5249.71592009657</v>
      </c>
    </row>
    <row r="188" customFormat="false" ht="15" hidden="false" customHeight="false" outlineLevel="0" collapsed="false">
      <c r="A188" s="23" t="n">
        <v>187</v>
      </c>
      <c r="B188" s="23" t="n">
        <v>3708.06267454571</v>
      </c>
      <c r="C188" s="23" t="n">
        <v>563.988683407504</v>
      </c>
      <c r="D188" s="23" t="n">
        <v>943.575408419553</v>
      </c>
      <c r="E188" s="15" t="n">
        <f aca="false">B188+C188+D188</f>
        <v>5215.62676637277</v>
      </c>
    </row>
    <row r="189" customFormat="false" ht="15" hidden="false" customHeight="false" outlineLevel="0" collapsed="false">
      <c r="A189" s="23" t="n">
        <v>188</v>
      </c>
      <c r="B189" s="23" t="n">
        <v>3701.1548913365</v>
      </c>
      <c r="C189" s="23" t="n">
        <v>554.703218975613</v>
      </c>
      <c r="D189" s="23" t="n">
        <v>925.846176882217</v>
      </c>
      <c r="E189" s="15" t="n">
        <f aca="false">B189+C189+D189</f>
        <v>5181.70428719433</v>
      </c>
    </row>
    <row r="190" customFormat="false" ht="15" hidden="false" customHeight="false" outlineLevel="0" collapsed="false">
      <c r="A190" s="23" t="n">
        <v>189</v>
      </c>
      <c r="B190" s="23" t="n">
        <v>3694.26075087084</v>
      </c>
      <c r="C190" s="23" t="n">
        <v>545.470321437117</v>
      </c>
      <c r="D190" s="23" t="n">
        <v>908.216617405182</v>
      </c>
      <c r="E190" s="15" t="n">
        <f aca="false">B190+C190+D190</f>
        <v>5147.94768971314</v>
      </c>
    </row>
    <row r="191" customFormat="false" ht="15" hidden="false" customHeight="false" outlineLevel="0" collapsed="false">
      <c r="A191" s="23" t="n">
        <v>190</v>
      </c>
      <c r="B191" s="23" t="n">
        <v>3687.3802249892</v>
      </c>
      <c r="C191" s="23" t="n">
        <v>536.289722746108</v>
      </c>
      <c r="D191" s="23" t="n">
        <v>890.686237275715</v>
      </c>
      <c r="E191" s="15" t="n">
        <f aca="false">B191+C191+D191</f>
        <v>5114.35618501102</v>
      </c>
    </row>
    <row r="192" customFormat="false" ht="15" hidden="false" customHeight="false" outlineLevel="0" collapsed="false">
      <c r="A192" s="23" t="n">
        <v>191</v>
      </c>
      <c r="B192" s="23" t="n">
        <v>3680.513285592</v>
      </c>
      <c r="C192" s="23" t="n">
        <v>527.161156252087</v>
      </c>
      <c r="D192" s="23" t="n">
        <v>873.254546234987</v>
      </c>
      <c r="E192" s="15" t="n">
        <f aca="false">B192+C192+D192</f>
        <v>5080.92898807908</v>
      </c>
    </row>
    <row r="193" customFormat="false" ht="15" hidden="false" customHeight="false" outlineLevel="0" collapsed="false">
      <c r="A193" s="23" t="n">
        <v>192</v>
      </c>
      <c r="B193" s="23" t="n">
        <v>3673.65990463943</v>
      </c>
      <c r="C193" s="23" t="n">
        <v>518.084356692307</v>
      </c>
      <c r="D193" s="23" t="n">
        <v>855.921056465242</v>
      </c>
      <c r="E193" s="15" t="n">
        <f aca="false">B193+C193+D193</f>
        <v>5047.66531779698</v>
      </c>
    </row>
    <row r="194" customFormat="false" ht="15" hidden="false" customHeight="false" outlineLevel="0" collapsed="false">
      <c r="A194" s="23" t="n">
        <v>193</v>
      </c>
      <c r="B194" s="23" t="n">
        <v>3666.8200541514</v>
      </c>
      <c r="C194" s="23" t="n">
        <v>509.059060184181</v>
      </c>
      <c r="D194" s="23" t="n">
        <v>838.685282577036</v>
      </c>
      <c r="E194" s="15" t="n">
        <f aca="false">B194+C194+D194</f>
        <v>5014.56439691262</v>
      </c>
    </row>
    <row r="195" customFormat="false" ht="15" hidden="false" customHeight="false" outlineLevel="0" collapsed="false">
      <c r="A195" s="23" t="n">
        <v>194</v>
      </c>
      <c r="B195" s="23" t="n">
        <v>3659.99370620728</v>
      </c>
      <c r="C195" s="23" t="n">
        <v>500.085004217709</v>
      </c>
      <c r="D195" s="23" t="n">
        <v>821.546741596546</v>
      </c>
      <c r="E195" s="15" t="n">
        <f aca="false">B195+C195+D195</f>
        <v>4981.62545202153</v>
      </c>
    </row>
    <row r="196" customFormat="false" ht="15" hidden="false" customHeight="false" outlineLevel="0" collapsed="false">
      <c r="A196" s="23" t="n">
        <v>195</v>
      </c>
      <c r="B196" s="23" t="n">
        <v>3653.18083294589</v>
      </c>
      <c r="C196" s="23" t="n">
        <v>491.161927647975</v>
      </c>
      <c r="D196" s="23" t="n">
        <v>804.504952952951</v>
      </c>
      <c r="E196" s="15" t="n">
        <f aca="false">B196+C196+D196</f>
        <v>4948.84771354682</v>
      </c>
    </row>
    <row r="197" customFormat="false" ht="15" hidden="false" customHeight="false" outlineLevel="0" collapsed="false">
      <c r="A197" s="23" t="n">
        <v>196</v>
      </c>
      <c r="B197" s="23" t="n">
        <v>3646.38140656535</v>
      </c>
      <c r="C197" s="23" t="n">
        <v>482.289570687664</v>
      </c>
      <c r="D197" s="23" t="n">
        <v>787.559438465882</v>
      </c>
      <c r="E197" s="15" t="n">
        <f aca="false">B197+C197+D197</f>
        <v>4916.2304157189</v>
      </c>
    </row>
    <row r="198" customFormat="false" ht="15" hidden="false" customHeight="false" outlineLevel="0" collapsed="false">
      <c r="A198" s="23" t="n">
        <v>197</v>
      </c>
      <c r="B198" s="23" t="n">
        <v>3639.59539932291</v>
      </c>
      <c r="C198" s="23" t="n">
        <v>473.467674899638</v>
      </c>
      <c r="D198" s="23" t="n">
        <v>770.709722332941</v>
      </c>
      <c r="E198" s="15" t="n">
        <f aca="false">B198+C198+D198</f>
        <v>4883.77279655549</v>
      </c>
    </row>
    <row r="199" customFormat="false" ht="15" hidden="false" customHeight="false" outlineLevel="0" collapsed="false">
      <c r="A199" s="23" t="n">
        <v>198</v>
      </c>
      <c r="B199" s="23" t="n">
        <v>3632.82278353479</v>
      </c>
      <c r="C199" s="23" t="n">
        <v>464.695983189547</v>
      </c>
      <c r="D199" s="23" t="n">
        <v>753.955331117289</v>
      </c>
      <c r="E199" s="15" t="n">
        <f aca="false">B199+C199+D199</f>
        <v>4851.47409784163</v>
      </c>
    </row>
    <row r="200" customFormat="false" ht="15" hidden="false" customHeight="false" outlineLevel="0" collapsed="false">
      <c r="A200" s="23" t="n">
        <v>199</v>
      </c>
      <c r="B200" s="23" t="n">
        <v>3626.0635315762</v>
      </c>
      <c r="C200" s="23" t="n">
        <v>455.974239798484</v>
      </c>
      <c r="D200" s="23" t="n">
        <v>737.295793735304</v>
      </c>
      <c r="E200" s="15" t="n">
        <f aca="false">B200+C200+D200</f>
        <v>4819.33356510999</v>
      </c>
    </row>
    <row r="201" customFormat="false" ht="15" hidden="false" customHeight="false" outlineLevel="0" collapsed="false">
      <c r="A201" s="23" t="n">
        <v>200</v>
      </c>
      <c r="B201" s="23" t="n">
        <v>3619.31761588104</v>
      </c>
      <c r="C201" s="23" t="n">
        <v>447.302190295684</v>
      </c>
      <c r="D201" s="23" t="n">
        <v>720.730641444303</v>
      </c>
      <c r="E201" s="15" t="n">
        <f aca="false">B201+C201+D201</f>
        <v>4787.35044762103</v>
      </c>
    </row>
    <row r="202" customFormat="false" ht="15" hidden="false" customHeight="false" outlineLevel="0" collapsed="false">
      <c r="A202" s="23" t="n">
        <v>201</v>
      </c>
      <c r="B202" s="23" t="n">
        <v>1715.73409614422</v>
      </c>
      <c r="C202" s="23" t="n">
        <v>438.679581571264</v>
      </c>
      <c r="D202" s="23" t="n">
        <v>711.523669681502</v>
      </c>
      <c r="E202" s="15" t="n">
        <f aca="false">B202+C202+D202</f>
        <v>2865.93734739698</v>
      </c>
    </row>
    <row r="203" customFormat="false" ht="15" hidden="false" customHeight="false" outlineLevel="0" collapsed="false">
      <c r="A203" s="23" t="n">
        <v>202</v>
      </c>
      <c r="B203" s="23" t="n">
        <v>1713.28718683272</v>
      </c>
      <c r="C203" s="23" t="n">
        <v>433.098007359669</v>
      </c>
      <c r="D203" s="23" t="n">
        <v>702.365971139392</v>
      </c>
      <c r="E203" s="15" t="n">
        <f aca="false">B203+C203+D203</f>
        <v>2848.75116533178</v>
      </c>
    </row>
    <row r="204" customFormat="false" ht="15" hidden="false" customHeight="false" outlineLevel="0" collapsed="false">
      <c r="A204" s="23" t="n">
        <v>203</v>
      </c>
      <c r="B204" s="23" t="n">
        <v>1710.84390836141</v>
      </c>
      <c r="C204" s="23" t="n">
        <v>427.547175187211</v>
      </c>
      <c r="D204" s="23" t="n">
        <v>693.257290076921</v>
      </c>
      <c r="E204" s="15" t="n">
        <f aca="false">B204+C204+D204</f>
        <v>2831.64837362554</v>
      </c>
    </row>
    <row r="205" customFormat="false" ht="15" hidden="false" customHeight="false" outlineLevel="0" collapsed="false">
      <c r="A205" s="23" t="n">
        <v>204</v>
      </c>
      <c r="B205" s="23" t="n">
        <v>1708.40425507275</v>
      </c>
      <c r="C205" s="23" t="n">
        <v>422.026920727616</v>
      </c>
      <c r="D205" s="23" t="n">
        <v>684.197372173441</v>
      </c>
      <c r="E205" s="15" t="n">
        <f aca="false">B205+C205+D205</f>
        <v>2814.62854797381</v>
      </c>
    </row>
    <row r="206" customFormat="false" ht="15" hidden="false" customHeight="false" outlineLevel="0" collapsed="false">
      <c r="A206" s="23" t="n">
        <v>205</v>
      </c>
      <c r="B206" s="23" t="n">
        <v>1705.96822131856</v>
      </c>
      <c r="C206" s="23" t="n">
        <v>416.537080587675</v>
      </c>
      <c r="D206" s="23" t="n">
        <v>675.185964520294</v>
      </c>
      <c r="E206" s="15" t="n">
        <f aca="false">B206+C206+D206</f>
        <v>2797.69126642653</v>
      </c>
    </row>
    <row r="207" customFormat="false" ht="15" hidden="false" customHeight="false" outlineLevel="0" collapsed="false">
      <c r="A207" s="23" t="n">
        <v>206</v>
      </c>
      <c r="B207" s="23" t="n">
        <v>1703.5358014599</v>
      </c>
      <c r="C207" s="23" t="n">
        <v>411.077492301652</v>
      </c>
      <c r="D207" s="23" t="n">
        <v>666.222815612451</v>
      </c>
      <c r="E207" s="15" t="n">
        <f aca="false">B207+C207+D207</f>
        <v>2780.836109374</v>
      </c>
    </row>
    <row r="208" customFormat="false" ht="15" hidden="false" customHeight="false" outlineLevel="0" collapsed="false">
      <c r="A208" s="23" t="n">
        <v>207</v>
      </c>
      <c r="B208" s="23" t="n">
        <v>1701.10698986715</v>
      </c>
      <c r="C208" s="23" t="n">
        <v>405.647994325711</v>
      </c>
      <c r="D208" s="23" t="n">
        <v>657.307675340203</v>
      </c>
      <c r="E208" s="15" t="n">
        <f aca="false">B208+C208+D208</f>
        <v>2764.06265953307</v>
      </c>
    </row>
    <row r="209" customFormat="false" ht="15" hidden="false" customHeight="false" outlineLevel="0" collapsed="false">
      <c r="A209" s="23" t="n">
        <v>208</v>
      </c>
      <c r="B209" s="23" t="n">
        <v>1698.68178091995</v>
      </c>
      <c r="C209" s="23" t="n">
        <v>400.248426032388</v>
      </c>
      <c r="D209" s="23" t="n">
        <v>648.440294980902</v>
      </c>
      <c r="E209" s="15" t="n">
        <f aca="false">B209+C209+D209</f>
        <v>2747.37050193324</v>
      </c>
    </row>
    <row r="210" customFormat="false" ht="15" hidden="false" customHeight="false" outlineLevel="0" collapsed="false">
      <c r="A210" s="23" t="n">
        <v>209</v>
      </c>
      <c r="B210" s="23" t="n">
        <v>1696.26016900715</v>
      </c>
      <c r="C210" s="23" t="n">
        <v>394.878627705092</v>
      </c>
      <c r="D210" s="23" t="n">
        <v>639.620427190754</v>
      </c>
      <c r="E210" s="15" t="n">
        <f aca="false">B210+C210+D210</f>
        <v>2730.759223903</v>
      </c>
    </row>
    <row r="211" customFormat="false" ht="15" hidden="false" customHeight="false" outlineLevel="0" collapsed="false">
      <c r="A211" s="23" t="n">
        <v>210</v>
      </c>
      <c r="B211" s="23" t="n">
        <v>1693.84214852689</v>
      </c>
      <c r="C211" s="23" t="n">
        <v>389.53844053264</v>
      </c>
      <c r="D211" s="23" t="n">
        <v>630.847825996661</v>
      </c>
      <c r="E211" s="15" t="n">
        <f aca="false">B211+C211+D211</f>
        <v>2714.22841505619</v>
      </c>
    </row>
    <row r="212" customFormat="false" ht="15" hidden="false" customHeight="false" outlineLevel="0" collapsed="false">
      <c r="A212" s="23" t="n">
        <v>211</v>
      </c>
      <c r="B212" s="23" t="n">
        <v>1691.42771388647</v>
      </c>
      <c r="C212" s="23" t="n">
        <v>384.227706603832</v>
      </c>
      <c r="D212" s="23" t="n">
        <v>622.122246788118</v>
      </c>
      <c r="E212" s="15" t="n">
        <f aca="false">B212+C212+D212</f>
        <v>2697.77766727842</v>
      </c>
    </row>
    <row r="213" customFormat="false" ht="15" hidden="false" customHeight="false" outlineLevel="0" collapsed="false">
      <c r="A213" s="23" t="n">
        <v>212</v>
      </c>
      <c r="B213" s="23" t="n">
        <v>1689.01685950242</v>
      </c>
      <c r="C213" s="23" t="n">
        <v>378.946268902053</v>
      </c>
      <c r="D213" s="23" t="n">
        <v>613.443446309151</v>
      </c>
      <c r="E213" s="15" t="n">
        <f aca="false">B213+C213+D213</f>
        <v>2681.40657471362</v>
      </c>
    </row>
    <row r="214" customFormat="false" ht="15" hidden="false" customHeight="false" outlineLevel="0" collapsed="false">
      <c r="A214" s="23" t="n">
        <v>213</v>
      </c>
      <c r="B214" s="23" t="n">
        <v>1686.60957980043</v>
      </c>
      <c r="C214" s="23" t="n">
        <v>373.693971299908</v>
      </c>
      <c r="D214" s="23" t="n">
        <v>604.811182650314</v>
      </c>
      <c r="E214" s="15" t="n">
        <f aca="false">B214+C214+D214</f>
        <v>2665.11473375066</v>
      </c>
    </row>
    <row r="215" customFormat="false" ht="15" hidden="false" customHeight="false" outlineLevel="0" collapsed="false">
      <c r="A215" s="23" t="n">
        <v>214</v>
      </c>
      <c r="B215" s="23" t="n">
        <v>1684.2058692154</v>
      </c>
      <c r="C215" s="23" t="n">
        <v>368.470658553899</v>
      </c>
      <c r="D215" s="23" t="n">
        <v>596.225215240731</v>
      </c>
      <c r="E215" s="15" t="n">
        <f aca="false">B215+C215+D215</f>
        <v>2648.90174301003</v>
      </c>
    </row>
    <row r="216" customFormat="false" ht="15" hidden="false" customHeight="false" outlineLevel="0" collapsed="false">
      <c r="A216" s="23" t="n">
        <v>215</v>
      </c>
      <c r="B216" s="23" t="n">
        <v>1681.80572219132</v>
      </c>
      <c r="C216" s="23" t="n">
        <v>363.276176299126</v>
      </c>
      <c r="D216" s="23" t="n">
        <v>587.685304840186</v>
      </c>
      <c r="E216" s="15" t="n">
        <f aca="false">B216+C216+D216</f>
        <v>2632.76720333063</v>
      </c>
    </row>
    <row r="217" customFormat="false" ht="15" hidden="false" customHeight="false" outlineLevel="0" collapsed="false">
      <c r="A217" s="23" t="n">
        <v>216</v>
      </c>
      <c r="B217" s="23" t="n">
        <v>1679.40913318137</v>
      </c>
      <c r="C217" s="23" t="n">
        <v>358.110371044024</v>
      </c>
      <c r="D217" s="23" t="n">
        <v>579.191213531263</v>
      </c>
      <c r="E217" s="15" t="n">
        <f aca="false">B217+C217+D217</f>
        <v>2616.71071775666</v>
      </c>
    </row>
    <row r="218" customFormat="false" ht="15" hidden="false" customHeight="false" outlineLevel="0" collapsed="false">
      <c r="A218" s="23" t="n">
        <v>217</v>
      </c>
      <c r="B218" s="23" t="n">
        <v>1677.01609664781</v>
      </c>
      <c r="C218" s="23" t="n">
        <v>352.973090165132</v>
      </c>
      <c r="D218" s="23" t="n">
        <v>570.742704711539</v>
      </c>
      <c r="E218" s="15" t="n">
        <f aca="false">B218+C218+D218</f>
        <v>2600.73189152448</v>
      </c>
    </row>
    <row r="219" customFormat="false" ht="15" hidden="false" customHeight="false" outlineLevel="0" collapsed="false">
      <c r="A219" s="23" t="n">
        <v>218</v>
      </c>
      <c r="B219" s="23" t="n">
        <v>1674.62660706203</v>
      </c>
      <c r="C219" s="23" t="n">
        <v>347.864181901899</v>
      </c>
      <c r="D219" s="23" t="n">
        <v>562.339543085813</v>
      </c>
      <c r="E219" s="15" t="n">
        <f aca="false">B219+C219+D219</f>
        <v>2584.83033204974</v>
      </c>
    </row>
    <row r="220" customFormat="false" ht="15" hidden="false" customHeight="false" outlineLevel="0" collapsed="false">
      <c r="A220" s="23" t="n">
        <v>219</v>
      </c>
      <c r="B220" s="23" t="n">
        <v>1672.24065890449</v>
      </c>
      <c r="C220" s="23" t="n">
        <v>342.783495351515</v>
      </c>
      <c r="D220" s="23" t="n">
        <v>553.981494658398</v>
      </c>
      <c r="E220" s="15" t="n">
        <f aca="false">B220+C220+D220</f>
        <v>2569.0056489144</v>
      </c>
    </row>
    <row r="221" customFormat="false" ht="15" hidden="false" customHeight="false" outlineLevel="0" collapsed="false">
      <c r="A221" s="23" t="n">
        <v>220</v>
      </c>
      <c r="B221" s="23" t="n">
        <v>1669.85824666473</v>
      </c>
      <c r="C221" s="23" t="n">
        <v>337.730880463778</v>
      </c>
      <c r="D221" s="23" t="n">
        <v>545.66832672545</v>
      </c>
      <c r="E221" s="15" t="n">
        <f aca="false">B221+C221+D221</f>
        <v>2553.25745385395</v>
      </c>
    </row>
    <row r="222" customFormat="false" ht="15" hidden="false" customHeight="false" outlineLevel="0" collapsed="false">
      <c r="A222" s="23" t="n">
        <v>221</v>
      </c>
      <c r="B222" s="23" t="n">
        <v>1667.47936484134</v>
      </c>
      <c r="C222" s="23" t="n">
        <v>332.706188035995</v>
      </c>
      <c r="D222" s="23" t="n">
        <v>537.399807867346</v>
      </c>
      <c r="E222" s="15" t="n">
        <f aca="false">B222+C222+D222</f>
        <v>2537.58536074468</v>
      </c>
    </row>
    <row r="223" customFormat="false" ht="15" hidden="false" customHeight="false" outlineLevel="0" collapsed="false">
      <c r="A223" s="23" t="n">
        <v>222</v>
      </c>
      <c r="B223" s="23" t="n">
        <v>1665.10400794196</v>
      </c>
      <c r="C223" s="23" t="n">
        <v>327.709269707908</v>
      </c>
      <c r="D223" s="23" t="n">
        <v>529.175707941112</v>
      </c>
      <c r="E223" s="15" t="n">
        <f aca="false">B223+C223+D223</f>
        <v>2521.98898559098</v>
      </c>
    </row>
    <row r="224" customFormat="false" ht="15" hidden="false" customHeight="false" outlineLevel="0" collapsed="false">
      <c r="A224" s="23" t="n">
        <v>223</v>
      </c>
      <c r="B224" s="23" t="n">
        <v>1662.73217048325</v>
      </c>
      <c r="C224" s="23" t="n">
        <v>322.739977956659</v>
      </c>
      <c r="D224" s="23" t="n">
        <v>520.995798072895</v>
      </c>
      <c r="E224" s="15" t="n">
        <f aca="false">B224+C224+D224</f>
        <v>2506.4679465128</v>
      </c>
    </row>
    <row r="225" customFormat="false" ht="15" hidden="false" customHeight="false" outlineLevel="0" collapsed="false">
      <c r="A225" s="23" t="n">
        <v>224</v>
      </c>
      <c r="B225" s="23" t="n">
        <v>1660.36384699087</v>
      </c>
      <c r="C225" s="23" t="n">
        <v>317.798166091782</v>
      </c>
      <c r="D225" s="23" t="n">
        <v>512.859850650484</v>
      </c>
      <c r="E225" s="15" t="n">
        <f aca="false">B225+C225+D225</f>
        <v>2491.02186373313</v>
      </c>
    </row>
    <row r="226" customFormat="false" ht="15" hidden="false" customHeight="false" outlineLevel="0" collapsed="false">
      <c r="A226" s="23" t="n">
        <v>225</v>
      </c>
      <c r="B226" s="23" t="n">
        <v>1657.99903199948</v>
      </c>
      <c r="C226" s="23" t="n">
        <v>312.883688250225</v>
      </c>
      <c r="D226" s="23" t="n">
        <v>504.767639315872</v>
      </c>
      <c r="E226" s="15" t="n">
        <f aca="false">B226+C226+D226</f>
        <v>2475.65035956558</v>
      </c>
    </row>
    <row r="227" customFormat="false" ht="15" hidden="false" customHeight="false" outlineLevel="0" collapsed="false">
      <c r="A227" s="23" t="n">
        <v>226</v>
      </c>
      <c r="B227" s="23" t="n">
        <v>1655.63772005273</v>
      </c>
      <c r="C227" s="23" t="n">
        <v>307.996399391407</v>
      </c>
      <c r="D227" s="23" t="n">
        <v>496.718938957869</v>
      </c>
      <c r="E227" s="15" t="n">
        <f aca="false">B227+C227+D227</f>
        <v>2460.353058402</v>
      </c>
    </row>
    <row r="228" customFormat="false" ht="15" hidden="false" customHeight="false" outlineLevel="0" collapsed="false">
      <c r="A228" s="23" t="n">
        <v>227</v>
      </c>
      <c r="B228" s="23" t="n">
        <v>1653.27990570321</v>
      </c>
      <c r="C228" s="23" t="n">
        <v>303.136155292302</v>
      </c>
      <c r="D228" s="23" t="n">
        <v>488.713525704757</v>
      </c>
      <c r="E228" s="15" t="n">
        <f aca="false">B228+C228+D228</f>
        <v>2445.12958670026</v>
      </c>
    </row>
    <row r="229" customFormat="false" ht="15" hidden="false" customHeight="false" outlineLevel="0" collapsed="false">
      <c r="A229" s="23" t="n">
        <v>228</v>
      </c>
      <c r="B229" s="23" t="n">
        <v>1650.92558351246</v>
      </c>
      <c r="C229" s="23" t="n">
        <v>298.302812542554</v>
      </c>
      <c r="D229" s="23" t="n">
        <v>480.751176916996</v>
      </c>
      <c r="E229" s="15" t="n">
        <f aca="false">B229+C229+D229</f>
        <v>2429.97957297201</v>
      </c>
    </row>
    <row r="230" customFormat="false" ht="15" hidden="false" customHeight="false" outlineLevel="0" collapsed="false">
      <c r="A230" s="23" t="n">
        <v>229</v>
      </c>
      <c r="B230" s="23" t="n">
        <v>1648.57474805098</v>
      </c>
      <c r="C230" s="23" t="n">
        <v>293.496228539627</v>
      </c>
      <c r="D230" s="23" t="n">
        <v>472.831671179963</v>
      </c>
      <c r="E230" s="15" t="n">
        <f aca="false">B230+C230+D230</f>
        <v>2414.90264777056</v>
      </c>
    </row>
    <row r="231" customFormat="false" ht="15" hidden="false" customHeight="false" outlineLevel="0" collapsed="false">
      <c r="A231" s="23" t="n">
        <v>230</v>
      </c>
      <c r="B231" s="23" t="n">
        <v>1646.22739389814</v>
      </c>
      <c r="C231" s="23" t="n">
        <v>288.716261483976</v>
      </c>
      <c r="D231" s="23" t="n">
        <v>464.954788296749</v>
      </c>
      <c r="E231" s="15" t="n">
        <f aca="false">B231+C231+D231</f>
        <v>2399.89844367886</v>
      </c>
    </row>
    <row r="232" customFormat="false" ht="15" hidden="false" customHeight="false" outlineLevel="0" collapsed="false">
      <c r="A232" s="23" t="n">
        <v>231</v>
      </c>
      <c r="B232" s="23" t="n">
        <v>1643.88351564224</v>
      </c>
      <c r="C232" s="23" t="n">
        <v>283.962770374255</v>
      </c>
      <c r="D232" s="23" t="n">
        <v>457.120309280992</v>
      </c>
      <c r="E232" s="15" t="n">
        <f aca="false">B232+C232+D232</f>
        <v>2384.96659529749</v>
      </c>
    </row>
    <row r="233" customFormat="false" ht="15" hidden="false" customHeight="false" outlineLevel="0" collapsed="false">
      <c r="A233" s="23" t="n">
        <v>232</v>
      </c>
      <c r="B233" s="23" t="n">
        <v>1641.54310788046</v>
      </c>
      <c r="C233" s="23" t="n">
        <v>279.235615002555</v>
      </c>
      <c r="D233" s="23" t="n">
        <v>449.328016349756</v>
      </c>
      <c r="E233" s="15" t="n">
        <f aca="false">B233+C233+D233</f>
        <v>2370.10673923277</v>
      </c>
    </row>
    <row r="234" customFormat="false" ht="15" hidden="false" customHeight="false" outlineLevel="0" collapsed="false">
      <c r="A234" s="23" t="n">
        <v>233</v>
      </c>
      <c r="B234" s="23" t="n">
        <v>1639.20616521885</v>
      </c>
      <c r="C234" s="23" t="n">
        <v>274.534655949666</v>
      </c>
      <c r="D234" s="23" t="n">
        <v>441.577692916457</v>
      </c>
      <c r="E234" s="15" t="n">
        <f aca="false">B234+C234+D234</f>
        <v>2355.31851408497</v>
      </c>
    </row>
    <row r="235" customFormat="false" ht="15" hidden="false" customHeight="false" outlineLevel="0" collapsed="false">
      <c r="A235" s="23" t="n">
        <v>234</v>
      </c>
      <c r="B235" s="23" t="n">
        <v>1636.8726822723</v>
      </c>
      <c r="C235" s="23" t="n">
        <v>269.859754580374</v>
      </c>
      <c r="D235" s="23" t="n">
        <v>433.869123583826</v>
      </c>
      <c r="E235" s="15" t="n">
        <f aca="false">B235+C235+D235</f>
        <v>2340.6015604365</v>
      </c>
    </row>
    <row r="236" customFormat="false" ht="15" hidden="false" customHeight="false" outlineLevel="0" collapsed="false">
      <c r="A236" s="23" t="n">
        <v>235</v>
      </c>
      <c r="B236" s="23" t="n">
        <v>1634.54265366455</v>
      </c>
      <c r="C236" s="23" t="n">
        <v>265.210773038782</v>
      </c>
      <c r="D236" s="23" t="n">
        <v>426.20209413692</v>
      </c>
      <c r="E236" s="15" t="n">
        <f aca="false">B236+C236+D236</f>
        <v>2325.95552084026</v>
      </c>
    </row>
    <row r="237" customFormat="false" ht="15" hidden="false" customHeight="false" outlineLevel="0" collapsed="false">
      <c r="A237" s="23" t="n">
        <v>236</v>
      </c>
      <c r="B237" s="23" t="n">
        <v>1632.21607402817</v>
      </c>
      <c r="C237" s="23" t="n">
        <v>260.587574243666</v>
      </c>
      <c r="D237" s="23" t="n">
        <v>418.576391536176</v>
      </c>
      <c r="E237" s="15" t="n">
        <f aca="false">B237+C237+D237</f>
        <v>2311.38003980802</v>
      </c>
    </row>
    <row r="238" customFormat="false" ht="15" hidden="false" customHeight="false" outlineLevel="0" collapsed="false">
      <c r="A238" s="23" t="n">
        <v>237</v>
      </c>
      <c r="B238" s="23" t="n">
        <v>1629.89293800452</v>
      </c>
      <c r="C238" s="23" t="n">
        <v>255.990021883854</v>
      </c>
      <c r="D238" s="23" t="n">
        <v>410.991803910506</v>
      </c>
      <c r="E238" s="15" t="n">
        <f aca="false">B238+C238+D238</f>
        <v>2296.87476379889</v>
      </c>
    </row>
    <row r="239" customFormat="false" ht="15" hidden="false" customHeight="false" outlineLevel="0" collapsed="false">
      <c r="A239" s="23" t="n">
        <v>238</v>
      </c>
      <c r="B239" s="23" t="n">
        <v>1627.57324024377</v>
      </c>
      <c r="C239" s="23" t="n">
        <v>251.417980413638</v>
      </c>
      <c r="D239" s="23" t="n">
        <v>403.448120550436</v>
      </c>
      <c r="E239" s="15" t="n">
        <f aca="false">B239+C239+D239</f>
        <v>2282.43934120784</v>
      </c>
    </row>
    <row r="240" customFormat="false" ht="15" hidden="false" customHeight="false" outlineLevel="0" collapsed="false">
      <c r="A240" s="23" t="n">
        <v>239</v>
      </c>
      <c r="B240" s="23" t="n">
        <v>1625.25697540485</v>
      </c>
      <c r="C240" s="23" t="n">
        <v>246.871315048208</v>
      </c>
      <c r="D240" s="23" t="n">
        <v>395.945131901282</v>
      </c>
      <c r="E240" s="15" t="n">
        <f aca="false">B240+C240+D240</f>
        <v>2268.07342235434</v>
      </c>
    </row>
    <row r="241" customFormat="false" ht="15" hidden="false" customHeight="false" outlineLevel="0" collapsed="false">
      <c r="A241" s="23" t="n">
        <v>240</v>
      </c>
      <c r="B241" s="23" t="n">
        <v>1622.94413815546</v>
      </c>
      <c r="C241" s="23" t="n">
        <v>242.349891759126</v>
      </c>
      <c r="D241" s="23" t="n">
        <v>388.482629556375</v>
      </c>
      <c r="E241" s="15" t="n">
        <f aca="false">B241+C241+D241</f>
        <v>2253.77665947096</v>
      </c>
    </row>
    <row r="242" customFormat="false" ht="15" hidden="false" customHeight="false" outlineLevel="0" collapsed="false">
      <c r="A242" s="23" t="n">
        <v>241</v>
      </c>
      <c r="B242" s="23" t="n">
        <v>1620.63472317205</v>
      </c>
      <c r="C242" s="23" t="n">
        <v>237.853577269815</v>
      </c>
      <c r="D242" s="23" t="n">
        <v>381.060406250327</v>
      </c>
      <c r="E242" s="15" t="n">
        <f aca="false">B242+C242+D242</f>
        <v>2239.54870669219</v>
      </c>
    </row>
    <row r="243" customFormat="false" ht="15" hidden="false" customHeight="false" outlineLevel="0" collapsed="false">
      <c r="A243" s="23" t="n">
        <v>242</v>
      </c>
      <c r="B243" s="23" t="n">
        <v>1618.3287251398</v>
      </c>
      <c r="C243" s="23" t="n">
        <v>233.382239051083</v>
      </c>
      <c r="D243" s="23" t="n">
        <v>373.678255852331</v>
      </c>
      <c r="E243" s="15" t="n">
        <f aca="false">B243+C243+D243</f>
        <v>2225.38922004321</v>
      </c>
    </row>
    <row r="244" customFormat="false" ht="15" hidden="false" customHeight="false" outlineLevel="0" collapsed="false">
      <c r="A244" s="23" t="n">
        <v>243</v>
      </c>
      <c r="B244" s="23" t="n">
        <v>1616.02613875261</v>
      </c>
      <c r="C244" s="23" t="n">
        <v>228.935745316673</v>
      </c>
      <c r="D244" s="23" t="n">
        <v>366.335973359509</v>
      </c>
      <c r="E244" s="15" t="n">
        <f aca="false">B244+C244+D244</f>
        <v>2211.29785742879</v>
      </c>
    </row>
    <row r="245" customFormat="false" ht="15" hidden="false" customHeight="false" outlineLevel="0" collapsed="false">
      <c r="A245" s="23" t="n">
        <v>244</v>
      </c>
      <c r="B245" s="23" t="n">
        <v>1613.72695871306</v>
      </c>
      <c r="C245" s="23" t="n">
        <v>224.513965018844</v>
      </c>
      <c r="D245" s="23" t="n">
        <v>359.033354890298</v>
      </c>
      <c r="E245" s="15" t="n">
        <f aca="false">B245+C245+D245</f>
        <v>2197.2742786222</v>
      </c>
    </row>
    <row r="246" customFormat="false" ht="15" hidden="false" customHeight="false" outlineLevel="0" collapsed="false">
      <c r="A246" s="23" t="n">
        <v>245</v>
      </c>
      <c r="B246" s="23" t="n">
        <v>1611.43117973245</v>
      </c>
      <c r="C246" s="23" t="n">
        <v>220.116767843972</v>
      </c>
      <c r="D246" s="23" t="n">
        <v>351.770197677881</v>
      </c>
      <c r="E246" s="15" t="n">
        <f aca="false">B246+C246+D246</f>
        <v>2183.3181452543</v>
      </c>
    </row>
    <row r="247" customFormat="false" ht="15" hidden="false" customHeight="false" outlineLevel="0" collapsed="false">
      <c r="A247" s="23" t="n">
        <v>246</v>
      </c>
      <c r="B247" s="23" t="n">
        <v>1609.13879653073</v>
      </c>
      <c r="C247" s="23" t="n">
        <v>215.744024208184</v>
      </c>
      <c r="D247" s="23" t="n">
        <v>344.546300063648</v>
      </c>
      <c r="E247" s="15" t="n">
        <f aca="false">B247+C247+D247</f>
        <v>2169.42912080256</v>
      </c>
    </row>
    <row r="248" customFormat="false" ht="15" hidden="false" customHeight="false" outlineLevel="0" collapsed="false">
      <c r="A248" s="23" t="n">
        <v>247</v>
      </c>
      <c r="B248" s="23" t="n">
        <v>1606.8498038365</v>
      </c>
      <c r="C248" s="23" t="n">
        <v>211.395605253018</v>
      </c>
      <c r="D248" s="23" t="n">
        <v>337.361461490712</v>
      </c>
      <c r="E248" s="15" t="n">
        <f aca="false">B248+C248+D248</f>
        <v>2155.60687058023</v>
      </c>
    </row>
    <row r="249" customFormat="false" ht="15" hidden="false" customHeight="false" outlineLevel="0" collapsed="false">
      <c r="A249" s="23" t="n">
        <v>248</v>
      </c>
      <c r="B249" s="23" t="n">
        <v>1604.56419638703</v>
      </c>
      <c r="C249" s="23" t="n">
        <v>207.071382841109</v>
      </c>
      <c r="D249" s="23" t="n">
        <v>330.215482497449</v>
      </c>
      <c r="E249" s="15" t="n">
        <f aca="false">B249+C249+D249</f>
        <v>2141.85106172558</v>
      </c>
    </row>
    <row r="250" customFormat="false" ht="15" hidden="false" customHeight="false" outlineLevel="0" collapsed="false">
      <c r="A250" s="23" t="n">
        <v>249</v>
      </c>
      <c r="B250" s="23" t="n">
        <v>1602.28196892818</v>
      </c>
      <c r="C250" s="23" t="n">
        <v>202.771229551901</v>
      </c>
      <c r="D250" s="23" t="n">
        <v>323.108164711088</v>
      </c>
      <c r="E250" s="15" t="n">
        <f aca="false">B250+C250+D250</f>
        <v>2128.16136319117</v>
      </c>
    </row>
    <row r="251" customFormat="false" ht="15" hidden="false" customHeight="false" outlineLevel="0" collapsed="false">
      <c r="A251" s="23" t="n">
        <v>250</v>
      </c>
      <c r="B251" s="23" t="n">
        <v>1600.00311621445</v>
      </c>
      <c r="C251" s="23" t="n">
        <v>198.495018677388</v>
      </c>
      <c r="D251" s="23" t="n">
        <v>316.039310841341</v>
      </c>
      <c r="E251" s="15" t="n">
        <f aca="false">B251+C251+D251</f>
        <v>2114.53744573318</v>
      </c>
    </row>
    <row r="252" customFormat="false" ht="15" hidden="false" customHeight="false" outlineLevel="0" collapsed="false">
      <c r="A252" s="23" t="n">
        <v>251</v>
      </c>
      <c r="B252" s="23" t="n">
        <v>1597.72763300892</v>
      </c>
      <c r="C252" s="23" t="n">
        <v>194.242624217877</v>
      </c>
      <c r="D252" s="23" t="n">
        <v>309.008724674061</v>
      </c>
      <c r="E252" s="15" t="n">
        <f aca="false">B252+C252+D252</f>
        <v>2100.97898190086</v>
      </c>
    </row>
    <row r="253" customFormat="false" ht="15" hidden="false" customHeight="false" outlineLevel="0" collapsed="false">
      <c r="A253" s="23" t="n">
        <v>252</v>
      </c>
      <c r="B253" s="23" t="n">
        <v>1595.45551408326</v>
      </c>
      <c r="C253" s="23" t="n">
        <v>190.013920877784</v>
      </c>
      <c r="D253" s="23" t="n">
        <v>302.016211064955</v>
      </c>
      <c r="E253" s="15" t="n">
        <f aca="false">B253+C253+D253</f>
        <v>2087.485646026</v>
      </c>
    </row>
    <row r="254" customFormat="false" ht="15" hidden="false" customHeight="false" outlineLevel="0" collapsed="false">
      <c r="A254" s="23" t="n">
        <v>253</v>
      </c>
      <c r="B254" s="23" t="n">
        <v>1593.18675421771</v>
      </c>
      <c r="C254" s="23" t="n">
        <v>185.808784061447</v>
      </c>
      <c r="D254" s="23" t="n">
        <v>295.061575933318</v>
      </c>
      <c r="E254" s="15" t="n">
        <f aca="false">B254+C254+D254</f>
        <v>2074.05711421247</v>
      </c>
    </row>
    <row r="255" customFormat="false" ht="15" hidden="false" customHeight="false" outlineLevel="0" collapsed="false">
      <c r="A255" s="23" t="n">
        <v>254</v>
      </c>
      <c r="B255" s="23" t="n">
        <v>1590.92134820104</v>
      </c>
      <c r="C255" s="23" t="n">
        <v>181.627089868975</v>
      </c>
      <c r="D255" s="23" t="n">
        <v>288.144626255822</v>
      </c>
      <c r="E255" s="15" t="n">
        <f aca="false">B255+C255+D255</f>
        <v>2060.69306432583</v>
      </c>
    </row>
    <row r="256" customFormat="false" ht="15" hidden="false" customHeight="false" outlineLevel="0" collapsed="false">
      <c r="A256" s="23" t="n">
        <v>255</v>
      </c>
      <c r="B256" s="23" t="n">
        <v>1588.65929083058</v>
      </c>
      <c r="C256" s="23" t="n">
        <v>177.468715092113</v>
      </c>
      <c r="D256" s="23" t="n">
        <v>281.265170060331</v>
      </c>
      <c r="E256" s="15" t="n">
        <f aca="false">B256+C256+D256</f>
        <v>2047.39317598302</v>
      </c>
    </row>
    <row r="257" customFormat="false" ht="15" hidden="false" customHeight="false" outlineLevel="0" collapsed="false">
      <c r="A257" s="23" t="n">
        <v>256</v>
      </c>
      <c r="B257" s="23" t="n">
        <v>1586.40057691217</v>
      </c>
      <c r="C257" s="23" t="n">
        <v>173.333537210139</v>
      </c>
      <c r="D257" s="23" t="n">
        <v>274.423016419758</v>
      </c>
      <c r="E257" s="15" t="n">
        <f aca="false">B257+C257+D257</f>
        <v>2034.15713054207</v>
      </c>
    </row>
    <row r="258" customFormat="false" ht="15" hidden="false" customHeight="false" outlineLevel="0" collapsed="false">
      <c r="A258" s="23" t="n">
        <v>257</v>
      </c>
      <c r="B258" s="23" t="n">
        <v>1584.14520126017</v>
      </c>
      <c r="C258" s="23" t="n">
        <v>169.221434385783</v>
      </c>
      <c r="D258" s="23" t="n">
        <v>267.617975445962</v>
      </c>
      <c r="E258" s="15" t="n">
        <f aca="false">B258+C258+D258</f>
        <v>2020.98461109192</v>
      </c>
    </row>
    <row r="259" customFormat="false" ht="15" hidden="false" customHeight="false" outlineLevel="0" collapsed="false">
      <c r="A259" s="23" t="n">
        <v>258</v>
      </c>
      <c r="B259" s="23" t="n">
        <v>1581.89315869742</v>
      </c>
      <c r="C259" s="23" t="n">
        <v>165.132285461174</v>
      </c>
      <c r="D259" s="23" t="n">
        <v>260.849858283681</v>
      </c>
      <c r="E259" s="15" t="n">
        <f aca="false">B259+C259+D259</f>
        <v>2007.87530244228</v>
      </c>
    </row>
    <row r="260" customFormat="false" ht="15" hidden="false" customHeight="false" outlineLevel="0" collapsed="false">
      <c r="A260" s="23" t="n">
        <v>259</v>
      </c>
      <c r="B260" s="23" t="n">
        <v>1579.64444405525</v>
      </c>
      <c r="C260" s="23" t="n">
        <v>161.065969953812</v>
      </c>
      <c r="D260" s="23" t="n">
        <v>254.118477104495</v>
      </c>
      <c r="E260" s="15" t="n">
        <f aca="false">B260+C260+D260</f>
        <v>1994.82889111355</v>
      </c>
    </row>
    <row r="261" customFormat="false" ht="15" hidden="false" customHeight="false" outlineLevel="0" collapsed="false">
      <c r="A261" s="23" t="n">
        <v>260</v>
      </c>
      <c r="B261" s="23" t="n">
        <v>1577.39905217343</v>
      </c>
      <c r="C261" s="23" t="n">
        <v>157.022368052557</v>
      </c>
      <c r="D261" s="23" t="n">
        <v>247.423645100842</v>
      </c>
      <c r="E261" s="15" t="n">
        <f aca="false">B261+C261+D261</f>
        <v>1981.84506532683</v>
      </c>
    </row>
    <row r="262" customFormat="false" ht="15" hidden="false" customHeight="false" outlineLevel="0" collapsed="false">
      <c r="A262" s="23" t="n">
        <v>261</v>
      </c>
      <c r="B262" s="23" t="n">
        <v>1575.15697790021</v>
      </c>
      <c r="C262" s="23" t="n">
        <v>153.001360613657</v>
      </c>
      <c r="D262" s="23" t="n">
        <v>240.76517648005</v>
      </c>
      <c r="E262" s="15" t="n">
        <f aca="false">B262+C262+D262</f>
        <v>1968.92351499392</v>
      </c>
    </row>
    <row r="263" customFormat="false" ht="15" hidden="false" customHeight="false" outlineLevel="0" collapsed="false">
      <c r="A263" s="23" t="n">
        <v>262</v>
      </c>
      <c r="B263" s="23" t="n">
        <v>1572.91821609226</v>
      </c>
      <c r="C263" s="23" t="n">
        <v>149.002829156787</v>
      </c>
      <c r="D263" s="23" t="n">
        <v>234.142886458427</v>
      </c>
      <c r="E263" s="15" t="n">
        <f aca="false">B263+C263+D263</f>
        <v>1956.06393170747</v>
      </c>
    </row>
    <row r="264" customFormat="false" ht="15" hidden="false" customHeight="false" outlineLevel="0" collapsed="false">
      <c r="A264" s="23" t="n">
        <v>263</v>
      </c>
      <c r="B264" s="23" t="n">
        <v>1570.68276161465</v>
      </c>
      <c r="C264" s="23" t="n">
        <v>145.02665586112</v>
      </c>
      <c r="D264" s="23" t="n">
        <v>227.556591255369</v>
      </c>
      <c r="E264" s="15" t="n">
        <f aca="false">B264+C264+D264</f>
        <v>1943.26600873114</v>
      </c>
    </row>
    <row r="265" customFormat="false" ht="15" hidden="false" customHeight="false" outlineLevel="0" collapsed="false">
      <c r="A265" s="23" t="n">
        <v>264</v>
      </c>
      <c r="B265" s="23" t="n">
        <v>1568.45060934089</v>
      </c>
      <c r="C265" s="23" t="n">
        <v>141.072723561421</v>
      </c>
      <c r="D265" s="23" t="n">
        <v>221.006108087514</v>
      </c>
      <c r="E265" s="15" t="n">
        <f aca="false">B265+C265+D265</f>
        <v>1930.52944098983</v>
      </c>
    </row>
    <row r="266" customFormat="false" ht="15" hidden="false" customHeight="false" outlineLevel="0" collapsed="false">
      <c r="A266" s="23" t="n">
        <v>265</v>
      </c>
      <c r="B266" s="23" t="n">
        <v>1566.22175415286</v>
      </c>
      <c r="C266" s="23" t="n">
        <v>137.140915744164</v>
      </c>
      <c r="D266" s="23" t="n">
        <v>214.491255162931</v>
      </c>
      <c r="E266" s="15" t="n">
        <f aca="false">B266+C266+D266</f>
        <v>1917.85392505995</v>
      </c>
    </row>
    <row r="267" customFormat="false" ht="15" hidden="false" customHeight="false" outlineLevel="0" collapsed="false">
      <c r="A267" s="23" t="n">
        <v>266</v>
      </c>
      <c r="B267" s="23" t="n">
        <v>1563.99619094081</v>
      </c>
      <c r="C267" s="23" t="n">
        <v>133.231116543673</v>
      </c>
      <c r="D267" s="23" t="n">
        <v>208.01185167534</v>
      </c>
      <c r="E267" s="15" t="n">
        <f aca="false">B267+C267+D267</f>
        <v>1905.23915915983</v>
      </c>
    </row>
    <row r="268" customFormat="false" ht="15" hidden="false" customHeight="false" outlineLevel="0" collapsed="false">
      <c r="A268" s="23" t="n">
        <v>267</v>
      </c>
      <c r="B268" s="23" t="n">
        <v>1561.77391460338</v>
      </c>
      <c r="C268" s="23" t="n">
        <v>129.343210738285</v>
      </c>
      <c r="D268" s="23" t="n">
        <v>201.567717798371</v>
      </c>
      <c r="E268" s="15" t="n">
        <f aca="false">B268+C268+D268</f>
        <v>1892.68484314003</v>
      </c>
    </row>
    <row r="269" customFormat="false" ht="15" hidden="false" customHeight="false" outlineLevel="0" collapsed="false">
      <c r="A269" s="23" t="n">
        <v>268</v>
      </c>
      <c r="B269" s="23" t="n">
        <v>1559.55492004752</v>
      </c>
      <c r="C269" s="23" t="n">
        <v>125.477083746543</v>
      </c>
      <c r="D269" s="23" t="n">
        <v>195.158674679859</v>
      </c>
      <c r="E269" s="15" t="n">
        <f aca="false">B269+C269+D269</f>
        <v>1880.19067847392</v>
      </c>
    </row>
    <row r="270" customFormat="false" ht="15" hidden="false" customHeight="false" outlineLevel="0" collapsed="false">
      <c r="A270" s="23" t="n">
        <v>269</v>
      </c>
      <c r="B270" s="23" t="n">
        <v>1557.33920218854</v>
      </c>
      <c r="C270" s="23" t="n">
        <v>121.632621623407</v>
      </c>
      <c r="D270" s="23" t="n">
        <v>188.784544436172</v>
      </c>
      <c r="E270" s="15" t="n">
        <f aca="false">B270+C270+D270</f>
        <v>1867.75636824812</v>
      </c>
    </row>
    <row r="271" customFormat="false" ht="15" hidden="false" customHeight="false" outlineLevel="0" collapsed="false">
      <c r="A271" s="23" t="n">
        <v>270</v>
      </c>
      <c r="B271" s="23" t="n">
        <v>1555.12675595005</v>
      </c>
      <c r="C271" s="23" t="n">
        <v>117.809711056487</v>
      </c>
      <c r="D271" s="23" t="n">
        <v>182.44515014657</v>
      </c>
      <c r="E271" s="15" t="n">
        <f aca="false">B271+C271+D271</f>
        <v>1855.38161715311</v>
      </c>
    </row>
    <row r="272" customFormat="false" ht="15" hidden="false" customHeight="false" outlineLevel="0" collapsed="false">
      <c r="A272" s="23" t="n">
        <v>271</v>
      </c>
      <c r="B272" s="23" t="n">
        <v>1552.91757626398</v>
      </c>
      <c r="C272" s="23" t="n">
        <v>114.008239362305</v>
      </c>
      <c r="D272" s="23" t="n">
        <v>176.140315847608</v>
      </c>
      <c r="E272" s="15" t="n">
        <f aca="false">B272+C272+D272</f>
        <v>1843.0661314739</v>
      </c>
    </row>
    <row r="273" customFormat="false" ht="15" hidden="false" customHeight="false" outlineLevel="0" collapsed="false">
      <c r="A273" s="23" t="n">
        <v>272</v>
      </c>
      <c r="B273" s="23" t="n">
        <v>1550.71165807054</v>
      </c>
      <c r="C273" s="23" t="n">
        <v>110.228094482576</v>
      </c>
      <c r="D273" s="23" t="n">
        <v>169.869866527563</v>
      </c>
      <c r="E273" s="15" t="n">
        <f aca="false">B273+C273+D273</f>
        <v>1830.80961908068</v>
      </c>
    </row>
    <row r="274" customFormat="false" ht="15" hidden="false" customHeight="false" outlineLevel="0" collapsed="false">
      <c r="A274" s="23" t="n">
        <v>273</v>
      </c>
      <c r="B274" s="23" t="n">
        <v>1548.50899631822</v>
      </c>
      <c r="C274" s="23" t="n">
        <v>106.46916498051</v>
      </c>
      <c r="D274" s="23" t="n">
        <v>163.6336281209</v>
      </c>
      <c r="E274" s="15" t="n">
        <f aca="false">B274+C274+D274</f>
        <v>1818.61178941963</v>
      </c>
    </row>
    <row r="275" customFormat="false" ht="15" hidden="false" customHeight="false" outlineLevel="0" collapsed="false">
      <c r="A275" s="23" t="n">
        <v>274</v>
      </c>
      <c r="B275" s="23" t="n">
        <v>1546.30958596376</v>
      </c>
      <c r="C275" s="23" t="n">
        <v>102.731340037146</v>
      </c>
      <c r="D275" s="23" t="n">
        <v>157.431427502776</v>
      </c>
      <c r="E275" s="15" t="n">
        <f aca="false">B275+C275+D275</f>
        <v>1806.47235350368</v>
      </c>
    </row>
    <row r="276" customFormat="false" ht="15" hidden="false" customHeight="false" outlineLevel="0" collapsed="false">
      <c r="A276" s="23" t="n">
        <v>275</v>
      </c>
      <c r="B276" s="23" t="n">
        <v>1544.11342197215</v>
      </c>
      <c r="C276" s="23" t="n">
        <v>99.0145094476939</v>
      </c>
      <c r="D276" s="23" t="n">
        <v>151.263092483566</v>
      </c>
      <c r="E276" s="15" t="n">
        <f aca="false">B276+C276+D276</f>
        <v>1794.39102390341</v>
      </c>
    </row>
    <row r="277" customFormat="false" ht="15" hidden="false" customHeight="false" outlineLevel="0" collapsed="false">
      <c r="A277" s="23" t="n">
        <v>276</v>
      </c>
      <c r="B277" s="23" t="n">
        <v>1541.92049931663</v>
      </c>
      <c r="C277" s="23" t="n">
        <v>95.3185636179152</v>
      </c>
      <c r="D277" s="23" t="n">
        <v>145.128451803434</v>
      </c>
      <c r="E277" s="15" t="n">
        <f aca="false">B277+C277+D277</f>
        <v>1782.36751473798</v>
      </c>
    </row>
    <row r="278" customFormat="false" ht="15" hidden="false" customHeight="false" outlineLevel="0" collapsed="false">
      <c r="A278" s="23" t="n">
        <v>277</v>
      </c>
      <c r="B278" s="23" t="n">
        <v>1539.73081297863</v>
      </c>
      <c r="C278" s="23" t="n">
        <v>91.6433935605124</v>
      </c>
      <c r="D278" s="23" t="n">
        <v>139.02733512693</v>
      </c>
      <c r="E278" s="15" t="n">
        <f aca="false">B278+C278+D278</f>
        <v>1770.40154166607</v>
      </c>
    </row>
    <row r="279" customFormat="false" ht="15" hidden="false" customHeight="false" outlineLevel="0" collapsed="false">
      <c r="A279" s="23" t="n">
        <v>278</v>
      </c>
      <c r="B279" s="23" t="n">
        <v>1537.5443579478</v>
      </c>
      <c r="C279" s="23" t="n">
        <v>87.9888908915484</v>
      </c>
      <c r="D279" s="23" t="n">
        <v>132.959573037625</v>
      </c>
      <c r="E279" s="15" t="n">
        <f aca="false">B279+C279+D279</f>
        <v>1758.49282187697</v>
      </c>
    </row>
    <row r="280" customFormat="false" ht="15" hidden="false" customHeight="false" outlineLevel="0" collapsed="false">
      <c r="A280" s="23" t="n">
        <v>279</v>
      </c>
      <c r="B280" s="23" t="n">
        <v>1535.36112922198</v>
      </c>
      <c r="C280" s="23" t="n">
        <v>84.3549478268858</v>
      </c>
      <c r="D280" s="23" t="n">
        <v>126.924997032773</v>
      </c>
      <c r="E280" s="15" t="n">
        <f aca="false">B280+C280+D280</f>
        <v>1746.64107408164</v>
      </c>
    </row>
    <row r="281" customFormat="false" ht="15" hidden="false" customHeight="false" outlineLevel="0" collapsed="false">
      <c r="A281" s="23" t="n">
        <v>280</v>
      </c>
      <c r="B281" s="23" t="n">
        <v>1533.18112180719</v>
      </c>
      <c r="C281" s="23" t="n">
        <v>80.7414571786477</v>
      </c>
      <c r="D281" s="23" t="n">
        <v>120.923439518011</v>
      </c>
      <c r="E281" s="15" t="n">
        <f aca="false">B281+C281+D281</f>
        <v>1734.84601850385</v>
      </c>
    </row>
    <row r="282" customFormat="false" ht="15" hidden="false" customHeight="false" outlineLevel="0" collapsed="false">
      <c r="A282" s="23" t="n">
        <v>281</v>
      </c>
      <c r="B282" s="23" t="n">
        <v>1531.00433071758</v>
      </c>
      <c r="C282" s="23" t="n">
        <v>77.1483123517007</v>
      </c>
      <c r="D282" s="23" t="n">
        <v>114.954733802088</v>
      </c>
      <c r="E282" s="15" t="n">
        <f aca="false">B282+C282+D282</f>
        <v>1723.10737687137</v>
      </c>
    </row>
    <row r="283" customFormat="false" ht="15" hidden="false" customHeight="false" outlineLevel="0" collapsed="false">
      <c r="A283" s="23" t="n">
        <v>282</v>
      </c>
      <c r="B283" s="23" t="n">
        <v>1528.8307509755</v>
      </c>
      <c r="C283" s="23" t="n">
        <v>73.5754073401596</v>
      </c>
      <c r="D283" s="23" t="n">
        <v>109.018714091626</v>
      </c>
      <c r="E283" s="15" t="n">
        <f aca="false">B283+C283+D283</f>
        <v>1711.42487240729</v>
      </c>
    </row>
    <row r="284" customFormat="false" ht="15" hidden="false" customHeight="false" outlineLevel="0" collapsed="false">
      <c r="A284" s="23" t="n">
        <v>283</v>
      </c>
      <c r="B284" s="23" t="n">
        <v>1526.66037761139</v>
      </c>
      <c r="C284" s="23" t="n">
        <v>70.0226367239136</v>
      </c>
      <c r="D284" s="23" t="n">
        <v>103.115215485919</v>
      </c>
      <c r="E284" s="15" t="n">
        <f aca="false">B284+C284+D284</f>
        <v>1699.79822982122</v>
      </c>
    </row>
    <row r="285" customFormat="false" ht="15" hidden="false" customHeight="false" outlineLevel="0" collapsed="false">
      <c r="A285" s="23" t="n">
        <v>284</v>
      </c>
      <c r="B285" s="23" t="n">
        <v>1524.49320566383</v>
      </c>
      <c r="C285" s="23" t="n">
        <v>66.4898956651737</v>
      </c>
      <c r="D285" s="23" t="n">
        <v>97.2440739717504</v>
      </c>
      <c r="E285" s="15" t="n">
        <f aca="false">B285+C285+D285</f>
        <v>1688.22717530076</v>
      </c>
    </row>
    <row r="286" customFormat="false" ht="15" hidden="false" customHeight="false" outlineLevel="0" collapsed="false">
      <c r="A286" s="23" t="n">
        <v>285</v>
      </c>
      <c r="B286" s="23" t="n">
        <v>1522.32923017949</v>
      </c>
      <c r="C286" s="23" t="n">
        <v>62.9770799050412</v>
      </c>
      <c r="D286" s="23" t="n">
        <v>91.4051264182589</v>
      </c>
      <c r="E286" s="15" t="n">
        <f aca="false">B286+C286+D286</f>
        <v>1676.71143650279</v>
      </c>
    </row>
    <row r="287" customFormat="false" ht="15" hidden="false" customHeight="false" outlineLevel="0" collapsed="false">
      <c r="A287" s="23" t="n">
        <v>286</v>
      </c>
      <c r="B287" s="23" t="n">
        <v>1520.16844621313</v>
      </c>
      <c r="C287" s="23" t="n">
        <v>59.484085760098</v>
      </c>
      <c r="D287" s="23" t="n">
        <v>85.598210571822</v>
      </c>
      <c r="E287" s="15" t="n">
        <f aca="false">B287+C287+D287</f>
        <v>1665.25074254505</v>
      </c>
    </row>
    <row r="288" customFormat="false" ht="15" hidden="false" customHeight="false" outlineLevel="0" collapsed="false">
      <c r="A288" s="23" t="n">
        <v>287</v>
      </c>
      <c r="B288" s="23" t="n">
        <v>1518.01084882764</v>
      </c>
      <c r="C288" s="23" t="n">
        <v>56.0108101190171</v>
      </c>
      <c r="D288" s="23" t="n">
        <v>79.8231650509776</v>
      </c>
      <c r="E288" s="15" t="n">
        <f aca="false">B288+C288+D288</f>
        <v>1653.84482399763</v>
      </c>
    </row>
    <row r="289" customFormat="false" ht="15" hidden="false" customHeight="false" outlineLevel="0" collapsed="false">
      <c r="A289" s="23" t="n">
        <v>288</v>
      </c>
      <c r="B289" s="23" t="n">
        <v>1515.85643309386</v>
      </c>
      <c r="C289" s="23" t="n">
        <v>52.5571504391943</v>
      </c>
      <c r="D289" s="23" t="n">
        <v>74.0798293413744</v>
      </c>
      <c r="E289" s="15" t="n">
        <f aca="false">B289+C289+D289</f>
        <v>1642.49341287443</v>
      </c>
    </row>
    <row r="290" customFormat="false" ht="15" hidden="false" customHeight="false" outlineLevel="0" collapsed="false">
      <c r="A290" s="23" t="n">
        <v>289</v>
      </c>
      <c r="B290" s="23" t="n">
        <v>1513.70519409084</v>
      </c>
      <c r="C290" s="23" t="n">
        <v>49.1230047434005</v>
      </c>
      <c r="D290" s="23" t="n">
        <v>68.3680437907534</v>
      </c>
      <c r="E290" s="15" t="n">
        <f aca="false">B290+C290+D290</f>
        <v>1631.19624262499</v>
      </c>
    </row>
    <row r="291" customFormat="false" ht="15" hidden="false" customHeight="false" outlineLevel="0" collapsed="false">
      <c r="A291" s="23" t="n">
        <v>290</v>
      </c>
      <c r="B291" s="23" t="n">
        <v>1511.55712690551</v>
      </c>
      <c r="C291" s="23" t="n">
        <v>45.7082716164546</v>
      </c>
      <c r="D291" s="23" t="n">
        <v>62.6876496039605</v>
      </c>
      <c r="E291" s="15" t="n">
        <f aca="false">B291+C291+D291</f>
        <v>1619.95304812592</v>
      </c>
    </row>
    <row r="292" customFormat="false" ht="15" hidden="false" customHeight="false" outlineLevel="0" collapsed="false">
      <c r="A292" s="23" t="n">
        <v>291</v>
      </c>
      <c r="B292" s="23" t="n">
        <v>221.775219966772</v>
      </c>
      <c r="C292" s="23" t="n">
        <v>42.3128502019173</v>
      </c>
      <c r="D292" s="23" t="n">
        <v>60.8557255083778</v>
      </c>
      <c r="E292" s="15" t="n">
        <f aca="false">B292+C292+D292</f>
        <v>324.943795677067</v>
      </c>
    </row>
    <row r="293" customFormat="false" ht="15" hidden="false" customHeight="false" outlineLevel="0" collapsed="false">
      <c r="A293" s="23" t="n">
        <v>292</v>
      </c>
      <c r="B293" s="23" t="n">
        <v>221.311018763597</v>
      </c>
      <c r="C293" s="23" t="n">
        <v>41.0763398154635</v>
      </c>
      <c r="D293" s="23" t="n">
        <v>59.0385883242385</v>
      </c>
      <c r="E293" s="15" t="n">
        <f aca="false">B293+C293+D293</f>
        <v>321.425946903299</v>
      </c>
    </row>
    <row r="294" customFormat="false" ht="15" hidden="false" customHeight="false" outlineLevel="0" collapsed="false">
      <c r="A294" s="23" t="n">
        <v>293</v>
      </c>
      <c r="B294" s="23" t="n">
        <v>220.847789187266</v>
      </c>
      <c r="C294" s="23" t="n">
        <v>39.8498102844542</v>
      </c>
      <c r="D294" s="23" t="n">
        <v>57.2361365674858</v>
      </c>
      <c r="E294" s="15" t="n">
        <f aca="false">B294+C294+D294</f>
        <v>317.933736039206</v>
      </c>
    </row>
    <row r="295" customFormat="false" ht="15" hidden="false" customHeight="false" outlineLevel="0" collapsed="false">
      <c r="A295" s="23" t="n">
        <v>294</v>
      </c>
      <c r="B295" s="23" t="n">
        <v>220.385529204051</v>
      </c>
      <c r="C295" s="23" t="n">
        <v>38.6331931092772</v>
      </c>
      <c r="D295" s="23" t="n">
        <v>55.4482694207114</v>
      </c>
      <c r="E295" s="15" t="n">
        <f aca="false">B295+C295+D295</f>
        <v>314.46699173404</v>
      </c>
    </row>
    <row r="296" customFormat="false" ht="15" hidden="false" customHeight="false" outlineLevel="0" collapsed="false">
      <c r="A296" s="23" t="n">
        <v>295</v>
      </c>
      <c r="B296" s="23" t="n">
        <v>219.924236784483</v>
      </c>
      <c r="C296" s="23" t="n">
        <v>37.4264202402938</v>
      </c>
      <c r="D296" s="23" t="n">
        <v>53.6748867288348</v>
      </c>
      <c r="E296" s="15" t="n">
        <f aca="false">B296+C296+D296</f>
        <v>311.025543753612</v>
      </c>
    </row>
    <row r="297" customFormat="false" ht="15" hidden="false" customHeight="false" outlineLevel="0" collapsed="false">
      <c r="A297" s="23" t="n">
        <v>296</v>
      </c>
      <c r="B297" s="23" t="n">
        <v>219.463909903337</v>
      </c>
      <c r="C297" s="23" t="n">
        <v>36.2294240749231</v>
      </c>
      <c r="D297" s="23" t="n">
        <v>51.9158889948107</v>
      </c>
      <c r="E297" s="15" t="n">
        <f aca="false">B297+C297+D297</f>
        <v>307.609222973071</v>
      </c>
    </row>
    <row r="298" customFormat="false" ht="15" hidden="false" customHeight="false" outlineLevel="0" collapsed="false">
      <c r="A298" s="23" t="n">
        <v>297</v>
      </c>
      <c r="B298" s="23" t="n">
        <v>219.004546539631</v>
      </c>
      <c r="C298" s="23" t="n">
        <v>35.0421374547437</v>
      </c>
      <c r="D298" s="23" t="n">
        <v>50.1711773753637</v>
      </c>
      <c r="E298" s="15" t="n">
        <f aca="false">B298+C298+D298</f>
        <v>304.217861369739</v>
      </c>
    </row>
    <row r="299" customFormat="false" ht="15" hidden="false" customHeight="false" outlineLevel="0" collapsed="false">
      <c r="A299" s="23" t="n">
        <v>298</v>
      </c>
      <c r="B299" s="23" t="n">
        <v>218.546144676611</v>
      </c>
      <c r="C299" s="23" t="n">
        <v>33.8644936626156</v>
      </c>
      <c r="D299" s="23" t="n">
        <v>48.4406536767512</v>
      </c>
      <c r="E299" s="15" t="n">
        <f aca="false">B299+C299+D299</f>
        <v>300.851292015978</v>
      </c>
    </row>
    <row r="300" customFormat="false" ht="15" hidden="false" customHeight="false" outlineLevel="0" collapsed="false">
      <c r="A300" s="23" t="n">
        <v>299</v>
      </c>
      <c r="B300" s="23" t="n">
        <v>218.088702301745</v>
      </c>
      <c r="C300" s="23" t="n">
        <v>32.6964264198196</v>
      </c>
      <c r="D300" s="23" t="n">
        <v>46.7242203505531</v>
      </c>
      <c r="E300" s="15" t="n">
        <f aca="false">B300+C300+D300</f>
        <v>297.509349072118</v>
      </c>
    </row>
    <row r="301" customFormat="false" ht="15" hidden="false" customHeight="false" outlineLevel="0" collapsed="false">
      <c r="A301" s="23" t="n">
        <v>300</v>
      </c>
      <c r="B301" s="23" t="n">
        <v>217.632217406713</v>
      </c>
      <c r="C301" s="23" t="n">
        <v>31.5378698832158</v>
      </c>
      <c r="D301" s="23" t="n">
        <v>45.0217804894889</v>
      </c>
      <c r="E301" s="15" t="n">
        <f aca="false">B301+C301+D301</f>
        <v>294.191867779417</v>
      </c>
    </row>
    <row r="302" customFormat="false" ht="15" hidden="false" customHeight="false" outlineLevel="0" collapsed="false">
      <c r="A302" s="23" t="n">
        <v>301</v>
      </c>
      <c r="B302" s="23" t="n">
        <v>217.176687987398</v>
      </c>
      <c r="C302" s="23" t="n">
        <v>30.3887586424199</v>
      </c>
      <c r="D302" s="23" t="n">
        <v>43.3332378232614</v>
      </c>
      <c r="E302" s="15" t="n">
        <f aca="false">B302+C302+D302</f>
        <v>290.89868445308</v>
      </c>
    </row>
    <row r="303" customFormat="false" ht="15" hidden="false" customHeight="false" outlineLevel="0" collapsed="false">
      <c r="A303" s="23" t="n">
        <v>302</v>
      </c>
      <c r="B303" s="23" t="n">
        <v>216.722112043881</v>
      </c>
      <c r="C303" s="23" t="n">
        <v>29.2490277169983</v>
      </c>
      <c r="D303" s="23" t="n">
        <v>41.6584967144281</v>
      </c>
      <c r="E303" s="15" t="n">
        <f aca="false">B303+C303+D303</f>
        <v>287.629636475307</v>
      </c>
    </row>
    <row r="304" customFormat="false" ht="15" hidden="false" customHeight="false" outlineLevel="0" collapsed="false">
      <c r="A304" s="23" t="n">
        <v>303</v>
      </c>
      <c r="B304" s="23" t="n">
        <v>216.268487580424</v>
      </c>
      <c r="C304" s="23" t="n">
        <v>28.1186125536807</v>
      </c>
      <c r="D304" s="23" t="n">
        <v>39.9974621542982</v>
      </c>
      <c r="E304" s="15" t="n">
        <f aca="false">B304+C304+D304</f>
        <v>284.384562288403</v>
      </c>
    </row>
    <row r="305" customFormat="false" ht="15" hidden="false" customHeight="false" outlineLevel="0" collapsed="false">
      <c r="A305" s="23" t="n">
        <v>304</v>
      </c>
      <c r="B305" s="23" t="n">
        <v>215.815812605471</v>
      </c>
      <c r="C305" s="23" t="n">
        <v>26.9974490235913</v>
      </c>
      <c r="D305" s="23" t="n">
        <v>38.3500397588568</v>
      </c>
      <c r="E305" s="15" t="n">
        <f aca="false">B305+C305+D305</f>
        <v>281.163301387919</v>
      </c>
    </row>
    <row r="306" customFormat="false" ht="15" hidden="false" customHeight="false" outlineLevel="0" collapsed="false">
      <c r="A306" s="23" t="n">
        <v>305</v>
      </c>
      <c r="B306" s="23" t="n">
        <v>215.364085131633</v>
      </c>
      <c r="C306" s="23" t="n">
        <v>25.8854734194973</v>
      </c>
      <c r="D306" s="23" t="n">
        <v>36.7161357647154</v>
      </c>
      <c r="E306" s="15" t="n">
        <f aca="false">B306+C306+D306</f>
        <v>277.965694315845</v>
      </c>
    </row>
    <row r="307" customFormat="false" ht="15" hidden="false" customHeight="false" outlineLevel="0" collapsed="false">
      <c r="A307" s="23" t="n">
        <v>306</v>
      </c>
      <c r="B307" s="23" t="n">
        <v>214.913303175679</v>
      </c>
      <c r="C307" s="23" t="n">
        <v>24.7826224530758</v>
      </c>
      <c r="D307" s="23" t="n">
        <v>35.0956570250877</v>
      </c>
      <c r="E307" s="15" t="n">
        <f aca="false">B307+C307+D307</f>
        <v>274.791582653842</v>
      </c>
    </row>
    <row r="308" customFormat="false" ht="15" hidden="false" customHeight="false" outlineLevel="0" collapsed="false">
      <c r="A308" s="23" t="n">
        <v>307</v>
      </c>
      <c r="B308" s="23" t="n">
        <v>214.463464758531</v>
      </c>
      <c r="C308" s="23" t="n">
        <v>23.6888332521975</v>
      </c>
      <c r="D308" s="23" t="n">
        <v>33.4885110057926</v>
      </c>
      <c r="E308" s="15" t="n">
        <f aca="false">B308+C308+D308</f>
        <v>271.640809016521</v>
      </c>
    </row>
    <row r="309" customFormat="false" ht="15" hidden="false" customHeight="false" outlineLevel="0" collapsed="false">
      <c r="A309" s="23" t="n">
        <v>308</v>
      </c>
      <c r="B309" s="23" t="n">
        <v>214.014567905254</v>
      </c>
      <c r="C309" s="23" t="n">
        <v>22.6040433582285</v>
      </c>
      <c r="D309" s="23" t="n">
        <v>31.8946057812821</v>
      </c>
      <c r="E309" s="15" t="n">
        <f aca="false">B309+C309+D309</f>
        <v>268.513217044765</v>
      </c>
    </row>
    <row r="310" customFormat="false" ht="15" hidden="false" customHeight="false" outlineLevel="0" collapsed="false">
      <c r="A310" s="23" t="n">
        <v>309</v>
      </c>
      <c r="B310" s="23" t="n">
        <v>213.566610645045</v>
      </c>
      <c r="C310" s="23" t="n">
        <v>21.5281907233499</v>
      </c>
      <c r="D310" s="23" t="n">
        <v>30.3138500306951</v>
      </c>
      <c r="E310" s="15" t="n">
        <f aca="false">B310+C310+D310</f>
        <v>265.40865139909</v>
      </c>
    </row>
    <row r="311" customFormat="false" ht="15" hidden="false" customHeight="false" outlineLevel="0" collapsed="false">
      <c r="A311" s="23" t="n">
        <v>310</v>
      </c>
      <c r="B311" s="23" t="n">
        <v>213.119591011227</v>
      </c>
      <c r="C311" s="23" t="n">
        <v>20.4612137078936</v>
      </c>
      <c r="D311" s="23" t="n">
        <v>28.7461530339367</v>
      </c>
      <c r="E311" s="15" t="n">
        <f aca="false">B311+C311+D311</f>
        <v>262.326957753058</v>
      </c>
    </row>
    <row r="312" customFormat="false" ht="15" hidden="false" customHeight="false" outlineLevel="0" collapsed="false">
      <c r="A312" s="23" t="n">
        <v>311</v>
      </c>
      <c r="B312" s="23" t="n">
        <v>212.673507041241</v>
      </c>
      <c r="C312" s="23" t="n">
        <v>19.403051077696</v>
      </c>
      <c r="D312" s="23" t="n">
        <v>27.191424667783</v>
      </c>
      <c r="E312" s="15" t="n">
        <f aca="false">B312+C312+D312</f>
        <v>259.26798278672</v>
      </c>
    </row>
    <row r="313" customFormat="false" ht="15" hidden="false" customHeight="false" outlineLevel="0" collapsed="false">
      <c r="A313" s="23" t="n">
        <v>312</v>
      </c>
      <c r="B313" s="23" t="n">
        <v>212.228356776631</v>
      </c>
      <c r="C313" s="23" t="n">
        <v>18.353642001469</v>
      </c>
      <c r="D313" s="23" t="n">
        <v>25.6495754020106</v>
      </c>
      <c r="E313" s="15" t="n">
        <f aca="false">B313+C313+D313</f>
        <v>256.231574180111</v>
      </c>
    </row>
    <row r="314" customFormat="false" ht="15" hidden="false" customHeight="false" outlineLevel="0" collapsed="false">
      <c r="A314" s="23" t="n">
        <v>313</v>
      </c>
      <c r="B314" s="23" t="n">
        <v>211.784138263047</v>
      </c>
      <c r="C314" s="23" t="n">
        <v>17.3129260481875</v>
      </c>
      <c r="D314" s="23" t="n">
        <v>24.1205162955512</v>
      </c>
      <c r="E314" s="15" t="n">
        <f aca="false">B314+C314+D314</f>
        <v>253.217580606785</v>
      </c>
    </row>
    <row r="315" customFormat="false" ht="15" hidden="false" customHeight="false" outlineLevel="0" collapsed="false">
      <c r="A315" s="23" t="n">
        <v>314</v>
      </c>
      <c r="B315" s="23" t="n">
        <v>211.340849550224</v>
      </c>
      <c r="C315" s="23" t="n">
        <v>16.2808431844936</v>
      </c>
      <c r="D315" s="23" t="n">
        <v>22.6041589926715</v>
      </c>
      <c r="E315" s="15" t="n">
        <f aca="false">B315+C315+D315</f>
        <v>250.225851727389</v>
      </c>
    </row>
    <row r="316" customFormat="false" ht="15" hidden="false" customHeight="false" outlineLevel="0" collapsed="false">
      <c r="A316" s="23" t="n">
        <v>315</v>
      </c>
      <c r="B316" s="23" t="n">
        <v>210.898488691983</v>
      </c>
      <c r="C316" s="23" t="n">
        <v>15.2573337721184</v>
      </c>
      <c r="D316" s="23" t="n">
        <v>21.1004157191773</v>
      </c>
      <c r="E316" s="15" t="n">
        <f aca="false">B316+C316+D316</f>
        <v>247.256238183279</v>
      </c>
    </row>
    <row r="317" customFormat="false" ht="15" hidden="false" customHeight="false" outlineLevel="0" collapsed="false">
      <c r="A317" s="23" t="n">
        <v>316</v>
      </c>
      <c r="B317" s="23" t="n">
        <v>210.457053746216</v>
      </c>
      <c r="C317" s="23" t="n">
        <v>14.2423385653196</v>
      </c>
      <c r="D317" s="23" t="n">
        <v>19.6091992786417</v>
      </c>
      <c r="E317" s="15" t="n">
        <f aca="false">B317+C317+D317</f>
        <v>244.308591590177</v>
      </c>
    </row>
    <row r="318" customFormat="false" ht="15" hidden="false" customHeight="false" outlineLevel="0" collapsed="false">
      <c r="A318" s="23" t="n">
        <v>317</v>
      </c>
      <c r="B318" s="23" t="n">
        <v>210.01654277488</v>
      </c>
      <c r="C318" s="23" t="n">
        <v>13.2357987083358</v>
      </c>
      <c r="D318" s="23" t="n">
        <v>18.1304230486589</v>
      </c>
      <c r="E318" s="15" t="n">
        <f aca="false">B318+C318+D318</f>
        <v>241.382764531875</v>
      </c>
    </row>
    <row r="319" customFormat="false" ht="15" hidden="false" customHeight="false" outlineLevel="0" collapsed="false">
      <c r="A319" s="23" t="n">
        <v>318</v>
      </c>
      <c r="B319" s="23" t="n">
        <v>209.576953843992</v>
      </c>
      <c r="C319" s="23" t="n">
        <v>12.2376557328579</v>
      </c>
      <c r="D319" s="23" t="n">
        <v>16.6640009771208</v>
      </c>
      <c r="E319" s="15" t="n">
        <f aca="false">B319+C319+D319</f>
        <v>238.478610553971</v>
      </c>
    </row>
    <row r="320" customFormat="false" ht="15" hidden="false" customHeight="false" outlineLevel="0" collapsed="false">
      <c r="A320" s="23" t="n">
        <v>319</v>
      </c>
      <c r="B320" s="23" t="n">
        <v>209.138285023613</v>
      </c>
      <c r="C320" s="23" t="n">
        <v>11.2478515555155</v>
      </c>
      <c r="D320" s="23" t="n">
        <v>15.2098475785187</v>
      </c>
      <c r="E320" s="15" t="n">
        <f aca="false">B320+C320+D320</f>
        <v>235.595984157647</v>
      </c>
    </row>
    <row r="321" customFormat="false" ht="15" hidden="false" customHeight="false" outlineLevel="0" collapsed="false">
      <c r="A321" s="23" t="n">
        <v>320</v>
      </c>
      <c r="B321" s="23" t="n">
        <v>208.700534387846</v>
      </c>
      <c r="C321" s="23" t="n">
        <v>10.2663284753812</v>
      </c>
      <c r="D321" s="23" t="n">
        <v>13.767877930268</v>
      </c>
      <c r="E321" s="15" t="n">
        <f aca="false">B321+C321+D321</f>
        <v>232.734740793495</v>
      </c>
    </row>
    <row r="322" customFormat="false" ht="15" hidden="false" customHeight="false" outlineLevel="0" collapsed="false">
      <c r="A322" s="23" t="n">
        <v>321</v>
      </c>
      <c r="B322" s="23" t="n">
        <v>208.263700014824</v>
      </c>
      <c r="C322" s="23" t="n">
        <v>9.29302917148941</v>
      </c>
      <c r="D322" s="23" t="n">
        <v>12.3380076690572</v>
      </c>
      <c r="E322" s="15" t="n">
        <f aca="false">B322+C322+D322</f>
        <v>229.89473685537</v>
      </c>
    </row>
    <row r="323" customFormat="false" ht="15" hidden="false" customHeight="false" outlineLevel="0" collapsed="false">
      <c r="A323" s="23" t="n">
        <v>322</v>
      </c>
      <c r="B323" s="23" t="n">
        <v>207.827779986703</v>
      </c>
      <c r="C323" s="23" t="n">
        <v>8.32789670037243</v>
      </c>
      <c r="D323" s="23" t="n">
        <v>10.9201529872207</v>
      </c>
      <c r="E323" s="15" t="n">
        <f aca="false">B323+C323+D323</f>
        <v>227.075829674296</v>
      </c>
    </row>
    <row r="324" customFormat="false" ht="15" hidden="false" customHeight="false" outlineLevel="0" collapsed="false">
      <c r="A324" s="23" t="n">
        <v>323</v>
      </c>
      <c r="B324" s="23" t="n">
        <v>207.392772389653</v>
      </c>
      <c r="C324" s="23" t="n">
        <v>7.37087449361151</v>
      </c>
      <c r="D324" s="23" t="n">
        <v>9.51423062913383</v>
      </c>
      <c r="E324" s="15" t="n">
        <f aca="false">B324+C324+D324</f>
        <v>224.277877512398</v>
      </c>
    </row>
    <row r="325" customFormat="false" ht="15" hidden="false" customHeight="false" outlineLevel="0" collapsed="false">
      <c r="A325" s="23" t="n">
        <v>324</v>
      </c>
      <c r="B325" s="23" t="n">
        <v>206.958675313851</v>
      </c>
      <c r="C325" s="23" t="n">
        <v>6.42190635540432</v>
      </c>
      <c r="D325" s="23" t="n">
        <v>8.12015788763268</v>
      </c>
      <c r="E325" s="15" t="n">
        <f aca="false">B325+C325+D325</f>
        <v>221.500739556888</v>
      </c>
    </row>
    <row r="326" customFormat="false" ht="15" hidden="false" customHeight="false" outlineLevel="0" collapsed="false">
      <c r="A326" s="23" t="n">
        <v>325</v>
      </c>
      <c r="B326" s="23" t="n">
        <v>206.525486853469</v>
      </c>
      <c r="C326" s="23" t="n">
        <v>5.48093646014783</v>
      </c>
      <c r="D326" s="23" t="n">
        <v>6.7378526004559</v>
      </c>
      <c r="E326" s="15" t="n">
        <f aca="false">B326+C326+D326</f>
        <v>218.744275914073</v>
      </c>
    </row>
    <row r="327" customFormat="false" ht="15" hidden="false" customHeight="false" outlineLevel="0" collapsed="false">
      <c r="A327" s="23" t="n">
        <v>326</v>
      </c>
      <c r="B327" s="23" t="n">
        <v>206.093205106672</v>
      </c>
      <c r="C327" s="23" t="n">
        <v>4.54790935003691</v>
      </c>
      <c r="D327" s="23" t="n">
        <v>5.36723314670998</v>
      </c>
      <c r="E327" s="15" t="n">
        <f aca="false">B327+C327+D327</f>
        <v>216.008347603419</v>
      </c>
    </row>
    <row r="328" customFormat="false" ht="15" hidden="false" customHeight="false" outlineLevel="0" collapsed="false">
      <c r="A328" s="23" t="n">
        <v>327</v>
      </c>
      <c r="B328" s="23" t="n">
        <v>205.661828175602</v>
      </c>
      <c r="C328" s="23" t="n">
        <v>3.62276993267836</v>
      </c>
      <c r="D328" s="23" t="n">
        <v>4.00821844335725</v>
      </c>
      <c r="E328" s="15" t="n">
        <f aca="false">B328+C328+D328</f>
        <v>213.292816551638</v>
      </c>
    </row>
    <row r="329" customFormat="false" ht="15" hidden="false" customHeight="false" outlineLevel="0" collapsed="false">
      <c r="A329" s="23" t="n">
        <v>328</v>
      </c>
      <c r="B329" s="23" t="n">
        <v>205.231354166376</v>
      </c>
      <c r="C329" s="23" t="n">
        <v>2.70546347872041</v>
      </c>
      <c r="D329" s="23" t="n">
        <v>2.66072794172649</v>
      </c>
      <c r="E329" s="15" t="n">
        <f aca="false">B329+C329+D329</f>
        <v>210.597545586823</v>
      </c>
    </row>
    <row r="330" customFormat="false" ht="15" hidden="false" customHeight="false" outlineLevel="0" collapsed="false">
      <c r="A330" s="23" t="n">
        <v>329</v>
      </c>
      <c r="B330" s="23" t="n">
        <v>204.801781189073</v>
      </c>
      <c r="C330" s="23" t="n">
        <v>1.79593561949746</v>
      </c>
      <c r="D330" s="23" t="n">
        <v>1.32468162404618</v>
      </c>
      <c r="E330" s="15" t="n">
        <f aca="false">B330+C330+D330</f>
        <v>207.922398432616</v>
      </c>
    </row>
    <row r="331" customFormat="false" ht="15" hidden="false" customHeight="false" outlineLevel="0" collapsed="false">
      <c r="A331" s="23" t="n">
        <v>330</v>
      </c>
      <c r="B331" s="23" t="n">
        <v>204.373107357731</v>
      </c>
      <c r="C331" s="23" t="n">
        <v>0.894132344690069</v>
      </c>
      <c r="D331" s="23" t="n">
        <v>-5.18358380894923E-015</v>
      </c>
      <c r="E331" s="15" t="n">
        <f aca="false">B331+C331+D331</f>
        <v>205.267239702421</v>
      </c>
    </row>
  </sheetData>
  <autoFilter ref="A1:E33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3"/>
    <col collapsed="false" customWidth="true" hidden="false" outlineLevel="0" max="4" min="4" style="0" width="20"/>
  </cols>
  <sheetData>
    <row r="1" customFormat="false" ht="30" hidden="false" customHeight="true" outlineLevel="0" collapsed="false">
      <c r="A1" s="27" t="s">
        <v>430</v>
      </c>
      <c r="B1" s="27" t="s">
        <v>220</v>
      </c>
      <c r="C1" s="27" t="s">
        <v>873</v>
      </c>
      <c r="D1" s="27" t="s">
        <v>627</v>
      </c>
    </row>
    <row r="2" customFormat="false" ht="15" hidden="false" customHeight="false" outlineLevel="0" collapsed="false">
      <c r="A2" s="28" t="s">
        <v>322</v>
      </c>
      <c r="B2" s="28" t="s">
        <v>227</v>
      </c>
      <c r="C2" s="28" t="s">
        <v>447</v>
      </c>
      <c r="D2" s="23" t="n">
        <v>2751903.51086721</v>
      </c>
    </row>
    <row r="3" customFormat="false" ht="15" hidden="false" customHeight="false" outlineLevel="0" collapsed="false">
      <c r="A3" s="28" t="s">
        <v>322</v>
      </c>
      <c r="B3" s="28" t="s">
        <v>228</v>
      </c>
      <c r="C3" s="28" t="s">
        <v>447</v>
      </c>
      <c r="D3" s="23" t="n">
        <v>847849.946072923</v>
      </c>
    </row>
    <row r="4" customFormat="false" ht="15" hidden="false" customHeight="false" outlineLevel="0" collapsed="false">
      <c r="A4" s="28" t="s">
        <v>322</v>
      </c>
      <c r="B4" s="28" t="s">
        <v>229</v>
      </c>
      <c r="C4" s="28" t="s">
        <v>447</v>
      </c>
      <c r="D4" s="23" t="n">
        <v>2132570.17940014</v>
      </c>
    </row>
    <row r="5" customFormat="false" ht="15" hidden="false" customHeight="false" outlineLevel="0" collapsed="false">
      <c r="A5" s="28" t="s">
        <v>322</v>
      </c>
      <c r="B5" s="28" t="s">
        <v>230</v>
      </c>
      <c r="C5" s="28" t="s">
        <v>447</v>
      </c>
      <c r="D5" s="23" t="n">
        <v>1542013.52857031</v>
      </c>
    </row>
    <row r="6" customFormat="false" ht="15" hidden="false" customHeight="false" outlineLevel="0" collapsed="false">
      <c r="A6" s="28" t="s">
        <v>322</v>
      </c>
      <c r="B6" s="28" t="s">
        <v>231</v>
      </c>
      <c r="C6" s="28" t="s">
        <v>447</v>
      </c>
      <c r="D6" s="23" t="n">
        <v>1122748.02601092</v>
      </c>
    </row>
    <row r="7" customFormat="false" ht="15" hidden="false" customHeight="false" outlineLevel="0" collapsed="false">
      <c r="A7" s="28" t="s">
        <v>322</v>
      </c>
      <c r="B7" s="28" t="s">
        <v>232</v>
      </c>
      <c r="C7" s="28" t="s">
        <v>447</v>
      </c>
      <c r="D7" s="23" t="n">
        <v>871798.211067418</v>
      </c>
    </row>
    <row r="8" customFormat="false" ht="15" hidden="false" customHeight="false" outlineLevel="0" collapsed="false">
      <c r="A8" s="28" t="s">
        <v>322</v>
      </c>
      <c r="B8" s="28" t="s">
        <v>233</v>
      </c>
      <c r="C8" s="28" t="s">
        <v>447</v>
      </c>
      <c r="D8" s="23" t="n">
        <v>618961.625</v>
      </c>
    </row>
    <row r="9" customFormat="false" ht="15" hidden="false" customHeight="false" outlineLevel="0" collapsed="false">
      <c r="A9" s="28" t="s">
        <v>322</v>
      </c>
      <c r="B9" s="28" t="s">
        <v>227</v>
      </c>
      <c r="C9" s="28" t="s">
        <v>469</v>
      </c>
      <c r="D9" s="23" t="n">
        <v>2230363.43229958</v>
      </c>
    </row>
    <row r="10" customFormat="false" ht="15" hidden="false" customHeight="false" outlineLevel="0" collapsed="false">
      <c r="A10" s="28" t="s">
        <v>322</v>
      </c>
      <c r="B10" s="28" t="s">
        <v>228</v>
      </c>
      <c r="C10" s="28" t="s">
        <v>469</v>
      </c>
      <c r="D10" s="23" t="n">
        <v>1853615.74911402</v>
      </c>
    </row>
    <row r="11" customFormat="false" ht="15" hidden="false" customHeight="false" outlineLevel="0" collapsed="false">
      <c r="A11" s="28" t="s">
        <v>322</v>
      </c>
      <c r="B11" s="28" t="s">
        <v>229</v>
      </c>
      <c r="C11" s="28" t="s">
        <v>469</v>
      </c>
      <c r="D11" s="23" t="n">
        <v>1753396.89254658</v>
      </c>
    </row>
    <row r="12" customFormat="false" ht="15" hidden="false" customHeight="false" outlineLevel="0" collapsed="false">
      <c r="A12" s="28" t="s">
        <v>322</v>
      </c>
      <c r="B12" s="28" t="s">
        <v>230</v>
      </c>
      <c r="C12" s="28" t="s">
        <v>469</v>
      </c>
      <c r="D12" s="23" t="n">
        <v>984960.763774001</v>
      </c>
    </row>
    <row r="13" customFormat="false" ht="15" hidden="false" customHeight="false" outlineLevel="0" collapsed="false">
      <c r="A13" s="28" t="s">
        <v>322</v>
      </c>
      <c r="B13" s="28" t="s">
        <v>231</v>
      </c>
      <c r="C13" s="28" t="s">
        <v>469</v>
      </c>
      <c r="D13" s="23" t="n">
        <v>1190866.13791794</v>
      </c>
    </row>
    <row r="14" customFormat="false" ht="15" hidden="false" customHeight="false" outlineLevel="0" collapsed="false">
      <c r="A14" s="28" t="s">
        <v>322</v>
      </c>
      <c r="B14" s="28" t="s">
        <v>232</v>
      </c>
      <c r="C14" s="28" t="s">
        <v>469</v>
      </c>
      <c r="D14" s="23" t="n">
        <v>842397.349347879</v>
      </c>
    </row>
    <row r="15" customFormat="false" ht="15" hidden="false" customHeight="false" outlineLevel="0" collapsed="false">
      <c r="A15" s="28" t="s">
        <v>322</v>
      </c>
      <c r="B15" s="28" t="s">
        <v>233</v>
      </c>
      <c r="C15" s="28" t="s">
        <v>469</v>
      </c>
      <c r="D15" s="23" t="n">
        <v>124418.196</v>
      </c>
    </row>
    <row r="16" customFormat="false" ht="15" hidden="false" customHeight="false" outlineLevel="0" collapsed="false">
      <c r="A16" s="28" t="s">
        <v>322</v>
      </c>
      <c r="B16" s="28" t="s">
        <v>227</v>
      </c>
      <c r="C16" s="28" t="s">
        <v>223</v>
      </c>
      <c r="D16" s="23" t="n">
        <v>0</v>
      </c>
    </row>
    <row r="17" customFormat="false" ht="15" hidden="false" customHeight="false" outlineLevel="0" collapsed="false">
      <c r="A17" s="28" t="s">
        <v>322</v>
      </c>
      <c r="B17" s="28" t="s">
        <v>228</v>
      </c>
      <c r="C17" s="28" t="s">
        <v>223</v>
      </c>
      <c r="D17" s="23" t="n">
        <v>0</v>
      </c>
    </row>
    <row r="18" customFormat="false" ht="15" hidden="false" customHeight="false" outlineLevel="0" collapsed="false">
      <c r="A18" s="28" t="s">
        <v>322</v>
      </c>
      <c r="B18" s="28" t="s">
        <v>229</v>
      </c>
      <c r="C18" s="28" t="s">
        <v>223</v>
      </c>
      <c r="D18" s="23" t="n">
        <v>0</v>
      </c>
    </row>
    <row r="19" customFormat="false" ht="15" hidden="false" customHeight="false" outlineLevel="0" collapsed="false">
      <c r="A19" s="28" t="s">
        <v>322</v>
      </c>
      <c r="B19" s="28" t="s">
        <v>230</v>
      </c>
      <c r="C19" s="28" t="s">
        <v>223</v>
      </c>
      <c r="D19" s="23" t="n">
        <v>0</v>
      </c>
    </row>
    <row r="20" customFormat="false" ht="15" hidden="false" customHeight="false" outlineLevel="0" collapsed="false">
      <c r="A20" s="28" t="s">
        <v>322</v>
      </c>
      <c r="B20" s="28" t="s">
        <v>231</v>
      </c>
      <c r="C20" s="28" t="s">
        <v>223</v>
      </c>
      <c r="D20" s="23" t="n">
        <v>0</v>
      </c>
    </row>
    <row r="21" customFormat="false" ht="15" hidden="false" customHeight="false" outlineLevel="0" collapsed="false">
      <c r="A21" s="28" t="s">
        <v>322</v>
      </c>
      <c r="B21" s="28" t="s">
        <v>232</v>
      </c>
      <c r="C21" s="28" t="s">
        <v>223</v>
      </c>
      <c r="D21" s="23" t="n">
        <v>0</v>
      </c>
    </row>
    <row r="22" customFormat="false" ht="15" hidden="false" customHeight="false" outlineLevel="0" collapsed="false">
      <c r="A22" s="28" t="s">
        <v>322</v>
      </c>
      <c r="B22" s="28" t="s">
        <v>233</v>
      </c>
      <c r="C22" s="28" t="s">
        <v>223</v>
      </c>
      <c r="D22" s="23" t="n">
        <v>907826.506</v>
      </c>
    </row>
    <row r="23" customFormat="false" ht="15" hidden="false" customHeight="false" outlineLevel="0" collapsed="false">
      <c r="A23" s="28" t="s">
        <v>322</v>
      </c>
      <c r="B23" s="28" t="s">
        <v>227</v>
      </c>
      <c r="C23" s="28" t="s">
        <v>874</v>
      </c>
      <c r="D23" s="23" t="n">
        <v>0</v>
      </c>
    </row>
    <row r="24" customFormat="false" ht="15" hidden="false" customHeight="false" outlineLevel="0" collapsed="false">
      <c r="A24" s="28" t="s">
        <v>322</v>
      </c>
      <c r="B24" s="28" t="s">
        <v>228</v>
      </c>
      <c r="C24" s="28" t="s">
        <v>874</v>
      </c>
      <c r="D24" s="23" t="n">
        <v>0</v>
      </c>
    </row>
    <row r="25" customFormat="false" ht="15" hidden="false" customHeight="false" outlineLevel="0" collapsed="false">
      <c r="A25" s="28" t="s">
        <v>322</v>
      </c>
      <c r="B25" s="28" t="s">
        <v>229</v>
      </c>
      <c r="C25" s="28" t="s">
        <v>874</v>
      </c>
      <c r="D25" s="23" t="n">
        <v>0</v>
      </c>
    </row>
    <row r="26" customFormat="false" ht="15" hidden="false" customHeight="false" outlineLevel="0" collapsed="false">
      <c r="A26" s="28" t="s">
        <v>322</v>
      </c>
      <c r="B26" s="28" t="s">
        <v>230</v>
      </c>
      <c r="C26" s="28" t="s">
        <v>874</v>
      </c>
      <c r="D26" s="23" t="n">
        <v>0</v>
      </c>
    </row>
    <row r="27" customFormat="false" ht="15" hidden="false" customHeight="false" outlineLevel="0" collapsed="false">
      <c r="A27" s="28" t="s">
        <v>322</v>
      </c>
      <c r="B27" s="28" t="s">
        <v>231</v>
      </c>
      <c r="C27" s="28" t="s">
        <v>874</v>
      </c>
      <c r="D27" s="23" t="n">
        <v>0</v>
      </c>
    </row>
    <row r="28" customFormat="false" ht="15" hidden="false" customHeight="false" outlineLevel="0" collapsed="false">
      <c r="A28" s="28" t="s">
        <v>322</v>
      </c>
      <c r="B28" s="28" t="s">
        <v>232</v>
      </c>
      <c r="C28" s="28" t="s">
        <v>874</v>
      </c>
      <c r="D28" s="23" t="n">
        <v>0</v>
      </c>
    </row>
    <row r="29" customFormat="false" ht="15" hidden="false" customHeight="false" outlineLevel="0" collapsed="false">
      <c r="A29" s="28" t="s">
        <v>322</v>
      </c>
      <c r="B29" s="28" t="s">
        <v>233</v>
      </c>
      <c r="C29" s="28" t="s">
        <v>874</v>
      </c>
      <c r="D29" s="23" t="n">
        <v>0</v>
      </c>
    </row>
  </sheetData>
  <autoFilter ref="A1:D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D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
    <col collapsed="false" customWidth="true" hidden="false" outlineLevel="0" max="3" min="3" style="0" width="10"/>
    <col collapsed="false" customWidth="true" hidden="false" outlineLevel="0" max="4" min="4" style="0" width="20"/>
  </cols>
  <sheetData>
    <row r="1" customFormat="false" ht="30" hidden="false" customHeight="true" outlineLevel="0" collapsed="false">
      <c r="A1" s="27" t="s">
        <v>444</v>
      </c>
      <c r="B1" s="27" t="s">
        <v>873</v>
      </c>
      <c r="C1" s="27" t="s">
        <v>220</v>
      </c>
      <c r="D1" s="27" t="s">
        <v>627</v>
      </c>
    </row>
    <row r="2" customFormat="false" ht="15" hidden="false" customHeight="false" outlineLevel="0" collapsed="false">
      <c r="A2" s="28" t="s">
        <v>511</v>
      </c>
      <c r="B2" s="28" t="s">
        <v>447</v>
      </c>
      <c r="C2" s="28" t="s">
        <v>227</v>
      </c>
      <c r="D2" s="23" t="n">
        <v>654788.137</v>
      </c>
    </row>
    <row r="3" customFormat="false" ht="15" hidden="false" customHeight="false" outlineLevel="0" collapsed="false">
      <c r="A3" s="28" t="s">
        <v>511</v>
      </c>
      <c r="B3" s="28" t="s">
        <v>447</v>
      </c>
      <c r="C3" s="28" t="s">
        <v>228</v>
      </c>
      <c r="D3" s="23" t="n">
        <v>0</v>
      </c>
    </row>
    <row r="4" customFormat="false" ht="15" hidden="false" customHeight="false" outlineLevel="0" collapsed="false">
      <c r="A4" s="28" t="s">
        <v>511</v>
      </c>
      <c r="B4" s="28" t="s">
        <v>447</v>
      </c>
      <c r="C4" s="28" t="s">
        <v>229</v>
      </c>
      <c r="D4" s="23" t="n">
        <v>0</v>
      </c>
    </row>
    <row r="5" customFormat="false" ht="15" hidden="false" customHeight="false" outlineLevel="0" collapsed="false">
      <c r="A5" s="28" t="s">
        <v>511</v>
      </c>
      <c r="B5" s="28" t="s">
        <v>447</v>
      </c>
      <c r="C5" s="28" t="s">
        <v>230</v>
      </c>
      <c r="D5" s="23" t="n">
        <v>0</v>
      </c>
    </row>
    <row r="6" customFormat="false" ht="15" hidden="false" customHeight="false" outlineLevel="0" collapsed="false">
      <c r="A6" s="28" t="s">
        <v>511</v>
      </c>
      <c r="B6" s="28" t="s">
        <v>447</v>
      </c>
      <c r="C6" s="28" t="s">
        <v>231</v>
      </c>
      <c r="D6" s="23" t="n">
        <v>0</v>
      </c>
    </row>
    <row r="7" customFormat="false" ht="15" hidden="false" customHeight="false" outlineLevel="0" collapsed="false">
      <c r="A7" s="28" t="s">
        <v>511</v>
      </c>
      <c r="B7" s="28" t="s">
        <v>447</v>
      </c>
      <c r="C7" s="28" t="s">
        <v>232</v>
      </c>
      <c r="D7" s="23" t="n">
        <v>0</v>
      </c>
    </row>
    <row r="8" customFormat="false" ht="15" hidden="false" customHeight="false" outlineLevel="0" collapsed="false">
      <c r="A8" s="28" t="s">
        <v>513</v>
      </c>
      <c r="B8" s="28" t="s">
        <v>447</v>
      </c>
      <c r="C8" s="28" t="s">
        <v>233</v>
      </c>
      <c r="D8" s="23" t="n">
        <v>40466.353</v>
      </c>
    </row>
    <row r="9" customFormat="false" ht="15" hidden="false" customHeight="false" outlineLevel="0" collapsed="false">
      <c r="A9" s="28" t="s">
        <v>515</v>
      </c>
      <c r="B9" s="28" t="s">
        <v>447</v>
      </c>
      <c r="C9" s="28" t="s">
        <v>233</v>
      </c>
      <c r="D9" s="23" t="n">
        <v>24065.482</v>
      </c>
    </row>
    <row r="10" customFormat="false" ht="15" hidden="false" customHeight="false" outlineLevel="0" collapsed="false">
      <c r="A10" s="28" t="s">
        <v>517</v>
      </c>
      <c r="B10" s="28" t="s">
        <v>447</v>
      </c>
      <c r="C10" s="28" t="s">
        <v>233</v>
      </c>
      <c r="D10" s="23" t="n">
        <v>656.25</v>
      </c>
    </row>
    <row r="11" customFormat="false" ht="15" hidden="false" customHeight="false" outlineLevel="0" collapsed="false">
      <c r="A11" s="28" t="s">
        <v>458</v>
      </c>
      <c r="B11" s="28" t="s">
        <v>447</v>
      </c>
      <c r="C11" s="28" t="s">
        <v>227</v>
      </c>
      <c r="D11" s="23" t="n">
        <v>1976.718</v>
      </c>
    </row>
    <row r="12" customFormat="false" ht="15" hidden="false" customHeight="false" outlineLevel="0" collapsed="false">
      <c r="A12" s="28" t="s">
        <v>458</v>
      </c>
      <c r="B12" s="28" t="s">
        <v>447</v>
      </c>
      <c r="C12" s="28" t="s">
        <v>228</v>
      </c>
      <c r="D12" s="23" t="n">
        <v>0</v>
      </c>
    </row>
    <row r="13" customFormat="false" ht="15" hidden="false" customHeight="false" outlineLevel="0" collapsed="false">
      <c r="A13" s="28" t="s">
        <v>458</v>
      </c>
      <c r="B13" s="28" t="s">
        <v>447</v>
      </c>
      <c r="C13" s="28" t="s">
        <v>229</v>
      </c>
      <c r="D13" s="23" t="n">
        <v>0</v>
      </c>
    </row>
    <row r="14" customFormat="false" ht="15" hidden="false" customHeight="false" outlineLevel="0" collapsed="false">
      <c r="A14" s="28" t="s">
        <v>458</v>
      </c>
      <c r="B14" s="28" t="s">
        <v>447</v>
      </c>
      <c r="C14" s="28" t="s">
        <v>230</v>
      </c>
      <c r="D14" s="23" t="n">
        <v>0</v>
      </c>
    </row>
    <row r="15" customFormat="false" ht="15" hidden="false" customHeight="false" outlineLevel="0" collapsed="false">
      <c r="A15" s="28" t="s">
        <v>458</v>
      </c>
      <c r="B15" s="28" t="s">
        <v>447</v>
      </c>
      <c r="C15" s="28" t="s">
        <v>231</v>
      </c>
      <c r="D15" s="23" t="n">
        <v>0</v>
      </c>
    </row>
    <row r="16" customFormat="false" ht="15" hidden="false" customHeight="false" outlineLevel="0" collapsed="false">
      <c r="A16" s="28" t="s">
        <v>458</v>
      </c>
      <c r="B16" s="28" t="s">
        <v>447</v>
      </c>
      <c r="C16" s="28" t="s">
        <v>232</v>
      </c>
      <c r="D16" s="23" t="n">
        <v>0</v>
      </c>
    </row>
    <row r="17" customFormat="false" ht="15" hidden="false" customHeight="false" outlineLevel="0" collapsed="false">
      <c r="A17" s="28" t="s">
        <v>488</v>
      </c>
      <c r="B17" s="28" t="s">
        <v>447</v>
      </c>
      <c r="C17" s="28" t="s">
        <v>233</v>
      </c>
      <c r="D17" s="23" t="n">
        <v>-47552</v>
      </c>
    </row>
    <row r="18" customFormat="false" ht="15" hidden="false" customHeight="false" outlineLevel="0" collapsed="false">
      <c r="A18" s="28" t="s">
        <v>520</v>
      </c>
      <c r="B18" s="28" t="s">
        <v>447</v>
      </c>
      <c r="C18" s="28" t="s">
        <v>233</v>
      </c>
      <c r="D18" s="23" t="n">
        <v>1684.849</v>
      </c>
    </row>
    <row r="19" customFormat="false" ht="15" hidden="false" customHeight="false" outlineLevel="0" collapsed="false">
      <c r="A19" s="28" t="s">
        <v>522</v>
      </c>
      <c r="B19" s="28" t="s">
        <v>447</v>
      </c>
      <c r="C19" s="28" t="s">
        <v>233</v>
      </c>
      <c r="D19" s="23" t="n">
        <v>66375.309</v>
      </c>
    </row>
    <row r="20" customFormat="false" ht="15" hidden="false" customHeight="false" outlineLevel="0" collapsed="false">
      <c r="A20" s="28" t="s">
        <v>524</v>
      </c>
      <c r="B20" s="28" t="s">
        <v>447</v>
      </c>
      <c r="C20" s="28" t="s">
        <v>233</v>
      </c>
      <c r="D20" s="23" t="n">
        <v>12317.598</v>
      </c>
    </row>
    <row r="21" customFormat="false" ht="15" hidden="false" customHeight="false" outlineLevel="0" collapsed="false">
      <c r="A21" s="28" t="s">
        <v>526</v>
      </c>
      <c r="B21" s="28" t="s">
        <v>447</v>
      </c>
      <c r="C21" s="28" t="s">
        <v>233</v>
      </c>
      <c r="D21" s="23" t="n">
        <v>75568.131</v>
      </c>
    </row>
    <row r="22" customFormat="false" ht="15" hidden="false" customHeight="false" outlineLevel="0" collapsed="false">
      <c r="A22" s="28" t="s">
        <v>528</v>
      </c>
      <c r="B22" s="28" t="s">
        <v>447</v>
      </c>
      <c r="C22" s="28" t="s">
        <v>233</v>
      </c>
      <c r="D22" s="23" t="n">
        <v>30900</v>
      </c>
    </row>
    <row r="23" customFormat="false" ht="15" hidden="false" customHeight="false" outlineLevel="0" collapsed="false">
      <c r="A23" s="28" t="s">
        <v>529</v>
      </c>
      <c r="B23" s="28" t="s">
        <v>447</v>
      </c>
      <c r="C23" s="28" t="s">
        <v>233</v>
      </c>
      <c r="D23" s="23" t="n">
        <v>17250</v>
      </c>
    </row>
    <row r="24" customFormat="false" ht="15" hidden="false" customHeight="false" outlineLevel="0" collapsed="false">
      <c r="A24" s="28" t="s">
        <v>531</v>
      </c>
      <c r="B24" s="28" t="s">
        <v>447</v>
      </c>
      <c r="C24" s="28" t="s">
        <v>233</v>
      </c>
      <c r="D24" s="23" t="n">
        <v>37860.304</v>
      </c>
    </row>
    <row r="25" customFormat="false" ht="15" hidden="false" customHeight="false" outlineLevel="0" collapsed="false">
      <c r="A25" s="28" t="s">
        <v>533</v>
      </c>
      <c r="B25" s="28" t="s">
        <v>447</v>
      </c>
      <c r="C25" s="28" t="s">
        <v>233</v>
      </c>
      <c r="D25" s="23" t="n">
        <v>76200</v>
      </c>
    </row>
    <row r="26" customFormat="false" ht="15" hidden="false" customHeight="false" outlineLevel="0" collapsed="false">
      <c r="A26" s="28" t="s">
        <v>534</v>
      </c>
      <c r="B26" s="28" t="s">
        <v>447</v>
      </c>
      <c r="C26" s="28" t="s">
        <v>233</v>
      </c>
      <c r="D26" s="23" t="n">
        <v>101000</v>
      </c>
    </row>
    <row r="27" customFormat="false" ht="15" hidden="false" customHeight="false" outlineLevel="0" collapsed="false">
      <c r="A27" s="28" t="s">
        <v>535</v>
      </c>
      <c r="B27" s="28" t="s">
        <v>447</v>
      </c>
      <c r="C27" s="28" t="s">
        <v>233</v>
      </c>
      <c r="D27" s="23" t="n">
        <v>6200</v>
      </c>
    </row>
    <row r="28" customFormat="false" ht="15" hidden="false" customHeight="false" outlineLevel="0" collapsed="false">
      <c r="A28" s="28" t="s">
        <v>537</v>
      </c>
      <c r="B28" s="28" t="s">
        <v>447</v>
      </c>
      <c r="C28" s="28" t="s">
        <v>233</v>
      </c>
      <c r="D28" s="23" t="n">
        <v>175969.349</v>
      </c>
    </row>
    <row r="29" customFormat="false" ht="15" hidden="false" customHeight="false" outlineLevel="0" collapsed="false">
      <c r="A29" s="28" t="s">
        <v>590</v>
      </c>
      <c r="B29" s="28" t="s">
        <v>469</v>
      </c>
      <c r="C29" s="28" t="s">
        <v>233</v>
      </c>
      <c r="D29" s="23" t="n">
        <v>7999</v>
      </c>
    </row>
    <row r="30" customFormat="false" ht="15" hidden="false" customHeight="false" outlineLevel="0" collapsed="false">
      <c r="A30" s="28" t="s">
        <v>592</v>
      </c>
      <c r="B30" s="28" t="s">
        <v>469</v>
      </c>
      <c r="C30" s="28" t="s">
        <v>233</v>
      </c>
      <c r="D30" s="23" t="n">
        <v>116419.196</v>
      </c>
    </row>
    <row r="31" customFormat="false" ht="15" hidden="false" customHeight="false" outlineLevel="0" collapsed="false">
      <c r="A31" s="28" t="s">
        <v>539</v>
      </c>
      <c r="B31" s="28" t="s">
        <v>447</v>
      </c>
      <c r="C31" s="28" t="s">
        <v>227</v>
      </c>
      <c r="D31" s="23" t="n">
        <v>0</v>
      </c>
    </row>
    <row r="32" customFormat="false" ht="15" hidden="false" customHeight="false" outlineLevel="0" collapsed="false">
      <c r="A32" s="28" t="s">
        <v>539</v>
      </c>
      <c r="B32" s="28" t="s">
        <v>447</v>
      </c>
      <c r="C32" s="28" t="s">
        <v>228</v>
      </c>
      <c r="D32" s="23" t="n">
        <v>50017.1449677487</v>
      </c>
    </row>
    <row r="33" customFormat="false" ht="15" hidden="false" customHeight="false" outlineLevel="0" collapsed="false">
      <c r="A33" s="28" t="s">
        <v>539</v>
      </c>
      <c r="B33" s="28" t="s">
        <v>447</v>
      </c>
      <c r="C33" s="28" t="s">
        <v>229</v>
      </c>
      <c r="D33" s="23" t="n">
        <v>50017.1449677487</v>
      </c>
    </row>
    <row r="34" customFormat="false" ht="15" hidden="false" customHeight="false" outlineLevel="0" collapsed="false">
      <c r="A34" s="28" t="s">
        <v>539</v>
      </c>
      <c r="B34" s="28" t="s">
        <v>447</v>
      </c>
      <c r="C34" s="28" t="s">
        <v>230</v>
      </c>
      <c r="D34" s="23" t="n">
        <v>50017.1449677487</v>
      </c>
    </row>
    <row r="35" customFormat="false" ht="15" hidden="false" customHeight="false" outlineLevel="0" collapsed="false">
      <c r="A35" s="28" t="s">
        <v>539</v>
      </c>
      <c r="B35" s="28" t="s">
        <v>447</v>
      </c>
      <c r="C35" s="28" t="s">
        <v>231</v>
      </c>
      <c r="D35" s="23" t="n">
        <v>0</v>
      </c>
    </row>
    <row r="36" customFormat="false" ht="15" hidden="false" customHeight="false" outlineLevel="0" collapsed="false">
      <c r="A36" s="28" t="s">
        <v>539</v>
      </c>
      <c r="B36" s="28" t="s">
        <v>447</v>
      </c>
      <c r="C36" s="28" t="s">
        <v>232</v>
      </c>
      <c r="D36" s="23" t="n">
        <v>0</v>
      </c>
    </row>
    <row r="37" customFormat="false" ht="15" hidden="false" customHeight="false" outlineLevel="0" collapsed="false">
      <c r="A37" s="28" t="s">
        <v>541</v>
      </c>
      <c r="B37" s="28" t="s">
        <v>447</v>
      </c>
      <c r="C37" s="28" t="s">
        <v>227</v>
      </c>
      <c r="D37" s="23" t="n">
        <v>0</v>
      </c>
    </row>
    <row r="38" customFormat="false" ht="15" hidden="false" customHeight="false" outlineLevel="0" collapsed="false">
      <c r="A38" s="28" t="s">
        <v>541</v>
      </c>
      <c r="B38" s="28" t="s">
        <v>447</v>
      </c>
      <c r="C38" s="28" t="s">
        <v>228</v>
      </c>
      <c r="D38" s="23" t="n">
        <v>0</v>
      </c>
    </row>
    <row r="39" customFormat="false" ht="15" hidden="false" customHeight="false" outlineLevel="0" collapsed="false">
      <c r="A39" s="28" t="s">
        <v>541</v>
      </c>
      <c r="B39" s="28" t="s">
        <v>447</v>
      </c>
      <c r="C39" s="28" t="s">
        <v>229</v>
      </c>
      <c r="D39" s="23" t="n">
        <v>183774.620836992</v>
      </c>
    </row>
    <row r="40" customFormat="false" ht="15" hidden="false" customHeight="false" outlineLevel="0" collapsed="false">
      <c r="A40" s="28" t="s">
        <v>541</v>
      </c>
      <c r="B40" s="28" t="s">
        <v>447</v>
      </c>
      <c r="C40" s="28" t="s">
        <v>230</v>
      </c>
      <c r="D40" s="23" t="n">
        <v>183774.620836992</v>
      </c>
    </row>
    <row r="41" customFormat="false" ht="15" hidden="false" customHeight="false" outlineLevel="0" collapsed="false">
      <c r="A41" s="28" t="s">
        <v>541</v>
      </c>
      <c r="B41" s="28" t="s">
        <v>447</v>
      </c>
      <c r="C41" s="28" t="s">
        <v>231</v>
      </c>
      <c r="D41" s="23" t="n">
        <v>0</v>
      </c>
    </row>
    <row r="42" customFormat="false" ht="15" hidden="false" customHeight="false" outlineLevel="0" collapsed="false">
      <c r="A42" s="28" t="s">
        <v>541</v>
      </c>
      <c r="B42" s="28" t="s">
        <v>447</v>
      </c>
      <c r="C42" s="28" t="s">
        <v>232</v>
      </c>
      <c r="D42" s="23" t="n">
        <v>0</v>
      </c>
    </row>
    <row r="43" customFormat="false" ht="15" hidden="false" customHeight="false" outlineLevel="0" collapsed="false">
      <c r="A43" s="28" t="s">
        <v>543</v>
      </c>
      <c r="B43" s="28" t="s">
        <v>447</v>
      </c>
      <c r="C43" s="28" t="s">
        <v>227</v>
      </c>
      <c r="D43" s="23" t="n">
        <v>9251.62821614876</v>
      </c>
    </row>
    <row r="44" customFormat="false" ht="15" hidden="false" customHeight="false" outlineLevel="0" collapsed="false">
      <c r="A44" s="28" t="s">
        <v>543</v>
      </c>
      <c r="B44" s="28" t="s">
        <v>447</v>
      </c>
      <c r="C44" s="28" t="s">
        <v>228</v>
      </c>
      <c r="D44" s="23" t="n">
        <v>27163.7041482825</v>
      </c>
    </row>
    <row r="45" customFormat="false" ht="15" hidden="false" customHeight="false" outlineLevel="0" collapsed="false">
      <c r="A45" s="28" t="s">
        <v>543</v>
      </c>
      <c r="B45" s="28" t="s">
        <v>447</v>
      </c>
      <c r="C45" s="28" t="s">
        <v>229</v>
      </c>
      <c r="D45" s="23" t="n">
        <v>68263.6097322582</v>
      </c>
    </row>
    <row r="46" customFormat="false" ht="15" hidden="false" customHeight="false" outlineLevel="0" collapsed="false">
      <c r="A46" s="28" t="s">
        <v>543</v>
      </c>
      <c r="B46" s="28" t="s">
        <v>447</v>
      </c>
      <c r="C46" s="28" t="s">
        <v>230</v>
      </c>
      <c r="D46" s="23" t="n">
        <v>62551.1700757646</v>
      </c>
    </row>
    <row r="47" customFormat="false" ht="15" hidden="false" customHeight="false" outlineLevel="0" collapsed="false">
      <c r="A47" s="28" t="s">
        <v>543</v>
      </c>
      <c r="B47" s="28" t="s">
        <v>447</v>
      </c>
      <c r="C47" s="28" t="s">
        <v>231</v>
      </c>
      <c r="D47" s="23" t="n">
        <v>134096.282056425</v>
      </c>
    </row>
    <row r="48" customFormat="false" ht="15" hidden="false" customHeight="false" outlineLevel="0" collapsed="false">
      <c r="A48" s="28" t="s">
        <v>543</v>
      </c>
      <c r="B48" s="28" t="s">
        <v>447</v>
      </c>
      <c r="C48" s="28" t="s">
        <v>232</v>
      </c>
      <c r="D48" s="23" t="n">
        <v>247307.359174246</v>
      </c>
    </row>
    <row r="49" customFormat="false" ht="15" hidden="false" customHeight="false" outlineLevel="0" collapsed="false">
      <c r="A49" s="28" t="s">
        <v>545</v>
      </c>
      <c r="B49" s="28" t="s">
        <v>447</v>
      </c>
      <c r="C49" s="28" t="s">
        <v>227</v>
      </c>
      <c r="D49" s="23" t="n">
        <v>7084.51154205395</v>
      </c>
    </row>
    <row r="50" customFormat="false" ht="15" hidden="false" customHeight="false" outlineLevel="0" collapsed="false">
      <c r="A50" s="28" t="s">
        <v>545</v>
      </c>
      <c r="B50" s="28" t="s">
        <v>447</v>
      </c>
      <c r="C50" s="28" t="s">
        <v>228</v>
      </c>
      <c r="D50" s="23" t="n">
        <v>20402.7120055834</v>
      </c>
    </row>
    <row r="51" customFormat="false" ht="15" hidden="false" customHeight="false" outlineLevel="0" collapsed="false">
      <c r="A51" s="28" t="s">
        <v>545</v>
      </c>
      <c r="B51" s="28" t="s">
        <v>447</v>
      </c>
      <c r="C51" s="28" t="s">
        <v>229</v>
      </c>
      <c r="D51" s="23" t="n">
        <v>48636.2857509402</v>
      </c>
    </row>
    <row r="52" customFormat="false" ht="15" hidden="false" customHeight="false" outlineLevel="0" collapsed="false">
      <c r="A52" s="28" t="s">
        <v>545</v>
      </c>
      <c r="B52" s="28" t="s">
        <v>447</v>
      </c>
      <c r="C52" s="28" t="s">
        <v>230</v>
      </c>
      <c r="D52" s="23" t="n">
        <v>41221.9568918129</v>
      </c>
    </row>
    <row r="53" customFormat="false" ht="15" hidden="false" customHeight="false" outlineLevel="0" collapsed="false">
      <c r="A53" s="28" t="s">
        <v>545</v>
      </c>
      <c r="B53" s="28" t="s">
        <v>447</v>
      </c>
      <c r="C53" s="28" t="s">
        <v>231</v>
      </c>
      <c r="D53" s="23" t="n">
        <v>77363.1087745554</v>
      </c>
    </row>
    <row r="54" customFormat="false" ht="15" hidden="false" customHeight="false" outlineLevel="0" collapsed="false">
      <c r="A54" s="28" t="s">
        <v>545</v>
      </c>
      <c r="B54" s="28" t="s">
        <v>447</v>
      </c>
      <c r="C54" s="28" t="s">
        <v>232</v>
      </c>
      <c r="D54" s="23" t="n">
        <v>110566.144794804</v>
      </c>
    </row>
    <row r="55" customFormat="false" ht="15" hidden="false" customHeight="false" outlineLevel="0" collapsed="false">
      <c r="A55" s="28" t="s">
        <v>547</v>
      </c>
      <c r="B55" s="28" t="s">
        <v>447</v>
      </c>
      <c r="C55" s="28" t="s">
        <v>227</v>
      </c>
      <c r="D55" s="23" t="n">
        <v>9828.55690152331</v>
      </c>
    </row>
    <row r="56" customFormat="false" ht="15" hidden="false" customHeight="false" outlineLevel="0" collapsed="false">
      <c r="A56" s="28" t="s">
        <v>547</v>
      </c>
      <c r="B56" s="28" t="s">
        <v>447</v>
      </c>
      <c r="C56" s="28" t="s">
        <v>228</v>
      </c>
      <c r="D56" s="23" t="n">
        <v>28420.0824162128</v>
      </c>
    </row>
    <row r="57" customFormat="false" ht="15" hidden="false" customHeight="false" outlineLevel="0" collapsed="false">
      <c r="A57" s="28" t="s">
        <v>547</v>
      </c>
      <c r="B57" s="28" t="s">
        <v>447</v>
      </c>
      <c r="C57" s="28" t="s">
        <v>229</v>
      </c>
      <c r="D57" s="23" t="n">
        <v>68459.4913387344</v>
      </c>
    </row>
    <row r="58" customFormat="false" ht="15" hidden="false" customHeight="false" outlineLevel="0" collapsed="false">
      <c r="A58" s="28" t="s">
        <v>547</v>
      </c>
      <c r="B58" s="28" t="s">
        <v>447</v>
      </c>
      <c r="C58" s="28" t="s">
        <v>230</v>
      </c>
      <c r="D58" s="23" t="n">
        <v>58840.8078131817</v>
      </c>
    </row>
    <row r="59" customFormat="false" ht="15" hidden="false" customHeight="false" outlineLevel="0" collapsed="false">
      <c r="A59" s="28" t="s">
        <v>547</v>
      </c>
      <c r="B59" s="28" t="s">
        <v>447</v>
      </c>
      <c r="C59" s="28" t="s">
        <v>231</v>
      </c>
      <c r="D59" s="23" t="n">
        <v>112456.030755886</v>
      </c>
    </row>
    <row r="60" customFormat="false" ht="15" hidden="false" customHeight="false" outlineLevel="0" collapsed="false">
      <c r="A60" s="28" t="s">
        <v>547</v>
      </c>
      <c r="B60" s="28" t="s">
        <v>447</v>
      </c>
      <c r="C60" s="28" t="s">
        <v>232</v>
      </c>
      <c r="D60" s="23" t="n">
        <v>74409.5113821623</v>
      </c>
    </row>
    <row r="61" customFormat="false" ht="15" hidden="false" customHeight="false" outlineLevel="0" collapsed="false">
      <c r="A61" s="28" t="s">
        <v>549</v>
      </c>
      <c r="B61" s="28" t="s">
        <v>447</v>
      </c>
      <c r="C61" s="28" t="s">
        <v>227</v>
      </c>
      <c r="D61" s="23" t="n">
        <v>0</v>
      </c>
    </row>
    <row r="62" customFormat="false" ht="15" hidden="false" customHeight="false" outlineLevel="0" collapsed="false">
      <c r="A62" s="28" t="s">
        <v>549</v>
      </c>
      <c r="B62" s="28" t="s">
        <v>447</v>
      </c>
      <c r="C62" s="28" t="s">
        <v>228</v>
      </c>
      <c r="D62" s="23" t="n">
        <v>0</v>
      </c>
    </row>
    <row r="63" customFormat="false" ht="15" hidden="false" customHeight="false" outlineLevel="0" collapsed="false">
      <c r="A63" s="28" t="s">
        <v>549</v>
      </c>
      <c r="B63" s="28" t="s">
        <v>447</v>
      </c>
      <c r="C63" s="28" t="s">
        <v>229</v>
      </c>
      <c r="D63" s="23" t="n">
        <v>0</v>
      </c>
    </row>
    <row r="64" customFormat="false" ht="15" hidden="false" customHeight="false" outlineLevel="0" collapsed="false">
      <c r="A64" s="28" t="s">
        <v>549</v>
      </c>
      <c r="B64" s="28" t="s">
        <v>447</v>
      </c>
      <c r="C64" s="28" t="s">
        <v>230</v>
      </c>
      <c r="D64" s="23" t="n">
        <v>33114.2083191283</v>
      </c>
    </row>
    <row r="65" customFormat="false" ht="15" hidden="false" customHeight="false" outlineLevel="0" collapsed="false">
      <c r="A65" s="28" t="s">
        <v>549</v>
      </c>
      <c r="B65" s="28" t="s">
        <v>447</v>
      </c>
      <c r="C65" s="28" t="s">
        <v>231</v>
      </c>
      <c r="D65" s="23" t="n">
        <v>103382.958226384</v>
      </c>
    </row>
    <row r="66" customFormat="false" ht="15" hidden="false" customHeight="false" outlineLevel="0" collapsed="false">
      <c r="A66" s="28" t="s">
        <v>549</v>
      </c>
      <c r="B66" s="28" t="s">
        <v>447</v>
      </c>
      <c r="C66" s="28" t="s">
        <v>232</v>
      </c>
      <c r="D66" s="23" t="n">
        <v>0</v>
      </c>
    </row>
    <row r="67" customFormat="false" ht="15" hidden="false" customHeight="false" outlineLevel="0" collapsed="false">
      <c r="A67" s="28" t="s">
        <v>552</v>
      </c>
      <c r="B67" s="28" t="s">
        <v>447</v>
      </c>
      <c r="C67" s="28" t="s">
        <v>227</v>
      </c>
      <c r="D67" s="23" t="n">
        <v>97853.5160956092</v>
      </c>
    </row>
    <row r="68" customFormat="false" ht="15" hidden="false" customHeight="false" outlineLevel="0" collapsed="false">
      <c r="A68" s="28" t="s">
        <v>552</v>
      </c>
      <c r="B68" s="28" t="s">
        <v>447</v>
      </c>
      <c r="C68" s="28" t="s">
        <v>228</v>
      </c>
      <c r="D68" s="23" t="n">
        <v>0</v>
      </c>
    </row>
    <row r="69" customFormat="false" ht="15" hidden="false" customHeight="false" outlineLevel="0" collapsed="false">
      <c r="A69" s="28" t="s">
        <v>552</v>
      </c>
      <c r="B69" s="28" t="s">
        <v>447</v>
      </c>
      <c r="C69" s="28" t="s">
        <v>229</v>
      </c>
      <c r="D69" s="23" t="n">
        <v>0</v>
      </c>
    </row>
    <row r="70" customFormat="false" ht="15" hidden="false" customHeight="false" outlineLevel="0" collapsed="false">
      <c r="A70" s="28" t="s">
        <v>552</v>
      </c>
      <c r="B70" s="28" t="s">
        <v>447</v>
      </c>
      <c r="C70" s="28" t="s">
        <v>230</v>
      </c>
      <c r="D70" s="23" t="n">
        <v>0</v>
      </c>
    </row>
    <row r="71" customFormat="false" ht="15" hidden="false" customHeight="false" outlineLevel="0" collapsed="false">
      <c r="A71" s="28" t="s">
        <v>552</v>
      </c>
      <c r="B71" s="28" t="s">
        <v>447</v>
      </c>
      <c r="C71" s="28" t="s">
        <v>231</v>
      </c>
      <c r="D71" s="23" t="n">
        <v>0</v>
      </c>
    </row>
    <row r="72" customFormat="false" ht="15" hidden="false" customHeight="false" outlineLevel="0" collapsed="false">
      <c r="A72" s="28" t="s">
        <v>552</v>
      </c>
      <c r="B72" s="28" t="s">
        <v>447</v>
      </c>
      <c r="C72" s="28" t="s">
        <v>232</v>
      </c>
      <c r="D72" s="23" t="n">
        <v>0</v>
      </c>
    </row>
    <row r="73" customFormat="false" ht="15" hidden="false" customHeight="false" outlineLevel="0" collapsed="false">
      <c r="A73" s="28" t="s">
        <v>554</v>
      </c>
      <c r="B73" s="28" t="s">
        <v>447</v>
      </c>
      <c r="C73" s="28" t="s">
        <v>227</v>
      </c>
      <c r="D73" s="23" t="n">
        <v>16856.5767407522</v>
      </c>
    </row>
    <row r="74" customFormat="false" ht="15" hidden="false" customHeight="false" outlineLevel="0" collapsed="false">
      <c r="A74" s="28" t="s">
        <v>554</v>
      </c>
      <c r="B74" s="28" t="s">
        <v>447</v>
      </c>
      <c r="C74" s="28" t="s">
        <v>228</v>
      </c>
      <c r="D74" s="23" t="n">
        <v>49067.5234718657</v>
      </c>
    </row>
    <row r="75" customFormat="false" ht="15" hidden="false" customHeight="false" outlineLevel="0" collapsed="false">
      <c r="A75" s="28" t="s">
        <v>554</v>
      </c>
      <c r="B75" s="28" t="s">
        <v>447</v>
      </c>
      <c r="C75" s="28" t="s">
        <v>229</v>
      </c>
      <c r="D75" s="23" t="n">
        <v>120390.858447601</v>
      </c>
    </row>
    <row r="76" customFormat="false" ht="15" hidden="false" customHeight="false" outlineLevel="0" collapsed="false">
      <c r="A76" s="28" t="s">
        <v>554</v>
      </c>
      <c r="B76" s="28" t="s">
        <v>447</v>
      </c>
      <c r="C76" s="28" t="s">
        <v>230</v>
      </c>
      <c r="D76" s="23" t="n">
        <v>106395.946385971</v>
      </c>
    </row>
    <row r="77" customFormat="false" ht="15" hidden="false" customHeight="false" outlineLevel="0" collapsed="false">
      <c r="A77" s="28" t="s">
        <v>554</v>
      </c>
      <c r="B77" s="28" t="s">
        <v>447</v>
      </c>
      <c r="C77" s="28" t="s">
        <v>231</v>
      </c>
      <c r="D77" s="23" t="n">
        <v>213692.942335344</v>
      </c>
    </row>
    <row r="78" customFormat="false" ht="15" hidden="false" customHeight="false" outlineLevel="0" collapsed="false">
      <c r="A78" s="28" t="s">
        <v>554</v>
      </c>
      <c r="B78" s="28" t="s">
        <v>447</v>
      </c>
      <c r="C78" s="28" t="s">
        <v>232</v>
      </c>
      <c r="D78" s="23" t="n">
        <v>193596.152618466</v>
      </c>
    </row>
    <row r="79" customFormat="false" ht="15" hidden="false" customHeight="false" outlineLevel="0" collapsed="false">
      <c r="A79" s="28" t="s">
        <v>556</v>
      </c>
      <c r="B79" s="28" t="s">
        <v>447</v>
      </c>
      <c r="C79" s="28" t="s">
        <v>227</v>
      </c>
      <c r="D79" s="23" t="n">
        <v>0</v>
      </c>
    </row>
    <row r="80" customFormat="false" ht="15" hidden="false" customHeight="false" outlineLevel="0" collapsed="false">
      <c r="A80" s="28" t="s">
        <v>556</v>
      </c>
      <c r="B80" s="28" t="s">
        <v>447</v>
      </c>
      <c r="C80" s="28" t="s">
        <v>228</v>
      </c>
      <c r="D80" s="23" t="n">
        <v>0</v>
      </c>
    </row>
    <row r="81" customFormat="false" ht="15" hidden="false" customHeight="false" outlineLevel="0" collapsed="false">
      <c r="A81" s="28" t="s">
        <v>556</v>
      </c>
      <c r="B81" s="28" t="s">
        <v>447</v>
      </c>
      <c r="C81" s="28" t="s">
        <v>229</v>
      </c>
      <c r="D81" s="23" t="n">
        <v>100000</v>
      </c>
    </row>
    <row r="82" customFormat="false" ht="15" hidden="false" customHeight="false" outlineLevel="0" collapsed="false">
      <c r="A82" s="28" t="s">
        <v>556</v>
      </c>
      <c r="B82" s="28" t="s">
        <v>447</v>
      </c>
      <c r="C82" s="28" t="s">
        <v>230</v>
      </c>
      <c r="D82" s="23" t="n">
        <v>200000</v>
      </c>
    </row>
    <row r="83" customFormat="false" ht="15" hidden="false" customHeight="false" outlineLevel="0" collapsed="false">
      <c r="A83" s="28" t="s">
        <v>556</v>
      </c>
      <c r="B83" s="28" t="s">
        <v>447</v>
      </c>
      <c r="C83" s="28" t="s">
        <v>231</v>
      </c>
      <c r="D83" s="23" t="n">
        <v>0</v>
      </c>
    </row>
    <row r="84" customFormat="false" ht="15" hidden="false" customHeight="false" outlineLevel="0" collapsed="false">
      <c r="A84" s="28" t="s">
        <v>556</v>
      </c>
      <c r="B84" s="28" t="s">
        <v>447</v>
      </c>
      <c r="C84" s="28" t="s">
        <v>232</v>
      </c>
      <c r="D84" s="23" t="n">
        <v>0</v>
      </c>
    </row>
    <row r="85" customFormat="false" ht="15" hidden="false" customHeight="false" outlineLevel="0" collapsed="false">
      <c r="A85" s="28" t="s">
        <v>558</v>
      </c>
      <c r="B85" s="28" t="s">
        <v>447</v>
      </c>
      <c r="C85" s="28" t="s">
        <v>227</v>
      </c>
      <c r="D85" s="23" t="n">
        <v>0</v>
      </c>
    </row>
    <row r="86" customFormat="false" ht="15" hidden="false" customHeight="false" outlineLevel="0" collapsed="false">
      <c r="A86" s="28" t="s">
        <v>558</v>
      </c>
      <c r="B86" s="28" t="s">
        <v>447</v>
      </c>
      <c r="C86" s="28" t="s">
        <v>228</v>
      </c>
      <c r="D86" s="23" t="n">
        <v>0</v>
      </c>
    </row>
    <row r="87" customFormat="false" ht="15" hidden="false" customHeight="false" outlineLevel="0" collapsed="false">
      <c r="A87" s="28" t="s">
        <v>558</v>
      </c>
      <c r="B87" s="28" t="s">
        <v>447</v>
      </c>
      <c r="C87" s="28" t="s">
        <v>229</v>
      </c>
      <c r="D87" s="23" t="n">
        <v>0</v>
      </c>
    </row>
    <row r="88" customFormat="false" ht="15" hidden="false" customHeight="false" outlineLevel="0" collapsed="false">
      <c r="A88" s="28" t="s">
        <v>558</v>
      </c>
      <c r="B88" s="28" t="s">
        <v>447</v>
      </c>
      <c r="C88" s="28" t="s">
        <v>230</v>
      </c>
      <c r="D88" s="23" t="n">
        <v>0</v>
      </c>
    </row>
    <row r="89" customFormat="false" ht="15" hidden="false" customHeight="false" outlineLevel="0" collapsed="false">
      <c r="A89" s="28" t="s">
        <v>558</v>
      </c>
      <c r="B89" s="28" t="s">
        <v>447</v>
      </c>
      <c r="C89" s="28" t="s">
        <v>231</v>
      </c>
      <c r="D89" s="23" t="n">
        <v>200000</v>
      </c>
    </row>
    <row r="90" customFormat="false" ht="15" hidden="false" customHeight="false" outlineLevel="0" collapsed="false">
      <c r="A90" s="28" t="s">
        <v>558</v>
      </c>
      <c r="B90" s="28" t="s">
        <v>447</v>
      </c>
      <c r="C90" s="28" t="s">
        <v>232</v>
      </c>
      <c r="D90" s="23" t="n">
        <v>0</v>
      </c>
    </row>
    <row r="91" customFormat="false" ht="15" hidden="false" customHeight="false" outlineLevel="0" collapsed="false">
      <c r="A91" s="28" t="s">
        <v>560</v>
      </c>
      <c r="B91" s="28" t="s">
        <v>447</v>
      </c>
      <c r="C91" s="28" t="s">
        <v>227</v>
      </c>
      <c r="D91" s="23" t="n">
        <v>0</v>
      </c>
    </row>
    <row r="92" customFormat="false" ht="15" hidden="false" customHeight="false" outlineLevel="0" collapsed="false">
      <c r="A92" s="28" t="s">
        <v>560</v>
      </c>
      <c r="B92" s="28" t="s">
        <v>447</v>
      </c>
      <c r="C92" s="28" t="s">
        <v>228</v>
      </c>
      <c r="D92" s="23" t="n">
        <v>0</v>
      </c>
    </row>
    <row r="93" customFormat="false" ht="15" hidden="false" customHeight="false" outlineLevel="0" collapsed="false">
      <c r="A93" s="28" t="s">
        <v>560</v>
      </c>
      <c r="B93" s="28" t="s">
        <v>447</v>
      </c>
      <c r="C93" s="28" t="s">
        <v>229</v>
      </c>
      <c r="D93" s="23" t="n">
        <v>148403.71</v>
      </c>
    </row>
    <row r="94" customFormat="false" ht="15" hidden="false" customHeight="false" outlineLevel="0" collapsed="false">
      <c r="A94" s="28" t="s">
        <v>560</v>
      </c>
      <c r="B94" s="28" t="s">
        <v>447</v>
      </c>
      <c r="C94" s="28" t="s">
        <v>230</v>
      </c>
      <c r="D94" s="23" t="n">
        <v>0</v>
      </c>
    </row>
    <row r="95" customFormat="false" ht="15" hidden="false" customHeight="false" outlineLevel="0" collapsed="false">
      <c r="A95" s="28" t="s">
        <v>560</v>
      </c>
      <c r="B95" s="28" t="s">
        <v>447</v>
      </c>
      <c r="C95" s="28" t="s">
        <v>231</v>
      </c>
      <c r="D95" s="23" t="n">
        <v>0</v>
      </c>
    </row>
    <row r="96" customFormat="false" ht="15" hidden="false" customHeight="false" outlineLevel="0" collapsed="false">
      <c r="A96" s="28" t="s">
        <v>560</v>
      </c>
      <c r="B96" s="28" t="s">
        <v>447</v>
      </c>
      <c r="C96" s="28" t="s">
        <v>232</v>
      </c>
      <c r="D96" s="23" t="n">
        <v>0</v>
      </c>
    </row>
    <row r="97" customFormat="false" ht="15" hidden="false" customHeight="false" outlineLevel="0" collapsed="false">
      <c r="A97" s="28" t="s">
        <v>562</v>
      </c>
      <c r="B97" s="28" t="s">
        <v>447</v>
      </c>
      <c r="C97" s="28" t="s">
        <v>227</v>
      </c>
      <c r="D97" s="23" t="n">
        <v>1515773.50272</v>
      </c>
    </row>
    <row r="98" customFormat="false" ht="15" hidden="false" customHeight="false" outlineLevel="0" collapsed="false">
      <c r="A98" s="28" t="s">
        <v>562</v>
      </c>
      <c r="B98" s="28" t="s">
        <v>447</v>
      </c>
      <c r="C98" s="28" t="s">
        <v>228</v>
      </c>
      <c r="D98" s="23" t="n">
        <v>0</v>
      </c>
    </row>
    <row r="99" customFormat="false" ht="15" hidden="false" customHeight="false" outlineLevel="0" collapsed="false">
      <c r="A99" s="28" t="s">
        <v>562</v>
      </c>
      <c r="B99" s="28" t="s">
        <v>447</v>
      </c>
      <c r="C99" s="28" t="s">
        <v>229</v>
      </c>
      <c r="D99" s="23" t="n">
        <v>0</v>
      </c>
    </row>
    <row r="100" customFormat="false" ht="15" hidden="false" customHeight="false" outlineLevel="0" collapsed="false">
      <c r="A100" s="28" t="s">
        <v>562</v>
      </c>
      <c r="B100" s="28" t="s">
        <v>447</v>
      </c>
      <c r="C100" s="28" t="s">
        <v>230</v>
      </c>
      <c r="D100" s="23" t="n">
        <v>0</v>
      </c>
    </row>
    <row r="101" customFormat="false" ht="15" hidden="false" customHeight="false" outlineLevel="0" collapsed="false">
      <c r="A101" s="28" t="s">
        <v>562</v>
      </c>
      <c r="B101" s="28" t="s">
        <v>447</v>
      </c>
      <c r="C101" s="28" t="s">
        <v>231</v>
      </c>
      <c r="D101" s="23" t="n">
        <v>0</v>
      </c>
    </row>
    <row r="102" customFormat="false" ht="15" hidden="false" customHeight="false" outlineLevel="0" collapsed="false">
      <c r="A102" s="28" t="s">
        <v>562</v>
      </c>
      <c r="B102" s="28" t="s">
        <v>447</v>
      </c>
      <c r="C102" s="28" t="s">
        <v>232</v>
      </c>
      <c r="D102" s="23" t="n">
        <v>0</v>
      </c>
    </row>
    <row r="103" customFormat="false" ht="15" hidden="false" customHeight="false" outlineLevel="0" collapsed="false">
      <c r="A103" s="28" t="s">
        <v>564</v>
      </c>
      <c r="B103" s="28" t="s">
        <v>447</v>
      </c>
      <c r="C103" s="28" t="s">
        <v>227</v>
      </c>
      <c r="D103" s="23" t="n">
        <v>21426.8724983468</v>
      </c>
    </row>
    <row r="104" customFormat="false" ht="15" hidden="false" customHeight="false" outlineLevel="0" collapsed="false">
      <c r="A104" s="28" t="s">
        <v>564</v>
      </c>
      <c r="B104" s="28" t="s">
        <v>447</v>
      </c>
      <c r="C104" s="28" t="s">
        <v>228</v>
      </c>
      <c r="D104" s="23" t="n">
        <v>60978.9374723597</v>
      </c>
    </row>
    <row r="105" customFormat="false" ht="15" hidden="false" customHeight="false" outlineLevel="0" collapsed="false">
      <c r="A105" s="28" t="s">
        <v>564</v>
      </c>
      <c r="B105" s="28" t="s">
        <v>447</v>
      </c>
      <c r="C105" s="28" t="s">
        <v>229</v>
      </c>
      <c r="D105" s="23" t="n">
        <v>140600.520709918</v>
      </c>
    </row>
    <row r="106" customFormat="false" ht="15" hidden="false" customHeight="false" outlineLevel="0" collapsed="false">
      <c r="A106" s="28" t="s">
        <v>564</v>
      </c>
      <c r="B106" s="28" t="s">
        <v>447</v>
      </c>
      <c r="C106" s="28" t="s">
        <v>230</v>
      </c>
      <c r="D106" s="23" t="n">
        <v>113106.229103179</v>
      </c>
    </row>
    <row r="107" customFormat="false" ht="15" hidden="false" customHeight="false" outlineLevel="0" collapsed="false">
      <c r="A107" s="28" t="s">
        <v>564</v>
      </c>
      <c r="B107" s="28" t="s">
        <v>447</v>
      </c>
      <c r="C107" s="28" t="s">
        <v>231</v>
      </c>
      <c r="D107" s="23" t="n">
        <v>192488.474127048</v>
      </c>
    </row>
    <row r="108" customFormat="false" ht="15" hidden="false" customHeight="false" outlineLevel="0" collapsed="false">
      <c r="A108" s="28" t="s">
        <v>564</v>
      </c>
      <c r="B108" s="28" t="s">
        <v>447</v>
      </c>
      <c r="C108" s="28" t="s">
        <v>232</v>
      </c>
      <c r="D108" s="23" t="n">
        <v>60866.4393691484</v>
      </c>
    </row>
    <row r="109" customFormat="false" ht="15" hidden="false" customHeight="false" outlineLevel="0" collapsed="false">
      <c r="A109" s="28" t="s">
        <v>566</v>
      </c>
      <c r="B109" s="28" t="s">
        <v>447</v>
      </c>
      <c r="C109" s="28" t="s">
        <v>227</v>
      </c>
      <c r="D109" s="23" t="n">
        <v>101676.975469975</v>
      </c>
    </row>
    <row r="110" customFormat="false" ht="15" hidden="false" customHeight="false" outlineLevel="0" collapsed="false">
      <c r="A110" s="28" t="s">
        <v>566</v>
      </c>
      <c r="B110" s="28" t="s">
        <v>447</v>
      </c>
      <c r="C110" s="28" t="s">
        <v>228</v>
      </c>
      <c r="D110" s="23" t="n">
        <v>267644.555697383</v>
      </c>
    </row>
    <row r="111" customFormat="false" ht="15" hidden="false" customHeight="false" outlineLevel="0" collapsed="false">
      <c r="A111" s="28" t="s">
        <v>566</v>
      </c>
      <c r="B111" s="28" t="s">
        <v>447</v>
      </c>
      <c r="C111" s="28" t="s">
        <v>229</v>
      </c>
      <c r="D111" s="23" t="n">
        <v>494912.810073026</v>
      </c>
    </row>
    <row r="112" customFormat="false" ht="15" hidden="false" customHeight="false" outlineLevel="0" collapsed="false">
      <c r="A112" s="28" t="s">
        <v>566</v>
      </c>
      <c r="B112" s="28" t="s">
        <v>447</v>
      </c>
      <c r="C112" s="28" t="s">
        <v>230</v>
      </c>
      <c r="D112" s="23" t="n">
        <v>239956.605759616</v>
      </c>
    </row>
    <row r="113" customFormat="false" ht="15" hidden="false" customHeight="false" outlineLevel="0" collapsed="false">
      <c r="A113" s="28" t="s">
        <v>566</v>
      </c>
      <c r="B113" s="28" t="s">
        <v>447</v>
      </c>
      <c r="C113" s="28" t="s">
        <v>231</v>
      </c>
      <c r="D113" s="23" t="n">
        <v>0</v>
      </c>
    </row>
    <row r="114" customFormat="false" ht="15" hidden="false" customHeight="false" outlineLevel="0" collapsed="false">
      <c r="A114" s="28" t="s">
        <v>566</v>
      </c>
      <c r="B114" s="28" t="s">
        <v>447</v>
      </c>
      <c r="C114" s="28" t="s">
        <v>232</v>
      </c>
      <c r="D114" s="23" t="n">
        <v>0</v>
      </c>
    </row>
    <row r="115" customFormat="false" ht="15" hidden="false" customHeight="false" outlineLevel="0" collapsed="false">
      <c r="A115" s="28" t="s">
        <v>568</v>
      </c>
      <c r="B115" s="28" t="s">
        <v>447</v>
      </c>
      <c r="C115" s="28" t="s">
        <v>227</v>
      </c>
      <c r="D115" s="23" t="n">
        <v>40427.3024222492</v>
      </c>
    </row>
    <row r="116" customFormat="false" ht="15" hidden="false" customHeight="false" outlineLevel="0" collapsed="false">
      <c r="A116" s="28" t="s">
        <v>568</v>
      </c>
      <c r="B116" s="28" t="s">
        <v>447</v>
      </c>
      <c r="C116" s="28" t="s">
        <v>228</v>
      </c>
      <c r="D116" s="23" t="n">
        <v>108201.449484728</v>
      </c>
    </row>
    <row r="117" customFormat="false" ht="15" hidden="false" customHeight="false" outlineLevel="0" collapsed="false">
      <c r="A117" s="28" t="s">
        <v>568</v>
      </c>
      <c r="B117" s="28" t="s">
        <v>447</v>
      </c>
      <c r="C117" s="28" t="s">
        <v>229</v>
      </c>
      <c r="D117" s="23" t="n">
        <v>209656.660154517</v>
      </c>
    </row>
    <row r="118" customFormat="false" ht="15" hidden="false" customHeight="false" outlineLevel="0" collapsed="false">
      <c r="A118" s="28" t="s">
        <v>568</v>
      </c>
      <c r="B118" s="28" t="s">
        <v>447</v>
      </c>
      <c r="C118" s="28" t="s">
        <v>230</v>
      </c>
      <c r="D118" s="23" t="n">
        <v>118043.534938506</v>
      </c>
    </row>
    <row r="119" customFormat="false" ht="15" hidden="false" customHeight="false" outlineLevel="0" collapsed="false">
      <c r="A119" s="28" t="s">
        <v>568</v>
      </c>
      <c r="B119" s="28" t="s">
        <v>447</v>
      </c>
      <c r="C119" s="28" t="s">
        <v>231</v>
      </c>
      <c r="D119" s="23" t="n">
        <v>0</v>
      </c>
    </row>
    <row r="120" customFormat="false" ht="15" hidden="false" customHeight="false" outlineLevel="0" collapsed="false">
      <c r="A120" s="28" t="s">
        <v>568</v>
      </c>
      <c r="B120" s="28" t="s">
        <v>447</v>
      </c>
      <c r="C120" s="28" t="s">
        <v>232</v>
      </c>
      <c r="D120" s="23" t="n">
        <v>0</v>
      </c>
    </row>
    <row r="121" customFormat="false" ht="15" hidden="false" customHeight="false" outlineLevel="0" collapsed="false">
      <c r="A121" s="28" t="s">
        <v>570</v>
      </c>
      <c r="B121" s="28" t="s">
        <v>447</v>
      </c>
      <c r="C121" s="28" t="s">
        <v>227</v>
      </c>
      <c r="D121" s="23" t="n">
        <v>5518.07667932152</v>
      </c>
    </row>
    <row r="122" customFormat="false" ht="15" hidden="false" customHeight="false" outlineLevel="0" collapsed="false">
      <c r="A122" s="28" t="s">
        <v>570</v>
      </c>
      <c r="B122" s="28" t="s">
        <v>447</v>
      </c>
      <c r="C122" s="28" t="s">
        <v>228</v>
      </c>
      <c r="D122" s="23" t="n">
        <v>16286.3438314478</v>
      </c>
    </row>
    <row r="123" customFormat="false" ht="15" hidden="false" customHeight="false" outlineLevel="0" collapsed="false">
      <c r="A123" s="28" t="s">
        <v>570</v>
      </c>
      <c r="B123" s="28" t="s">
        <v>447</v>
      </c>
      <c r="C123" s="28" t="s">
        <v>229</v>
      </c>
      <c r="D123" s="23" t="n">
        <v>41535.4311342222</v>
      </c>
    </row>
    <row r="124" customFormat="false" ht="15" hidden="false" customHeight="false" outlineLevel="0" collapsed="false">
      <c r="A124" s="28" t="s">
        <v>570</v>
      </c>
      <c r="B124" s="28" t="s">
        <v>447</v>
      </c>
      <c r="C124" s="28" t="s">
        <v>230</v>
      </c>
      <c r="D124" s="23" t="n">
        <v>38932.8817402385</v>
      </c>
    </row>
    <row r="125" customFormat="false" ht="15" hidden="false" customHeight="false" outlineLevel="0" collapsed="false">
      <c r="A125" s="28" t="s">
        <v>570</v>
      </c>
      <c r="B125" s="28" t="s">
        <v>447</v>
      </c>
      <c r="C125" s="28" t="s">
        <v>231</v>
      </c>
      <c r="D125" s="23" t="n">
        <v>87114.6028428426</v>
      </c>
    </row>
    <row r="126" customFormat="false" ht="15" hidden="false" customHeight="false" outlineLevel="0" collapsed="false">
      <c r="A126" s="28" t="s">
        <v>570</v>
      </c>
      <c r="B126" s="28" t="s">
        <v>447</v>
      </c>
      <c r="C126" s="28" t="s">
        <v>232</v>
      </c>
      <c r="D126" s="23" t="n">
        <v>185042.967371927</v>
      </c>
    </row>
    <row r="127" customFormat="false" ht="15" hidden="false" customHeight="false" outlineLevel="0" collapsed="false">
      <c r="A127" s="28" t="s">
        <v>572</v>
      </c>
      <c r="B127" s="28" t="s">
        <v>447</v>
      </c>
      <c r="C127" s="28" t="s">
        <v>227</v>
      </c>
      <c r="D127" s="23" t="n">
        <v>18038.7542770176</v>
      </c>
    </row>
    <row r="128" customFormat="false" ht="15" hidden="false" customHeight="false" outlineLevel="0" collapsed="false">
      <c r="A128" s="28" t="s">
        <v>572</v>
      </c>
      <c r="B128" s="28" t="s">
        <v>447</v>
      </c>
      <c r="C128" s="28" t="s">
        <v>228</v>
      </c>
      <c r="D128" s="23" t="n">
        <v>50033.6629292414</v>
      </c>
    </row>
    <row r="129" customFormat="false" ht="15" hidden="false" customHeight="false" outlineLevel="0" collapsed="false">
      <c r="A129" s="28" t="s">
        <v>572</v>
      </c>
      <c r="B129" s="28" t="s">
        <v>447</v>
      </c>
      <c r="C129" s="28" t="s">
        <v>229</v>
      </c>
      <c r="D129" s="23" t="n">
        <v>106794.094549767</v>
      </c>
    </row>
    <row r="130" customFormat="false" ht="15" hidden="false" customHeight="false" outlineLevel="0" collapsed="false">
      <c r="A130" s="28" t="s">
        <v>572</v>
      </c>
      <c r="B130" s="28" t="s">
        <v>447</v>
      </c>
      <c r="C130" s="28" t="s">
        <v>230</v>
      </c>
      <c r="D130" s="23" t="n">
        <v>74753.6906439738</v>
      </c>
    </row>
    <row r="131" customFormat="false" ht="15" hidden="false" customHeight="false" outlineLevel="0" collapsed="false">
      <c r="A131" s="28" t="s">
        <v>572</v>
      </c>
      <c r="B131" s="28" t="s">
        <v>447</v>
      </c>
      <c r="C131" s="28" t="s">
        <v>231</v>
      </c>
      <c r="D131" s="23" t="n">
        <v>0</v>
      </c>
    </row>
    <row r="132" customFormat="false" ht="15" hidden="false" customHeight="false" outlineLevel="0" collapsed="false">
      <c r="A132" s="28" t="s">
        <v>572</v>
      </c>
      <c r="B132" s="28" t="s">
        <v>447</v>
      </c>
      <c r="C132" s="28" t="s">
        <v>232</v>
      </c>
      <c r="D132" s="23" t="n">
        <v>0</v>
      </c>
    </row>
    <row r="133" customFormat="false" ht="15" hidden="false" customHeight="false" outlineLevel="0" collapsed="false">
      <c r="A133" s="28" t="s">
        <v>574</v>
      </c>
      <c r="B133" s="28" t="s">
        <v>447</v>
      </c>
      <c r="C133" s="28" t="s">
        <v>227</v>
      </c>
      <c r="D133" s="23" t="n">
        <v>51878.0507364884</v>
      </c>
    </row>
    <row r="134" customFormat="false" ht="15" hidden="false" customHeight="false" outlineLevel="0" collapsed="false">
      <c r="A134" s="28" t="s">
        <v>574</v>
      </c>
      <c r="B134" s="28" t="s">
        <v>447</v>
      </c>
      <c r="C134" s="28" t="s">
        <v>228</v>
      </c>
      <c r="D134" s="23" t="n">
        <v>144262.197757381</v>
      </c>
    </row>
    <row r="135" customFormat="false" ht="15" hidden="false" customHeight="false" outlineLevel="0" collapsed="false">
      <c r="A135" s="28" t="s">
        <v>574</v>
      </c>
      <c r="B135" s="28" t="s">
        <v>447</v>
      </c>
      <c r="C135" s="28" t="s">
        <v>229</v>
      </c>
      <c r="D135" s="23" t="n">
        <v>309136.496733734</v>
      </c>
    </row>
    <row r="136" customFormat="false" ht="15" hidden="false" customHeight="false" outlineLevel="0" collapsed="false">
      <c r="A136" s="28" t="s">
        <v>574</v>
      </c>
      <c r="B136" s="28" t="s">
        <v>447</v>
      </c>
      <c r="C136" s="28" t="s">
        <v>230</v>
      </c>
      <c r="D136" s="23" t="n">
        <v>215398.157722397</v>
      </c>
    </row>
    <row r="137" customFormat="false" ht="15" hidden="false" customHeight="false" outlineLevel="0" collapsed="false">
      <c r="A137" s="28" t="s">
        <v>574</v>
      </c>
      <c r="B137" s="28" t="s">
        <v>447</v>
      </c>
      <c r="C137" s="28" t="s">
        <v>231</v>
      </c>
      <c r="D137" s="23" t="n">
        <v>0</v>
      </c>
    </row>
    <row r="138" customFormat="false" ht="15" hidden="false" customHeight="false" outlineLevel="0" collapsed="false">
      <c r="A138" s="28" t="s">
        <v>574</v>
      </c>
      <c r="B138" s="28" t="s">
        <v>447</v>
      </c>
      <c r="C138" s="28" t="s">
        <v>232</v>
      </c>
      <c r="D138" s="23" t="n">
        <v>0</v>
      </c>
    </row>
    <row r="139" customFormat="false" ht="15" hidden="false" customHeight="false" outlineLevel="0" collapsed="false">
      <c r="A139" s="28" t="s">
        <v>576</v>
      </c>
      <c r="B139" s="28" t="s">
        <v>447</v>
      </c>
      <c r="C139" s="28" t="s">
        <v>227</v>
      </c>
      <c r="D139" s="23" t="n">
        <v>127177.92405</v>
      </c>
    </row>
    <row r="140" customFormat="false" ht="15" hidden="false" customHeight="false" outlineLevel="0" collapsed="false">
      <c r="A140" s="28" t="s">
        <v>576</v>
      </c>
      <c r="B140" s="28" t="s">
        <v>447</v>
      </c>
      <c r="C140" s="28" t="s">
        <v>228</v>
      </c>
      <c r="D140" s="23" t="n">
        <v>0</v>
      </c>
    </row>
    <row r="141" customFormat="false" ht="15" hidden="false" customHeight="false" outlineLevel="0" collapsed="false">
      <c r="A141" s="28" t="s">
        <v>576</v>
      </c>
      <c r="B141" s="28" t="s">
        <v>447</v>
      </c>
      <c r="C141" s="28" t="s">
        <v>229</v>
      </c>
      <c r="D141" s="23" t="n">
        <v>0</v>
      </c>
    </row>
    <row r="142" customFormat="false" ht="15" hidden="false" customHeight="false" outlineLevel="0" collapsed="false">
      <c r="A142" s="28" t="s">
        <v>576</v>
      </c>
      <c r="B142" s="28" t="s">
        <v>447</v>
      </c>
      <c r="C142" s="28" t="s">
        <v>230</v>
      </c>
      <c r="D142" s="23" t="n">
        <v>0</v>
      </c>
    </row>
    <row r="143" customFormat="false" ht="15" hidden="false" customHeight="false" outlineLevel="0" collapsed="false">
      <c r="A143" s="28" t="s">
        <v>576</v>
      </c>
      <c r="B143" s="28" t="s">
        <v>447</v>
      </c>
      <c r="C143" s="28" t="s">
        <v>231</v>
      </c>
      <c r="D143" s="23" t="n">
        <v>0</v>
      </c>
    </row>
    <row r="144" customFormat="false" ht="15" hidden="false" customHeight="false" outlineLevel="0" collapsed="false">
      <c r="A144" s="28" t="s">
        <v>576</v>
      </c>
      <c r="B144" s="28" t="s">
        <v>447</v>
      </c>
      <c r="C144" s="28" t="s">
        <v>232</v>
      </c>
      <c r="D144" s="23" t="n">
        <v>0</v>
      </c>
    </row>
    <row r="145" customFormat="false" ht="15" hidden="false" customHeight="false" outlineLevel="0" collapsed="false">
      <c r="A145" s="28" t="s">
        <v>578</v>
      </c>
      <c r="B145" s="28" t="s">
        <v>447</v>
      </c>
      <c r="C145" s="28" t="s">
        <v>227</v>
      </c>
      <c r="D145" s="23" t="n">
        <v>20543.822</v>
      </c>
    </row>
    <row r="146" customFormat="false" ht="15" hidden="false" customHeight="false" outlineLevel="0" collapsed="false">
      <c r="A146" s="28" t="s">
        <v>578</v>
      </c>
      <c r="B146" s="28" t="s">
        <v>447</v>
      </c>
      <c r="C146" s="28" t="s">
        <v>228</v>
      </c>
      <c r="D146" s="23" t="n">
        <v>0</v>
      </c>
    </row>
    <row r="147" customFormat="false" ht="15" hidden="false" customHeight="false" outlineLevel="0" collapsed="false">
      <c r="A147" s="28" t="s">
        <v>578</v>
      </c>
      <c r="B147" s="28" t="s">
        <v>447</v>
      </c>
      <c r="C147" s="28" t="s">
        <v>229</v>
      </c>
      <c r="D147" s="23" t="n">
        <v>0</v>
      </c>
    </row>
    <row r="148" customFormat="false" ht="15" hidden="false" customHeight="false" outlineLevel="0" collapsed="false">
      <c r="A148" s="28" t="s">
        <v>578</v>
      </c>
      <c r="B148" s="28" t="s">
        <v>447</v>
      </c>
      <c r="C148" s="28" t="s">
        <v>230</v>
      </c>
      <c r="D148" s="23" t="n">
        <v>0</v>
      </c>
    </row>
    <row r="149" customFormat="false" ht="15" hidden="false" customHeight="false" outlineLevel="0" collapsed="false">
      <c r="A149" s="28" t="s">
        <v>578</v>
      </c>
      <c r="B149" s="28" t="s">
        <v>447</v>
      </c>
      <c r="C149" s="28" t="s">
        <v>231</v>
      </c>
      <c r="D149" s="23" t="n">
        <v>0</v>
      </c>
    </row>
    <row r="150" customFormat="false" ht="15" hidden="false" customHeight="false" outlineLevel="0" collapsed="false">
      <c r="A150" s="28" t="s">
        <v>578</v>
      </c>
      <c r="B150" s="28" t="s">
        <v>447</v>
      </c>
      <c r="C150" s="28" t="s">
        <v>232</v>
      </c>
      <c r="D150" s="23" t="n">
        <v>0</v>
      </c>
    </row>
    <row r="151" customFormat="false" ht="15" hidden="false" customHeight="false" outlineLevel="0" collapsed="false">
      <c r="A151" s="28" t="s">
        <v>580</v>
      </c>
      <c r="B151" s="28" t="s">
        <v>447</v>
      </c>
      <c r="C151" s="28" t="s">
        <v>227</v>
      </c>
      <c r="D151" s="23" t="n">
        <v>8454.59908618321</v>
      </c>
    </row>
    <row r="152" customFormat="false" ht="15" hidden="false" customHeight="false" outlineLevel="0" collapsed="false">
      <c r="A152" s="28" t="s">
        <v>580</v>
      </c>
      <c r="B152" s="28" t="s">
        <v>447</v>
      </c>
      <c r="C152" s="28" t="s">
        <v>228</v>
      </c>
      <c r="D152" s="23" t="n">
        <v>21056.3957801589</v>
      </c>
    </row>
    <row r="153" customFormat="false" ht="15" hidden="false" customHeight="false" outlineLevel="0" collapsed="false">
      <c r="A153" s="28" t="s">
        <v>580</v>
      </c>
      <c r="B153" s="28" t="s">
        <v>447</v>
      </c>
      <c r="C153" s="28" t="s">
        <v>229</v>
      </c>
      <c r="D153" s="23" t="n">
        <v>33138.6981336579</v>
      </c>
    </row>
    <row r="154" customFormat="false" ht="15" hidden="false" customHeight="false" outlineLevel="0" collapsed="false">
      <c r="A154" s="28" t="s">
        <v>580</v>
      </c>
      <c r="B154" s="28" t="s">
        <v>447</v>
      </c>
      <c r="C154" s="28" t="s">
        <v>230</v>
      </c>
      <c r="D154" s="23" t="n">
        <v>0</v>
      </c>
    </row>
    <row r="155" customFormat="false" ht="15" hidden="false" customHeight="false" outlineLevel="0" collapsed="false">
      <c r="A155" s="28" t="s">
        <v>580</v>
      </c>
      <c r="B155" s="28" t="s">
        <v>447</v>
      </c>
      <c r="C155" s="28" t="s">
        <v>231</v>
      </c>
      <c r="D155" s="23" t="n">
        <v>0</v>
      </c>
    </row>
    <row r="156" customFormat="false" ht="15" hidden="false" customHeight="false" outlineLevel="0" collapsed="false">
      <c r="A156" s="28" t="s">
        <v>580</v>
      </c>
      <c r="B156" s="28" t="s">
        <v>447</v>
      </c>
      <c r="C156" s="28" t="s">
        <v>232</v>
      </c>
      <c r="D156" s="23" t="n">
        <v>0</v>
      </c>
    </row>
    <row r="157" customFormat="false" ht="15" hidden="false" customHeight="false" outlineLevel="0" collapsed="false">
      <c r="A157" s="28" t="s">
        <v>582</v>
      </c>
      <c r="B157" s="28" t="s">
        <v>447</v>
      </c>
      <c r="C157" s="28" t="s">
        <v>227</v>
      </c>
      <c r="D157" s="23" t="n">
        <v>41766.462</v>
      </c>
    </row>
    <row r="158" customFormat="false" ht="15" hidden="false" customHeight="false" outlineLevel="0" collapsed="false">
      <c r="A158" s="28" t="s">
        <v>582</v>
      </c>
      <c r="B158" s="28" t="s">
        <v>447</v>
      </c>
      <c r="C158" s="28" t="s">
        <v>228</v>
      </c>
      <c r="D158" s="23" t="n">
        <v>0</v>
      </c>
    </row>
    <row r="159" customFormat="false" ht="15" hidden="false" customHeight="false" outlineLevel="0" collapsed="false">
      <c r="A159" s="28" t="s">
        <v>582</v>
      </c>
      <c r="B159" s="28" t="s">
        <v>447</v>
      </c>
      <c r="C159" s="28" t="s">
        <v>229</v>
      </c>
      <c r="D159" s="23" t="n">
        <v>0</v>
      </c>
    </row>
    <row r="160" customFormat="false" ht="15" hidden="false" customHeight="false" outlineLevel="0" collapsed="false">
      <c r="A160" s="28" t="s">
        <v>582</v>
      </c>
      <c r="B160" s="28" t="s">
        <v>447</v>
      </c>
      <c r="C160" s="28" t="s">
        <v>230</v>
      </c>
      <c r="D160" s="23" t="n">
        <v>0</v>
      </c>
    </row>
    <row r="161" customFormat="false" ht="15" hidden="false" customHeight="false" outlineLevel="0" collapsed="false">
      <c r="A161" s="28" t="s">
        <v>582</v>
      </c>
      <c r="B161" s="28" t="s">
        <v>447</v>
      </c>
      <c r="C161" s="28" t="s">
        <v>231</v>
      </c>
      <c r="D161" s="23" t="n">
        <v>0</v>
      </c>
    </row>
    <row r="162" customFormat="false" ht="15" hidden="false" customHeight="false" outlineLevel="0" collapsed="false">
      <c r="A162" s="28" t="s">
        <v>582</v>
      </c>
      <c r="B162" s="28" t="s">
        <v>447</v>
      </c>
      <c r="C162" s="28" t="s">
        <v>232</v>
      </c>
      <c r="D162" s="23" t="n">
        <v>0</v>
      </c>
    </row>
    <row r="163" customFormat="false" ht="15" hidden="false" customHeight="false" outlineLevel="0" collapsed="false">
      <c r="A163" s="28" t="s">
        <v>584</v>
      </c>
      <c r="B163" s="28" t="s">
        <v>447</v>
      </c>
      <c r="C163" s="28" t="s">
        <v>227</v>
      </c>
      <c r="D163" s="23" t="n">
        <v>1524.14111462241</v>
      </c>
    </row>
    <row r="164" customFormat="false" ht="15" hidden="false" customHeight="false" outlineLevel="0" collapsed="false">
      <c r="A164" s="28" t="s">
        <v>584</v>
      </c>
      <c r="B164" s="28" t="s">
        <v>447</v>
      </c>
      <c r="C164" s="28" t="s">
        <v>228</v>
      </c>
      <c r="D164" s="23" t="n">
        <v>4149.65072156013</v>
      </c>
    </row>
    <row r="165" customFormat="false" ht="15" hidden="false" customHeight="false" outlineLevel="0" collapsed="false">
      <c r="A165" s="28" t="s">
        <v>584</v>
      </c>
      <c r="B165" s="28" t="s">
        <v>447</v>
      </c>
      <c r="C165" s="28" t="s">
        <v>229</v>
      </c>
      <c r="D165" s="23" t="n">
        <v>8452.47991301046</v>
      </c>
    </row>
    <row r="166" customFormat="false" ht="15" hidden="false" customHeight="false" outlineLevel="0" collapsed="false">
      <c r="A166" s="28" t="s">
        <v>584</v>
      </c>
      <c r="B166" s="28" t="s">
        <v>447</v>
      </c>
      <c r="C166" s="28" t="s">
        <v>230</v>
      </c>
      <c r="D166" s="23" t="n">
        <v>5565.74125523417</v>
      </c>
    </row>
    <row r="167" customFormat="false" ht="15" hidden="false" customHeight="false" outlineLevel="0" collapsed="false">
      <c r="A167" s="28" t="s">
        <v>584</v>
      </c>
      <c r="B167" s="28" t="s">
        <v>447</v>
      </c>
      <c r="C167" s="28" t="s">
        <v>231</v>
      </c>
      <c r="D167" s="23" t="n">
        <v>1684.14199557282</v>
      </c>
    </row>
    <row r="168" customFormat="false" ht="15" hidden="false" customHeight="false" outlineLevel="0" collapsed="false">
      <c r="A168" s="28" t="s">
        <v>584</v>
      </c>
      <c r="B168" s="28" t="s">
        <v>447</v>
      </c>
      <c r="C168" s="28" t="s">
        <v>232</v>
      </c>
      <c r="D168" s="23" t="n">
        <v>0</v>
      </c>
    </row>
    <row r="169" customFormat="false" ht="15" hidden="false" customHeight="false" outlineLevel="0" collapsed="false">
      <c r="A169" s="28" t="s">
        <v>586</v>
      </c>
      <c r="B169" s="28" t="s">
        <v>447</v>
      </c>
      <c r="C169" s="28" t="s">
        <v>227</v>
      </c>
      <c r="D169" s="23" t="n">
        <v>56.1172224473807</v>
      </c>
    </row>
    <row r="170" customFormat="false" ht="15" hidden="false" customHeight="false" outlineLevel="0" collapsed="false">
      <c r="A170" s="28" t="s">
        <v>586</v>
      </c>
      <c r="B170" s="28" t="s">
        <v>447</v>
      </c>
      <c r="C170" s="28" t="s">
        <v>228</v>
      </c>
      <c r="D170" s="23" t="n">
        <v>161.956177357795</v>
      </c>
    </row>
    <row r="171" customFormat="false" ht="15" hidden="false" customHeight="false" outlineLevel="0" collapsed="false">
      <c r="A171" s="28" t="s">
        <v>586</v>
      </c>
      <c r="B171" s="28" t="s">
        <v>447</v>
      </c>
      <c r="C171" s="28" t="s">
        <v>229</v>
      </c>
      <c r="D171" s="23" t="n">
        <v>388.728203146291</v>
      </c>
    </row>
    <row r="172" customFormat="false" ht="15" hidden="false" customHeight="false" outlineLevel="0" collapsed="false">
      <c r="A172" s="28" t="s">
        <v>586</v>
      </c>
      <c r="B172" s="28" t="s">
        <v>447</v>
      </c>
      <c r="C172" s="28" t="s">
        <v>230</v>
      </c>
      <c r="D172" s="23" t="n">
        <v>333.741352394432</v>
      </c>
    </row>
    <row r="173" customFormat="false" ht="15" hidden="false" customHeight="false" outlineLevel="0" collapsed="false">
      <c r="A173" s="28" t="s">
        <v>586</v>
      </c>
      <c r="B173" s="28" t="s">
        <v>447</v>
      </c>
      <c r="C173" s="28" t="s">
        <v>231</v>
      </c>
      <c r="D173" s="23" t="n">
        <v>456.674044654101</v>
      </c>
    </row>
    <row r="174" customFormat="false" ht="15" hidden="false" customHeight="false" outlineLevel="0" collapsed="false">
      <c r="A174" s="28" t="s">
        <v>586</v>
      </c>
      <c r="B174" s="28" t="s">
        <v>447</v>
      </c>
      <c r="C174" s="28" t="s">
        <v>232</v>
      </c>
      <c r="D174" s="23" t="n">
        <v>0</v>
      </c>
    </row>
    <row r="175" customFormat="false" ht="15" hidden="false" customHeight="false" outlineLevel="0" collapsed="false">
      <c r="A175" s="28" t="s">
        <v>588</v>
      </c>
      <c r="B175" s="28" t="s">
        <v>447</v>
      </c>
      <c r="C175" s="28" t="s">
        <v>227</v>
      </c>
      <c r="D175" s="23" t="n">
        <v>1.26609447178536</v>
      </c>
    </row>
    <row r="176" customFormat="false" ht="15" hidden="false" customHeight="false" outlineLevel="0" collapsed="false">
      <c r="A176" s="28" t="s">
        <v>588</v>
      </c>
      <c r="B176" s="28" t="s">
        <v>447</v>
      </c>
      <c r="C176" s="28" t="s">
        <v>228</v>
      </c>
      <c r="D176" s="23" t="n">
        <v>3.62921161253277</v>
      </c>
    </row>
    <row r="177" customFormat="false" ht="15" hidden="false" customHeight="false" outlineLevel="0" collapsed="false">
      <c r="A177" s="28" t="s">
        <v>588</v>
      </c>
      <c r="B177" s="28" t="s">
        <v>447</v>
      </c>
      <c r="C177" s="28" t="s">
        <v>229</v>
      </c>
      <c r="D177" s="23" t="n">
        <v>8.53872086776872</v>
      </c>
    </row>
    <row r="178" customFormat="false" ht="15" hidden="false" customHeight="false" outlineLevel="0" collapsed="false">
      <c r="A178" s="28" t="s">
        <v>588</v>
      </c>
      <c r="B178" s="28" t="s">
        <v>447</v>
      </c>
      <c r="C178" s="28" t="s">
        <v>230</v>
      </c>
      <c r="D178" s="23" t="n">
        <v>7.09076417524004</v>
      </c>
    </row>
    <row r="179" customFormat="false" ht="15" hidden="false" customHeight="false" outlineLevel="0" collapsed="false">
      <c r="A179" s="28" t="s">
        <v>588</v>
      </c>
      <c r="B179" s="28" t="s">
        <v>447</v>
      </c>
      <c r="C179" s="28" t="s">
        <v>231</v>
      </c>
      <c r="D179" s="23" t="n">
        <v>12.8108522079346</v>
      </c>
    </row>
    <row r="180" customFormat="false" ht="15" hidden="false" customHeight="false" outlineLevel="0" collapsed="false">
      <c r="A180" s="28" t="s">
        <v>588</v>
      </c>
      <c r="B180" s="28" t="s">
        <v>447</v>
      </c>
      <c r="C180" s="28" t="s">
        <v>232</v>
      </c>
      <c r="D180" s="23" t="n">
        <v>9.63635666473853</v>
      </c>
    </row>
    <row r="181" customFormat="false" ht="15" hidden="false" customHeight="false" outlineLevel="0" collapsed="false">
      <c r="A181" s="28" t="s">
        <v>594</v>
      </c>
      <c r="B181" s="28" t="s">
        <v>469</v>
      </c>
      <c r="C181" s="28" t="s">
        <v>227</v>
      </c>
      <c r="D181" s="23" t="n">
        <v>87303.141137759</v>
      </c>
    </row>
    <row r="182" customFormat="false" ht="15" hidden="false" customHeight="false" outlineLevel="0" collapsed="false">
      <c r="A182" s="28" t="s">
        <v>594</v>
      </c>
      <c r="B182" s="28" t="s">
        <v>469</v>
      </c>
      <c r="C182" s="28" t="s">
        <v>228</v>
      </c>
      <c r="D182" s="23" t="n">
        <v>156620.895597842</v>
      </c>
    </row>
    <row r="183" customFormat="false" ht="15" hidden="false" customHeight="false" outlineLevel="0" collapsed="false">
      <c r="A183" s="28" t="s">
        <v>594</v>
      </c>
      <c r="B183" s="28" t="s">
        <v>469</v>
      </c>
      <c r="C183" s="28" t="s">
        <v>229</v>
      </c>
      <c r="D183" s="23" t="n">
        <v>340539.55466325</v>
      </c>
    </row>
    <row r="184" customFormat="false" ht="15" hidden="false" customHeight="false" outlineLevel="0" collapsed="false">
      <c r="A184" s="28" t="s">
        <v>594</v>
      </c>
      <c r="B184" s="28" t="s">
        <v>469</v>
      </c>
      <c r="C184" s="28" t="s">
        <v>230</v>
      </c>
      <c r="D184" s="23" t="n">
        <v>251863.05462894</v>
      </c>
    </row>
    <row r="185" customFormat="false" ht="15" hidden="false" customHeight="false" outlineLevel="0" collapsed="false">
      <c r="A185" s="28" t="s">
        <v>594</v>
      </c>
      <c r="B185" s="28" t="s">
        <v>469</v>
      </c>
      <c r="C185" s="28" t="s">
        <v>231</v>
      </c>
      <c r="D185" s="23" t="n">
        <v>378831.609483892</v>
      </c>
    </row>
    <row r="186" customFormat="false" ht="15" hidden="false" customHeight="false" outlineLevel="0" collapsed="false">
      <c r="A186" s="28" t="s">
        <v>594</v>
      </c>
      <c r="B186" s="28" t="s">
        <v>469</v>
      </c>
      <c r="C186" s="28" t="s">
        <v>232</v>
      </c>
      <c r="D186" s="23" t="n">
        <v>336521.367488317</v>
      </c>
    </row>
    <row r="187" customFormat="false" ht="15" hidden="false" customHeight="false" outlineLevel="0" collapsed="false">
      <c r="A187" s="28" t="s">
        <v>596</v>
      </c>
      <c r="B187" s="28" t="s">
        <v>469</v>
      </c>
      <c r="C187" s="28" t="s">
        <v>227</v>
      </c>
      <c r="D187" s="23" t="n">
        <v>49114.7421260568</v>
      </c>
    </row>
    <row r="188" customFormat="false" ht="15" hidden="false" customHeight="false" outlineLevel="0" collapsed="false">
      <c r="A188" s="28" t="s">
        <v>596</v>
      </c>
      <c r="B188" s="28" t="s">
        <v>469</v>
      </c>
      <c r="C188" s="28" t="s">
        <v>228</v>
      </c>
      <c r="D188" s="23" t="n">
        <v>43285.2578739433</v>
      </c>
    </row>
    <row r="189" customFormat="false" ht="15" hidden="false" customHeight="false" outlineLevel="0" collapsed="false">
      <c r="A189" s="28" t="s">
        <v>596</v>
      </c>
      <c r="B189" s="28" t="s">
        <v>469</v>
      </c>
      <c r="C189" s="28" t="s">
        <v>229</v>
      </c>
      <c r="D189" s="23" t="n">
        <v>85536</v>
      </c>
    </row>
    <row r="190" customFormat="false" ht="15" hidden="false" customHeight="false" outlineLevel="0" collapsed="false">
      <c r="A190" s="28" t="s">
        <v>596</v>
      </c>
      <c r="B190" s="28" t="s">
        <v>469</v>
      </c>
      <c r="C190" s="28" t="s">
        <v>230</v>
      </c>
      <c r="D190" s="23" t="n">
        <v>54743.04</v>
      </c>
    </row>
    <row r="191" customFormat="false" ht="15" hidden="false" customHeight="false" outlineLevel="0" collapsed="false">
      <c r="A191" s="28" t="s">
        <v>596</v>
      </c>
      <c r="B191" s="28" t="s">
        <v>469</v>
      </c>
      <c r="C191" s="28" t="s">
        <v>231</v>
      </c>
      <c r="D191" s="23" t="n">
        <v>65430.8278272</v>
      </c>
    </row>
    <row r="192" customFormat="false" ht="15" hidden="false" customHeight="false" outlineLevel="0" collapsed="false">
      <c r="A192" s="28" t="s">
        <v>596</v>
      </c>
      <c r="B192" s="28" t="s">
        <v>469</v>
      </c>
      <c r="C192" s="28" t="s">
        <v>232</v>
      </c>
      <c r="D192" s="23" t="n">
        <v>31890.1321728</v>
      </c>
    </row>
    <row r="193" customFormat="false" ht="15" hidden="false" customHeight="false" outlineLevel="0" collapsed="false">
      <c r="A193" s="28" t="s">
        <v>598</v>
      </c>
      <c r="B193" s="28" t="s">
        <v>469</v>
      </c>
      <c r="C193" s="28" t="s">
        <v>227</v>
      </c>
      <c r="D193" s="23" t="n">
        <v>51414.5554567418</v>
      </c>
    </row>
    <row r="194" customFormat="false" ht="15" hidden="false" customHeight="false" outlineLevel="0" collapsed="false">
      <c r="A194" s="28" t="s">
        <v>598</v>
      </c>
      <c r="B194" s="28" t="s">
        <v>469</v>
      </c>
      <c r="C194" s="28" t="s">
        <v>228</v>
      </c>
      <c r="D194" s="23" t="n">
        <v>216236.074793259</v>
      </c>
    </row>
    <row r="195" customFormat="false" ht="15" hidden="false" customHeight="false" outlineLevel="0" collapsed="false">
      <c r="A195" s="28" t="s">
        <v>598</v>
      </c>
      <c r="B195" s="28" t="s">
        <v>469</v>
      </c>
      <c r="C195" s="28" t="s">
        <v>229</v>
      </c>
      <c r="D195" s="23" t="n">
        <v>311157.459582901</v>
      </c>
    </row>
    <row r="196" customFormat="false" ht="15" hidden="false" customHeight="false" outlineLevel="0" collapsed="false">
      <c r="A196" s="28" t="s">
        <v>598</v>
      </c>
      <c r="B196" s="28" t="s">
        <v>469</v>
      </c>
      <c r="C196" s="28" t="s">
        <v>230</v>
      </c>
      <c r="D196" s="23" t="n">
        <v>230132.057107513</v>
      </c>
    </row>
    <row r="197" customFormat="false" ht="15" hidden="false" customHeight="false" outlineLevel="0" collapsed="false">
      <c r="A197" s="28" t="s">
        <v>598</v>
      </c>
      <c r="B197" s="28" t="s">
        <v>469</v>
      </c>
      <c r="C197" s="28" t="s">
        <v>231</v>
      </c>
      <c r="D197" s="23" t="n">
        <v>346145.637423158</v>
      </c>
    </row>
    <row r="198" customFormat="false" ht="15" hidden="false" customHeight="false" outlineLevel="0" collapsed="false">
      <c r="A198" s="28" t="s">
        <v>598</v>
      </c>
      <c r="B198" s="28" t="s">
        <v>469</v>
      </c>
      <c r="C198" s="28" t="s">
        <v>232</v>
      </c>
      <c r="D198" s="23" t="n">
        <v>307485.965636428</v>
      </c>
    </row>
    <row r="199" customFormat="false" ht="15" hidden="false" customHeight="false" outlineLevel="0" collapsed="false">
      <c r="A199" s="28" t="s">
        <v>600</v>
      </c>
      <c r="B199" s="28" t="s">
        <v>469</v>
      </c>
      <c r="C199" s="28" t="s">
        <v>227</v>
      </c>
      <c r="D199" s="23" t="n">
        <v>6495.88598585391</v>
      </c>
    </row>
    <row r="200" customFormat="false" ht="15" hidden="false" customHeight="false" outlineLevel="0" collapsed="false">
      <c r="A200" s="28" t="s">
        <v>600</v>
      </c>
      <c r="B200" s="28" t="s">
        <v>469</v>
      </c>
      <c r="C200" s="28" t="s">
        <v>228</v>
      </c>
      <c r="D200" s="23" t="n">
        <v>6704.11401414609</v>
      </c>
    </row>
    <row r="201" customFormat="false" ht="15" hidden="false" customHeight="false" outlineLevel="0" collapsed="false">
      <c r="A201" s="28" t="s">
        <v>600</v>
      </c>
      <c r="B201" s="28" t="s">
        <v>469</v>
      </c>
      <c r="C201" s="28" t="s">
        <v>229</v>
      </c>
      <c r="D201" s="23" t="n">
        <v>13248</v>
      </c>
    </row>
    <row r="202" customFormat="false" ht="15" hidden="false" customHeight="false" outlineLevel="0" collapsed="false">
      <c r="A202" s="28" t="s">
        <v>600</v>
      </c>
      <c r="B202" s="28" t="s">
        <v>469</v>
      </c>
      <c r="C202" s="28" t="s">
        <v>230</v>
      </c>
      <c r="D202" s="23" t="n">
        <v>8478.72</v>
      </c>
    </row>
    <row r="203" customFormat="false" ht="15" hidden="false" customHeight="false" outlineLevel="0" collapsed="false">
      <c r="A203" s="28" t="s">
        <v>600</v>
      </c>
      <c r="B203" s="28" t="s">
        <v>469</v>
      </c>
      <c r="C203" s="28" t="s">
        <v>231</v>
      </c>
      <c r="D203" s="23" t="n">
        <v>10134.0676096</v>
      </c>
    </row>
    <row r="204" customFormat="false" ht="15" hidden="false" customHeight="false" outlineLevel="0" collapsed="false">
      <c r="A204" s="28" t="s">
        <v>600</v>
      </c>
      <c r="B204" s="28" t="s">
        <v>469</v>
      </c>
      <c r="C204" s="28" t="s">
        <v>232</v>
      </c>
      <c r="D204" s="23" t="n">
        <v>4939.21239039999</v>
      </c>
    </row>
    <row r="205" customFormat="false" ht="15" hidden="false" customHeight="false" outlineLevel="0" collapsed="false">
      <c r="A205" s="28" t="s">
        <v>602</v>
      </c>
      <c r="B205" s="28" t="s">
        <v>469</v>
      </c>
      <c r="C205" s="28" t="s">
        <v>227</v>
      </c>
      <c r="D205" s="23" t="n">
        <v>46119.6323473006</v>
      </c>
    </row>
    <row r="206" customFormat="false" ht="15" hidden="false" customHeight="false" outlineLevel="0" collapsed="false">
      <c r="A206" s="28" t="s">
        <v>602</v>
      </c>
      <c r="B206" s="28" t="s">
        <v>469</v>
      </c>
      <c r="C206" s="28" t="s">
        <v>228</v>
      </c>
      <c r="D206" s="23" t="n">
        <v>273880.3676527</v>
      </c>
    </row>
    <row r="207" customFormat="false" ht="15" hidden="false" customHeight="false" outlineLevel="0" collapsed="false">
      <c r="A207" s="28" t="s">
        <v>602</v>
      </c>
      <c r="B207" s="28" t="s">
        <v>469</v>
      </c>
      <c r="C207" s="28" t="s">
        <v>229</v>
      </c>
      <c r="D207" s="23" t="n">
        <v>244800</v>
      </c>
    </row>
    <row r="208" customFormat="false" ht="15" hidden="false" customHeight="false" outlineLevel="0" collapsed="false">
      <c r="A208" s="28" t="s">
        <v>602</v>
      </c>
      <c r="B208" s="28" t="s">
        <v>469</v>
      </c>
      <c r="C208" s="28" t="s">
        <v>230</v>
      </c>
      <c r="D208" s="23" t="n">
        <v>156672</v>
      </c>
    </row>
    <row r="209" customFormat="false" ht="15" hidden="false" customHeight="false" outlineLevel="0" collapsed="false">
      <c r="A209" s="28" t="s">
        <v>602</v>
      </c>
      <c r="B209" s="28" t="s">
        <v>469</v>
      </c>
      <c r="C209" s="28" t="s">
        <v>231</v>
      </c>
      <c r="D209" s="23" t="n">
        <v>187259.94496</v>
      </c>
    </row>
    <row r="210" customFormat="false" ht="15" hidden="false" customHeight="false" outlineLevel="0" collapsed="false">
      <c r="A210" s="28" t="s">
        <v>602</v>
      </c>
      <c r="B210" s="28" t="s">
        <v>469</v>
      </c>
      <c r="C210" s="28" t="s">
        <v>232</v>
      </c>
      <c r="D210" s="23" t="n">
        <v>91268.0550399999</v>
      </c>
    </row>
    <row r="211" customFormat="false" ht="15" hidden="false" customHeight="false" outlineLevel="0" collapsed="false">
      <c r="A211" s="28" t="s">
        <v>604</v>
      </c>
      <c r="B211" s="28" t="s">
        <v>469</v>
      </c>
      <c r="C211" s="28" t="s">
        <v>227</v>
      </c>
      <c r="D211" s="23" t="n">
        <v>485800.792992614</v>
      </c>
    </row>
    <row r="212" customFormat="false" ht="15" hidden="false" customHeight="false" outlineLevel="0" collapsed="false">
      <c r="A212" s="28" t="s">
        <v>604</v>
      </c>
      <c r="B212" s="28" t="s">
        <v>469</v>
      </c>
      <c r="C212" s="28" t="s">
        <v>228</v>
      </c>
      <c r="D212" s="23" t="n">
        <v>119199.207007386</v>
      </c>
    </row>
    <row r="213" customFormat="false" ht="15" hidden="false" customHeight="false" outlineLevel="0" collapsed="false">
      <c r="A213" s="28" t="s">
        <v>604</v>
      </c>
      <c r="B213" s="28" t="s">
        <v>469</v>
      </c>
      <c r="C213" s="28" t="s">
        <v>229</v>
      </c>
      <c r="D213" s="23" t="n">
        <v>216562.5</v>
      </c>
    </row>
    <row r="214" customFormat="false" ht="15" hidden="false" customHeight="false" outlineLevel="0" collapsed="false">
      <c r="A214" s="28" t="s">
        <v>604</v>
      </c>
      <c r="B214" s="28" t="s">
        <v>469</v>
      </c>
      <c r="C214" s="28" t="s">
        <v>230</v>
      </c>
      <c r="D214" s="23" t="n">
        <v>121816.40625</v>
      </c>
    </row>
    <row r="215" customFormat="false" ht="15" hidden="false" customHeight="false" outlineLevel="0" collapsed="false">
      <c r="A215" s="28" t="s">
        <v>604</v>
      </c>
      <c r="B215" s="28" t="s">
        <v>469</v>
      </c>
      <c r="C215" s="28" t="s">
        <v>231</v>
      </c>
      <c r="D215" s="23" t="n">
        <v>119454.174041748</v>
      </c>
    </row>
    <row r="216" customFormat="false" ht="15" hidden="false" customHeight="false" outlineLevel="0" collapsed="false">
      <c r="A216" s="28" t="s">
        <v>604</v>
      </c>
      <c r="B216" s="28" t="s">
        <v>469</v>
      </c>
      <c r="C216" s="28" t="s">
        <v>232</v>
      </c>
      <c r="D216" s="23" t="n">
        <v>37166.9197082522</v>
      </c>
    </row>
    <row r="217" customFormat="false" ht="15" hidden="false" customHeight="false" outlineLevel="0" collapsed="false">
      <c r="A217" s="28" t="s">
        <v>606</v>
      </c>
      <c r="B217" s="28" t="s">
        <v>469</v>
      </c>
      <c r="C217" s="28" t="s">
        <v>227</v>
      </c>
      <c r="D217" s="23" t="n">
        <v>470711.16107767</v>
      </c>
    </row>
    <row r="218" customFormat="false" ht="15" hidden="false" customHeight="false" outlineLevel="0" collapsed="false">
      <c r="A218" s="28" t="s">
        <v>606</v>
      </c>
      <c r="B218" s="28" t="s">
        <v>469</v>
      </c>
      <c r="C218" s="28" t="s">
        <v>228</v>
      </c>
      <c r="D218" s="23" t="n">
        <v>77288.8389223299</v>
      </c>
    </row>
    <row r="219" customFormat="false" ht="15" hidden="false" customHeight="false" outlineLevel="0" collapsed="false">
      <c r="A219" s="28" t="s">
        <v>606</v>
      </c>
      <c r="B219" s="28" t="s">
        <v>469</v>
      </c>
      <c r="C219" s="28" t="s">
        <v>229</v>
      </c>
      <c r="D219" s="23" t="n">
        <v>128520</v>
      </c>
    </row>
    <row r="220" customFormat="false" ht="15" hidden="false" customHeight="false" outlineLevel="0" collapsed="false">
      <c r="A220" s="28" t="s">
        <v>606</v>
      </c>
      <c r="B220" s="28" t="s">
        <v>469</v>
      </c>
      <c r="C220" s="28" t="s">
        <v>230</v>
      </c>
      <c r="D220" s="23" t="n">
        <v>62974.8000000001</v>
      </c>
    </row>
    <row r="221" customFormat="false" ht="15" hidden="false" customHeight="false" outlineLevel="0" collapsed="false">
      <c r="A221" s="28" t="s">
        <v>606</v>
      </c>
      <c r="B221" s="28" t="s">
        <v>469</v>
      </c>
      <c r="C221" s="28" t="s">
        <v>231</v>
      </c>
      <c r="D221" s="23" t="n">
        <v>50336.0910360001</v>
      </c>
    </row>
    <row r="222" customFormat="false" ht="15" hidden="false" customHeight="false" outlineLevel="0" collapsed="false">
      <c r="A222" s="28" t="s">
        <v>606</v>
      </c>
      <c r="B222" s="28" t="s">
        <v>469</v>
      </c>
      <c r="C222" s="28" t="s">
        <v>232</v>
      </c>
      <c r="D222" s="23" t="n">
        <v>10169.1089640001</v>
      </c>
    </row>
    <row r="223" customFormat="false" ht="15" hidden="false" customHeight="false" outlineLevel="0" collapsed="false">
      <c r="A223" s="28" t="s">
        <v>608</v>
      </c>
      <c r="B223" s="28" t="s">
        <v>469</v>
      </c>
      <c r="C223" s="28" t="s">
        <v>227</v>
      </c>
      <c r="D223" s="23" t="n">
        <v>563226.077034685</v>
      </c>
    </row>
    <row r="224" customFormat="false" ht="15" hidden="false" customHeight="false" outlineLevel="0" collapsed="false">
      <c r="A224" s="28" t="s">
        <v>608</v>
      </c>
      <c r="B224" s="28" t="s">
        <v>469</v>
      </c>
      <c r="C224" s="28" t="s">
        <v>228</v>
      </c>
      <c r="D224" s="23" t="n">
        <v>64309.8181053154</v>
      </c>
    </row>
    <row r="225" customFormat="false" ht="15" hidden="false" customHeight="false" outlineLevel="0" collapsed="false">
      <c r="A225" s="28" t="s">
        <v>608</v>
      </c>
      <c r="B225" s="28" t="s">
        <v>469</v>
      </c>
      <c r="C225" s="28" t="s">
        <v>229</v>
      </c>
      <c r="D225" s="23" t="n">
        <v>88161.1403904</v>
      </c>
    </row>
    <row r="226" customFormat="false" ht="15" hidden="false" customHeight="false" outlineLevel="0" collapsed="false">
      <c r="A226" s="28" t="s">
        <v>608</v>
      </c>
      <c r="B226" s="28" t="s">
        <v>469</v>
      </c>
      <c r="C226" s="28" t="s">
        <v>230</v>
      </c>
      <c r="D226" s="23" t="n">
        <v>31738.010540544</v>
      </c>
    </row>
    <row r="227" customFormat="false" ht="15" hidden="false" customHeight="false" outlineLevel="0" collapsed="false">
      <c r="A227" s="28" t="s">
        <v>608</v>
      </c>
      <c r="B227" s="28" t="s">
        <v>469</v>
      </c>
      <c r="C227" s="28" t="s">
        <v>231</v>
      </c>
      <c r="D227" s="23" t="n">
        <v>16464.4103480127</v>
      </c>
    </row>
    <row r="228" customFormat="false" ht="15" hidden="false" customHeight="false" outlineLevel="0" collapsed="false">
      <c r="A228" s="28" t="s">
        <v>608</v>
      </c>
      <c r="B228" s="28" t="s">
        <v>469</v>
      </c>
      <c r="C228" s="28" t="s">
        <v>232</v>
      </c>
      <c r="D228" s="23" t="n">
        <v>1388.2205810434</v>
      </c>
    </row>
    <row r="229" customFormat="false" ht="15" hidden="false" customHeight="false" outlineLevel="0" collapsed="false">
      <c r="A229" s="28" t="s">
        <v>610</v>
      </c>
      <c r="B229" s="28" t="s">
        <v>469</v>
      </c>
      <c r="C229" s="28" t="s">
        <v>227</v>
      </c>
      <c r="D229" s="23" t="n">
        <v>16490.9661248298</v>
      </c>
    </row>
    <row r="230" customFormat="false" ht="15" hidden="false" customHeight="false" outlineLevel="0" collapsed="false">
      <c r="A230" s="28" t="s">
        <v>610</v>
      </c>
      <c r="B230" s="28" t="s">
        <v>469</v>
      </c>
      <c r="C230" s="28" t="s">
        <v>228</v>
      </c>
      <c r="D230" s="23" t="n">
        <v>4421.77478717023</v>
      </c>
    </row>
    <row r="231" customFormat="false" ht="15" hidden="false" customHeight="false" outlineLevel="0" collapsed="false">
      <c r="A231" s="28" t="s">
        <v>610</v>
      </c>
      <c r="B231" s="28" t="s">
        <v>469</v>
      </c>
      <c r="C231" s="28" t="s">
        <v>229</v>
      </c>
      <c r="D231" s="23" t="n">
        <v>10217.36770272</v>
      </c>
    </row>
    <row r="232" customFormat="false" ht="15" hidden="false" customHeight="false" outlineLevel="0" collapsed="false">
      <c r="A232" s="28" t="s">
        <v>610</v>
      </c>
      <c r="B232" s="28" t="s">
        <v>469</v>
      </c>
      <c r="C232" s="28" t="s">
        <v>230</v>
      </c>
      <c r="D232" s="23" t="n">
        <v>8276.06783920321</v>
      </c>
    </row>
    <row r="233" customFormat="false" ht="15" hidden="false" customHeight="false" outlineLevel="0" collapsed="false">
      <c r="A233" s="28" t="s">
        <v>610</v>
      </c>
      <c r="B233" s="28" t="s">
        <v>469</v>
      </c>
      <c r="C233" s="28" t="s">
        <v>231</v>
      </c>
      <c r="D233" s="23" t="n">
        <v>14448.4071477579</v>
      </c>
    </row>
    <row r="234" customFormat="false" ht="15" hidden="false" customHeight="false" outlineLevel="0" collapsed="false">
      <c r="A234" s="28" t="s">
        <v>610</v>
      </c>
      <c r="B234" s="28" t="s">
        <v>469</v>
      </c>
      <c r="C234" s="28" t="s">
        <v>232</v>
      </c>
      <c r="D234" s="23" t="n">
        <v>20833.7767983189</v>
      </c>
    </row>
    <row r="235" customFormat="false" ht="15" hidden="false" customHeight="false" outlineLevel="0" collapsed="false">
      <c r="A235" s="28" t="s">
        <v>612</v>
      </c>
      <c r="B235" s="28" t="s">
        <v>469</v>
      </c>
      <c r="C235" s="28" t="s">
        <v>227</v>
      </c>
      <c r="D235" s="23" t="n">
        <v>905.235914572492</v>
      </c>
    </row>
    <row r="236" customFormat="false" ht="15" hidden="false" customHeight="false" outlineLevel="0" collapsed="false">
      <c r="A236" s="28" t="s">
        <v>612</v>
      </c>
      <c r="B236" s="28" t="s">
        <v>469</v>
      </c>
      <c r="C236" s="28" t="s">
        <v>228</v>
      </c>
      <c r="D236" s="23" t="n">
        <v>3805.3352104275</v>
      </c>
    </row>
    <row r="237" customFormat="false" ht="15" hidden="false" customHeight="false" outlineLevel="0" collapsed="false">
      <c r="A237" s="28" t="s">
        <v>612</v>
      </c>
      <c r="B237" s="28" t="s">
        <v>469</v>
      </c>
      <c r="C237" s="28" t="s">
        <v>229</v>
      </c>
      <c r="D237" s="23" t="n">
        <v>4280.2785703125</v>
      </c>
    </row>
    <row r="238" customFormat="false" ht="15" hidden="false" customHeight="false" outlineLevel="0" collapsed="false">
      <c r="A238" s="28" t="s">
        <v>612</v>
      </c>
      <c r="B238" s="28" t="s">
        <v>469</v>
      </c>
      <c r="C238" s="28" t="s">
        <v>230</v>
      </c>
      <c r="D238" s="23" t="n">
        <v>2407.65669580078</v>
      </c>
    </row>
    <row r="239" customFormat="false" ht="15" hidden="false" customHeight="false" outlineLevel="0" collapsed="false">
      <c r="A239" s="28" t="s">
        <v>612</v>
      </c>
      <c r="B239" s="28" t="s">
        <v>469</v>
      </c>
      <c r="C239" s="28" t="s">
        <v>231</v>
      </c>
      <c r="D239" s="23" t="n">
        <v>2360.96804056693</v>
      </c>
    </row>
    <row r="240" customFormat="false" ht="15" hidden="false" customHeight="false" outlineLevel="0" collapsed="false">
      <c r="A240" s="28" t="s">
        <v>612</v>
      </c>
      <c r="B240" s="28" t="s">
        <v>469</v>
      </c>
      <c r="C240" s="28" t="s">
        <v>232</v>
      </c>
      <c r="D240" s="23" t="n">
        <v>734.590568319803</v>
      </c>
    </row>
    <row r="241" customFormat="false" ht="15" hidden="false" customHeight="false" outlineLevel="0" collapsed="false">
      <c r="A241" s="28" t="s">
        <v>614</v>
      </c>
      <c r="B241" s="28" t="s">
        <v>469</v>
      </c>
      <c r="C241" s="28" t="s">
        <v>227</v>
      </c>
      <c r="D241" s="23" t="n">
        <v>202734.320364</v>
      </c>
    </row>
    <row r="242" customFormat="false" ht="15" hidden="false" customHeight="false" outlineLevel="0" collapsed="false">
      <c r="A242" s="28" t="s">
        <v>614</v>
      </c>
      <c r="B242" s="28" t="s">
        <v>469</v>
      </c>
      <c r="C242" s="28" t="s">
        <v>228</v>
      </c>
      <c r="D242" s="23" t="n">
        <v>391512.292587</v>
      </c>
    </row>
    <row r="243" customFormat="false" ht="15" hidden="false" customHeight="false" outlineLevel="0" collapsed="false">
      <c r="A243" s="28" t="s">
        <v>614</v>
      </c>
      <c r="B243" s="28" t="s">
        <v>469</v>
      </c>
      <c r="C243" s="28" t="s">
        <v>229</v>
      </c>
      <c r="D243" s="23" t="n">
        <v>119730.776157</v>
      </c>
    </row>
    <row r="244" customFormat="false" ht="15" hidden="false" customHeight="false" outlineLevel="0" collapsed="false">
      <c r="A244" s="28" t="s">
        <v>614</v>
      </c>
      <c r="B244" s="28" t="s">
        <v>469</v>
      </c>
      <c r="C244" s="28" t="s">
        <v>230</v>
      </c>
      <c r="D244" s="23" t="n">
        <v>20567.249892</v>
      </c>
    </row>
    <row r="245" customFormat="false" ht="15" hidden="false" customHeight="false" outlineLevel="0" collapsed="false">
      <c r="A245" s="28" t="s">
        <v>614</v>
      </c>
      <c r="B245" s="28" t="s">
        <v>469</v>
      </c>
      <c r="C245" s="28" t="s">
        <v>231</v>
      </c>
      <c r="D245" s="23" t="n">
        <v>0</v>
      </c>
    </row>
    <row r="246" customFormat="false" ht="15" hidden="false" customHeight="false" outlineLevel="0" collapsed="false">
      <c r="A246" s="28" t="s">
        <v>614</v>
      </c>
      <c r="B246" s="28" t="s">
        <v>469</v>
      </c>
      <c r="C246" s="28" t="s">
        <v>232</v>
      </c>
      <c r="D246" s="23" t="n">
        <v>0</v>
      </c>
    </row>
    <row r="247" customFormat="false" ht="15" hidden="false" customHeight="false" outlineLevel="0" collapsed="false">
      <c r="A247" s="28" t="s">
        <v>616</v>
      </c>
      <c r="B247" s="28" t="s">
        <v>469</v>
      </c>
      <c r="C247" s="28" t="s">
        <v>227</v>
      </c>
      <c r="D247" s="23" t="n">
        <v>237443.26092</v>
      </c>
    </row>
    <row r="248" customFormat="false" ht="15" hidden="false" customHeight="false" outlineLevel="0" collapsed="false">
      <c r="A248" s="28" t="s">
        <v>616</v>
      </c>
      <c r="B248" s="28" t="s">
        <v>469</v>
      </c>
      <c r="C248" s="28" t="s">
        <v>228</v>
      </c>
      <c r="D248" s="23" t="n">
        <v>458540.79011</v>
      </c>
    </row>
    <row r="249" customFormat="false" ht="15" hidden="false" customHeight="false" outlineLevel="0" collapsed="false">
      <c r="A249" s="28" t="s">
        <v>616</v>
      </c>
      <c r="B249" s="28" t="s">
        <v>469</v>
      </c>
      <c r="C249" s="28" t="s">
        <v>229</v>
      </c>
      <c r="D249" s="23" t="n">
        <v>140229.17221</v>
      </c>
    </row>
    <row r="250" customFormat="false" ht="15" hidden="false" customHeight="false" outlineLevel="0" collapsed="false">
      <c r="A250" s="28" t="s">
        <v>616</v>
      </c>
      <c r="B250" s="28" t="s">
        <v>469</v>
      </c>
      <c r="C250" s="28" t="s">
        <v>230</v>
      </c>
      <c r="D250" s="23" t="n">
        <v>24088.44676</v>
      </c>
    </row>
    <row r="251" customFormat="false" ht="15" hidden="false" customHeight="false" outlineLevel="0" collapsed="false">
      <c r="A251" s="28" t="s">
        <v>616</v>
      </c>
      <c r="B251" s="28" t="s">
        <v>469</v>
      </c>
      <c r="C251" s="28" t="s">
        <v>231</v>
      </c>
      <c r="D251" s="23" t="n">
        <v>0</v>
      </c>
    </row>
    <row r="252" customFormat="false" ht="15" hidden="false" customHeight="false" outlineLevel="0" collapsed="false">
      <c r="A252" s="28" t="s">
        <v>616</v>
      </c>
      <c r="B252" s="28" t="s">
        <v>469</v>
      </c>
      <c r="C252" s="28" t="s">
        <v>232</v>
      </c>
      <c r="D252" s="23" t="n">
        <v>0</v>
      </c>
    </row>
    <row r="253" customFormat="false" ht="15" hidden="false" customHeight="false" outlineLevel="0" collapsed="false">
      <c r="A253" s="28" t="s">
        <v>618</v>
      </c>
      <c r="B253" s="28" t="s">
        <v>469</v>
      </c>
      <c r="C253" s="28" t="s">
        <v>227</v>
      </c>
      <c r="D253" s="23" t="n">
        <v>12603.6608175</v>
      </c>
    </row>
    <row r="254" customFormat="false" ht="15" hidden="false" customHeight="false" outlineLevel="0" collapsed="false">
      <c r="A254" s="28" t="s">
        <v>618</v>
      </c>
      <c r="B254" s="28" t="s">
        <v>469</v>
      </c>
      <c r="C254" s="28" t="s">
        <v>228</v>
      </c>
      <c r="D254" s="23" t="n">
        <v>37810.9824525</v>
      </c>
    </row>
    <row r="255" customFormat="false" ht="15" hidden="false" customHeight="false" outlineLevel="0" collapsed="false">
      <c r="A255" s="28" t="s">
        <v>618</v>
      </c>
      <c r="B255" s="28" t="s">
        <v>469</v>
      </c>
      <c r="C255" s="28" t="s">
        <v>229</v>
      </c>
      <c r="D255" s="23" t="n">
        <v>50414.64327</v>
      </c>
    </row>
    <row r="256" customFormat="false" ht="15" hidden="false" customHeight="false" outlineLevel="0" collapsed="false">
      <c r="A256" s="28" t="s">
        <v>618</v>
      </c>
      <c r="B256" s="28" t="s">
        <v>469</v>
      </c>
      <c r="C256" s="28" t="s">
        <v>230</v>
      </c>
      <c r="D256" s="23" t="n">
        <v>11203.25406</v>
      </c>
    </row>
    <row r="257" customFormat="false" ht="15" hidden="false" customHeight="false" outlineLevel="0" collapsed="false">
      <c r="A257" s="28" t="s">
        <v>618</v>
      </c>
      <c r="B257" s="28" t="s">
        <v>469</v>
      </c>
      <c r="C257" s="28" t="s">
        <v>231</v>
      </c>
      <c r="D257" s="23" t="n">
        <v>0</v>
      </c>
    </row>
    <row r="258" customFormat="false" ht="15" hidden="false" customHeight="false" outlineLevel="0" collapsed="false">
      <c r="A258" s="28" t="s">
        <v>618</v>
      </c>
      <c r="B258" s="28" t="s">
        <v>469</v>
      </c>
      <c r="C258" s="28" t="s">
        <v>232</v>
      </c>
      <c r="D258" s="23" t="n">
        <v>0</v>
      </c>
    </row>
  </sheetData>
  <autoFilter ref="A1:D2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40"/>
    <col collapsed="false" customWidth="true" hidden="false" outlineLevel="0" max="3" min="3" style="0" width="13"/>
    <col collapsed="false" customWidth="true" hidden="false" outlineLevel="0" max="4" min="4" style="0" width="14"/>
    <col collapsed="false" customWidth="true" hidden="false" outlineLevel="0" max="5" min="5" style="0" width="16"/>
    <col collapsed="false" customWidth="true" hidden="false" outlineLevel="0" max="6" min="6" style="0" width="90"/>
    <col collapsed="false" customWidth="true" hidden="false" outlineLevel="0" max="7" min="7" style="0" width="20"/>
    <col collapsed="false" customWidth="true" hidden="false" outlineLevel="0" max="9" min="8" style="0" width="21"/>
    <col collapsed="false" customWidth="true" hidden="false" outlineLevel="0" max="10" min="10" style="0" width="22"/>
    <col collapsed="false" customWidth="true" hidden="false" outlineLevel="0" max="11" min="11" style="0" width="28"/>
    <col collapsed="false" customWidth="true" hidden="false" outlineLevel="0" max="12" min="12" style="0" width="40"/>
  </cols>
  <sheetData>
    <row r="1" customFormat="false" ht="30" hidden="false" customHeight="true" outlineLevel="0" collapsed="false">
      <c r="A1" s="27" t="s">
        <v>157</v>
      </c>
      <c r="B1" s="27" t="s">
        <v>158</v>
      </c>
      <c r="C1" s="27" t="s">
        <v>159</v>
      </c>
      <c r="D1" s="27" t="s">
        <v>160</v>
      </c>
      <c r="E1" s="27" t="s">
        <v>161</v>
      </c>
      <c r="F1" s="27" t="s">
        <v>369</v>
      </c>
      <c r="G1" s="27" t="s">
        <v>875</v>
      </c>
      <c r="H1" s="27" t="s">
        <v>876</v>
      </c>
      <c r="I1" s="27" t="s">
        <v>877</v>
      </c>
      <c r="J1" s="27" t="s">
        <v>878</v>
      </c>
      <c r="K1" s="27" t="s">
        <v>879</v>
      </c>
      <c r="L1" s="27" t="s">
        <v>880</v>
      </c>
    </row>
    <row r="2" customFormat="false" ht="15" hidden="false" customHeight="false" outlineLevel="0" collapsed="false">
      <c r="A2" s="28" t="s">
        <v>172</v>
      </c>
      <c r="B2" s="28" t="s">
        <v>173</v>
      </c>
      <c r="C2" s="28" t="s">
        <v>174</v>
      </c>
      <c r="D2" s="23" t="n">
        <v>1</v>
      </c>
      <c r="E2" s="28" t="s">
        <v>175</v>
      </c>
      <c r="F2" s="28" t="s">
        <v>881</v>
      </c>
      <c r="G2" s="20" t="n">
        <v>-300</v>
      </c>
      <c r="H2" s="20" t="n">
        <v>-300</v>
      </c>
      <c r="I2" s="20" t="n">
        <v>-300</v>
      </c>
      <c r="J2" s="20" t="n">
        <v>-300</v>
      </c>
      <c r="K2" s="20" t="n">
        <v>-300</v>
      </c>
      <c r="L2" s="28" t="s">
        <v>450</v>
      </c>
    </row>
    <row r="3" customFormat="false" ht="15" hidden="false" customHeight="false" outlineLevel="0" collapsed="false">
      <c r="A3" s="28" t="s">
        <v>176</v>
      </c>
      <c r="B3" s="28" t="s">
        <v>177</v>
      </c>
      <c r="C3" s="28" t="s">
        <v>174</v>
      </c>
      <c r="D3" s="23" t="n">
        <v>2</v>
      </c>
      <c r="E3" s="28" t="s">
        <v>175</v>
      </c>
      <c r="F3" s="28" t="s">
        <v>882</v>
      </c>
      <c r="G3" s="20" t="n">
        <v>-200</v>
      </c>
      <c r="H3" s="20" t="n">
        <v>-200</v>
      </c>
      <c r="I3" s="20" t="n">
        <v>-200</v>
      </c>
      <c r="J3" s="20" t="n">
        <v>-200</v>
      </c>
      <c r="K3" s="20" t="n">
        <v>-200</v>
      </c>
      <c r="L3" s="28" t="s">
        <v>450</v>
      </c>
    </row>
    <row r="4" customFormat="false" ht="15" hidden="false" customHeight="false" outlineLevel="0" collapsed="false">
      <c r="A4" s="28" t="s">
        <v>178</v>
      </c>
      <c r="B4" s="28" t="s">
        <v>179</v>
      </c>
      <c r="C4" s="28" t="s">
        <v>174</v>
      </c>
      <c r="D4" s="23" t="n">
        <v>3</v>
      </c>
      <c r="E4" s="28" t="s">
        <v>175</v>
      </c>
      <c r="F4" s="28" t="s">
        <v>883</v>
      </c>
      <c r="G4" s="20" t="n">
        <v>-100</v>
      </c>
      <c r="H4" s="20" t="n">
        <v>-100</v>
      </c>
      <c r="I4" s="20" t="n">
        <v>-100</v>
      </c>
      <c r="J4" s="20" t="n">
        <v>-100</v>
      </c>
      <c r="K4" s="20" t="n">
        <v>-100</v>
      </c>
      <c r="L4" s="28" t="s">
        <v>450</v>
      </c>
    </row>
    <row r="5" customFormat="false" ht="15" hidden="false" customHeight="false" outlineLevel="0" collapsed="false">
      <c r="A5" s="28" t="s">
        <v>180</v>
      </c>
      <c r="B5" s="28" t="s">
        <v>181</v>
      </c>
      <c r="C5" s="28" t="s">
        <v>174</v>
      </c>
      <c r="D5" s="23" t="n">
        <v>4</v>
      </c>
      <c r="E5" s="28" t="s">
        <v>175</v>
      </c>
      <c r="F5" s="28" t="s">
        <v>884</v>
      </c>
      <c r="G5" s="20" t="n">
        <v>0</v>
      </c>
      <c r="H5" s="20" t="n">
        <v>0</v>
      </c>
      <c r="I5" s="20" t="n">
        <v>0</v>
      </c>
      <c r="J5" s="20" t="n">
        <v>0</v>
      </c>
      <c r="K5" s="20" t="n">
        <v>0</v>
      </c>
      <c r="L5" s="28" t="s">
        <v>450</v>
      </c>
    </row>
    <row r="6" customFormat="false" ht="15" hidden="false" customHeight="false" outlineLevel="0" collapsed="false">
      <c r="A6" s="28" t="s">
        <v>182</v>
      </c>
      <c r="B6" s="28" t="s">
        <v>183</v>
      </c>
      <c r="C6" s="28" t="s">
        <v>174</v>
      </c>
      <c r="D6" s="23" t="n">
        <v>5</v>
      </c>
      <c r="E6" s="28" t="s">
        <v>175</v>
      </c>
      <c r="F6" s="28" t="s">
        <v>885</v>
      </c>
      <c r="G6" s="20" t="n">
        <v>100</v>
      </c>
      <c r="H6" s="20" t="n">
        <v>100</v>
      </c>
      <c r="I6" s="20" t="n">
        <v>100</v>
      </c>
      <c r="J6" s="20" t="n">
        <v>100</v>
      </c>
      <c r="K6" s="20" t="n">
        <v>100</v>
      </c>
      <c r="L6" s="28" t="s">
        <v>450</v>
      </c>
    </row>
    <row r="7" customFormat="false" ht="15" hidden="false" customHeight="false" outlineLevel="0" collapsed="false">
      <c r="A7" s="28" t="s">
        <v>184</v>
      </c>
      <c r="B7" s="28" t="s">
        <v>185</v>
      </c>
      <c r="C7" s="28" t="s">
        <v>174</v>
      </c>
      <c r="D7" s="23" t="n">
        <v>6</v>
      </c>
      <c r="E7" s="28" t="s">
        <v>175</v>
      </c>
      <c r="F7" s="28" t="s">
        <v>886</v>
      </c>
      <c r="G7" s="20" t="n">
        <v>200</v>
      </c>
      <c r="H7" s="20" t="n">
        <v>200</v>
      </c>
      <c r="I7" s="20" t="n">
        <v>200</v>
      </c>
      <c r="J7" s="20" t="n">
        <v>200</v>
      </c>
      <c r="K7" s="20" t="n">
        <v>200</v>
      </c>
      <c r="L7" s="28" t="s">
        <v>450</v>
      </c>
    </row>
    <row r="8" customFormat="false" ht="15" hidden="false" customHeight="false" outlineLevel="0" collapsed="false">
      <c r="A8" s="28" t="s">
        <v>186</v>
      </c>
      <c r="B8" s="28" t="s">
        <v>187</v>
      </c>
      <c r="C8" s="28" t="s">
        <v>174</v>
      </c>
      <c r="D8" s="23" t="n">
        <v>7</v>
      </c>
      <c r="E8" s="28" t="s">
        <v>175</v>
      </c>
      <c r="F8" s="28" t="s">
        <v>887</v>
      </c>
      <c r="G8" s="20" t="n">
        <v>300</v>
      </c>
      <c r="H8" s="20" t="n">
        <v>300</v>
      </c>
      <c r="I8" s="20" t="n">
        <v>300</v>
      </c>
      <c r="J8" s="20" t="n">
        <v>300</v>
      </c>
      <c r="K8" s="20" t="n">
        <v>300</v>
      </c>
      <c r="L8" s="28" t="s">
        <v>450</v>
      </c>
    </row>
    <row r="9" customFormat="false" ht="15" hidden="false" customHeight="false" outlineLevel="0" collapsed="false">
      <c r="A9" s="28" t="s">
        <v>188</v>
      </c>
      <c r="B9" s="28" t="s">
        <v>189</v>
      </c>
      <c r="C9" s="28" t="s">
        <v>174</v>
      </c>
      <c r="D9" s="23" t="n">
        <v>8</v>
      </c>
      <c r="E9" s="28" t="s">
        <v>175</v>
      </c>
      <c r="F9" s="28" t="s">
        <v>888</v>
      </c>
      <c r="G9" s="20" t="n">
        <v>400</v>
      </c>
      <c r="H9" s="20" t="n">
        <v>400</v>
      </c>
      <c r="I9" s="20" t="n">
        <v>400</v>
      </c>
      <c r="J9" s="20" t="n">
        <v>400</v>
      </c>
      <c r="K9" s="20" t="n">
        <v>400</v>
      </c>
      <c r="L9" s="28" t="s">
        <v>450</v>
      </c>
    </row>
    <row r="10" customFormat="false" ht="15" hidden="false" customHeight="false" outlineLevel="0" collapsed="false">
      <c r="A10" s="28" t="s">
        <v>190</v>
      </c>
      <c r="B10" s="28" t="s">
        <v>191</v>
      </c>
      <c r="C10" s="28" t="s">
        <v>192</v>
      </c>
      <c r="D10" s="23" t="n">
        <v>9</v>
      </c>
      <c r="E10" s="28" t="s">
        <v>193</v>
      </c>
      <c r="F10" s="28" t="s">
        <v>889</v>
      </c>
      <c r="G10" s="20" t="n">
        <v>0</v>
      </c>
      <c r="H10" s="20" t="n">
        <v>0</v>
      </c>
      <c r="I10" s="20" t="n">
        <v>-200</v>
      </c>
      <c r="J10" s="20" t="n">
        <v>-200</v>
      </c>
      <c r="K10" s="20" t="n">
        <v>-200</v>
      </c>
      <c r="L10" s="28" t="s">
        <v>450</v>
      </c>
    </row>
    <row r="11" customFormat="false" ht="15" hidden="false" customHeight="false" outlineLevel="0" collapsed="false">
      <c r="A11" s="28" t="s">
        <v>194</v>
      </c>
      <c r="B11" s="28" t="s">
        <v>195</v>
      </c>
      <c r="C11" s="28" t="s">
        <v>192</v>
      </c>
      <c r="D11" s="23" t="n">
        <v>10</v>
      </c>
      <c r="E11" s="28" t="s">
        <v>193</v>
      </c>
      <c r="F11" s="28" t="s">
        <v>890</v>
      </c>
      <c r="G11" s="20" t="n">
        <v>0</v>
      </c>
      <c r="H11" s="20" t="n">
        <v>0</v>
      </c>
      <c r="I11" s="20" t="n">
        <v>-100</v>
      </c>
      <c r="J11" s="20" t="n">
        <v>-100</v>
      </c>
      <c r="K11" s="20" t="n">
        <v>-100</v>
      </c>
      <c r="L11" s="28" t="s">
        <v>450</v>
      </c>
    </row>
    <row r="12" customFormat="false" ht="15" hidden="false" customHeight="false" outlineLevel="0" collapsed="false">
      <c r="A12" s="28" t="s">
        <v>196</v>
      </c>
      <c r="B12" s="28" t="s">
        <v>197</v>
      </c>
      <c r="C12" s="28" t="s">
        <v>192</v>
      </c>
      <c r="D12" s="23" t="n">
        <v>11</v>
      </c>
      <c r="E12" s="28" t="s">
        <v>193</v>
      </c>
      <c r="F12" s="28" t="s">
        <v>891</v>
      </c>
      <c r="G12" s="20" t="n">
        <v>0</v>
      </c>
      <c r="H12" s="20" t="n">
        <v>0</v>
      </c>
      <c r="I12" s="20" t="n">
        <v>100</v>
      </c>
      <c r="J12" s="20" t="n">
        <v>100</v>
      </c>
      <c r="K12" s="20" t="n">
        <v>100</v>
      </c>
      <c r="L12" s="28" t="s">
        <v>450</v>
      </c>
    </row>
    <row r="13" customFormat="false" ht="15" hidden="false" customHeight="false" outlineLevel="0" collapsed="false">
      <c r="A13" s="28" t="s">
        <v>198</v>
      </c>
      <c r="B13" s="28" t="s">
        <v>199</v>
      </c>
      <c r="C13" s="28" t="s">
        <v>192</v>
      </c>
      <c r="D13" s="23" t="n">
        <v>12</v>
      </c>
      <c r="E13" s="28" t="s">
        <v>193</v>
      </c>
      <c r="F13" s="28" t="s">
        <v>892</v>
      </c>
      <c r="G13" s="20" t="n">
        <v>0</v>
      </c>
      <c r="H13" s="20" t="n">
        <v>0</v>
      </c>
      <c r="I13" s="20" t="n">
        <v>200</v>
      </c>
      <c r="J13" s="20" t="n">
        <v>200</v>
      </c>
      <c r="K13" s="20" t="n">
        <v>200</v>
      </c>
      <c r="L13" s="28" t="s">
        <v>450</v>
      </c>
    </row>
    <row r="14" customFormat="false" ht="15" hidden="false" customHeight="false" outlineLevel="0" collapsed="false">
      <c r="A14" s="28" t="s">
        <v>200</v>
      </c>
      <c r="B14" s="28" t="s">
        <v>201</v>
      </c>
      <c r="C14" s="28" t="s">
        <v>202</v>
      </c>
      <c r="D14" s="23" t="n">
        <v>13</v>
      </c>
      <c r="E14" s="28" t="s">
        <v>175</v>
      </c>
      <c r="F14" s="28" t="s">
        <v>893</v>
      </c>
      <c r="G14" s="20" t="n">
        <v>67.9</v>
      </c>
      <c r="H14" s="20" t="n">
        <v>150</v>
      </c>
      <c r="I14" s="20" t="n">
        <v>67.9</v>
      </c>
      <c r="J14" s="20" t="n">
        <v>150</v>
      </c>
      <c r="K14" s="20" t="n">
        <v>50</v>
      </c>
      <c r="L14" s="28" t="s">
        <v>450</v>
      </c>
    </row>
    <row r="15" customFormat="false" ht="15" hidden="false" customHeight="false" outlineLevel="0" collapsed="false">
      <c r="A15" s="28" t="s">
        <v>203</v>
      </c>
      <c r="B15" s="28" t="s">
        <v>204</v>
      </c>
      <c r="C15" s="28" t="s">
        <v>202</v>
      </c>
      <c r="D15" s="23" t="n">
        <v>14</v>
      </c>
      <c r="E15" s="28" t="s">
        <v>175</v>
      </c>
      <c r="F15" s="28" t="s">
        <v>894</v>
      </c>
      <c r="G15" s="20" t="n">
        <v>-17.9</v>
      </c>
      <c r="H15" s="20" t="n">
        <v>-100</v>
      </c>
      <c r="I15" s="20" t="n">
        <v>-17.9</v>
      </c>
      <c r="J15" s="20" t="n">
        <v>-100</v>
      </c>
      <c r="K15" s="20" t="n">
        <v>0</v>
      </c>
      <c r="L15" s="28" t="s">
        <v>450</v>
      </c>
    </row>
    <row r="16" customFormat="false" ht="15" hidden="false" customHeight="false" outlineLevel="0" collapsed="false">
      <c r="A16" s="28" t="s">
        <v>205</v>
      </c>
      <c r="B16" s="28" t="s">
        <v>206</v>
      </c>
      <c r="C16" s="28" t="s">
        <v>202</v>
      </c>
      <c r="D16" s="23" t="n">
        <v>15</v>
      </c>
      <c r="E16" s="28" t="s">
        <v>175</v>
      </c>
      <c r="F16" s="28" t="s">
        <v>895</v>
      </c>
      <c r="G16" s="20" t="n">
        <v>183.3</v>
      </c>
      <c r="H16" s="20" t="n">
        <v>50</v>
      </c>
      <c r="I16" s="20" t="n">
        <v>183.3</v>
      </c>
      <c r="J16" s="20" t="n">
        <v>50</v>
      </c>
      <c r="K16" s="20" t="n">
        <v>200</v>
      </c>
      <c r="L16" s="28" t="s">
        <v>450</v>
      </c>
    </row>
    <row r="17" customFormat="false" ht="15" hidden="false" customHeight="false" outlineLevel="0" collapsed="false">
      <c r="A17" s="28" t="s">
        <v>207</v>
      </c>
      <c r="B17" s="28" t="s">
        <v>208</v>
      </c>
      <c r="C17" s="28" t="s">
        <v>209</v>
      </c>
      <c r="D17" s="23" t="n">
        <v>16</v>
      </c>
      <c r="E17" s="28" t="s">
        <v>175</v>
      </c>
      <c r="F17" s="28" t="s">
        <v>896</v>
      </c>
      <c r="G17" s="20" t="n">
        <v>75</v>
      </c>
      <c r="H17" s="20" t="n">
        <v>82</v>
      </c>
      <c r="I17" s="20" t="n">
        <v>75</v>
      </c>
      <c r="J17" s="20" t="n">
        <v>82</v>
      </c>
      <c r="K17" s="20" t="n">
        <v>25</v>
      </c>
      <c r="L17" s="28" t="s">
        <v>450</v>
      </c>
    </row>
    <row r="18" customFormat="false" ht="15" hidden="false" customHeight="false" outlineLevel="0" collapsed="false">
      <c r="A18" s="28" t="s">
        <v>210</v>
      </c>
      <c r="B18" s="28" t="s">
        <v>211</v>
      </c>
      <c r="C18" s="28" t="s">
        <v>209</v>
      </c>
      <c r="D18" s="23" t="n">
        <v>17</v>
      </c>
      <c r="E18" s="28" t="s">
        <v>193</v>
      </c>
      <c r="F18" s="28" t="s">
        <v>897</v>
      </c>
      <c r="G18" s="20" t="n">
        <v>0</v>
      </c>
      <c r="H18" s="20" t="n">
        <v>0</v>
      </c>
      <c r="I18" s="20" t="n">
        <v>124.8</v>
      </c>
      <c r="J18" s="20" t="n">
        <v>131</v>
      </c>
      <c r="K18" s="20" t="n">
        <v>75</v>
      </c>
      <c r="L18" s="28" t="s">
        <v>450</v>
      </c>
    </row>
    <row r="19" customFormat="false" ht="15" hidden="false" customHeight="false" outlineLevel="0" collapsed="false">
      <c r="A19" s="28" t="s">
        <v>212</v>
      </c>
      <c r="B19" s="28" t="s">
        <v>213</v>
      </c>
      <c r="C19" s="28" t="s">
        <v>209</v>
      </c>
      <c r="D19" s="23" t="n">
        <v>18</v>
      </c>
      <c r="E19" s="28" t="s">
        <v>193</v>
      </c>
      <c r="F19" s="28" t="s">
        <v>898</v>
      </c>
      <c r="G19" s="20" t="n">
        <v>0</v>
      </c>
      <c r="H19" s="20" t="n">
        <v>0</v>
      </c>
      <c r="I19" s="20" t="n">
        <v>155.4</v>
      </c>
      <c r="J19" s="20" t="n">
        <v>180</v>
      </c>
      <c r="K19" s="20" t="n">
        <v>150</v>
      </c>
      <c r="L19" s="28" t="s">
        <v>899</v>
      </c>
    </row>
    <row r="20" customFormat="false" ht="15" hidden="false" customHeight="false" outlineLevel="0" collapsed="false">
      <c r="A20" s="28" t="s">
        <v>214</v>
      </c>
      <c r="B20" s="28" t="s">
        <v>215</v>
      </c>
      <c r="C20" s="28" t="s">
        <v>209</v>
      </c>
      <c r="D20" s="23" t="n">
        <v>19</v>
      </c>
      <c r="E20" s="28" t="s">
        <v>193</v>
      </c>
      <c r="F20" s="28" t="s">
        <v>900</v>
      </c>
      <c r="G20" s="20" t="n">
        <v>0</v>
      </c>
      <c r="H20" s="20" t="n">
        <v>0</v>
      </c>
      <c r="I20" s="20" t="n">
        <v>-182.1</v>
      </c>
      <c r="J20" s="20" t="n">
        <v>-100</v>
      </c>
      <c r="K20" s="20" t="n">
        <v>-200</v>
      </c>
      <c r="L20" s="28" t="s">
        <v>901</v>
      </c>
    </row>
    <row r="21" customFormat="false" ht="15" hidden="false" customHeight="false" outlineLevel="0" collapsed="false">
      <c r="A21" s="28" t="s">
        <v>216</v>
      </c>
      <c r="B21" s="28" t="s">
        <v>217</v>
      </c>
      <c r="C21" s="28" t="s">
        <v>218</v>
      </c>
      <c r="D21" s="23" t="n">
        <v>20</v>
      </c>
      <c r="E21" s="28" t="s">
        <v>175</v>
      </c>
      <c r="F21" s="28" t="s">
        <v>902</v>
      </c>
      <c r="G21" s="20" t="n">
        <v>300</v>
      </c>
      <c r="H21" s="20" t="n">
        <v>300</v>
      </c>
      <c r="I21" s="20" t="n">
        <v>300</v>
      </c>
      <c r="J21" s="20" t="n">
        <v>300</v>
      </c>
      <c r="K21" s="20" t="n">
        <v>300</v>
      </c>
      <c r="L21" s="28" t="s">
        <v>450</v>
      </c>
    </row>
  </sheetData>
  <autoFilter ref="A1:L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7"/>
    <col collapsed="false" customWidth="true" hidden="false" outlineLevel="0" max="6" min="4" style="0" width="14"/>
    <col collapsed="false" customWidth="true" hidden="false" outlineLevel="0" max="7" min="7" style="0" width="8"/>
  </cols>
  <sheetData>
    <row r="1" customFormat="false" ht="30" hidden="false" customHeight="true" outlineLevel="0" collapsed="false">
      <c r="A1" s="27" t="s">
        <v>157</v>
      </c>
      <c r="B1" s="27" t="s">
        <v>158</v>
      </c>
      <c r="C1" s="27" t="s">
        <v>159</v>
      </c>
      <c r="D1" s="27" t="s">
        <v>160</v>
      </c>
      <c r="E1" s="27" t="s">
        <v>868</v>
      </c>
      <c r="F1" s="27" t="s">
        <v>903</v>
      </c>
      <c r="G1" s="27" t="s">
        <v>436</v>
      </c>
    </row>
    <row r="2" customFormat="false" ht="15" hidden="false" customHeight="false" outlineLevel="0" collapsed="false">
      <c r="A2" s="28" t="s">
        <v>172</v>
      </c>
      <c r="B2" s="28" t="s">
        <v>173</v>
      </c>
      <c r="C2" s="28" t="s">
        <v>174</v>
      </c>
      <c r="D2" s="23" t="n">
        <v>1</v>
      </c>
      <c r="E2" s="23" t="n">
        <v>0</v>
      </c>
      <c r="F2" s="28" t="s">
        <v>904</v>
      </c>
      <c r="G2" s="19" t="n">
        <v>0.0063</v>
      </c>
    </row>
    <row r="3" customFormat="false" ht="15" hidden="false" customHeight="false" outlineLevel="0" collapsed="false">
      <c r="A3" s="28" t="s">
        <v>172</v>
      </c>
      <c r="B3" s="28" t="s">
        <v>173</v>
      </c>
      <c r="C3" s="28" t="s">
        <v>174</v>
      </c>
      <c r="D3" s="23" t="n">
        <v>1</v>
      </c>
      <c r="E3" s="23" t="n">
        <v>0</v>
      </c>
      <c r="F3" s="28" t="s">
        <v>551</v>
      </c>
      <c r="G3" s="19" t="n">
        <v>0.0375</v>
      </c>
    </row>
    <row r="4" customFormat="false" ht="15" hidden="false" customHeight="false" outlineLevel="0" collapsed="false">
      <c r="A4" s="28" t="s">
        <v>172</v>
      </c>
      <c r="B4" s="28" t="s">
        <v>173</v>
      </c>
      <c r="C4" s="28" t="s">
        <v>174</v>
      </c>
      <c r="D4" s="23" t="n">
        <v>1</v>
      </c>
      <c r="E4" s="23" t="n">
        <v>0</v>
      </c>
      <c r="F4" s="28" t="s">
        <v>451</v>
      </c>
      <c r="G4" s="19" t="n">
        <v>0.0061</v>
      </c>
    </row>
    <row r="5" customFormat="false" ht="15" hidden="false" customHeight="false" outlineLevel="0" collapsed="false">
      <c r="A5" s="28" t="s">
        <v>172</v>
      </c>
      <c r="B5" s="28" t="s">
        <v>173</v>
      </c>
      <c r="C5" s="28" t="s">
        <v>174</v>
      </c>
      <c r="D5" s="23" t="n">
        <v>1</v>
      </c>
      <c r="E5" s="23" t="n">
        <v>0</v>
      </c>
      <c r="F5" s="28" t="s">
        <v>905</v>
      </c>
      <c r="G5" s="19" t="n">
        <v>0.0087</v>
      </c>
    </row>
    <row r="6" customFormat="false" ht="15" hidden="false" customHeight="false" outlineLevel="0" collapsed="false">
      <c r="A6" s="28" t="s">
        <v>172</v>
      </c>
      <c r="B6" s="28" t="s">
        <v>173</v>
      </c>
      <c r="C6" s="28" t="s">
        <v>174</v>
      </c>
      <c r="D6" s="23" t="n">
        <v>1</v>
      </c>
      <c r="E6" s="23" t="n">
        <v>0</v>
      </c>
      <c r="F6" s="28" t="s">
        <v>906</v>
      </c>
      <c r="G6" s="19" t="n">
        <v>0.0101</v>
      </c>
    </row>
    <row r="7" customFormat="false" ht="15" hidden="false" customHeight="false" outlineLevel="0" collapsed="false">
      <c r="A7" s="28" t="s">
        <v>172</v>
      </c>
      <c r="B7" s="28" t="s">
        <v>173</v>
      </c>
      <c r="C7" s="28" t="s">
        <v>174</v>
      </c>
      <c r="D7" s="23" t="n">
        <v>1</v>
      </c>
      <c r="E7" s="23" t="n">
        <v>0</v>
      </c>
      <c r="F7" s="28" t="s">
        <v>907</v>
      </c>
      <c r="G7" s="19" t="n">
        <v>0.0098</v>
      </c>
    </row>
    <row r="8" customFormat="false" ht="15" hidden="false" customHeight="false" outlineLevel="0" collapsed="false">
      <c r="A8" s="28" t="s">
        <v>172</v>
      </c>
      <c r="B8" s="28" t="s">
        <v>173</v>
      </c>
      <c r="C8" s="28" t="s">
        <v>174</v>
      </c>
      <c r="D8" s="23" t="n">
        <v>1</v>
      </c>
      <c r="E8" s="23" t="n">
        <v>0</v>
      </c>
      <c r="F8" s="28" t="s">
        <v>908</v>
      </c>
      <c r="G8" s="19" t="n">
        <v>0.0114</v>
      </c>
    </row>
    <row r="9" customFormat="false" ht="15" hidden="false" customHeight="false" outlineLevel="0" collapsed="false">
      <c r="A9" s="28" t="s">
        <v>172</v>
      </c>
      <c r="B9" s="28" t="s">
        <v>173</v>
      </c>
      <c r="C9" s="28" t="s">
        <v>174</v>
      </c>
      <c r="D9" s="23" t="n">
        <v>1</v>
      </c>
      <c r="E9" s="23" t="n">
        <v>0</v>
      </c>
      <c r="F9" s="28" t="s">
        <v>909</v>
      </c>
      <c r="G9" s="19" t="n">
        <v>0.0115</v>
      </c>
    </row>
    <row r="10" customFormat="false" ht="15" hidden="false" customHeight="false" outlineLevel="0" collapsed="false">
      <c r="A10" s="28" t="s">
        <v>172</v>
      </c>
      <c r="B10" s="28" t="s">
        <v>173</v>
      </c>
      <c r="C10" s="28" t="s">
        <v>174</v>
      </c>
      <c r="D10" s="23" t="n">
        <v>1</v>
      </c>
      <c r="E10" s="23" t="n">
        <v>0</v>
      </c>
      <c r="F10" s="28" t="s">
        <v>910</v>
      </c>
      <c r="G10" s="19" t="n">
        <v>0.0119</v>
      </c>
    </row>
    <row r="11" customFormat="false" ht="15" hidden="false" customHeight="false" outlineLevel="0" collapsed="false">
      <c r="A11" s="28" t="s">
        <v>172</v>
      </c>
      <c r="B11" s="28" t="s">
        <v>173</v>
      </c>
      <c r="C11" s="28" t="s">
        <v>174</v>
      </c>
      <c r="D11" s="23" t="n">
        <v>1</v>
      </c>
      <c r="E11" s="23" t="n">
        <v>0</v>
      </c>
      <c r="F11" s="28" t="s">
        <v>911</v>
      </c>
      <c r="G11" s="19" t="n">
        <v>0.013</v>
      </c>
    </row>
    <row r="12" customFormat="false" ht="15" hidden="false" customHeight="false" outlineLevel="0" collapsed="false">
      <c r="A12" s="28" t="s">
        <v>172</v>
      </c>
      <c r="B12" s="28" t="s">
        <v>173</v>
      </c>
      <c r="C12" s="28" t="s">
        <v>174</v>
      </c>
      <c r="D12" s="23" t="n">
        <v>1</v>
      </c>
      <c r="E12" s="23" t="n">
        <v>0</v>
      </c>
      <c r="F12" s="28" t="s">
        <v>912</v>
      </c>
      <c r="G12" s="19" t="n">
        <v>0.0144</v>
      </c>
    </row>
    <row r="13" customFormat="false" ht="15" hidden="false" customHeight="false" outlineLevel="0" collapsed="false">
      <c r="A13" s="28" t="s">
        <v>172</v>
      </c>
      <c r="B13" s="28" t="s">
        <v>173</v>
      </c>
      <c r="C13" s="28" t="s">
        <v>174</v>
      </c>
      <c r="D13" s="23" t="n">
        <v>1</v>
      </c>
      <c r="E13" s="23" t="n">
        <v>0</v>
      </c>
      <c r="F13" s="28" t="s">
        <v>913</v>
      </c>
      <c r="G13" s="19" t="n">
        <v>0.0193</v>
      </c>
    </row>
    <row r="14" customFormat="false" ht="15" hidden="false" customHeight="false" outlineLevel="0" collapsed="false">
      <c r="A14" s="28" t="s">
        <v>172</v>
      </c>
      <c r="B14" s="28" t="s">
        <v>173</v>
      </c>
      <c r="C14" s="28" t="s">
        <v>174</v>
      </c>
      <c r="D14" s="23" t="n">
        <v>1</v>
      </c>
      <c r="E14" s="23" t="n">
        <v>0</v>
      </c>
      <c r="F14" s="28" t="s">
        <v>914</v>
      </c>
      <c r="G14" s="19" t="n">
        <v>0.0191</v>
      </c>
    </row>
    <row r="15" customFormat="false" ht="15" hidden="false" customHeight="false" outlineLevel="0" collapsed="false">
      <c r="A15" s="28" t="s">
        <v>172</v>
      </c>
      <c r="B15" s="28" t="s">
        <v>173</v>
      </c>
      <c r="C15" s="28" t="s">
        <v>174</v>
      </c>
      <c r="D15" s="23" t="n">
        <v>1</v>
      </c>
      <c r="E15" s="23" t="n">
        <v>0</v>
      </c>
      <c r="F15" s="28" t="s">
        <v>915</v>
      </c>
      <c r="G15" s="19" t="n">
        <v>0.0349</v>
      </c>
    </row>
    <row r="16" customFormat="false" ht="15" hidden="false" customHeight="false" outlineLevel="0" collapsed="false">
      <c r="A16" s="28" t="s">
        <v>172</v>
      </c>
      <c r="B16" s="28" t="s">
        <v>173</v>
      </c>
      <c r="C16" s="28" t="s">
        <v>174</v>
      </c>
      <c r="D16" s="23" t="n">
        <v>1</v>
      </c>
      <c r="E16" s="23" t="n">
        <v>1</v>
      </c>
      <c r="F16" s="28" t="s">
        <v>904</v>
      </c>
      <c r="G16" s="19" t="n">
        <v>0.0063</v>
      </c>
    </row>
    <row r="17" customFormat="false" ht="15" hidden="false" customHeight="false" outlineLevel="0" collapsed="false">
      <c r="A17" s="28" t="s">
        <v>172</v>
      </c>
      <c r="B17" s="28" t="s">
        <v>173</v>
      </c>
      <c r="C17" s="28" t="s">
        <v>174</v>
      </c>
      <c r="D17" s="23" t="n">
        <v>1</v>
      </c>
      <c r="E17" s="23" t="n">
        <v>1</v>
      </c>
      <c r="F17" s="28" t="s">
        <v>551</v>
      </c>
      <c r="G17" s="19" t="n">
        <v>0.0375</v>
      </c>
    </row>
    <row r="18" customFormat="false" ht="15" hidden="false" customHeight="false" outlineLevel="0" collapsed="false">
      <c r="A18" s="28" t="s">
        <v>172</v>
      </c>
      <c r="B18" s="28" t="s">
        <v>173</v>
      </c>
      <c r="C18" s="28" t="s">
        <v>174</v>
      </c>
      <c r="D18" s="23" t="n">
        <v>1</v>
      </c>
      <c r="E18" s="23" t="n">
        <v>1</v>
      </c>
      <c r="F18" s="28" t="s">
        <v>451</v>
      </c>
      <c r="G18" s="19" t="n">
        <v>0.0061</v>
      </c>
    </row>
    <row r="19" customFormat="false" ht="15" hidden="false" customHeight="false" outlineLevel="0" collapsed="false">
      <c r="A19" s="28" t="s">
        <v>172</v>
      </c>
      <c r="B19" s="28" t="s">
        <v>173</v>
      </c>
      <c r="C19" s="28" t="s">
        <v>174</v>
      </c>
      <c r="D19" s="23" t="n">
        <v>1</v>
      </c>
      <c r="E19" s="23" t="n">
        <v>1</v>
      </c>
      <c r="F19" s="28" t="s">
        <v>905</v>
      </c>
      <c r="G19" s="19" t="n">
        <v>0.0087</v>
      </c>
    </row>
    <row r="20" customFormat="false" ht="15" hidden="false" customHeight="false" outlineLevel="0" collapsed="false">
      <c r="A20" s="28" t="s">
        <v>172</v>
      </c>
      <c r="B20" s="28" t="s">
        <v>173</v>
      </c>
      <c r="C20" s="28" t="s">
        <v>174</v>
      </c>
      <c r="D20" s="23" t="n">
        <v>1</v>
      </c>
      <c r="E20" s="23" t="n">
        <v>1</v>
      </c>
      <c r="F20" s="28" t="s">
        <v>906</v>
      </c>
      <c r="G20" s="19" t="n">
        <v>0.0101</v>
      </c>
    </row>
    <row r="21" customFormat="false" ht="15" hidden="false" customHeight="false" outlineLevel="0" collapsed="false">
      <c r="A21" s="28" t="s">
        <v>172</v>
      </c>
      <c r="B21" s="28" t="s">
        <v>173</v>
      </c>
      <c r="C21" s="28" t="s">
        <v>174</v>
      </c>
      <c r="D21" s="23" t="n">
        <v>1</v>
      </c>
      <c r="E21" s="23" t="n">
        <v>1</v>
      </c>
      <c r="F21" s="28" t="s">
        <v>907</v>
      </c>
      <c r="G21" s="19" t="n">
        <v>0.0098</v>
      </c>
    </row>
    <row r="22" customFormat="false" ht="15" hidden="false" customHeight="false" outlineLevel="0" collapsed="false">
      <c r="A22" s="28" t="s">
        <v>172</v>
      </c>
      <c r="B22" s="28" t="s">
        <v>173</v>
      </c>
      <c r="C22" s="28" t="s">
        <v>174</v>
      </c>
      <c r="D22" s="23" t="n">
        <v>1</v>
      </c>
      <c r="E22" s="23" t="n">
        <v>1</v>
      </c>
      <c r="F22" s="28" t="s">
        <v>908</v>
      </c>
      <c r="G22" s="19" t="n">
        <v>0.0114</v>
      </c>
    </row>
    <row r="23" customFormat="false" ht="15" hidden="false" customHeight="false" outlineLevel="0" collapsed="false">
      <c r="A23" s="28" t="s">
        <v>172</v>
      </c>
      <c r="B23" s="28" t="s">
        <v>173</v>
      </c>
      <c r="C23" s="28" t="s">
        <v>174</v>
      </c>
      <c r="D23" s="23" t="n">
        <v>1</v>
      </c>
      <c r="E23" s="23" t="n">
        <v>1</v>
      </c>
      <c r="F23" s="28" t="s">
        <v>909</v>
      </c>
      <c r="G23" s="19" t="n">
        <v>0.0115</v>
      </c>
    </row>
    <row r="24" customFormat="false" ht="15" hidden="false" customHeight="false" outlineLevel="0" collapsed="false">
      <c r="A24" s="28" t="s">
        <v>172</v>
      </c>
      <c r="B24" s="28" t="s">
        <v>173</v>
      </c>
      <c r="C24" s="28" t="s">
        <v>174</v>
      </c>
      <c r="D24" s="23" t="n">
        <v>1</v>
      </c>
      <c r="E24" s="23" t="n">
        <v>1</v>
      </c>
      <c r="F24" s="28" t="s">
        <v>910</v>
      </c>
      <c r="G24" s="19" t="n">
        <v>0.0119</v>
      </c>
    </row>
    <row r="25" customFormat="false" ht="15" hidden="false" customHeight="false" outlineLevel="0" collapsed="false">
      <c r="A25" s="28" t="s">
        <v>172</v>
      </c>
      <c r="B25" s="28" t="s">
        <v>173</v>
      </c>
      <c r="C25" s="28" t="s">
        <v>174</v>
      </c>
      <c r="D25" s="23" t="n">
        <v>1</v>
      </c>
      <c r="E25" s="23" t="n">
        <v>1</v>
      </c>
      <c r="F25" s="28" t="s">
        <v>911</v>
      </c>
      <c r="G25" s="19" t="n">
        <v>0.013</v>
      </c>
    </row>
    <row r="26" customFormat="false" ht="15" hidden="false" customHeight="false" outlineLevel="0" collapsed="false">
      <c r="A26" s="28" t="s">
        <v>172</v>
      </c>
      <c r="B26" s="28" t="s">
        <v>173</v>
      </c>
      <c r="C26" s="28" t="s">
        <v>174</v>
      </c>
      <c r="D26" s="23" t="n">
        <v>1</v>
      </c>
      <c r="E26" s="23" t="n">
        <v>1</v>
      </c>
      <c r="F26" s="28" t="s">
        <v>912</v>
      </c>
      <c r="G26" s="19" t="n">
        <v>0.0144</v>
      </c>
    </row>
    <row r="27" customFormat="false" ht="15" hidden="false" customHeight="false" outlineLevel="0" collapsed="false">
      <c r="A27" s="28" t="s">
        <v>172</v>
      </c>
      <c r="B27" s="28" t="s">
        <v>173</v>
      </c>
      <c r="C27" s="28" t="s">
        <v>174</v>
      </c>
      <c r="D27" s="23" t="n">
        <v>1</v>
      </c>
      <c r="E27" s="23" t="n">
        <v>1</v>
      </c>
      <c r="F27" s="28" t="s">
        <v>913</v>
      </c>
      <c r="G27" s="19" t="n">
        <v>0.0193</v>
      </c>
    </row>
    <row r="28" customFormat="false" ht="15" hidden="false" customHeight="false" outlineLevel="0" collapsed="false">
      <c r="A28" s="28" t="s">
        <v>172</v>
      </c>
      <c r="B28" s="28" t="s">
        <v>173</v>
      </c>
      <c r="C28" s="28" t="s">
        <v>174</v>
      </c>
      <c r="D28" s="23" t="n">
        <v>1</v>
      </c>
      <c r="E28" s="23" t="n">
        <v>1</v>
      </c>
      <c r="F28" s="28" t="s">
        <v>914</v>
      </c>
      <c r="G28" s="19" t="n">
        <v>0.0191</v>
      </c>
    </row>
    <row r="29" customFormat="false" ht="15" hidden="false" customHeight="false" outlineLevel="0" collapsed="false">
      <c r="A29" s="28" t="s">
        <v>172</v>
      </c>
      <c r="B29" s="28" t="s">
        <v>173</v>
      </c>
      <c r="C29" s="28" t="s">
        <v>174</v>
      </c>
      <c r="D29" s="23" t="n">
        <v>1</v>
      </c>
      <c r="E29" s="23" t="n">
        <v>1</v>
      </c>
      <c r="F29" s="28" t="s">
        <v>915</v>
      </c>
      <c r="G29" s="19" t="n">
        <v>0.0349</v>
      </c>
    </row>
    <row r="30" customFormat="false" ht="15" hidden="false" customHeight="false" outlineLevel="0" collapsed="false">
      <c r="A30" s="28" t="s">
        <v>172</v>
      </c>
      <c r="B30" s="28" t="s">
        <v>173</v>
      </c>
      <c r="C30" s="28" t="s">
        <v>174</v>
      </c>
      <c r="D30" s="23" t="n">
        <v>1</v>
      </c>
      <c r="E30" s="23" t="n">
        <v>2</v>
      </c>
      <c r="F30" s="28" t="s">
        <v>904</v>
      </c>
      <c r="G30" s="19" t="n">
        <v>0.0063</v>
      </c>
    </row>
    <row r="31" customFormat="false" ht="15" hidden="false" customHeight="false" outlineLevel="0" collapsed="false">
      <c r="A31" s="28" t="s">
        <v>172</v>
      </c>
      <c r="B31" s="28" t="s">
        <v>173</v>
      </c>
      <c r="C31" s="28" t="s">
        <v>174</v>
      </c>
      <c r="D31" s="23" t="n">
        <v>1</v>
      </c>
      <c r="E31" s="23" t="n">
        <v>2</v>
      </c>
      <c r="F31" s="28" t="s">
        <v>551</v>
      </c>
      <c r="G31" s="19" t="n">
        <v>0.0375</v>
      </c>
    </row>
    <row r="32" customFormat="false" ht="15" hidden="false" customHeight="false" outlineLevel="0" collapsed="false">
      <c r="A32" s="28" t="s">
        <v>172</v>
      </c>
      <c r="B32" s="28" t="s">
        <v>173</v>
      </c>
      <c r="C32" s="28" t="s">
        <v>174</v>
      </c>
      <c r="D32" s="23" t="n">
        <v>1</v>
      </c>
      <c r="E32" s="23" t="n">
        <v>2</v>
      </c>
      <c r="F32" s="28" t="s">
        <v>451</v>
      </c>
      <c r="G32" s="19" t="n">
        <v>0.0061</v>
      </c>
    </row>
    <row r="33" customFormat="false" ht="15" hidden="false" customHeight="false" outlineLevel="0" collapsed="false">
      <c r="A33" s="28" t="s">
        <v>172</v>
      </c>
      <c r="B33" s="28" t="s">
        <v>173</v>
      </c>
      <c r="C33" s="28" t="s">
        <v>174</v>
      </c>
      <c r="D33" s="23" t="n">
        <v>1</v>
      </c>
      <c r="E33" s="23" t="n">
        <v>2</v>
      </c>
      <c r="F33" s="28" t="s">
        <v>905</v>
      </c>
      <c r="G33" s="19" t="n">
        <v>0.0087</v>
      </c>
    </row>
    <row r="34" customFormat="false" ht="15" hidden="false" customHeight="false" outlineLevel="0" collapsed="false">
      <c r="A34" s="28" t="s">
        <v>172</v>
      </c>
      <c r="B34" s="28" t="s">
        <v>173</v>
      </c>
      <c r="C34" s="28" t="s">
        <v>174</v>
      </c>
      <c r="D34" s="23" t="n">
        <v>1</v>
      </c>
      <c r="E34" s="23" t="n">
        <v>2</v>
      </c>
      <c r="F34" s="28" t="s">
        <v>906</v>
      </c>
      <c r="G34" s="19" t="n">
        <v>0.0101</v>
      </c>
    </row>
    <row r="35" customFormat="false" ht="15" hidden="false" customHeight="false" outlineLevel="0" collapsed="false">
      <c r="A35" s="28" t="s">
        <v>172</v>
      </c>
      <c r="B35" s="28" t="s">
        <v>173</v>
      </c>
      <c r="C35" s="28" t="s">
        <v>174</v>
      </c>
      <c r="D35" s="23" t="n">
        <v>1</v>
      </c>
      <c r="E35" s="23" t="n">
        <v>2</v>
      </c>
      <c r="F35" s="28" t="s">
        <v>907</v>
      </c>
      <c r="G35" s="19" t="n">
        <v>0.0098</v>
      </c>
    </row>
    <row r="36" customFormat="false" ht="15" hidden="false" customHeight="false" outlineLevel="0" collapsed="false">
      <c r="A36" s="28" t="s">
        <v>172</v>
      </c>
      <c r="B36" s="28" t="s">
        <v>173</v>
      </c>
      <c r="C36" s="28" t="s">
        <v>174</v>
      </c>
      <c r="D36" s="23" t="n">
        <v>1</v>
      </c>
      <c r="E36" s="23" t="n">
        <v>2</v>
      </c>
      <c r="F36" s="28" t="s">
        <v>908</v>
      </c>
      <c r="G36" s="19" t="n">
        <v>0.0114</v>
      </c>
    </row>
    <row r="37" customFormat="false" ht="15" hidden="false" customHeight="false" outlineLevel="0" collapsed="false">
      <c r="A37" s="28" t="s">
        <v>172</v>
      </c>
      <c r="B37" s="28" t="s">
        <v>173</v>
      </c>
      <c r="C37" s="28" t="s">
        <v>174</v>
      </c>
      <c r="D37" s="23" t="n">
        <v>1</v>
      </c>
      <c r="E37" s="23" t="n">
        <v>2</v>
      </c>
      <c r="F37" s="28" t="s">
        <v>909</v>
      </c>
      <c r="G37" s="19" t="n">
        <v>0.0115</v>
      </c>
    </row>
    <row r="38" customFormat="false" ht="15" hidden="false" customHeight="false" outlineLevel="0" collapsed="false">
      <c r="A38" s="28" t="s">
        <v>172</v>
      </c>
      <c r="B38" s="28" t="s">
        <v>173</v>
      </c>
      <c r="C38" s="28" t="s">
        <v>174</v>
      </c>
      <c r="D38" s="23" t="n">
        <v>1</v>
      </c>
      <c r="E38" s="23" t="n">
        <v>2</v>
      </c>
      <c r="F38" s="28" t="s">
        <v>910</v>
      </c>
      <c r="G38" s="19" t="n">
        <v>0.0119</v>
      </c>
    </row>
    <row r="39" customFormat="false" ht="15" hidden="false" customHeight="false" outlineLevel="0" collapsed="false">
      <c r="A39" s="28" t="s">
        <v>172</v>
      </c>
      <c r="B39" s="28" t="s">
        <v>173</v>
      </c>
      <c r="C39" s="28" t="s">
        <v>174</v>
      </c>
      <c r="D39" s="23" t="n">
        <v>1</v>
      </c>
      <c r="E39" s="23" t="n">
        <v>2</v>
      </c>
      <c r="F39" s="28" t="s">
        <v>911</v>
      </c>
      <c r="G39" s="19" t="n">
        <v>0.013</v>
      </c>
    </row>
    <row r="40" customFormat="false" ht="15" hidden="false" customHeight="false" outlineLevel="0" collapsed="false">
      <c r="A40" s="28" t="s">
        <v>172</v>
      </c>
      <c r="B40" s="28" t="s">
        <v>173</v>
      </c>
      <c r="C40" s="28" t="s">
        <v>174</v>
      </c>
      <c r="D40" s="23" t="n">
        <v>1</v>
      </c>
      <c r="E40" s="23" t="n">
        <v>2</v>
      </c>
      <c r="F40" s="28" t="s">
        <v>912</v>
      </c>
      <c r="G40" s="19" t="n">
        <v>0.0144</v>
      </c>
    </row>
    <row r="41" customFormat="false" ht="15" hidden="false" customHeight="false" outlineLevel="0" collapsed="false">
      <c r="A41" s="28" t="s">
        <v>172</v>
      </c>
      <c r="B41" s="28" t="s">
        <v>173</v>
      </c>
      <c r="C41" s="28" t="s">
        <v>174</v>
      </c>
      <c r="D41" s="23" t="n">
        <v>1</v>
      </c>
      <c r="E41" s="23" t="n">
        <v>2</v>
      </c>
      <c r="F41" s="28" t="s">
        <v>913</v>
      </c>
      <c r="G41" s="19" t="n">
        <v>0.0193</v>
      </c>
    </row>
    <row r="42" customFormat="false" ht="15" hidden="false" customHeight="false" outlineLevel="0" collapsed="false">
      <c r="A42" s="28" t="s">
        <v>172</v>
      </c>
      <c r="B42" s="28" t="s">
        <v>173</v>
      </c>
      <c r="C42" s="28" t="s">
        <v>174</v>
      </c>
      <c r="D42" s="23" t="n">
        <v>1</v>
      </c>
      <c r="E42" s="23" t="n">
        <v>2</v>
      </c>
      <c r="F42" s="28" t="s">
        <v>914</v>
      </c>
      <c r="G42" s="19" t="n">
        <v>0.0191</v>
      </c>
    </row>
    <row r="43" customFormat="false" ht="15" hidden="false" customHeight="false" outlineLevel="0" collapsed="false">
      <c r="A43" s="28" t="s">
        <v>172</v>
      </c>
      <c r="B43" s="28" t="s">
        <v>173</v>
      </c>
      <c r="C43" s="28" t="s">
        <v>174</v>
      </c>
      <c r="D43" s="23" t="n">
        <v>1</v>
      </c>
      <c r="E43" s="23" t="n">
        <v>2</v>
      </c>
      <c r="F43" s="28" t="s">
        <v>915</v>
      </c>
      <c r="G43" s="19" t="n">
        <v>0.0349</v>
      </c>
    </row>
    <row r="44" customFormat="false" ht="15" hidden="false" customHeight="false" outlineLevel="0" collapsed="false">
      <c r="A44" s="28" t="s">
        <v>172</v>
      </c>
      <c r="B44" s="28" t="s">
        <v>173</v>
      </c>
      <c r="C44" s="28" t="s">
        <v>174</v>
      </c>
      <c r="D44" s="23" t="n">
        <v>1</v>
      </c>
      <c r="E44" s="23" t="n">
        <v>3</v>
      </c>
      <c r="F44" s="28" t="s">
        <v>904</v>
      </c>
      <c r="G44" s="19" t="n">
        <v>0.0063</v>
      </c>
    </row>
    <row r="45" customFormat="false" ht="15" hidden="false" customHeight="false" outlineLevel="0" collapsed="false">
      <c r="A45" s="28" t="s">
        <v>172</v>
      </c>
      <c r="B45" s="28" t="s">
        <v>173</v>
      </c>
      <c r="C45" s="28" t="s">
        <v>174</v>
      </c>
      <c r="D45" s="23" t="n">
        <v>1</v>
      </c>
      <c r="E45" s="23" t="n">
        <v>3</v>
      </c>
      <c r="F45" s="28" t="s">
        <v>551</v>
      </c>
      <c r="G45" s="19" t="n">
        <v>0.0375</v>
      </c>
    </row>
    <row r="46" customFormat="false" ht="15" hidden="false" customHeight="false" outlineLevel="0" collapsed="false">
      <c r="A46" s="28" t="s">
        <v>172</v>
      </c>
      <c r="B46" s="28" t="s">
        <v>173</v>
      </c>
      <c r="C46" s="28" t="s">
        <v>174</v>
      </c>
      <c r="D46" s="23" t="n">
        <v>1</v>
      </c>
      <c r="E46" s="23" t="n">
        <v>3</v>
      </c>
      <c r="F46" s="28" t="s">
        <v>451</v>
      </c>
      <c r="G46" s="19" t="n">
        <v>0.0061</v>
      </c>
    </row>
    <row r="47" customFormat="false" ht="15" hidden="false" customHeight="false" outlineLevel="0" collapsed="false">
      <c r="A47" s="28" t="s">
        <v>172</v>
      </c>
      <c r="B47" s="28" t="s">
        <v>173</v>
      </c>
      <c r="C47" s="28" t="s">
        <v>174</v>
      </c>
      <c r="D47" s="23" t="n">
        <v>1</v>
      </c>
      <c r="E47" s="23" t="n">
        <v>3</v>
      </c>
      <c r="F47" s="28" t="s">
        <v>905</v>
      </c>
      <c r="G47" s="19" t="n">
        <v>0.0087</v>
      </c>
    </row>
    <row r="48" customFormat="false" ht="15" hidden="false" customHeight="false" outlineLevel="0" collapsed="false">
      <c r="A48" s="28" t="s">
        <v>172</v>
      </c>
      <c r="B48" s="28" t="s">
        <v>173</v>
      </c>
      <c r="C48" s="28" t="s">
        <v>174</v>
      </c>
      <c r="D48" s="23" t="n">
        <v>1</v>
      </c>
      <c r="E48" s="23" t="n">
        <v>3</v>
      </c>
      <c r="F48" s="28" t="s">
        <v>906</v>
      </c>
      <c r="G48" s="19" t="n">
        <v>0.0101</v>
      </c>
    </row>
    <row r="49" customFormat="false" ht="15" hidden="false" customHeight="false" outlineLevel="0" collapsed="false">
      <c r="A49" s="28" t="s">
        <v>172</v>
      </c>
      <c r="B49" s="28" t="s">
        <v>173</v>
      </c>
      <c r="C49" s="28" t="s">
        <v>174</v>
      </c>
      <c r="D49" s="23" t="n">
        <v>1</v>
      </c>
      <c r="E49" s="23" t="n">
        <v>3</v>
      </c>
      <c r="F49" s="28" t="s">
        <v>907</v>
      </c>
      <c r="G49" s="19" t="n">
        <v>0.0098</v>
      </c>
    </row>
    <row r="50" customFormat="false" ht="15" hidden="false" customHeight="false" outlineLevel="0" collapsed="false">
      <c r="A50" s="28" t="s">
        <v>172</v>
      </c>
      <c r="B50" s="28" t="s">
        <v>173</v>
      </c>
      <c r="C50" s="28" t="s">
        <v>174</v>
      </c>
      <c r="D50" s="23" t="n">
        <v>1</v>
      </c>
      <c r="E50" s="23" t="n">
        <v>3</v>
      </c>
      <c r="F50" s="28" t="s">
        <v>908</v>
      </c>
      <c r="G50" s="19" t="n">
        <v>0.0114</v>
      </c>
    </row>
    <row r="51" customFormat="false" ht="15" hidden="false" customHeight="false" outlineLevel="0" collapsed="false">
      <c r="A51" s="28" t="s">
        <v>172</v>
      </c>
      <c r="B51" s="28" t="s">
        <v>173</v>
      </c>
      <c r="C51" s="28" t="s">
        <v>174</v>
      </c>
      <c r="D51" s="23" t="n">
        <v>1</v>
      </c>
      <c r="E51" s="23" t="n">
        <v>3</v>
      </c>
      <c r="F51" s="28" t="s">
        <v>909</v>
      </c>
      <c r="G51" s="19" t="n">
        <v>0.0115</v>
      </c>
    </row>
    <row r="52" customFormat="false" ht="15" hidden="false" customHeight="false" outlineLevel="0" collapsed="false">
      <c r="A52" s="28" t="s">
        <v>172</v>
      </c>
      <c r="B52" s="28" t="s">
        <v>173</v>
      </c>
      <c r="C52" s="28" t="s">
        <v>174</v>
      </c>
      <c r="D52" s="23" t="n">
        <v>1</v>
      </c>
      <c r="E52" s="23" t="n">
        <v>3</v>
      </c>
      <c r="F52" s="28" t="s">
        <v>910</v>
      </c>
      <c r="G52" s="19" t="n">
        <v>0.0119</v>
      </c>
    </row>
    <row r="53" customFormat="false" ht="15" hidden="false" customHeight="false" outlineLevel="0" collapsed="false">
      <c r="A53" s="28" t="s">
        <v>172</v>
      </c>
      <c r="B53" s="28" t="s">
        <v>173</v>
      </c>
      <c r="C53" s="28" t="s">
        <v>174</v>
      </c>
      <c r="D53" s="23" t="n">
        <v>1</v>
      </c>
      <c r="E53" s="23" t="n">
        <v>3</v>
      </c>
      <c r="F53" s="28" t="s">
        <v>911</v>
      </c>
      <c r="G53" s="19" t="n">
        <v>0.013</v>
      </c>
    </row>
    <row r="54" customFormat="false" ht="15" hidden="false" customHeight="false" outlineLevel="0" collapsed="false">
      <c r="A54" s="28" t="s">
        <v>172</v>
      </c>
      <c r="B54" s="28" t="s">
        <v>173</v>
      </c>
      <c r="C54" s="28" t="s">
        <v>174</v>
      </c>
      <c r="D54" s="23" t="n">
        <v>1</v>
      </c>
      <c r="E54" s="23" t="n">
        <v>3</v>
      </c>
      <c r="F54" s="28" t="s">
        <v>912</v>
      </c>
      <c r="G54" s="19" t="n">
        <v>0.0144</v>
      </c>
    </row>
    <row r="55" customFormat="false" ht="15" hidden="false" customHeight="false" outlineLevel="0" collapsed="false">
      <c r="A55" s="28" t="s">
        <v>172</v>
      </c>
      <c r="B55" s="28" t="s">
        <v>173</v>
      </c>
      <c r="C55" s="28" t="s">
        <v>174</v>
      </c>
      <c r="D55" s="23" t="n">
        <v>1</v>
      </c>
      <c r="E55" s="23" t="n">
        <v>3</v>
      </c>
      <c r="F55" s="28" t="s">
        <v>913</v>
      </c>
      <c r="G55" s="19" t="n">
        <v>0.0193</v>
      </c>
    </row>
    <row r="56" customFormat="false" ht="15" hidden="false" customHeight="false" outlineLevel="0" collapsed="false">
      <c r="A56" s="28" t="s">
        <v>172</v>
      </c>
      <c r="B56" s="28" t="s">
        <v>173</v>
      </c>
      <c r="C56" s="28" t="s">
        <v>174</v>
      </c>
      <c r="D56" s="23" t="n">
        <v>1</v>
      </c>
      <c r="E56" s="23" t="n">
        <v>3</v>
      </c>
      <c r="F56" s="28" t="s">
        <v>914</v>
      </c>
      <c r="G56" s="19" t="n">
        <v>0.0191</v>
      </c>
    </row>
    <row r="57" customFormat="false" ht="15" hidden="false" customHeight="false" outlineLevel="0" collapsed="false">
      <c r="A57" s="28" t="s">
        <v>172</v>
      </c>
      <c r="B57" s="28" t="s">
        <v>173</v>
      </c>
      <c r="C57" s="28" t="s">
        <v>174</v>
      </c>
      <c r="D57" s="23" t="n">
        <v>1</v>
      </c>
      <c r="E57" s="23" t="n">
        <v>3</v>
      </c>
      <c r="F57" s="28" t="s">
        <v>915</v>
      </c>
      <c r="G57" s="19" t="n">
        <v>0.0349</v>
      </c>
    </row>
    <row r="58" customFormat="false" ht="15" hidden="false" customHeight="false" outlineLevel="0" collapsed="false">
      <c r="A58" s="28" t="s">
        <v>172</v>
      </c>
      <c r="B58" s="28" t="s">
        <v>173</v>
      </c>
      <c r="C58" s="28" t="s">
        <v>174</v>
      </c>
      <c r="D58" s="23" t="n">
        <v>1</v>
      </c>
      <c r="E58" s="23" t="n">
        <v>4</v>
      </c>
      <c r="F58" s="28" t="s">
        <v>904</v>
      </c>
      <c r="G58" s="19" t="n">
        <v>0.0063</v>
      </c>
    </row>
    <row r="59" customFormat="false" ht="15" hidden="false" customHeight="false" outlineLevel="0" collapsed="false">
      <c r="A59" s="28" t="s">
        <v>172</v>
      </c>
      <c r="B59" s="28" t="s">
        <v>173</v>
      </c>
      <c r="C59" s="28" t="s">
        <v>174</v>
      </c>
      <c r="D59" s="23" t="n">
        <v>1</v>
      </c>
      <c r="E59" s="23" t="n">
        <v>4</v>
      </c>
      <c r="F59" s="28" t="s">
        <v>551</v>
      </c>
      <c r="G59" s="19" t="n">
        <v>0.0375</v>
      </c>
    </row>
    <row r="60" customFormat="false" ht="15" hidden="false" customHeight="false" outlineLevel="0" collapsed="false">
      <c r="A60" s="28" t="s">
        <v>172</v>
      </c>
      <c r="B60" s="28" t="s">
        <v>173</v>
      </c>
      <c r="C60" s="28" t="s">
        <v>174</v>
      </c>
      <c r="D60" s="23" t="n">
        <v>1</v>
      </c>
      <c r="E60" s="23" t="n">
        <v>4</v>
      </c>
      <c r="F60" s="28" t="s">
        <v>451</v>
      </c>
      <c r="G60" s="19" t="n">
        <v>0.0061</v>
      </c>
    </row>
    <row r="61" customFormat="false" ht="15" hidden="false" customHeight="false" outlineLevel="0" collapsed="false">
      <c r="A61" s="28" t="s">
        <v>172</v>
      </c>
      <c r="B61" s="28" t="s">
        <v>173</v>
      </c>
      <c r="C61" s="28" t="s">
        <v>174</v>
      </c>
      <c r="D61" s="23" t="n">
        <v>1</v>
      </c>
      <c r="E61" s="23" t="n">
        <v>4</v>
      </c>
      <c r="F61" s="28" t="s">
        <v>905</v>
      </c>
      <c r="G61" s="19" t="n">
        <v>0.0087</v>
      </c>
    </row>
    <row r="62" customFormat="false" ht="15" hidden="false" customHeight="false" outlineLevel="0" collapsed="false">
      <c r="A62" s="28" t="s">
        <v>172</v>
      </c>
      <c r="B62" s="28" t="s">
        <v>173</v>
      </c>
      <c r="C62" s="28" t="s">
        <v>174</v>
      </c>
      <c r="D62" s="23" t="n">
        <v>1</v>
      </c>
      <c r="E62" s="23" t="n">
        <v>4</v>
      </c>
      <c r="F62" s="28" t="s">
        <v>906</v>
      </c>
      <c r="G62" s="19" t="n">
        <v>0.0101</v>
      </c>
    </row>
    <row r="63" customFormat="false" ht="15" hidden="false" customHeight="false" outlineLevel="0" collapsed="false">
      <c r="A63" s="28" t="s">
        <v>172</v>
      </c>
      <c r="B63" s="28" t="s">
        <v>173</v>
      </c>
      <c r="C63" s="28" t="s">
        <v>174</v>
      </c>
      <c r="D63" s="23" t="n">
        <v>1</v>
      </c>
      <c r="E63" s="23" t="n">
        <v>4</v>
      </c>
      <c r="F63" s="28" t="s">
        <v>907</v>
      </c>
      <c r="G63" s="19" t="n">
        <v>0.0098</v>
      </c>
    </row>
    <row r="64" customFormat="false" ht="15" hidden="false" customHeight="false" outlineLevel="0" collapsed="false">
      <c r="A64" s="28" t="s">
        <v>172</v>
      </c>
      <c r="B64" s="28" t="s">
        <v>173</v>
      </c>
      <c r="C64" s="28" t="s">
        <v>174</v>
      </c>
      <c r="D64" s="23" t="n">
        <v>1</v>
      </c>
      <c r="E64" s="23" t="n">
        <v>4</v>
      </c>
      <c r="F64" s="28" t="s">
        <v>908</v>
      </c>
      <c r="G64" s="19" t="n">
        <v>0.0114</v>
      </c>
    </row>
    <row r="65" customFormat="false" ht="15" hidden="false" customHeight="false" outlineLevel="0" collapsed="false">
      <c r="A65" s="28" t="s">
        <v>172</v>
      </c>
      <c r="B65" s="28" t="s">
        <v>173</v>
      </c>
      <c r="C65" s="28" t="s">
        <v>174</v>
      </c>
      <c r="D65" s="23" t="n">
        <v>1</v>
      </c>
      <c r="E65" s="23" t="n">
        <v>4</v>
      </c>
      <c r="F65" s="28" t="s">
        <v>909</v>
      </c>
      <c r="G65" s="19" t="n">
        <v>0.0115</v>
      </c>
    </row>
    <row r="66" customFormat="false" ht="15" hidden="false" customHeight="false" outlineLevel="0" collapsed="false">
      <c r="A66" s="28" t="s">
        <v>172</v>
      </c>
      <c r="B66" s="28" t="s">
        <v>173</v>
      </c>
      <c r="C66" s="28" t="s">
        <v>174</v>
      </c>
      <c r="D66" s="23" t="n">
        <v>1</v>
      </c>
      <c r="E66" s="23" t="n">
        <v>4</v>
      </c>
      <c r="F66" s="28" t="s">
        <v>910</v>
      </c>
      <c r="G66" s="19" t="n">
        <v>0.0119</v>
      </c>
    </row>
    <row r="67" customFormat="false" ht="15" hidden="false" customHeight="false" outlineLevel="0" collapsed="false">
      <c r="A67" s="28" t="s">
        <v>172</v>
      </c>
      <c r="B67" s="28" t="s">
        <v>173</v>
      </c>
      <c r="C67" s="28" t="s">
        <v>174</v>
      </c>
      <c r="D67" s="23" t="n">
        <v>1</v>
      </c>
      <c r="E67" s="23" t="n">
        <v>4</v>
      </c>
      <c r="F67" s="28" t="s">
        <v>911</v>
      </c>
      <c r="G67" s="19" t="n">
        <v>0.013</v>
      </c>
    </row>
    <row r="68" customFormat="false" ht="15" hidden="false" customHeight="false" outlineLevel="0" collapsed="false">
      <c r="A68" s="28" t="s">
        <v>172</v>
      </c>
      <c r="B68" s="28" t="s">
        <v>173</v>
      </c>
      <c r="C68" s="28" t="s">
        <v>174</v>
      </c>
      <c r="D68" s="23" t="n">
        <v>1</v>
      </c>
      <c r="E68" s="23" t="n">
        <v>4</v>
      </c>
      <c r="F68" s="28" t="s">
        <v>912</v>
      </c>
      <c r="G68" s="19" t="n">
        <v>0.0144</v>
      </c>
    </row>
    <row r="69" customFormat="false" ht="15" hidden="false" customHeight="false" outlineLevel="0" collapsed="false">
      <c r="A69" s="28" t="s">
        <v>172</v>
      </c>
      <c r="B69" s="28" t="s">
        <v>173</v>
      </c>
      <c r="C69" s="28" t="s">
        <v>174</v>
      </c>
      <c r="D69" s="23" t="n">
        <v>1</v>
      </c>
      <c r="E69" s="23" t="n">
        <v>4</v>
      </c>
      <c r="F69" s="28" t="s">
        <v>913</v>
      </c>
      <c r="G69" s="19" t="n">
        <v>0.0193</v>
      </c>
    </row>
    <row r="70" customFormat="false" ht="15" hidden="false" customHeight="false" outlineLevel="0" collapsed="false">
      <c r="A70" s="28" t="s">
        <v>172</v>
      </c>
      <c r="B70" s="28" t="s">
        <v>173</v>
      </c>
      <c r="C70" s="28" t="s">
        <v>174</v>
      </c>
      <c r="D70" s="23" t="n">
        <v>1</v>
      </c>
      <c r="E70" s="23" t="n">
        <v>4</v>
      </c>
      <c r="F70" s="28" t="s">
        <v>914</v>
      </c>
      <c r="G70" s="19" t="n">
        <v>0.0191</v>
      </c>
    </row>
    <row r="71" customFormat="false" ht="15" hidden="false" customHeight="false" outlineLevel="0" collapsed="false">
      <c r="A71" s="28" t="s">
        <v>172</v>
      </c>
      <c r="B71" s="28" t="s">
        <v>173</v>
      </c>
      <c r="C71" s="28" t="s">
        <v>174</v>
      </c>
      <c r="D71" s="23" t="n">
        <v>1</v>
      </c>
      <c r="E71" s="23" t="n">
        <v>4</v>
      </c>
      <c r="F71" s="28" t="s">
        <v>915</v>
      </c>
      <c r="G71" s="19" t="n">
        <v>0.0349</v>
      </c>
    </row>
    <row r="72" customFormat="false" ht="15" hidden="false" customHeight="false" outlineLevel="0" collapsed="false">
      <c r="A72" s="28" t="s">
        <v>172</v>
      </c>
      <c r="B72" s="28" t="s">
        <v>173</v>
      </c>
      <c r="C72" s="28" t="s">
        <v>174</v>
      </c>
      <c r="D72" s="23" t="n">
        <v>1</v>
      </c>
      <c r="E72" s="23" t="n">
        <v>5</v>
      </c>
      <c r="F72" s="28" t="s">
        <v>904</v>
      </c>
      <c r="G72" s="19" t="n">
        <v>0.0063</v>
      </c>
    </row>
    <row r="73" customFormat="false" ht="15" hidden="false" customHeight="false" outlineLevel="0" collapsed="false">
      <c r="A73" s="28" t="s">
        <v>172</v>
      </c>
      <c r="B73" s="28" t="s">
        <v>173</v>
      </c>
      <c r="C73" s="28" t="s">
        <v>174</v>
      </c>
      <c r="D73" s="23" t="n">
        <v>1</v>
      </c>
      <c r="E73" s="23" t="n">
        <v>5</v>
      </c>
      <c r="F73" s="28" t="s">
        <v>551</v>
      </c>
      <c r="G73" s="19" t="n">
        <v>0.0375</v>
      </c>
    </row>
    <row r="74" customFormat="false" ht="15" hidden="false" customHeight="false" outlineLevel="0" collapsed="false">
      <c r="A74" s="28" t="s">
        <v>172</v>
      </c>
      <c r="B74" s="28" t="s">
        <v>173</v>
      </c>
      <c r="C74" s="28" t="s">
        <v>174</v>
      </c>
      <c r="D74" s="23" t="n">
        <v>1</v>
      </c>
      <c r="E74" s="23" t="n">
        <v>5</v>
      </c>
      <c r="F74" s="28" t="s">
        <v>451</v>
      </c>
      <c r="G74" s="19" t="n">
        <v>0.0061</v>
      </c>
    </row>
    <row r="75" customFormat="false" ht="15" hidden="false" customHeight="false" outlineLevel="0" collapsed="false">
      <c r="A75" s="28" t="s">
        <v>172</v>
      </c>
      <c r="B75" s="28" t="s">
        <v>173</v>
      </c>
      <c r="C75" s="28" t="s">
        <v>174</v>
      </c>
      <c r="D75" s="23" t="n">
        <v>1</v>
      </c>
      <c r="E75" s="23" t="n">
        <v>5</v>
      </c>
      <c r="F75" s="28" t="s">
        <v>905</v>
      </c>
      <c r="G75" s="19" t="n">
        <v>0.0087</v>
      </c>
    </row>
    <row r="76" customFormat="false" ht="15" hidden="false" customHeight="false" outlineLevel="0" collapsed="false">
      <c r="A76" s="28" t="s">
        <v>172</v>
      </c>
      <c r="B76" s="28" t="s">
        <v>173</v>
      </c>
      <c r="C76" s="28" t="s">
        <v>174</v>
      </c>
      <c r="D76" s="23" t="n">
        <v>1</v>
      </c>
      <c r="E76" s="23" t="n">
        <v>5</v>
      </c>
      <c r="F76" s="28" t="s">
        <v>906</v>
      </c>
      <c r="G76" s="19" t="n">
        <v>0.0101</v>
      </c>
    </row>
    <row r="77" customFormat="false" ht="15" hidden="false" customHeight="false" outlineLevel="0" collapsed="false">
      <c r="A77" s="28" t="s">
        <v>172</v>
      </c>
      <c r="B77" s="28" t="s">
        <v>173</v>
      </c>
      <c r="C77" s="28" t="s">
        <v>174</v>
      </c>
      <c r="D77" s="23" t="n">
        <v>1</v>
      </c>
      <c r="E77" s="23" t="n">
        <v>5</v>
      </c>
      <c r="F77" s="28" t="s">
        <v>907</v>
      </c>
      <c r="G77" s="19" t="n">
        <v>0.0098</v>
      </c>
    </row>
    <row r="78" customFormat="false" ht="15" hidden="false" customHeight="false" outlineLevel="0" collapsed="false">
      <c r="A78" s="28" t="s">
        <v>172</v>
      </c>
      <c r="B78" s="28" t="s">
        <v>173</v>
      </c>
      <c r="C78" s="28" t="s">
        <v>174</v>
      </c>
      <c r="D78" s="23" t="n">
        <v>1</v>
      </c>
      <c r="E78" s="23" t="n">
        <v>5</v>
      </c>
      <c r="F78" s="28" t="s">
        <v>908</v>
      </c>
      <c r="G78" s="19" t="n">
        <v>0.0114</v>
      </c>
    </row>
    <row r="79" customFormat="false" ht="15" hidden="false" customHeight="false" outlineLevel="0" collapsed="false">
      <c r="A79" s="28" t="s">
        <v>172</v>
      </c>
      <c r="B79" s="28" t="s">
        <v>173</v>
      </c>
      <c r="C79" s="28" t="s">
        <v>174</v>
      </c>
      <c r="D79" s="23" t="n">
        <v>1</v>
      </c>
      <c r="E79" s="23" t="n">
        <v>5</v>
      </c>
      <c r="F79" s="28" t="s">
        <v>909</v>
      </c>
      <c r="G79" s="19" t="n">
        <v>0.0115</v>
      </c>
    </row>
    <row r="80" customFormat="false" ht="15" hidden="false" customHeight="false" outlineLevel="0" collapsed="false">
      <c r="A80" s="28" t="s">
        <v>172</v>
      </c>
      <c r="B80" s="28" t="s">
        <v>173</v>
      </c>
      <c r="C80" s="28" t="s">
        <v>174</v>
      </c>
      <c r="D80" s="23" t="n">
        <v>1</v>
      </c>
      <c r="E80" s="23" t="n">
        <v>5</v>
      </c>
      <c r="F80" s="28" t="s">
        <v>910</v>
      </c>
      <c r="G80" s="19" t="n">
        <v>0.0119</v>
      </c>
    </row>
    <row r="81" customFormat="false" ht="15" hidden="false" customHeight="false" outlineLevel="0" collapsed="false">
      <c r="A81" s="28" t="s">
        <v>172</v>
      </c>
      <c r="B81" s="28" t="s">
        <v>173</v>
      </c>
      <c r="C81" s="28" t="s">
        <v>174</v>
      </c>
      <c r="D81" s="23" t="n">
        <v>1</v>
      </c>
      <c r="E81" s="23" t="n">
        <v>5</v>
      </c>
      <c r="F81" s="28" t="s">
        <v>911</v>
      </c>
      <c r="G81" s="19" t="n">
        <v>0.013</v>
      </c>
    </row>
    <row r="82" customFormat="false" ht="15" hidden="false" customHeight="false" outlineLevel="0" collapsed="false">
      <c r="A82" s="28" t="s">
        <v>172</v>
      </c>
      <c r="B82" s="28" t="s">
        <v>173</v>
      </c>
      <c r="C82" s="28" t="s">
        <v>174</v>
      </c>
      <c r="D82" s="23" t="n">
        <v>1</v>
      </c>
      <c r="E82" s="23" t="n">
        <v>5</v>
      </c>
      <c r="F82" s="28" t="s">
        <v>912</v>
      </c>
      <c r="G82" s="19" t="n">
        <v>0.0144</v>
      </c>
    </row>
    <row r="83" customFormat="false" ht="15" hidden="false" customHeight="false" outlineLevel="0" collapsed="false">
      <c r="A83" s="28" t="s">
        <v>172</v>
      </c>
      <c r="B83" s="28" t="s">
        <v>173</v>
      </c>
      <c r="C83" s="28" t="s">
        <v>174</v>
      </c>
      <c r="D83" s="23" t="n">
        <v>1</v>
      </c>
      <c r="E83" s="23" t="n">
        <v>5</v>
      </c>
      <c r="F83" s="28" t="s">
        <v>913</v>
      </c>
      <c r="G83" s="19" t="n">
        <v>0.0193</v>
      </c>
    </row>
    <row r="84" customFormat="false" ht="15" hidden="false" customHeight="false" outlineLevel="0" collapsed="false">
      <c r="A84" s="28" t="s">
        <v>172</v>
      </c>
      <c r="B84" s="28" t="s">
        <v>173</v>
      </c>
      <c r="C84" s="28" t="s">
        <v>174</v>
      </c>
      <c r="D84" s="23" t="n">
        <v>1</v>
      </c>
      <c r="E84" s="23" t="n">
        <v>5</v>
      </c>
      <c r="F84" s="28" t="s">
        <v>914</v>
      </c>
      <c r="G84" s="19" t="n">
        <v>0.0191</v>
      </c>
    </row>
    <row r="85" customFormat="false" ht="15" hidden="false" customHeight="false" outlineLevel="0" collapsed="false">
      <c r="A85" s="28" t="s">
        <v>172</v>
      </c>
      <c r="B85" s="28" t="s">
        <v>173</v>
      </c>
      <c r="C85" s="28" t="s">
        <v>174</v>
      </c>
      <c r="D85" s="23" t="n">
        <v>1</v>
      </c>
      <c r="E85" s="23" t="n">
        <v>5</v>
      </c>
      <c r="F85" s="28" t="s">
        <v>915</v>
      </c>
      <c r="G85" s="19" t="n">
        <v>0.0349</v>
      </c>
    </row>
    <row r="86" customFormat="false" ht="15" hidden="false" customHeight="false" outlineLevel="0" collapsed="false">
      <c r="A86" s="28" t="s">
        <v>172</v>
      </c>
      <c r="B86" s="28" t="s">
        <v>173</v>
      </c>
      <c r="C86" s="28" t="s">
        <v>174</v>
      </c>
      <c r="D86" s="23" t="n">
        <v>1</v>
      </c>
      <c r="E86" s="23" t="n">
        <v>6</v>
      </c>
      <c r="F86" s="28" t="s">
        <v>904</v>
      </c>
      <c r="G86" s="19" t="n">
        <v>0.0063</v>
      </c>
    </row>
    <row r="87" customFormat="false" ht="15" hidden="false" customHeight="false" outlineLevel="0" collapsed="false">
      <c r="A87" s="28" t="s">
        <v>172</v>
      </c>
      <c r="B87" s="28" t="s">
        <v>173</v>
      </c>
      <c r="C87" s="28" t="s">
        <v>174</v>
      </c>
      <c r="D87" s="23" t="n">
        <v>1</v>
      </c>
      <c r="E87" s="23" t="n">
        <v>6</v>
      </c>
      <c r="F87" s="28" t="s">
        <v>551</v>
      </c>
      <c r="G87" s="19" t="n">
        <v>0.0375</v>
      </c>
    </row>
    <row r="88" customFormat="false" ht="15" hidden="false" customHeight="false" outlineLevel="0" collapsed="false">
      <c r="A88" s="28" t="s">
        <v>172</v>
      </c>
      <c r="B88" s="28" t="s">
        <v>173</v>
      </c>
      <c r="C88" s="28" t="s">
        <v>174</v>
      </c>
      <c r="D88" s="23" t="n">
        <v>1</v>
      </c>
      <c r="E88" s="23" t="n">
        <v>6</v>
      </c>
      <c r="F88" s="28" t="s">
        <v>451</v>
      </c>
      <c r="G88" s="19" t="n">
        <v>0.0061</v>
      </c>
    </row>
    <row r="89" customFormat="false" ht="15" hidden="false" customHeight="false" outlineLevel="0" collapsed="false">
      <c r="A89" s="28" t="s">
        <v>172</v>
      </c>
      <c r="B89" s="28" t="s">
        <v>173</v>
      </c>
      <c r="C89" s="28" t="s">
        <v>174</v>
      </c>
      <c r="D89" s="23" t="n">
        <v>1</v>
      </c>
      <c r="E89" s="23" t="n">
        <v>6</v>
      </c>
      <c r="F89" s="28" t="s">
        <v>905</v>
      </c>
      <c r="G89" s="19" t="n">
        <v>0.0087</v>
      </c>
    </row>
    <row r="90" customFormat="false" ht="15" hidden="false" customHeight="false" outlineLevel="0" collapsed="false">
      <c r="A90" s="28" t="s">
        <v>172</v>
      </c>
      <c r="B90" s="28" t="s">
        <v>173</v>
      </c>
      <c r="C90" s="28" t="s">
        <v>174</v>
      </c>
      <c r="D90" s="23" t="n">
        <v>1</v>
      </c>
      <c r="E90" s="23" t="n">
        <v>6</v>
      </c>
      <c r="F90" s="28" t="s">
        <v>906</v>
      </c>
      <c r="G90" s="19" t="n">
        <v>0.0101</v>
      </c>
    </row>
    <row r="91" customFormat="false" ht="15" hidden="false" customHeight="false" outlineLevel="0" collapsed="false">
      <c r="A91" s="28" t="s">
        <v>172</v>
      </c>
      <c r="B91" s="28" t="s">
        <v>173</v>
      </c>
      <c r="C91" s="28" t="s">
        <v>174</v>
      </c>
      <c r="D91" s="23" t="n">
        <v>1</v>
      </c>
      <c r="E91" s="23" t="n">
        <v>6</v>
      </c>
      <c r="F91" s="28" t="s">
        <v>907</v>
      </c>
      <c r="G91" s="19" t="n">
        <v>0.0098</v>
      </c>
    </row>
    <row r="92" customFormat="false" ht="15" hidden="false" customHeight="false" outlineLevel="0" collapsed="false">
      <c r="A92" s="28" t="s">
        <v>172</v>
      </c>
      <c r="B92" s="28" t="s">
        <v>173</v>
      </c>
      <c r="C92" s="28" t="s">
        <v>174</v>
      </c>
      <c r="D92" s="23" t="n">
        <v>1</v>
      </c>
      <c r="E92" s="23" t="n">
        <v>6</v>
      </c>
      <c r="F92" s="28" t="s">
        <v>908</v>
      </c>
      <c r="G92" s="19" t="n">
        <v>0.0114</v>
      </c>
    </row>
    <row r="93" customFormat="false" ht="15" hidden="false" customHeight="false" outlineLevel="0" collapsed="false">
      <c r="A93" s="28" t="s">
        <v>172</v>
      </c>
      <c r="B93" s="28" t="s">
        <v>173</v>
      </c>
      <c r="C93" s="28" t="s">
        <v>174</v>
      </c>
      <c r="D93" s="23" t="n">
        <v>1</v>
      </c>
      <c r="E93" s="23" t="n">
        <v>6</v>
      </c>
      <c r="F93" s="28" t="s">
        <v>909</v>
      </c>
      <c r="G93" s="19" t="n">
        <v>0.0115</v>
      </c>
    </row>
    <row r="94" customFormat="false" ht="15" hidden="false" customHeight="false" outlineLevel="0" collapsed="false">
      <c r="A94" s="28" t="s">
        <v>172</v>
      </c>
      <c r="B94" s="28" t="s">
        <v>173</v>
      </c>
      <c r="C94" s="28" t="s">
        <v>174</v>
      </c>
      <c r="D94" s="23" t="n">
        <v>1</v>
      </c>
      <c r="E94" s="23" t="n">
        <v>6</v>
      </c>
      <c r="F94" s="28" t="s">
        <v>910</v>
      </c>
      <c r="G94" s="19" t="n">
        <v>0.0119</v>
      </c>
    </row>
    <row r="95" customFormat="false" ht="15" hidden="false" customHeight="false" outlineLevel="0" collapsed="false">
      <c r="A95" s="28" t="s">
        <v>172</v>
      </c>
      <c r="B95" s="28" t="s">
        <v>173</v>
      </c>
      <c r="C95" s="28" t="s">
        <v>174</v>
      </c>
      <c r="D95" s="23" t="n">
        <v>1</v>
      </c>
      <c r="E95" s="23" t="n">
        <v>6</v>
      </c>
      <c r="F95" s="28" t="s">
        <v>911</v>
      </c>
      <c r="G95" s="19" t="n">
        <v>0.013</v>
      </c>
    </row>
    <row r="96" customFormat="false" ht="15" hidden="false" customHeight="false" outlineLevel="0" collapsed="false">
      <c r="A96" s="28" t="s">
        <v>172</v>
      </c>
      <c r="B96" s="28" t="s">
        <v>173</v>
      </c>
      <c r="C96" s="28" t="s">
        <v>174</v>
      </c>
      <c r="D96" s="23" t="n">
        <v>1</v>
      </c>
      <c r="E96" s="23" t="n">
        <v>6</v>
      </c>
      <c r="F96" s="28" t="s">
        <v>912</v>
      </c>
      <c r="G96" s="19" t="n">
        <v>0.0144</v>
      </c>
    </row>
    <row r="97" customFormat="false" ht="15" hidden="false" customHeight="false" outlineLevel="0" collapsed="false">
      <c r="A97" s="28" t="s">
        <v>172</v>
      </c>
      <c r="B97" s="28" t="s">
        <v>173</v>
      </c>
      <c r="C97" s="28" t="s">
        <v>174</v>
      </c>
      <c r="D97" s="23" t="n">
        <v>1</v>
      </c>
      <c r="E97" s="23" t="n">
        <v>6</v>
      </c>
      <c r="F97" s="28" t="s">
        <v>913</v>
      </c>
      <c r="G97" s="19" t="n">
        <v>0.0193</v>
      </c>
    </row>
    <row r="98" customFormat="false" ht="15" hidden="false" customHeight="false" outlineLevel="0" collapsed="false">
      <c r="A98" s="28" t="s">
        <v>172</v>
      </c>
      <c r="B98" s="28" t="s">
        <v>173</v>
      </c>
      <c r="C98" s="28" t="s">
        <v>174</v>
      </c>
      <c r="D98" s="23" t="n">
        <v>1</v>
      </c>
      <c r="E98" s="23" t="n">
        <v>6</v>
      </c>
      <c r="F98" s="28" t="s">
        <v>914</v>
      </c>
      <c r="G98" s="19" t="n">
        <v>0.0191</v>
      </c>
    </row>
    <row r="99" customFormat="false" ht="15" hidden="false" customHeight="false" outlineLevel="0" collapsed="false">
      <c r="A99" s="28" t="s">
        <v>172</v>
      </c>
      <c r="B99" s="28" t="s">
        <v>173</v>
      </c>
      <c r="C99" s="28" t="s">
        <v>174</v>
      </c>
      <c r="D99" s="23" t="n">
        <v>1</v>
      </c>
      <c r="E99" s="23" t="n">
        <v>6</v>
      </c>
      <c r="F99" s="28" t="s">
        <v>915</v>
      </c>
      <c r="G99" s="19" t="n">
        <v>0.0349</v>
      </c>
    </row>
    <row r="100" customFormat="false" ht="15" hidden="false" customHeight="false" outlineLevel="0" collapsed="false">
      <c r="A100" s="28" t="s">
        <v>172</v>
      </c>
      <c r="B100" s="28" t="s">
        <v>173</v>
      </c>
      <c r="C100" s="28" t="s">
        <v>174</v>
      </c>
      <c r="D100" s="23" t="n">
        <v>1</v>
      </c>
      <c r="E100" s="23" t="n">
        <v>7</v>
      </c>
      <c r="F100" s="28" t="s">
        <v>904</v>
      </c>
      <c r="G100" s="19" t="n">
        <v>0.0063</v>
      </c>
    </row>
    <row r="101" customFormat="false" ht="15" hidden="false" customHeight="false" outlineLevel="0" collapsed="false">
      <c r="A101" s="28" t="s">
        <v>172</v>
      </c>
      <c r="B101" s="28" t="s">
        <v>173</v>
      </c>
      <c r="C101" s="28" t="s">
        <v>174</v>
      </c>
      <c r="D101" s="23" t="n">
        <v>1</v>
      </c>
      <c r="E101" s="23" t="n">
        <v>7</v>
      </c>
      <c r="F101" s="28" t="s">
        <v>551</v>
      </c>
      <c r="G101" s="19" t="n">
        <v>0.0375</v>
      </c>
    </row>
    <row r="102" customFormat="false" ht="15" hidden="false" customHeight="false" outlineLevel="0" collapsed="false">
      <c r="A102" s="28" t="s">
        <v>172</v>
      </c>
      <c r="B102" s="28" t="s">
        <v>173</v>
      </c>
      <c r="C102" s="28" t="s">
        <v>174</v>
      </c>
      <c r="D102" s="23" t="n">
        <v>1</v>
      </c>
      <c r="E102" s="23" t="n">
        <v>7</v>
      </c>
      <c r="F102" s="28" t="s">
        <v>451</v>
      </c>
      <c r="G102" s="19" t="n">
        <v>0.0061</v>
      </c>
    </row>
    <row r="103" customFormat="false" ht="15" hidden="false" customHeight="false" outlineLevel="0" collapsed="false">
      <c r="A103" s="28" t="s">
        <v>172</v>
      </c>
      <c r="B103" s="28" t="s">
        <v>173</v>
      </c>
      <c r="C103" s="28" t="s">
        <v>174</v>
      </c>
      <c r="D103" s="23" t="n">
        <v>1</v>
      </c>
      <c r="E103" s="23" t="n">
        <v>7</v>
      </c>
      <c r="F103" s="28" t="s">
        <v>905</v>
      </c>
      <c r="G103" s="19" t="n">
        <v>0.0087</v>
      </c>
    </row>
    <row r="104" customFormat="false" ht="15" hidden="false" customHeight="false" outlineLevel="0" collapsed="false">
      <c r="A104" s="28" t="s">
        <v>172</v>
      </c>
      <c r="B104" s="28" t="s">
        <v>173</v>
      </c>
      <c r="C104" s="28" t="s">
        <v>174</v>
      </c>
      <c r="D104" s="23" t="n">
        <v>1</v>
      </c>
      <c r="E104" s="23" t="n">
        <v>7</v>
      </c>
      <c r="F104" s="28" t="s">
        <v>906</v>
      </c>
      <c r="G104" s="19" t="n">
        <v>0.0101</v>
      </c>
    </row>
    <row r="105" customFormat="false" ht="15" hidden="false" customHeight="false" outlineLevel="0" collapsed="false">
      <c r="A105" s="28" t="s">
        <v>172</v>
      </c>
      <c r="B105" s="28" t="s">
        <v>173</v>
      </c>
      <c r="C105" s="28" t="s">
        <v>174</v>
      </c>
      <c r="D105" s="23" t="n">
        <v>1</v>
      </c>
      <c r="E105" s="23" t="n">
        <v>7</v>
      </c>
      <c r="F105" s="28" t="s">
        <v>907</v>
      </c>
      <c r="G105" s="19" t="n">
        <v>0.0098</v>
      </c>
    </row>
    <row r="106" customFormat="false" ht="15" hidden="false" customHeight="false" outlineLevel="0" collapsed="false">
      <c r="A106" s="28" t="s">
        <v>172</v>
      </c>
      <c r="B106" s="28" t="s">
        <v>173</v>
      </c>
      <c r="C106" s="28" t="s">
        <v>174</v>
      </c>
      <c r="D106" s="23" t="n">
        <v>1</v>
      </c>
      <c r="E106" s="23" t="n">
        <v>7</v>
      </c>
      <c r="F106" s="28" t="s">
        <v>908</v>
      </c>
      <c r="G106" s="19" t="n">
        <v>0.0114</v>
      </c>
    </row>
    <row r="107" customFormat="false" ht="15" hidden="false" customHeight="false" outlineLevel="0" collapsed="false">
      <c r="A107" s="28" t="s">
        <v>172</v>
      </c>
      <c r="B107" s="28" t="s">
        <v>173</v>
      </c>
      <c r="C107" s="28" t="s">
        <v>174</v>
      </c>
      <c r="D107" s="23" t="n">
        <v>1</v>
      </c>
      <c r="E107" s="23" t="n">
        <v>7</v>
      </c>
      <c r="F107" s="28" t="s">
        <v>909</v>
      </c>
      <c r="G107" s="19" t="n">
        <v>0.0115</v>
      </c>
    </row>
    <row r="108" customFormat="false" ht="15" hidden="false" customHeight="false" outlineLevel="0" collapsed="false">
      <c r="A108" s="28" t="s">
        <v>172</v>
      </c>
      <c r="B108" s="28" t="s">
        <v>173</v>
      </c>
      <c r="C108" s="28" t="s">
        <v>174</v>
      </c>
      <c r="D108" s="23" t="n">
        <v>1</v>
      </c>
      <c r="E108" s="23" t="n">
        <v>7</v>
      </c>
      <c r="F108" s="28" t="s">
        <v>910</v>
      </c>
      <c r="G108" s="19" t="n">
        <v>0.0119</v>
      </c>
    </row>
    <row r="109" customFormat="false" ht="15" hidden="false" customHeight="false" outlineLevel="0" collapsed="false">
      <c r="A109" s="28" t="s">
        <v>172</v>
      </c>
      <c r="B109" s="28" t="s">
        <v>173</v>
      </c>
      <c r="C109" s="28" t="s">
        <v>174</v>
      </c>
      <c r="D109" s="23" t="n">
        <v>1</v>
      </c>
      <c r="E109" s="23" t="n">
        <v>7</v>
      </c>
      <c r="F109" s="28" t="s">
        <v>911</v>
      </c>
      <c r="G109" s="19" t="n">
        <v>0.013</v>
      </c>
    </row>
    <row r="110" customFormat="false" ht="15" hidden="false" customHeight="false" outlineLevel="0" collapsed="false">
      <c r="A110" s="28" t="s">
        <v>172</v>
      </c>
      <c r="B110" s="28" t="s">
        <v>173</v>
      </c>
      <c r="C110" s="28" t="s">
        <v>174</v>
      </c>
      <c r="D110" s="23" t="n">
        <v>1</v>
      </c>
      <c r="E110" s="23" t="n">
        <v>7</v>
      </c>
      <c r="F110" s="28" t="s">
        <v>912</v>
      </c>
      <c r="G110" s="19" t="n">
        <v>0.0144</v>
      </c>
    </row>
    <row r="111" customFormat="false" ht="15" hidden="false" customHeight="false" outlineLevel="0" collapsed="false">
      <c r="A111" s="28" t="s">
        <v>172</v>
      </c>
      <c r="B111" s="28" t="s">
        <v>173</v>
      </c>
      <c r="C111" s="28" t="s">
        <v>174</v>
      </c>
      <c r="D111" s="23" t="n">
        <v>1</v>
      </c>
      <c r="E111" s="23" t="n">
        <v>7</v>
      </c>
      <c r="F111" s="28" t="s">
        <v>913</v>
      </c>
      <c r="G111" s="19" t="n">
        <v>0.0193</v>
      </c>
    </row>
    <row r="112" customFormat="false" ht="15" hidden="false" customHeight="false" outlineLevel="0" collapsed="false">
      <c r="A112" s="28" t="s">
        <v>172</v>
      </c>
      <c r="B112" s="28" t="s">
        <v>173</v>
      </c>
      <c r="C112" s="28" t="s">
        <v>174</v>
      </c>
      <c r="D112" s="23" t="n">
        <v>1</v>
      </c>
      <c r="E112" s="23" t="n">
        <v>7</v>
      </c>
      <c r="F112" s="28" t="s">
        <v>914</v>
      </c>
      <c r="G112" s="19" t="n">
        <v>0.0191</v>
      </c>
    </row>
    <row r="113" customFormat="false" ht="15" hidden="false" customHeight="false" outlineLevel="0" collapsed="false">
      <c r="A113" s="28" t="s">
        <v>172</v>
      </c>
      <c r="B113" s="28" t="s">
        <v>173</v>
      </c>
      <c r="C113" s="28" t="s">
        <v>174</v>
      </c>
      <c r="D113" s="23" t="n">
        <v>1</v>
      </c>
      <c r="E113" s="23" t="n">
        <v>7</v>
      </c>
      <c r="F113" s="28" t="s">
        <v>915</v>
      </c>
      <c r="G113" s="19" t="n">
        <v>0.0349</v>
      </c>
    </row>
    <row r="114" customFormat="false" ht="15" hidden="false" customHeight="false" outlineLevel="0" collapsed="false">
      <c r="A114" s="28" t="s">
        <v>172</v>
      </c>
      <c r="B114" s="28" t="s">
        <v>173</v>
      </c>
      <c r="C114" s="28" t="s">
        <v>174</v>
      </c>
      <c r="D114" s="23" t="n">
        <v>1</v>
      </c>
      <c r="E114" s="23" t="n">
        <v>8</v>
      </c>
      <c r="F114" s="28" t="s">
        <v>904</v>
      </c>
      <c r="G114" s="19" t="n">
        <v>0.0063</v>
      </c>
    </row>
    <row r="115" customFormat="false" ht="15" hidden="false" customHeight="false" outlineLevel="0" collapsed="false">
      <c r="A115" s="28" t="s">
        <v>172</v>
      </c>
      <c r="B115" s="28" t="s">
        <v>173</v>
      </c>
      <c r="C115" s="28" t="s">
        <v>174</v>
      </c>
      <c r="D115" s="23" t="n">
        <v>1</v>
      </c>
      <c r="E115" s="23" t="n">
        <v>8</v>
      </c>
      <c r="F115" s="28" t="s">
        <v>551</v>
      </c>
      <c r="G115" s="19" t="n">
        <v>0.0375</v>
      </c>
    </row>
    <row r="116" customFormat="false" ht="15" hidden="false" customHeight="false" outlineLevel="0" collapsed="false">
      <c r="A116" s="28" t="s">
        <v>172</v>
      </c>
      <c r="B116" s="28" t="s">
        <v>173</v>
      </c>
      <c r="C116" s="28" t="s">
        <v>174</v>
      </c>
      <c r="D116" s="23" t="n">
        <v>1</v>
      </c>
      <c r="E116" s="23" t="n">
        <v>8</v>
      </c>
      <c r="F116" s="28" t="s">
        <v>451</v>
      </c>
      <c r="G116" s="19" t="n">
        <v>0.0061</v>
      </c>
    </row>
    <row r="117" customFormat="false" ht="15" hidden="false" customHeight="false" outlineLevel="0" collapsed="false">
      <c r="A117" s="28" t="s">
        <v>172</v>
      </c>
      <c r="B117" s="28" t="s">
        <v>173</v>
      </c>
      <c r="C117" s="28" t="s">
        <v>174</v>
      </c>
      <c r="D117" s="23" t="n">
        <v>1</v>
      </c>
      <c r="E117" s="23" t="n">
        <v>8</v>
      </c>
      <c r="F117" s="28" t="s">
        <v>905</v>
      </c>
      <c r="G117" s="19" t="n">
        <v>0.0087</v>
      </c>
    </row>
    <row r="118" customFormat="false" ht="15" hidden="false" customHeight="false" outlineLevel="0" collapsed="false">
      <c r="A118" s="28" t="s">
        <v>172</v>
      </c>
      <c r="B118" s="28" t="s">
        <v>173</v>
      </c>
      <c r="C118" s="28" t="s">
        <v>174</v>
      </c>
      <c r="D118" s="23" t="n">
        <v>1</v>
      </c>
      <c r="E118" s="23" t="n">
        <v>8</v>
      </c>
      <c r="F118" s="28" t="s">
        <v>906</v>
      </c>
      <c r="G118" s="19" t="n">
        <v>0.0101</v>
      </c>
    </row>
    <row r="119" customFormat="false" ht="15" hidden="false" customHeight="false" outlineLevel="0" collapsed="false">
      <c r="A119" s="28" t="s">
        <v>172</v>
      </c>
      <c r="B119" s="28" t="s">
        <v>173</v>
      </c>
      <c r="C119" s="28" t="s">
        <v>174</v>
      </c>
      <c r="D119" s="23" t="n">
        <v>1</v>
      </c>
      <c r="E119" s="23" t="n">
        <v>8</v>
      </c>
      <c r="F119" s="28" t="s">
        <v>907</v>
      </c>
      <c r="G119" s="19" t="n">
        <v>0.0098</v>
      </c>
    </row>
    <row r="120" customFormat="false" ht="15" hidden="false" customHeight="false" outlineLevel="0" collapsed="false">
      <c r="A120" s="28" t="s">
        <v>172</v>
      </c>
      <c r="B120" s="28" t="s">
        <v>173</v>
      </c>
      <c r="C120" s="28" t="s">
        <v>174</v>
      </c>
      <c r="D120" s="23" t="n">
        <v>1</v>
      </c>
      <c r="E120" s="23" t="n">
        <v>8</v>
      </c>
      <c r="F120" s="28" t="s">
        <v>908</v>
      </c>
      <c r="G120" s="19" t="n">
        <v>0.0114</v>
      </c>
    </row>
    <row r="121" customFormat="false" ht="15" hidden="false" customHeight="false" outlineLevel="0" collapsed="false">
      <c r="A121" s="28" t="s">
        <v>172</v>
      </c>
      <c r="B121" s="28" t="s">
        <v>173</v>
      </c>
      <c r="C121" s="28" t="s">
        <v>174</v>
      </c>
      <c r="D121" s="23" t="n">
        <v>1</v>
      </c>
      <c r="E121" s="23" t="n">
        <v>8</v>
      </c>
      <c r="F121" s="28" t="s">
        <v>909</v>
      </c>
      <c r="G121" s="19" t="n">
        <v>0.0115</v>
      </c>
    </row>
    <row r="122" customFormat="false" ht="15" hidden="false" customHeight="false" outlineLevel="0" collapsed="false">
      <c r="A122" s="28" t="s">
        <v>172</v>
      </c>
      <c r="B122" s="28" t="s">
        <v>173</v>
      </c>
      <c r="C122" s="28" t="s">
        <v>174</v>
      </c>
      <c r="D122" s="23" t="n">
        <v>1</v>
      </c>
      <c r="E122" s="23" t="n">
        <v>8</v>
      </c>
      <c r="F122" s="28" t="s">
        <v>910</v>
      </c>
      <c r="G122" s="19" t="n">
        <v>0.0119</v>
      </c>
    </row>
    <row r="123" customFormat="false" ht="15" hidden="false" customHeight="false" outlineLevel="0" collapsed="false">
      <c r="A123" s="28" t="s">
        <v>172</v>
      </c>
      <c r="B123" s="28" t="s">
        <v>173</v>
      </c>
      <c r="C123" s="28" t="s">
        <v>174</v>
      </c>
      <c r="D123" s="23" t="n">
        <v>1</v>
      </c>
      <c r="E123" s="23" t="n">
        <v>8</v>
      </c>
      <c r="F123" s="28" t="s">
        <v>911</v>
      </c>
      <c r="G123" s="19" t="n">
        <v>0.013</v>
      </c>
    </row>
    <row r="124" customFormat="false" ht="15" hidden="false" customHeight="false" outlineLevel="0" collapsed="false">
      <c r="A124" s="28" t="s">
        <v>172</v>
      </c>
      <c r="B124" s="28" t="s">
        <v>173</v>
      </c>
      <c r="C124" s="28" t="s">
        <v>174</v>
      </c>
      <c r="D124" s="23" t="n">
        <v>1</v>
      </c>
      <c r="E124" s="23" t="n">
        <v>8</v>
      </c>
      <c r="F124" s="28" t="s">
        <v>912</v>
      </c>
      <c r="G124" s="19" t="n">
        <v>0.0144</v>
      </c>
    </row>
    <row r="125" customFormat="false" ht="15" hidden="false" customHeight="false" outlineLevel="0" collapsed="false">
      <c r="A125" s="28" t="s">
        <v>172</v>
      </c>
      <c r="B125" s="28" t="s">
        <v>173</v>
      </c>
      <c r="C125" s="28" t="s">
        <v>174</v>
      </c>
      <c r="D125" s="23" t="n">
        <v>1</v>
      </c>
      <c r="E125" s="23" t="n">
        <v>8</v>
      </c>
      <c r="F125" s="28" t="s">
        <v>913</v>
      </c>
      <c r="G125" s="19" t="n">
        <v>0.0193</v>
      </c>
    </row>
    <row r="126" customFormat="false" ht="15" hidden="false" customHeight="false" outlineLevel="0" collapsed="false">
      <c r="A126" s="28" t="s">
        <v>172</v>
      </c>
      <c r="B126" s="28" t="s">
        <v>173</v>
      </c>
      <c r="C126" s="28" t="s">
        <v>174</v>
      </c>
      <c r="D126" s="23" t="n">
        <v>1</v>
      </c>
      <c r="E126" s="23" t="n">
        <v>8</v>
      </c>
      <c r="F126" s="28" t="s">
        <v>914</v>
      </c>
      <c r="G126" s="19" t="n">
        <v>0.0191</v>
      </c>
    </row>
    <row r="127" customFormat="false" ht="15" hidden="false" customHeight="false" outlineLevel="0" collapsed="false">
      <c r="A127" s="28" t="s">
        <v>172</v>
      </c>
      <c r="B127" s="28" t="s">
        <v>173</v>
      </c>
      <c r="C127" s="28" t="s">
        <v>174</v>
      </c>
      <c r="D127" s="23" t="n">
        <v>1</v>
      </c>
      <c r="E127" s="23" t="n">
        <v>8</v>
      </c>
      <c r="F127" s="28" t="s">
        <v>915</v>
      </c>
      <c r="G127" s="19" t="n">
        <v>0.0349</v>
      </c>
    </row>
    <row r="128" customFormat="false" ht="15" hidden="false" customHeight="false" outlineLevel="0" collapsed="false">
      <c r="A128" s="28" t="s">
        <v>172</v>
      </c>
      <c r="B128" s="28" t="s">
        <v>173</v>
      </c>
      <c r="C128" s="28" t="s">
        <v>174</v>
      </c>
      <c r="D128" s="23" t="n">
        <v>1</v>
      </c>
      <c r="E128" s="23" t="n">
        <v>9</v>
      </c>
      <c r="F128" s="28" t="s">
        <v>904</v>
      </c>
      <c r="G128" s="19" t="n">
        <v>0.0063</v>
      </c>
    </row>
    <row r="129" customFormat="false" ht="15" hidden="false" customHeight="false" outlineLevel="0" collapsed="false">
      <c r="A129" s="28" t="s">
        <v>172</v>
      </c>
      <c r="B129" s="28" t="s">
        <v>173</v>
      </c>
      <c r="C129" s="28" t="s">
        <v>174</v>
      </c>
      <c r="D129" s="23" t="n">
        <v>1</v>
      </c>
      <c r="E129" s="23" t="n">
        <v>9</v>
      </c>
      <c r="F129" s="28" t="s">
        <v>551</v>
      </c>
      <c r="G129" s="19" t="n">
        <v>0.0375</v>
      </c>
    </row>
    <row r="130" customFormat="false" ht="15" hidden="false" customHeight="false" outlineLevel="0" collapsed="false">
      <c r="A130" s="28" t="s">
        <v>172</v>
      </c>
      <c r="B130" s="28" t="s">
        <v>173</v>
      </c>
      <c r="C130" s="28" t="s">
        <v>174</v>
      </c>
      <c r="D130" s="23" t="n">
        <v>1</v>
      </c>
      <c r="E130" s="23" t="n">
        <v>9</v>
      </c>
      <c r="F130" s="28" t="s">
        <v>451</v>
      </c>
      <c r="G130" s="19" t="n">
        <v>0.0061</v>
      </c>
    </row>
    <row r="131" customFormat="false" ht="15" hidden="false" customHeight="false" outlineLevel="0" collapsed="false">
      <c r="A131" s="28" t="s">
        <v>172</v>
      </c>
      <c r="B131" s="28" t="s">
        <v>173</v>
      </c>
      <c r="C131" s="28" t="s">
        <v>174</v>
      </c>
      <c r="D131" s="23" t="n">
        <v>1</v>
      </c>
      <c r="E131" s="23" t="n">
        <v>9</v>
      </c>
      <c r="F131" s="28" t="s">
        <v>905</v>
      </c>
      <c r="G131" s="19" t="n">
        <v>0.0087</v>
      </c>
    </row>
    <row r="132" customFormat="false" ht="15" hidden="false" customHeight="false" outlineLevel="0" collapsed="false">
      <c r="A132" s="28" t="s">
        <v>172</v>
      </c>
      <c r="B132" s="28" t="s">
        <v>173</v>
      </c>
      <c r="C132" s="28" t="s">
        <v>174</v>
      </c>
      <c r="D132" s="23" t="n">
        <v>1</v>
      </c>
      <c r="E132" s="23" t="n">
        <v>9</v>
      </c>
      <c r="F132" s="28" t="s">
        <v>906</v>
      </c>
      <c r="G132" s="19" t="n">
        <v>0.0101</v>
      </c>
    </row>
    <row r="133" customFormat="false" ht="15" hidden="false" customHeight="false" outlineLevel="0" collapsed="false">
      <c r="A133" s="28" t="s">
        <v>172</v>
      </c>
      <c r="B133" s="28" t="s">
        <v>173</v>
      </c>
      <c r="C133" s="28" t="s">
        <v>174</v>
      </c>
      <c r="D133" s="23" t="n">
        <v>1</v>
      </c>
      <c r="E133" s="23" t="n">
        <v>9</v>
      </c>
      <c r="F133" s="28" t="s">
        <v>907</v>
      </c>
      <c r="G133" s="19" t="n">
        <v>0.0098</v>
      </c>
    </row>
    <row r="134" customFormat="false" ht="15" hidden="false" customHeight="false" outlineLevel="0" collapsed="false">
      <c r="A134" s="28" t="s">
        <v>172</v>
      </c>
      <c r="B134" s="28" t="s">
        <v>173</v>
      </c>
      <c r="C134" s="28" t="s">
        <v>174</v>
      </c>
      <c r="D134" s="23" t="n">
        <v>1</v>
      </c>
      <c r="E134" s="23" t="n">
        <v>9</v>
      </c>
      <c r="F134" s="28" t="s">
        <v>908</v>
      </c>
      <c r="G134" s="19" t="n">
        <v>0.0114</v>
      </c>
    </row>
    <row r="135" customFormat="false" ht="15" hidden="false" customHeight="false" outlineLevel="0" collapsed="false">
      <c r="A135" s="28" t="s">
        <v>172</v>
      </c>
      <c r="B135" s="28" t="s">
        <v>173</v>
      </c>
      <c r="C135" s="28" t="s">
        <v>174</v>
      </c>
      <c r="D135" s="23" t="n">
        <v>1</v>
      </c>
      <c r="E135" s="23" t="n">
        <v>9</v>
      </c>
      <c r="F135" s="28" t="s">
        <v>909</v>
      </c>
      <c r="G135" s="19" t="n">
        <v>0.0115</v>
      </c>
    </row>
    <row r="136" customFormat="false" ht="15" hidden="false" customHeight="false" outlineLevel="0" collapsed="false">
      <c r="A136" s="28" t="s">
        <v>172</v>
      </c>
      <c r="B136" s="28" t="s">
        <v>173</v>
      </c>
      <c r="C136" s="28" t="s">
        <v>174</v>
      </c>
      <c r="D136" s="23" t="n">
        <v>1</v>
      </c>
      <c r="E136" s="23" t="n">
        <v>9</v>
      </c>
      <c r="F136" s="28" t="s">
        <v>910</v>
      </c>
      <c r="G136" s="19" t="n">
        <v>0.0119</v>
      </c>
    </row>
    <row r="137" customFormat="false" ht="15" hidden="false" customHeight="false" outlineLevel="0" collapsed="false">
      <c r="A137" s="28" t="s">
        <v>172</v>
      </c>
      <c r="B137" s="28" t="s">
        <v>173</v>
      </c>
      <c r="C137" s="28" t="s">
        <v>174</v>
      </c>
      <c r="D137" s="23" t="n">
        <v>1</v>
      </c>
      <c r="E137" s="23" t="n">
        <v>9</v>
      </c>
      <c r="F137" s="28" t="s">
        <v>911</v>
      </c>
      <c r="G137" s="19" t="n">
        <v>0.013</v>
      </c>
    </row>
    <row r="138" customFormat="false" ht="15" hidden="false" customHeight="false" outlineLevel="0" collapsed="false">
      <c r="A138" s="28" t="s">
        <v>172</v>
      </c>
      <c r="B138" s="28" t="s">
        <v>173</v>
      </c>
      <c r="C138" s="28" t="s">
        <v>174</v>
      </c>
      <c r="D138" s="23" t="n">
        <v>1</v>
      </c>
      <c r="E138" s="23" t="n">
        <v>9</v>
      </c>
      <c r="F138" s="28" t="s">
        <v>912</v>
      </c>
      <c r="G138" s="19" t="n">
        <v>0.0144</v>
      </c>
    </row>
    <row r="139" customFormat="false" ht="15" hidden="false" customHeight="false" outlineLevel="0" collapsed="false">
      <c r="A139" s="28" t="s">
        <v>172</v>
      </c>
      <c r="B139" s="28" t="s">
        <v>173</v>
      </c>
      <c r="C139" s="28" t="s">
        <v>174</v>
      </c>
      <c r="D139" s="23" t="n">
        <v>1</v>
      </c>
      <c r="E139" s="23" t="n">
        <v>9</v>
      </c>
      <c r="F139" s="28" t="s">
        <v>913</v>
      </c>
      <c r="G139" s="19" t="n">
        <v>0.0193</v>
      </c>
    </row>
    <row r="140" customFormat="false" ht="15" hidden="false" customHeight="false" outlineLevel="0" collapsed="false">
      <c r="A140" s="28" t="s">
        <v>172</v>
      </c>
      <c r="B140" s="28" t="s">
        <v>173</v>
      </c>
      <c r="C140" s="28" t="s">
        <v>174</v>
      </c>
      <c r="D140" s="23" t="n">
        <v>1</v>
      </c>
      <c r="E140" s="23" t="n">
        <v>9</v>
      </c>
      <c r="F140" s="28" t="s">
        <v>914</v>
      </c>
      <c r="G140" s="19" t="n">
        <v>0.0191</v>
      </c>
    </row>
    <row r="141" customFormat="false" ht="15" hidden="false" customHeight="false" outlineLevel="0" collapsed="false">
      <c r="A141" s="28" t="s">
        <v>172</v>
      </c>
      <c r="B141" s="28" t="s">
        <v>173</v>
      </c>
      <c r="C141" s="28" t="s">
        <v>174</v>
      </c>
      <c r="D141" s="23" t="n">
        <v>1</v>
      </c>
      <c r="E141" s="23" t="n">
        <v>9</v>
      </c>
      <c r="F141" s="28" t="s">
        <v>915</v>
      </c>
      <c r="G141" s="19" t="n">
        <v>0.0349</v>
      </c>
    </row>
    <row r="142" customFormat="false" ht="15" hidden="false" customHeight="false" outlineLevel="0" collapsed="false">
      <c r="A142" s="28" t="s">
        <v>172</v>
      </c>
      <c r="B142" s="28" t="s">
        <v>173</v>
      </c>
      <c r="C142" s="28" t="s">
        <v>174</v>
      </c>
      <c r="D142" s="23" t="n">
        <v>1</v>
      </c>
      <c r="E142" s="23" t="n">
        <v>10</v>
      </c>
      <c r="F142" s="28" t="s">
        <v>904</v>
      </c>
      <c r="G142" s="19" t="n">
        <v>0.0063</v>
      </c>
    </row>
    <row r="143" customFormat="false" ht="15" hidden="false" customHeight="false" outlineLevel="0" collapsed="false">
      <c r="A143" s="28" t="s">
        <v>172</v>
      </c>
      <c r="B143" s="28" t="s">
        <v>173</v>
      </c>
      <c r="C143" s="28" t="s">
        <v>174</v>
      </c>
      <c r="D143" s="23" t="n">
        <v>1</v>
      </c>
      <c r="E143" s="23" t="n">
        <v>10</v>
      </c>
      <c r="F143" s="28" t="s">
        <v>551</v>
      </c>
      <c r="G143" s="19" t="n">
        <v>0.0375</v>
      </c>
    </row>
    <row r="144" customFormat="false" ht="15" hidden="false" customHeight="false" outlineLevel="0" collapsed="false">
      <c r="A144" s="28" t="s">
        <v>172</v>
      </c>
      <c r="B144" s="28" t="s">
        <v>173</v>
      </c>
      <c r="C144" s="28" t="s">
        <v>174</v>
      </c>
      <c r="D144" s="23" t="n">
        <v>1</v>
      </c>
      <c r="E144" s="23" t="n">
        <v>10</v>
      </c>
      <c r="F144" s="28" t="s">
        <v>451</v>
      </c>
      <c r="G144" s="19" t="n">
        <v>0.0061</v>
      </c>
    </row>
    <row r="145" customFormat="false" ht="15" hidden="false" customHeight="false" outlineLevel="0" collapsed="false">
      <c r="A145" s="28" t="s">
        <v>172</v>
      </c>
      <c r="B145" s="28" t="s">
        <v>173</v>
      </c>
      <c r="C145" s="28" t="s">
        <v>174</v>
      </c>
      <c r="D145" s="23" t="n">
        <v>1</v>
      </c>
      <c r="E145" s="23" t="n">
        <v>10</v>
      </c>
      <c r="F145" s="28" t="s">
        <v>905</v>
      </c>
      <c r="G145" s="19" t="n">
        <v>0.0087</v>
      </c>
    </row>
    <row r="146" customFormat="false" ht="15" hidden="false" customHeight="false" outlineLevel="0" collapsed="false">
      <c r="A146" s="28" t="s">
        <v>172</v>
      </c>
      <c r="B146" s="28" t="s">
        <v>173</v>
      </c>
      <c r="C146" s="28" t="s">
        <v>174</v>
      </c>
      <c r="D146" s="23" t="n">
        <v>1</v>
      </c>
      <c r="E146" s="23" t="n">
        <v>10</v>
      </c>
      <c r="F146" s="28" t="s">
        <v>906</v>
      </c>
      <c r="G146" s="19" t="n">
        <v>0.0101</v>
      </c>
    </row>
    <row r="147" customFormat="false" ht="15" hidden="false" customHeight="false" outlineLevel="0" collapsed="false">
      <c r="A147" s="28" t="s">
        <v>172</v>
      </c>
      <c r="B147" s="28" t="s">
        <v>173</v>
      </c>
      <c r="C147" s="28" t="s">
        <v>174</v>
      </c>
      <c r="D147" s="23" t="n">
        <v>1</v>
      </c>
      <c r="E147" s="23" t="n">
        <v>10</v>
      </c>
      <c r="F147" s="28" t="s">
        <v>907</v>
      </c>
      <c r="G147" s="19" t="n">
        <v>0.0098</v>
      </c>
    </row>
    <row r="148" customFormat="false" ht="15" hidden="false" customHeight="false" outlineLevel="0" collapsed="false">
      <c r="A148" s="28" t="s">
        <v>172</v>
      </c>
      <c r="B148" s="28" t="s">
        <v>173</v>
      </c>
      <c r="C148" s="28" t="s">
        <v>174</v>
      </c>
      <c r="D148" s="23" t="n">
        <v>1</v>
      </c>
      <c r="E148" s="23" t="n">
        <v>10</v>
      </c>
      <c r="F148" s="28" t="s">
        <v>908</v>
      </c>
      <c r="G148" s="19" t="n">
        <v>0.0114</v>
      </c>
    </row>
    <row r="149" customFormat="false" ht="15" hidden="false" customHeight="false" outlineLevel="0" collapsed="false">
      <c r="A149" s="28" t="s">
        <v>172</v>
      </c>
      <c r="B149" s="28" t="s">
        <v>173</v>
      </c>
      <c r="C149" s="28" t="s">
        <v>174</v>
      </c>
      <c r="D149" s="23" t="n">
        <v>1</v>
      </c>
      <c r="E149" s="23" t="n">
        <v>10</v>
      </c>
      <c r="F149" s="28" t="s">
        <v>909</v>
      </c>
      <c r="G149" s="19" t="n">
        <v>0.0115</v>
      </c>
    </row>
    <row r="150" customFormat="false" ht="15" hidden="false" customHeight="false" outlineLevel="0" collapsed="false">
      <c r="A150" s="28" t="s">
        <v>172</v>
      </c>
      <c r="B150" s="28" t="s">
        <v>173</v>
      </c>
      <c r="C150" s="28" t="s">
        <v>174</v>
      </c>
      <c r="D150" s="23" t="n">
        <v>1</v>
      </c>
      <c r="E150" s="23" t="n">
        <v>10</v>
      </c>
      <c r="F150" s="28" t="s">
        <v>910</v>
      </c>
      <c r="G150" s="19" t="n">
        <v>0.0119</v>
      </c>
    </row>
    <row r="151" customFormat="false" ht="15" hidden="false" customHeight="false" outlineLevel="0" collapsed="false">
      <c r="A151" s="28" t="s">
        <v>172</v>
      </c>
      <c r="B151" s="28" t="s">
        <v>173</v>
      </c>
      <c r="C151" s="28" t="s">
        <v>174</v>
      </c>
      <c r="D151" s="23" t="n">
        <v>1</v>
      </c>
      <c r="E151" s="23" t="n">
        <v>10</v>
      </c>
      <c r="F151" s="28" t="s">
        <v>911</v>
      </c>
      <c r="G151" s="19" t="n">
        <v>0.013</v>
      </c>
    </row>
    <row r="152" customFormat="false" ht="15" hidden="false" customHeight="false" outlineLevel="0" collapsed="false">
      <c r="A152" s="28" t="s">
        <v>172</v>
      </c>
      <c r="B152" s="28" t="s">
        <v>173</v>
      </c>
      <c r="C152" s="28" t="s">
        <v>174</v>
      </c>
      <c r="D152" s="23" t="n">
        <v>1</v>
      </c>
      <c r="E152" s="23" t="n">
        <v>10</v>
      </c>
      <c r="F152" s="28" t="s">
        <v>912</v>
      </c>
      <c r="G152" s="19" t="n">
        <v>0.0144</v>
      </c>
    </row>
    <row r="153" customFormat="false" ht="15" hidden="false" customHeight="false" outlineLevel="0" collapsed="false">
      <c r="A153" s="28" t="s">
        <v>172</v>
      </c>
      <c r="B153" s="28" t="s">
        <v>173</v>
      </c>
      <c r="C153" s="28" t="s">
        <v>174</v>
      </c>
      <c r="D153" s="23" t="n">
        <v>1</v>
      </c>
      <c r="E153" s="23" t="n">
        <v>10</v>
      </c>
      <c r="F153" s="28" t="s">
        <v>913</v>
      </c>
      <c r="G153" s="19" t="n">
        <v>0.0193</v>
      </c>
    </row>
    <row r="154" customFormat="false" ht="15" hidden="false" customHeight="false" outlineLevel="0" collapsed="false">
      <c r="A154" s="28" t="s">
        <v>172</v>
      </c>
      <c r="B154" s="28" t="s">
        <v>173</v>
      </c>
      <c r="C154" s="28" t="s">
        <v>174</v>
      </c>
      <c r="D154" s="23" t="n">
        <v>1</v>
      </c>
      <c r="E154" s="23" t="n">
        <v>10</v>
      </c>
      <c r="F154" s="28" t="s">
        <v>914</v>
      </c>
      <c r="G154" s="19" t="n">
        <v>0.0191</v>
      </c>
    </row>
    <row r="155" customFormat="false" ht="15" hidden="false" customHeight="false" outlineLevel="0" collapsed="false">
      <c r="A155" s="28" t="s">
        <v>172</v>
      </c>
      <c r="B155" s="28" t="s">
        <v>173</v>
      </c>
      <c r="C155" s="28" t="s">
        <v>174</v>
      </c>
      <c r="D155" s="23" t="n">
        <v>1</v>
      </c>
      <c r="E155" s="23" t="n">
        <v>10</v>
      </c>
      <c r="F155" s="28" t="s">
        <v>915</v>
      </c>
      <c r="G155" s="19" t="n">
        <v>0.0349</v>
      </c>
    </row>
    <row r="156" customFormat="false" ht="15" hidden="false" customHeight="false" outlineLevel="0" collapsed="false">
      <c r="A156" s="28" t="s">
        <v>172</v>
      </c>
      <c r="B156" s="28" t="s">
        <v>173</v>
      </c>
      <c r="C156" s="28" t="s">
        <v>174</v>
      </c>
      <c r="D156" s="23" t="n">
        <v>1</v>
      </c>
      <c r="E156" s="23" t="n">
        <v>11</v>
      </c>
      <c r="F156" s="28" t="s">
        <v>904</v>
      </c>
      <c r="G156" s="19" t="n">
        <v>0.0063</v>
      </c>
    </row>
    <row r="157" customFormat="false" ht="15" hidden="false" customHeight="false" outlineLevel="0" collapsed="false">
      <c r="A157" s="28" t="s">
        <v>172</v>
      </c>
      <c r="B157" s="28" t="s">
        <v>173</v>
      </c>
      <c r="C157" s="28" t="s">
        <v>174</v>
      </c>
      <c r="D157" s="23" t="n">
        <v>1</v>
      </c>
      <c r="E157" s="23" t="n">
        <v>11</v>
      </c>
      <c r="F157" s="28" t="s">
        <v>551</v>
      </c>
      <c r="G157" s="19" t="n">
        <v>0.0375</v>
      </c>
    </row>
    <row r="158" customFormat="false" ht="15" hidden="false" customHeight="false" outlineLevel="0" collapsed="false">
      <c r="A158" s="28" t="s">
        <v>172</v>
      </c>
      <c r="B158" s="28" t="s">
        <v>173</v>
      </c>
      <c r="C158" s="28" t="s">
        <v>174</v>
      </c>
      <c r="D158" s="23" t="n">
        <v>1</v>
      </c>
      <c r="E158" s="23" t="n">
        <v>11</v>
      </c>
      <c r="F158" s="28" t="s">
        <v>451</v>
      </c>
      <c r="G158" s="19" t="n">
        <v>0.0061</v>
      </c>
    </row>
    <row r="159" customFormat="false" ht="15" hidden="false" customHeight="false" outlineLevel="0" collapsed="false">
      <c r="A159" s="28" t="s">
        <v>172</v>
      </c>
      <c r="B159" s="28" t="s">
        <v>173</v>
      </c>
      <c r="C159" s="28" t="s">
        <v>174</v>
      </c>
      <c r="D159" s="23" t="n">
        <v>1</v>
      </c>
      <c r="E159" s="23" t="n">
        <v>11</v>
      </c>
      <c r="F159" s="28" t="s">
        <v>905</v>
      </c>
      <c r="G159" s="19" t="n">
        <v>0.0087</v>
      </c>
    </row>
    <row r="160" customFormat="false" ht="15" hidden="false" customHeight="false" outlineLevel="0" collapsed="false">
      <c r="A160" s="28" t="s">
        <v>172</v>
      </c>
      <c r="B160" s="28" t="s">
        <v>173</v>
      </c>
      <c r="C160" s="28" t="s">
        <v>174</v>
      </c>
      <c r="D160" s="23" t="n">
        <v>1</v>
      </c>
      <c r="E160" s="23" t="n">
        <v>11</v>
      </c>
      <c r="F160" s="28" t="s">
        <v>906</v>
      </c>
      <c r="G160" s="19" t="n">
        <v>0.0101</v>
      </c>
    </row>
    <row r="161" customFormat="false" ht="15" hidden="false" customHeight="false" outlineLevel="0" collapsed="false">
      <c r="A161" s="28" t="s">
        <v>172</v>
      </c>
      <c r="B161" s="28" t="s">
        <v>173</v>
      </c>
      <c r="C161" s="28" t="s">
        <v>174</v>
      </c>
      <c r="D161" s="23" t="n">
        <v>1</v>
      </c>
      <c r="E161" s="23" t="n">
        <v>11</v>
      </c>
      <c r="F161" s="28" t="s">
        <v>907</v>
      </c>
      <c r="G161" s="19" t="n">
        <v>0.0098</v>
      </c>
    </row>
    <row r="162" customFormat="false" ht="15" hidden="false" customHeight="false" outlineLevel="0" collapsed="false">
      <c r="A162" s="28" t="s">
        <v>172</v>
      </c>
      <c r="B162" s="28" t="s">
        <v>173</v>
      </c>
      <c r="C162" s="28" t="s">
        <v>174</v>
      </c>
      <c r="D162" s="23" t="n">
        <v>1</v>
      </c>
      <c r="E162" s="23" t="n">
        <v>11</v>
      </c>
      <c r="F162" s="28" t="s">
        <v>908</v>
      </c>
      <c r="G162" s="19" t="n">
        <v>0.0114</v>
      </c>
    </row>
    <row r="163" customFormat="false" ht="15" hidden="false" customHeight="false" outlineLevel="0" collapsed="false">
      <c r="A163" s="28" t="s">
        <v>172</v>
      </c>
      <c r="B163" s="28" t="s">
        <v>173</v>
      </c>
      <c r="C163" s="28" t="s">
        <v>174</v>
      </c>
      <c r="D163" s="23" t="n">
        <v>1</v>
      </c>
      <c r="E163" s="23" t="n">
        <v>11</v>
      </c>
      <c r="F163" s="28" t="s">
        <v>909</v>
      </c>
      <c r="G163" s="19" t="n">
        <v>0.0115</v>
      </c>
    </row>
    <row r="164" customFormat="false" ht="15" hidden="false" customHeight="false" outlineLevel="0" collapsed="false">
      <c r="A164" s="28" t="s">
        <v>172</v>
      </c>
      <c r="B164" s="28" t="s">
        <v>173</v>
      </c>
      <c r="C164" s="28" t="s">
        <v>174</v>
      </c>
      <c r="D164" s="23" t="n">
        <v>1</v>
      </c>
      <c r="E164" s="23" t="n">
        <v>11</v>
      </c>
      <c r="F164" s="28" t="s">
        <v>910</v>
      </c>
      <c r="G164" s="19" t="n">
        <v>0.0119</v>
      </c>
    </row>
    <row r="165" customFormat="false" ht="15" hidden="false" customHeight="false" outlineLevel="0" collapsed="false">
      <c r="A165" s="28" t="s">
        <v>172</v>
      </c>
      <c r="B165" s="28" t="s">
        <v>173</v>
      </c>
      <c r="C165" s="28" t="s">
        <v>174</v>
      </c>
      <c r="D165" s="23" t="n">
        <v>1</v>
      </c>
      <c r="E165" s="23" t="n">
        <v>11</v>
      </c>
      <c r="F165" s="28" t="s">
        <v>911</v>
      </c>
      <c r="G165" s="19" t="n">
        <v>0.013</v>
      </c>
    </row>
    <row r="166" customFormat="false" ht="15" hidden="false" customHeight="false" outlineLevel="0" collapsed="false">
      <c r="A166" s="28" t="s">
        <v>172</v>
      </c>
      <c r="B166" s="28" t="s">
        <v>173</v>
      </c>
      <c r="C166" s="28" t="s">
        <v>174</v>
      </c>
      <c r="D166" s="23" t="n">
        <v>1</v>
      </c>
      <c r="E166" s="23" t="n">
        <v>11</v>
      </c>
      <c r="F166" s="28" t="s">
        <v>912</v>
      </c>
      <c r="G166" s="19" t="n">
        <v>0.0144</v>
      </c>
    </row>
    <row r="167" customFormat="false" ht="15" hidden="false" customHeight="false" outlineLevel="0" collapsed="false">
      <c r="A167" s="28" t="s">
        <v>172</v>
      </c>
      <c r="B167" s="28" t="s">
        <v>173</v>
      </c>
      <c r="C167" s="28" t="s">
        <v>174</v>
      </c>
      <c r="D167" s="23" t="n">
        <v>1</v>
      </c>
      <c r="E167" s="23" t="n">
        <v>11</v>
      </c>
      <c r="F167" s="28" t="s">
        <v>913</v>
      </c>
      <c r="G167" s="19" t="n">
        <v>0.0193</v>
      </c>
    </row>
    <row r="168" customFormat="false" ht="15" hidden="false" customHeight="false" outlineLevel="0" collapsed="false">
      <c r="A168" s="28" t="s">
        <v>172</v>
      </c>
      <c r="B168" s="28" t="s">
        <v>173</v>
      </c>
      <c r="C168" s="28" t="s">
        <v>174</v>
      </c>
      <c r="D168" s="23" t="n">
        <v>1</v>
      </c>
      <c r="E168" s="23" t="n">
        <v>11</v>
      </c>
      <c r="F168" s="28" t="s">
        <v>914</v>
      </c>
      <c r="G168" s="19" t="n">
        <v>0.0191</v>
      </c>
    </row>
    <row r="169" customFormat="false" ht="15" hidden="false" customHeight="false" outlineLevel="0" collapsed="false">
      <c r="A169" s="28" t="s">
        <v>172</v>
      </c>
      <c r="B169" s="28" t="s">
        <v>173</v>
      </c>
      <c r="C169" s="28" t="s">
        <v>174</v>
      </c>
      <c r="D169" s="23" t="n">
        <v>1</v>
      </c>
      <c r="E169" s="23" t="n">
        <v>11</v>
      </c>
      <c r="F169" s="28" t="s">
        <v>915</v>
      </c>
      <c r="G169" s="19" t="n">
        <v>0.0349</v>
      </c>
    </row>
    <row r="170" customFormat="false" ht="15" hidden="false" customHeight="false" outlineLevel="0" collapsed="false">
      <c r="A170" s="28" t="s">
        <v>172</v>
      </c>
      <c r="B170" s="28" t="s">
        <v>173</v>
      </c>
      <c r="C170" s="28" t="s">
        <v>174</v>
      </c>
      <c r="D170" s="23" t="n">
        <v>1</v>
      </c>
      <c r="E170" s="23" t="n">
        <v>12</v>
      </c>
      <c r="F170" s="28" t="s">
        <v>904</v>
      </c>
      <c r="G170" s="19" t="n">
        <v>0.0063</v>
      </c>
    </row>
    <row r="171" customFormat="false" ht="15" hidden="false" customHeight="false" outlineLevel="0" collapsed="false">
      <c r="A171" s="28" t="s">
        <v>172</v>
      </c>
      <c r="B171" s="28" t="s">
        <v>173</v>
      </c>
      <c r="C171" s="28" t="s">
        <v>174</v>
      </c>
      <c r="D171" s="23" t="n">
        <v>1</v>
      </c>
      <c r="E171" s="23" t="n">
        <v>12</v>
      </c>
      <c r="F171" s="28" t="s">
        <v>551</v>
      </c>
      <c r="G171" s="19" t="n">
        <v>0.0375</v>
      </c>
    </row>
    <row r="172" customFormat="false" ht="15" hidden="false" customHeight="false" outlineLevel="0" collapsed="false">
      <c r="A172" s="28" t="s">
        <v>172</v>
      </c>
      <c r="B172" s="28" t="s">
        <v>173</v>
      </c>
      <c r="C172" s="28" t="s">
        <v>174</v>
      </c>
      <c r="D172" s="23" t="n">
        <v>1</v>
      </c>
      <c r="E172" s="23" t="n">
        <v>12</v>
      </c>
      <c r="F172" s="28" t="s">
        <v>451</v>
      </c>
      <c r="G172" s="19" t="n">
        <v>0.0061</v>
      </c>
    </row>
    <row r="173" customFormat="false" ht="15" hidden="false" customHeight="false" outlineLevel="0" collapsed="false">
      <c r="A173" s="28" t="s">
        <v>172</v>
      </c>
      <c r="B173" s="28" t="s">
        <v>173</v>
      </c>
      <c r="C173" s="28" t="s">
        <v>174</v>
      </c>
      <c r="D173" s="23" t="n">
        <v>1</v>
      </c>
      <c r="E173" s="23" t="n">
        <v>12</v>
      </c>
      <c r="F173" s="28" t="s">
        <v>905</v>
      </c>
      <c r="G173" s="19" t="n">
        <v>0.0087</v>
      </c>
    </row>
    <row r="174" customFormat="false" ht="15" hidden="false" customHeight="false" outlineLevel="0" collapsed="false">
      <c r="A174" s="28" t="s">
        <v>172</v>
      </c>
      <c r="B174" s="28" t="s">
        <v>173</v>
      </c>
      <c r="C174" s="28" t="s">
        <v>174</v>
      </c>
      <c r="D174" s="23" t="n">
        <v>1</v>
      </c>
      <c r="E174" s="23" t="n">
        <v>12</v>
      </c>
      <c r="F174" s="28" t="s">
        <v>906</v>
      </c>
      <c r="G174" s="19" t="n">
        <v>0.0101</v>
      </c>
    </row>
    <row r="175" customFormat="false" ht="15" hidden="false" customHeight="false" outlineLevel="0" collapsed="false">
      <c r="A175" s="28" t="s">
        <v>172</v>
      </c>
      <c r="B175" s="28" t="s">
        <v>173</v>
      </c>
      <c r="C175" s="28" t="s">
        <v>174</v>
      </c>
      <c r="D175" s="23" t="n">
        <v>1</v>
      </c>
      <c r="E175" s="23" t="n">
        <v>12</v>
      </c>
      <c r="F175" s="28" t="s">
        <v>907</v>
      </c>
      <c r="G175" s="19" t="n">
        <v>0.0098</v>
      </c>
    </row>
    <row r="176" customFormat="false" ht="15" hidden="false" customHeight="false" outlineLevel="0" collapsed="false">
      <c r="A176" s="28" t="s">
        <v>172</v>
      </c>
      <c r="B176" s="28" t="s">
        <v>173</v>
      </c>
      <c r="C176" s="28" t="s">
        <v>174</v>
      </c>
      <c r="D176" s="23" t="n">
        <v>1</v>
      </c>
      <c r="E176" s="23" t="n">
        <v>12</v>
      </c>
      <c r="F176" s="28" t="s">
        <v>908</v>
      </c>
      <c r="G176" s="19" t="n">
        <v>0.0114</v>
      </c>
    </row>
    <row r="177" customFormat="false" ht="15" hidden="false" customHeight="false" outlineLevel="0" collapsed="false">
      <c r="A177" s="28" t="s">
        <v>172</v>
      </c>
      <c r="B177" s="28" t="s">
        <v>173</v>
      </c>
      <c r="C177" s="28" t="s">
        <v>174</v>
      </c>
      <c r="D177" s="23" t="n">
        <v>1</v>
      </c>
      <c r="E177" s="23" t="n">
        <v>12</v>
      </c>
      <c r="F177" s="28" t="s">
        <v>909</v>
      </c>
      <c r="G177" s="19" t="n">
        <v>0.0115</v>
      </c>
    </row>
    <row r="178" customFormat="false" ht="15" hidden="false" customHeight="false" outlineLevel="0" collapsed="false">
      <c r="A178" s="28" t="s">
        <v>172</v>
      </c>
      <c r="B178" s="28" t="s">
        <v>173</v>
      </c>
      <c r="C178" s="28" t="s">
        <v>174</v>
      </c>
      <c r="D178" s="23" t="n">
        <v>1</v>
      </c>
      <c r="E178" s="23" t="n">
        <v>12</v>
      </c>
      <c r="F178" s="28" t="s">
        <v>910</v>
      </c>
      <c r="G178" s="19" t="n">
        <v>0.0119</v>
      </c>
    </row>
    <row r="179" customFormat="false" ht="15" hidden="false" customHeight="false" outlineLevel="0" collapsed="false">
      <c r="A179" s="28" t="s">
        <v>172</v>
      </c>
      <c r="B179" s="28" t="s">
        <v>173</v>
      </c>
      <c r="C179" s="28" t="s">
        <v>174</v>
      </c>
      <c r="D179" s="23" t="n">
        <v>1</v>
      </c>
      <c r="E179" s="23" t="n">
        <v>12</v>
      </c>
      <c r="F179" s="28" t="s">
        <v>911</v>
      </c>
      <c r="G179" s="19" t="n">
        <v>0.013</v>
      </c>
    </row>
    <row r="180" customFormat="false" ht="15" hidden="false" customHeight="false" outlineLevel="0" collapsed="false">
      <c r="A180" s="28" t="s">
        <v>172</v>
      </c>
      <c r="B180" s="28" t="s">
        <v>173</v>
      </c>
      <c r="C180" s="28" t="s">
        <v>174</v>
      </c>
      <c r="D180" s="23" t="n">
        <v>1</v>
      </c>
      <c r="E180" s="23" t="n">
        <v>12</v>
      </c>
      <c r="F180" s="28" t="s">
        <v>912</v>
      </c>
      <c r="G180" s="19" t="n">
        <v>0.0144</v>
      </c>
    </row>
    <row r="181" customFormat="false" ht="15" hidden="false" customHeight="false" outlineLevel="0" collapsed="false">
      <c r="A181" s="28" t="s">
        <v>172</v>
      </c>
      <c r="B181" s="28" t="s">
        <v>173</v>
      </c>
      <c r="C181" s="28" t="s">
        <v>174</v>
      </c>
      <c r="D181" s="23" t="n">
        <v>1</v>
      </c>
      <c r="E181" s="23" t="n">
        <v>12</v>
      </c>
      <c r="F181" s="28" t="s">
        <v>913</v>
      </c>
      <c r="G181" s="19" t="n">
        <v>0.0193</v>
      </c>
    </row>
    <row r="182" customFormat="false" ht="15" hidden="false" customHeight="false" outlineLevel="0" collapsed="false">
      <c r="A182" s="28" t="s">
        <v>172</v>
      </c>
      <c r="B182" s="28" t="s">
        <v>173</v>
      </c>
      <c r="C182" s="28" t="s">
        <v>174</v>
      </c>
      <c r="D182" s="23" t="n">
        <v>1</v>
      </c>
      <c r="E182" s="23" t="n">
        <v>12</v>
      </c>
      <c r="F182" s="28" t="s">
        <v>914</v>
      </c>
      <c r="G182" s="19" t="n">
        <v>0.0191</v>
      </c>
    </row>
    <row r="183" customFormat="false" ht="15" hidden="false" customHeight="false" outlineLevel="0" collapsed="false">
      <c r="A183" s="28" t="s">
        <v>172</v>
      </c>
      <c r="B183" s="28" t="s">
        <v>173</v>
      </c>
      <c r="C183" s="28" t="s">
        <v>174</v>
      </c>
      <c r="D183" s="23" t="n">
        <v>1</v>
      </c>
      <c r="E183" s="23" t="n">
        <v>12</v>
      </c>
      <c r="F183" s="28" t="s">
        <v>915</v>
      </c>
      <c r="G183" s="19" t="n">
        <v>0.0349</v>
      </c>
    </row>
    <row r="184" customFormat="false" ht="15" hidden="false" customHeight="false" outlineLevel="0" collapsed="false">
      <c r="A184" s="28" t="s">
        <v>172</v>
      </c>
      <c r="B184" s="28" t="s">
        <v>173</v>
      </c>
      <c r="C184" s="28" t="s">
        <v>174</v>
      </c>
      <c r="D184" s="23" t="n">
        <v>1</v>
      </c>
      <c r="E184" s="23" t="n">
        <v>13</v>
      </c>
      <c r="F184" s="28" t="s">
        <v>904</v>
      </c>
      <c r="G184" s="19" t="n">
        <v>0.0063</v>
      </c>
    </row>
    <row r="185" customFormat="false" ht="15" hidden="false" customHeight="false" outlineLevel="0" collapsed="false">
      <c r="A185" s="28" t="s">
        <v>172</v>
      </c>
      <c r="B185" s="28" t="s">
        <v>173</v>
      </c>
      <c r="C185" s="28" t="s">
        <v>174</v>
      </c>
      <c r="D185" s="23" t="n">
        <v>1</v>
      </c>
      <c r="E185" s="23" t="n">
        <v>13</v>
      </c>
      <c r="F185" s="28" t="s">
        <v>551</v>
      </c>
      <c r="G185" s="19" t="n">
        <v>0.0375</v>
      </c>
    </row>
    <row r="186" customFormat="false" ht="15" hidden="false" customHeight="false" outlineLevel="0" collapsed="false">
      <c r="A186" s="28" t="s">
        <v>172</v>
      </c>
      <c r="B186" s="28" t="s">
        <v>173</v>
      </c>
      <c r="C186" s="28" t="s">
        <v>174</v>
      </c>
      <c r="D186" s="23" t="n">
        <v>1</v>
      </c>
      <c r="E186" s="23" t="n">
        <v>13</v>
      </c>
      <c r="F186" s="28" t="s">
        <v>451</v>
      </c>
      <c r="G186" s="19" t="n">
        <v>0.0061</v>
      </c>
    </row>
    <row r="187" customFormat="false" ht="15" hidden="false" customHeight="false" outlineLevel="0" collapsed="false">
      <c r="A187" s="28" t="s">
        <v>172</v>
      </c>
      <c r="B187" s="28" t="s">
        <v>173</v>
      </c>
      <c r="C187" s="28" t="s">
        <v>174</v>
      </c>
      <c r="D187" s="23" t="n">
        <v>1</v>
      </c>
      <c r="E187" s="23" t="n">
        <v>13</v>
      </c>
      <c r="F187" s="28" t="s">
        <v>905</v>
      </c>
      <c r="G187" s="19" t="n">
        <v>0.0087</v>
      </c>
    </row>
    <row r="188" customFormat="false" ht="15" hidden="false" customHeight="false" outlineLevel="0" collapsed="false">
      <c r="A188" s="28" t="s">
        <v>172</v>
      </c>
      <c r="B188" s="28" t="s">
        <v>173</v>
      </c>
      <c r="C188" s="28" t="s">
        <v>174</v>
      </c>
      <c r="D188" s="23" t="n">
        <v>1</v>
      </c>
      <c r="E188" s="23" t="n">
        <v>13</v>
      </c>
      <c r="F188" s="28" t="s">
        <v>906</v>
      </c>
      <c r="G188" s="19" t="n">
        <v>0.0101</v>
      </c>
    </row>
    <row r="189" customFormat="false" ht="15" hidden="false" customHeight="false" outlineLevel="0" collapsed="false">
      <c r="A189" s="28" t="s">
        <v>172</v>
      </c>
      <c r="B189" s="28" t="s">
        <v>173</v>
      </c>
      <c r="C189" s="28" t="s">
        <v>174</v>
      </c>
      <c r="D189" s="23" t="n">
        <v>1</v>
      </c>
      <c r="E189" s="23" t="n">
        <v>13</v>
      </c>
      <c r="F189" s="28" t="s">
        <v>907</v>
      </c>
      <c r="G189" s="19" t="n">
        <v>0.0098</v>
      </c>
    </row>
    <row r="190" customFormat="false" ht="15" hidden="false" customHeight="false" outlineLevel="0" collapsed="false">
      <c r="A190" s="28" t="s">
        <v>172</v>
      </c>
      <c r="B190" s="28" t="s">
        <v>173</v>
      </c>
      <c r="C190" s="28" t="s">
        <v>174</v>
      </c>
      <c r="D190" s="23" t="n">
        <v>1</v>
      </c>
      <c r="E190" s="23" t="n">
        <v>13</v>
      </c>
      <c r="F190" s="28" t="s">
        <v>908</v>
      </c>
      <c r="G190" s="19" t="n">
        <v>0.0114</v>
      </c>
    </row>
    <row r="191" customFormat="false" ht="15" hidden="false" customHeight="false" outlineLevel="0" collapsed="false">
      <c r="A191" s="28" t="s">
        <v>172</v>
      </c>
      <c r="B191" s="28" t="s">
        <v>173</v>
      </c>
      <c r="C191" s="28" t="s">
        <v>174</v>
      </c>
      <c r="D191" s="23" t="n">
        <v>1</v>
      </c>
      <c r="E191" s="23" t="n">
        <v>13</v>
      </c>
      <c r="F191" s="28" t="s">
        <v>909</v>
      </c>
      <c r="G191" s="19" t="n">
        <v>0.0115</v>
      </c>
    </row>
    <row r="192" customFormat="false" ht="15" hidden="false" customHeight="false" outlineLevel="0" collapsed="false">
      <c r="A192" s="28" t="s">
        <v>172</v>
      </c>
      <c r="B192" s="28" t="s">
        <v>173</v>
      </c>
      <c r="C192" s="28" t="s">
        <v>174</v>
      </c>
      <c r="D192" s="23" t="n">
        <v>1</v>
      </c>
      <c r="E192" s="23" t="n">
        <v>13</v>
      </c>
      <c r="F192" s="28" t="s">
        <v>910</v>
      </c>
      <c r="G192" s="19" t="n">
        <v>0.0119</v>
      </c>
    </row>
    <row r="193" customFormat="false" ht="15" hidden="false" customHeight="false" outlineLevel="0" collapsed="false">
      <c r="A193" s="28" t="s">
        <v>172</v>
      </c>
      <c r="B193" s="28" t="s">
        <v>173</v>
      </c>
      <c r="C193" s="28" t="s">
        <v>174</v>
      </c>
      <c r="D193" s="23" t="n">
        <v>1</v>
      </c>
      <c r="E193" s="23" t="n">
        <v>13</v>
      </c>
      <c r="F193" s="28" t="s">
        <v>911</v>
      </c>
      <c r="G193" s="19" t="n">
        <v>0.013</v>
      </c>
    </row>
    <row r="194" customFormat="false" ht="15" hidden="false" customHeight="false" outlineLevel="0" collapsed="false">
      <c r="A194" s="28" t="s">
        <v>172</v>
      </c>
      <c r="B194" s="28" t="s">
        <v>173</v>
      </c>
      <c r="C194" s="28" t="s">
        <v>174</v>
      </c>
      <c r="D194" s="23" t="n">
        <v>1</v>
      </c>
      <c r="E194" s="23" t="n">
        <v>13</v>
      </c>
      <c r="F194" s="28" t="s">
        <v>912</v>
      </c>
      <c r="G194" s="19" t="n">
        <v>0.0144</v>
      </c>
    </row>
    <row r="195" customFormat="false" ht="15" hidden="false" customHeight="false" outlineLevel="0" collapsed="false">
      <c r="A195" s="28" t="s">
        <v>172</v>
      </c>
      <c r="B195" s="28" t="s">
        <v>173</v>
      </c>
      <c r="C195" s="28" t="s">
        <v>174</v>
      </c>
      <c r="D195" s="23" t="n">
        <v>1</v>
      </c>
      <c r="E195" s="23" t="n">
        <v>13</v>
      </c>
      <c r="F195" s="28" t="s">
        <v>913</v>
      </c>
      <c r="G195" s="19" t="n">
        <v>0.0193</v>
      </c>
    </row>
    <row r="196" customFormat="false" ht="15" hidden="false" customHeight="false" outlineLevel="0" collapsed="false">
      <c r="A196" s="28" t="s">
        <v>172</v>
      </c>
      <c r="B196" s="28" t="s">
        <v>173</v>
      </c>
      <c r="C196" s="28" t="s">
        <v>174</v>
      </c>
      <c r="D196" s="23" t="n">
        <v>1</v>
      </c>
      <c r="E196" s="23" t="n">
        <v>13</v>
      </c>
      <c r="F196" s="28" t="s">
        <v>914</v>
      </c>
      <c r="G196" s="19" t="n">
        <v>0.0191</v>
      </c>
    </row>
    <row r="197" customFormat="false" ht="15" hidden="false" customHeight="false" outlineLevel="0" collapsed="false">
      <c r="A197" s="28" t="s">
        <v>172</v>
      </c>
      <c r="B197" s="28" t="s">
        <v>173</v>
      </c>
      <c r="C197" s="28" t="s">
        <v>174</v>
      </c>
      <c r="D197" s="23" t="n">
        <v>1</v>
      </c>
      <c r="E197" s="23" t="n">
        <v>13</v>
      </c>
      <c r="F197" s="28" t="s">
        <v>915</v>
      </c>
      <c r="G197" s="19" t="n">
        <v>0.0349</v>
      </c>
    </row>
    <row r="198" customFormat="false" ht="15" hidden="false" customHeight="false" outlineLevel="0" collapsed="false">
      <c r="A198" s="28" t="s">
        <v>172</v>
      </c>
      <c r="B198" s="28" t="s">
        <v>173</v>
      </c>
      <c r="C198" s="28" t="s">
        <v>174</v>
      </c>
      <c r="D198" s="23" t="n">
        <v>1</v>
      </c>
      <c r="E198" s="23" t="n">
        <v>14</v>
      </c>
      <c r="F198" s="28" t="s">
        <v>904</v>
      </c>
      <c r="G198" s="19" t="n">
        <v>0.0063</v>
      </c>
    </row>
    <row r="199" customFormat="false" ht="15" hidden="false" customHeight="false" outlineLevel="0" collapsed="false">
      <c r="A199" s="28" t="s">
        <v>172</v>
      </c>
      <c r="B199" s="28" t="s">
        <v>173</v>
      </c>
      <c r="C199" s="28" t="s">
        <v>174</v>
      </c>
      <c r="D199" s="23" t="n">
        <v>1</v>
      </c>
      <c r="E199" s="23" t="n">
        <v>14</v>
      </c>
      <c r="F199" s="28" t="s">
        <v>551</v>
      </c>
      <c r="G199" s="19" t="n">
        <v>0.0375</v>
      </c>
    </row>
    <row r="200" customFormat="false" ht="15" hidden="false" customHeight="false" outlineLevel="0" collapsed="false">
      <c r="A200" s="28" t="s">
        <v>172</v>
      </c>
      <c r="B200" s="28" t="s">
        <v>173</v>
      </c>
      <c r="C200" s="28" t="s">
        <v>174</v>
      </c>
      <c r="D200" s="23" t="n">
        <v>1</v>
      </c>
      <c r="E200" s="23" t="n">
        <v>14</v>
      </c>
      <c r="F200" s="28" t="s">
        <v>451</v>
      </c>
      <c r="G200" s="19" t="n">
        <v>0.0061</v>
      </c>
    </row>
    <row r="201" customFormat="false" ht="15" hidden="false" customHeight="false" outlineLevel="0" collapsed="false">
      <c r="A201" s="28" t="s">
        <v>172</v>
      </c>
      <c r="B201" s="28" t="s">
        <v>173</v>
      </c>
      <c r="C201" s="28" t="s">
        <v>174</v>
      </c>
      <c r="D201" s="23" t="n">
        <v>1</v>
      </c>
      <c r="E201" s="23" t="n">
        <v>14</v>
      </c>
      <c r="F201" s="28" t="s">
        <v>905</v>
      </c>
      <c r="G201" s="19" t="n">
        <v>0.0087</v>
      </c>
    </row>
    <row r="202" customFormat="false" ht="15" hidden="false" customHeight="false" outlineLevel="0" collapsed="false">
      <c r="A202" s="28" t="s">
        <v>172</v>
      </c>
      <c r="B202" s="28" t="s">
        <v>173</v>
      </c>
      <c r="C202" s="28" t="s">
        <v>174</v>
      </c>
      <c r="D202" s="23" t="n">
        <v>1</v>
      </c>
      <c r="E202" s="23" t="n">
        <v>14</v>
      </c>
      <c r="F202" s="28" t="s">
        <v>906</v>
      </c>
      <c r="G202" s="19" t="n">
        <v>0.0101</v>
      </c>
    </row>
    <row r="203" customFormat="false" ht="15" hidden="false" customHeight="false" outlineLevel="0" collapsed="false">
      <c r="A203" s="28" t="s">
        <v>172</v>
      </c>
      <c r="B203" s="28" t="s">
        <v>173</v>
      </c>
      <c r="C203" s="28" t="s">
        <v>174</v>
      </c>
      <c r="D203" s="23" t="n">
        <v>1</v>
      </c>
      <c r="E203" s="23" t="n">
        <v>14</v>
      </c>
      <c r="F203" s="28" t="s">
        <v>907</v>
      </c>
      <c r="G203" s="19" t="n">
        <v>0.0098</v>
      </c>
    </row>
    <row r="204" customFormat="false" ht="15" hidden="false" customHeight="false" outlineLevel="0" collapsed="false">
      <c r="A204" s="28" t="s">
        <v>172</v>
      </c>
      <c r="B204" s="28" t="s">
        <v>173</v>
      </c>
      <c r="C204" s="28" t="s">
        <v>174</v>
      </c>
      <c r="D204" s="23" t="n">
        <v>1</v>
      </c>
      <c r="E204" s="23" t="n">
        <v>14</v>
      </c>
      <c r="F204" s="28" t="s">
        <v>908</v>
      </c>
      <c r="G204" s="19" t="n">
        <v>0.0114</v>
      </c>
    </row>
    <row r="205" customFormat="false" ht="15" hidden="false" customHeight="false" outlineLevel="0" collapsed="false">
      <c r="A205" s="28" t="s">
        <v>172</v>
      </c>
      <c r="B205" s="28" t="s">
        <v>173</v>
      </c>
      <c r="C205" s="28" t="s">
        <v>174</v>
      </c>
      <c r="D205" s="23" t="n">
        <v>1</v>
      </c>
      <c r="E205" s="23" t="n">
        <v>14</v>
      </c>
      <c r="F205" s="28" t="s">
        <v>909</v>
      </c>
      <c r="G205" s="19" t="n">
        <v>0.0115</v>
      </c>
    </row>
    <row r="206" customFormat="false" ht="15" hidden="false" customHeight="false" outlineLevel="0" collapsed="false">
      <c r="A206" s="28" t="s">
        <v>172</v>
      </c>
      <c r="B206" s="28" t="s">
        <v>173</v>
      </c>
      <c r="C206" s="28" t="s">
        <v>174</v>
      </c>
      <c r="D206" s="23" t="n">
        <v>1</v>
      </c>
      <c r="E206" s="23" t="n">
        <v>14</v>
      </c>
      <c r="F206" s="28" t="s">
        <v>910</v>
      </c>
      <c r="G206" s="19" t="n">
        <v>0.0119</v>
      </c>
    </row>
    <row r="207" customFormat="false" ht="15" hidden="false" customHeight="false" outlineLevel="0" collapsed="false">
      <c r="A207" s="28" t="s">
        <v>172</v>
      </c>
      <c r="B207" s="28" t="s">
        <v>173</v>
      </c>
      <c r="C207" s="28" t="s">
        <v>174</v>
      </c>
      <c r="D207" s="23" t="n">
        <v>1</v>
      </c>
      <c r="E207" s="23" t="n">
        <v>14</v>
      </c>
      <c r="F207" s="28" t="s">
        <v>911</v>
      </c>
      <c r="G207" s="19" t="n">
        <v>0.013</v>
      </c>
    </row>
    <row r="208" customFormat="false" ht="15" hidden="false" customHeight="false" outlineLevel="0" collapsed="false">
      <c r="A208" s="28" t="s">
        <v>172</v>
      </c>
      <c r="B208" s="28" t="s">
        <v>173</v>
      </c>
      <c r="C208" s="28" t="s">
        <v>174</v>
      </c>
      <c r="D208" s="23" t="n">
        <v>1</v>
      </c>
      <c r="E208" s="23" t="n">
        <v>14</v>
      </c>
      <c r="F208" s="28" t="s">
        <v>912</v>
      </c>
      <c r="G208" s="19" t="n">
        <v>0.0144</v>
      </c>
    </row>
    <row r="209" customFormat="false" ht="15" hidden="false" customHeight="false" outlineLevel="0" collapsed="false">
      <c r="A209" s="28" t="s">
        <v>172</v>
      </c>
      <c r="B209" s="28" t="s">
        <v>173</v>
      </c>
      <c r="C209" s="28" t="s">
        <v>174</v>
      </c>
      <c r="D209" s="23" t="n">
        <v>1</v>
      </c>
      <c r="E209" s="23" t="n">
        <v>14</v>
      </c>
      <c r="F209" s="28" t="s">
        <v>913</v>
      </c>
      <c r="G209" s="19" t="n">
        <v>0.0193</v>
      </c>
    </row>
    <row r="210" customFormat="false" ht="15" hidden="false" customHeight="false" outlineLevel="0" collapsed="false">
      <c r="A210" s="28" t="s">
        <v>172</v>
      </c>
      <c r="B210" s="28" t="s">
        <v>173</v>
      </c>
      <c r="C210" s="28" t="s">
        <v>174</v>
      </c>
      <c r="D210" s="23" t="n">
        <v>1</v>
      </c>
      <c r="E210" s="23" t="n">
        <v>14</v>
      </c>
      <c r="F210" s="28" t="s">
        <v>914</v>
      </c>
      <c r="G210" s="19" t="n">
        <v>0.0191</v>
      </c>
    </row>
    <row r="211" customFormat="false" ht="15" hidden="false" customHeight="false" outlineLevel="0" collapsed="false">
      <c r="A211" s="28" t="s">
        <v>172</v>
      </c>
      <c r="B211" s="28" t="s">
        <v>173</v>
      </c>
      <c r="C211" s="28" t="s">
        <v>174</v>
      </c>
      <c r="D211" s="23" t="n">
        <v>1</v>
      </c>
      <c r="E211" s="23" t="n">
        <v>14</v>
      </c>
      <c r="F211" s="28" t="s">
        <v>915</v>
      </c>
      <c r="G211" s="19" t="n">
        <v>0.0349</v>
      </c>
    </row>
    <row r="212" customFormat="false" ht="15" hidden="false" customHeight="false" outlineLevel="0" collapsed="false">
      <c r="A212" s="28" t="s">
        <v>172</v>
      </c>
      <c r="B212" s="28" t="s">
        <v>173</v>
      </c>
      <c r="C212" s="28" t="s">
        <v>174</v>
      </c>
      <c r="D212" s="23" t="n">
        <v>1</v>
      </c>
      <c r="E212" s="23" t="n">
        <v>15</v>
      </c>
      <c r="F212" s="28" t="s">
        <v>904</v>
      </c>
      <c r="G212" s="19" t="n">
        <v>0.0063</v>
      </c>
    </row>
    <row r="213" customFormat="false" ht="15" hidden="false" customHeight="false" outlineLevel="0" collapsed="false">
      <c r="A213" s="28" t="s">
        <v>172</v>
      </c>
      <c r="B213" s="28" t="s">
        <v>173</v>
      </c>
      <c r="C213" s="28" t="s">
        <v>174</v>
      </c>
      <c r="D213" s="23" t="n">
        <v>1</v>
      </c>
      <c r="E213" s="23" t="n">
        <v>15</v>
      </c>
      <c r="F213" s="28" t="s">
        <v>551</v>
      </c>
      <c r="G213" s="19" t="n">
        <v>0.0375</v>
      </c>
    </row>
    <row r="214" customFormat="false" ht="15" hidden="false" customHeight="false" outlineLevel="0" collapsed="false">
      <c r="A214" s="28" t="s">
        <v>172</v>
      </c>
      <c r="B214" s="28" t="s">
        <v>173</v>
      </c>
      <c r="C214" s="28" t="s">
        <v>174</v>
      </c>
      <c r="D214" s="23" t="n">
        <v>1</v>
      </c>
      <c r="E214" s="23" t="n">
        <v>15</v>
      </c>
      <c r="F214" s="28" t="s">
        <v>451</v>
      </c>
      <c r="G214" s="19" t="n">
        <v>0.0061</v>
      </c>
    </row>
    <row r="215" customFormat="false" ht="15" hidden="false" customHeight="false" outlineLevel="0" collapsed="false">
      <c r="A215" s="28" t="s">
        <v>172</v>
      </c>
      <c r="B215" s="28" t="s">
        <v>173</v>
      </c>
      <c r="C215" s="28" t="s">
        <v>174</v>
      </c>
      <c r="D215" s="23" t="n">
        <v>1</v>
      </c>
      <c r="E215" s="23" t="n">
        <v>15</v>
      </c>
      <c r="F215" s="28" t="s">
        <v>905</v>
      </c>
      <c r="G215" s="19" t="n">
        <v>0.0087</v>
      </c>
    </row>
    <row r="216" customFormat="false" ht="15" hidden="false" customHeight="false" outlineLevel="0" collapsed="false">
      <c r="A216" s="28" t="s">
        <v>172</v>
      </c>
      <c r="B216" s="28" t="s">
        <v>173</v>
      </c>
      <c r="C216" s="28" t="s">
        <v>174</v>
      </c>
      <c r="D216" s="23" t="n">
        <v>1</v>
      </c>
      <c r="E216" s="23" t="n">
        <v>15</v>
      </c>
      <c r="F216" s="28" t="s">
        <v>906</v>
      </c>
      <c r="G216" s="19" t="n">
        <v>0.0101</v>
      </c>
    </row>
    <row r="217" customFormat="false" ht="15" hidden="false" customHeight="false" outlineLevel="0" collapsed="false">
      <c r="A217" s="28" t="s">
        <v>172</v>
      </c>
      <c r="B217" s="28" t="s">
        <v>173</v>
      </c>
      <c r="C217" s="28" t="s">
        <v>174</v>
      </c>
      <c r="D217" s="23" t="n">
        <v>1</v>
      </c>
      <c r="E217" s="23" t="n">
        <v>15</v>
      </c>
      <c r="F217" s="28" t="s">
        <v>907</v>
      </c>
      <c r="G217" s="19" t="n">
        <v>0.0098</v>
      </c>
    </row>
    <row r="218" customFormat="false" ht="15" hidden="false" customHeight="false" outlineLevel="0" collapsed="false">
      <c r="A218" s="28" t="s">
        <v>172</v>
      </c>
      <c r="B218" s="28" t="s">
        <v>173</v>
      </c>
      <c r="C218" s="28" t="s">
        <v>174</v>
      </c>
      <c r="D218" s="23" t="n">
        <v>1</v>
      </c>
      <c r="E218" s="23" t="n">
        <v>15</v>
      </c>
      <c r="F218" s="28" t="s">
        <v>908</v>
      </c>
      <c r="G218" s="19" t="n">
        <v>0.0114</v>
      </c>
    </row>
    <row r="219" customFormat="false" ht="15" hidden="false" customHeight="false" outlineLevel="0" collapsed="false">
      <c r="A219" s="28" t="s">
        <v>172</v>
      </c>
      <c r="B219" s="28" t="s">
        <v>173</v>
      </c>
      <c r="C219" s="28" t="s">
        <v>174</v>
      </c>
      <c r="D219" s="23" t="n">
        <v>1</v>
      </c>
      <c r="E219" s="23" t="n">
        <v>15</v>
      </c>
      <c r="F219" s="28" t="s">
        <v>909</v>
      </c>
      <c r="G219" s="19" t="n">
        <v>0.0115</v>
      </c>
    </row>
    <row r="220" customFormat="false" ht="15" hidden="false" customHeight="false" outlineLevel="0" collapsed="false">
      <c r="A220" s="28" t="s">
        <v>172</v>
      </c>
      <c r="B220" s="28" t="s">
        <v>173</v>
      </c>
      <c r="C220" s="28" t="s">
        <v>174</v>
      </c>
      <c r="D220" s="23" t="n">
        <v>1</v>
      </c>
      <c r="E220" s="23" t="n">
        <v>15</v>
      </c>
      <c r="F220" s="28" t="s">
        <v>910</v>
      </c>
      <c r="G220" s="19" t="n">
        <v>0.0119</v>
      </c>
    </row>
    <row r="221" customFormat="false" ht="15" hidden="false" customHeight="false" outlineLevel="0" collapsed="false">
      <c r="A221" s="28" t="s">
        <v>172</v>
      </c>
      <c r="B221" s="28" t="s">
        <v>173</v>
      </c>
      <c r="C221" s="28" t="s">
        <v>174</v>
      </c>
      <c r="D221" s="23" t="n">
        <v>1</v>
      </c>
      <c r="E221" s="23" t="n">
        <v>15</v>
      </c>
      <c r="F221" s="28" t="s">
        <v>911</v>
      </c>
      <c r="G221" s="19" t="n">
        <v>0.013</v>
      </c>
    </row>
    <row r="222" customFormat="false" ht="15" hidden="false" customHeight="false" outlineLevel="0" collapsed="false">
      <c r="A222" s="28" t="s">
        <v>172</v>
      </c>
      <c r="B222" s="28" t="s">
        <v>173</v>
      </c>
      <c r="C222" s="28" t="s">
        <v>174</v>
      </c>
      <c r="D222" s="23" t="n">
        <v>1</v>
      </c>
      <c r="E222" s="23" t="n">
        <v>15</v>
      </c>
      <c r="F222" s="28" t="s">
        <v>912</v>
      </c>
      <c r="G222" s="19" t="n">
        <v>0.0144</v>
      </c>
    </row>
    <row r="223" customFormat="false" ht="15" hidden="false" customHeight="false" outlineLevel="0" collapsed="false">
      <c r="A223" s="28" t="s">
        <v>172</v>
      </c>
      <c r="B223" s="28" t="s">
        <v>173</v>
      </c>
      <c r="C223" s="28" t="s">
        <v>174</v>
      </c>
      <c r="D223" s="23" t="n">
        <v>1</v>
      </c>
      <c r="E223" s="23" t="n">
        <v>15</v>
      </c>
      <c r="F223" s="28" t="s">
        <v>913</v>
      </c>
      <c r="G223" s="19" t="n">
        <v>0.0193</v>
      </c>
    </row>
    <row r="224" customFormat="false" ht="15" hidden="false" customHeight="false" outlineLevel="0" collapsed="false">
      <c r="A224" s="28" t="s">
        <v>172</v>
      </c>
      <c r="B224" s="28" t="s">
        <v>173</v>
      </c>
      <c r="C224" s="28" t="s">
        <v>174</v>
      </c>
      <c r="D224" s="23" t="n">
        <v>1</v>
      </c>
      <c r="E224" s="23" t="n">
        <v>15</v>
      </c>
      <c r="F224" s="28" t="s">
        <v>914</v>
      </c>
      <c r="G224" s="19" t="n">
        <v>0.0191</v>
      </c>
    </row>
    <row r="225" customFormat="false" ht="15" hidden="false" customHeight="false" outlineLevel="0" collapsed="false">
      <c r="A225" s="28" t="s">
        <v>172</v>
      </c>
      <c r="B225" s="28" t="s">
        <v>173</v>
      </c>
      <c r="C225" s="28" t="s">
        <v>174</v>
      </c>
      <c r="D225" s="23" t="n">
        <v>1</v>
      </c>
      <c r="E225" s="23" t="n">
        <v>15</v>
      </c>
      <c r="F225" s="28" t="s">
        <v>915</v>
      </c>
      <c r="G225" s="19" t="n">
        <v>0.0349</v>
      </c>
    </row>
    <row r="226" customFormat="false" ht="15" hidden="false" customHeight="false" outlineLevel="0" collapsed="false">
      <c r="A226" s="28" t="s">
        <v>172</v>
      </c>
      <c r="B226" s="28" t="s">
        <v>173</v>
      </c>
      <c r="C226" s="28" t="s">
        <v>174</v>
      </c>
      <c r="D226" s="23" t="n">
        <v>1</v>
      </c>
      <c r="E226" s="23" t="n">
        <v>16</v>
      </c>
      <c r="F226" s="28" t="s">
        <v>904</v>
      </c>
      <c r="G226" s="19" t="n">
        <v>0.0063</v>
      </c>
    </row>
    <row r="227" customFormat="false" ht="15" hidden="false" customHeight="false" outlineLevel="0" collapsed="false">
      <c r="A227" s="28" t="s">
        <v>172</v>
      </c>
      <c r="B227" s="28" t="s">
        <v>173</v>
      </c>
      <c r="C227" s="28" t="s">
        <v>174</v>
      </c>
      <c r="D227" s="23" t="n">
        <v>1</v>
      </c>
      <c r="E227" s="23" t="n">
        <v>16</v>
      </c>
      <c r="F227" s="28" t="s">
        <v>551</v>
      </c>
      <c r="G227" s="19" t="n">
        <v>0.0375</v>
      </c>
    </row>
    <row r="228" customFormat="false" ht="15" hidden="false" customHeight="false" outlineLevel="0" collapsed="false">
      <c r="A228" s="28" t="s">
        <v>172</v>
      </c>
      <c r="B228" s="28" t="s">
        <v>173</v>
      </c>
      <c r="C228" s="28" t="s">
        <v>174</v>
      </c>
      <c r="D228" s="23" t="n">
        <v>1</v>
      </c>
      <c r="E228" s="23" t="n">
        <v>16</v>
      </c>
      <c r="F228" s="28" t="s">
        <v>451</v>
      </c>
      <c r="G228" s="19" t="n">
        <v>0.0061</v>
      </c>
    </row>
    <row r="229" customFormat="false" ht="15" hidden="false" customHeight="false" outlineLevel="0" collapsed="false">
      <c r="A229" s="28" t="s">
        <v>172</v>
      </c>
      <c r="B229" s="28" t="s">
        <v>173</v>
      </c>
      <c r="C229" s="28" t="s">
        <v>174</v>
      </c>
      <c r="D229" s="23" t="n">
        <v>1</v>
      </c>
      <c r="E229" s="23" t="n">
        <v>16</v>
      </c>
      <c r="F229" s="28" t="s">
        <v>905</v>
      </c>
      <c r="G229" s="19" t="n">
        <v>0.0087</v>
      </c>
    </row>
    <row r="230" customFormat="false" ht="15" hidden="false" customHeight="false" outlineLevel="0" collapsed="false">
      <c r="A230" s="28" t="s">
        <v>172</v>
      </c>
      <c r="B230" s="28" t="s">
        <v>173</v>
      </c>
      <c r="C230" s="28" t="s">
        <v>174</v>
      </c>
      <c r="D230" s="23" t="n">
        <v>1</v>
      </c>
      <c r="E230" s="23" t="n">
        <v>16</v>
      </c>
      <c r="F230" s="28" t="s">
        <v>906</v>
      </c>
      <c r="G230" s="19" t="n">
        <v>0.0101</v>
      </c>
    </row>
    <row r="231" customFormat="false" ht="15" hidden="false" customHeight="false" outlineLevel="0" collapsed="false">
      <c r="A231" s="28" t="s">
        <v>172</v>
      </c>
      <c r="B231" s="28" t="s">
        <v>173</v>
      </c>
      <c r="C231" s="28" t="s">
        <v>174</v>
      </c>
      <c r="D231" s="23" t="n">
        <v>1</v>
      </c>
      <c r="E231" s="23" t="n">
        <v>16</v>
      </c>
      <c r="F231" s="28" t="s">
        <v>907</v>
      </c>
      <c r="G231" s="19" t="n">
        <v>0.0098</v>
      </c>
    </row>
    <row r="232" customFormat="false" ht="15" hidden="false" customHeight="false" outlineLevel="0" collapsed="false">
      <c r="A232" s="28" t="s">
        <v>172</v>
      </c>
      <c r="B232" s="28" t="s">
        <v>173</v>
      </c>
      <c r="C232" s="28" t="s">
        <v>174</v>
      </c>
      <c r="D232" s="23" t="n">
        <v>1</v>
      </c>
      <c r="E232" s="23" t="n">
        <v>16</v>
      </c>
      <c r="F232" s="28" t="s">
        <v>908</v>
      </c>
      <c r="G232" s="19" t="n">
        <v>0.0114</v>
      </c>
    </row>
    <row r="233" customFormat="false" ht="15" hidden="false" customHeight="false" outlineLevel="0" collapsed="false">
      <c r="A233" s="28" t="s">
        <v>172</v>
      </c>
      <c r="B233" s="28" t="s">
        <v>173</v>
      </c>
      <c r="C233" s="28" t="s">
        <v>174</v>
      </c>
      <c r="D233" s="23" t="n">
        <v>1</v>
      </c>
      <c r="E233" s="23" t="n">
        <v>16</v>
      </c>
      <c r="F233" s="28" t="s">
        <v>909</v>
      </c>
      <c r="G233" s="19" t="n">
        <v>0.0115</v>
      </c>
    </row>
    <row r="234" customFormat="false" ht="15" hidden="false" customHeight="false" outlineLevel="0" collapsed="false">
      <c r="A234" s="28" t="s">
        <v>172</v>
      </c>
      <c r="B234" s="28" t="s">
        <v>173</v>
      </c>
      <c r="C234" s="28" t="s">
        <v>174</v>
      </c>
      <c r="D234" s="23" t="n">
        <v>1</v>
      </c>
      <c r="E234" s="23" t="n">
        <v>16</v>
      </c>
      <c r="F234" s="28" t="s">
        <v>910</v>
      </c>
      <c r="G234" s="19" t="n">
        <v>0.0119</v>
      </c>
    </row>
    <row r="235" customFormat="false" ht="15" hidden="false" customHeight="false" outlineLevel="0" collapsed="false">
      <c r="A235" s="28" t="s">
        <v>172</v>
      </c>
      <c r="B235" s="28" t="s">
        <v>173</v>
      </c>
      <c r="C235" s="28" t="s">
        <v>174</v>
      </c>
      <c r="D235" s="23" t="n">
        <v>1</v>
      </c>
      <c r="E235" s="23" t="n">
        <v>16</v>
      </c>
      <c r="F235" s="28" t="s">
        <v>911</v>
      </c>
      <c r="G235" s="19" t="n">
        <v>0.013</v>
      </c>
    </row>
    <row r="236" customFormat="false" ht="15" hidden="false" customHeight="false" outlineLevel="0" collapsed="false">
      <c r="A236" s="28" t="s">
        <v>172</v>
      </c>
      <c r="B236" s="28" t="s">
        <v>173</v>
      </c>
      <c r="C236" s="28" t="s">
        <v>174</v>
      </c>
      <c r="D236" s="23" t="n">
        <v>1</v>
      </c>
      <c r="E236" s="23" t="n">
        <v>16</v>
      </c>
      <c r="F236" s="28" t="s">
        <v>912</v>
      </c>
      <c r="G236" s="19" t="n">
        <v>0.0144</v>
      </c>
    </row>
    <row r="237" customFormat="false" ht="15" hidden="false" customHeight="false" outlineLevel="0" collapsed="false">
      <c r="A237" s="28" t="s">
        <v>172</v>
      </c>
      <c r="B237" s="28" t="s">
        <v>173</v>
      </c>
      <c r="C237" s="28" t="s">
        <v>174</v>
      </c>
      <c r="D237" s="23" t="n">
        <v>1</v>
      </c>
      <c r="E237" s="23" t="n">
        <v>16</v>
      </c>
      <c r="F237" s="28" t="s">
        <v>913</v>
      </c>
      <c r="G237" s="19" t="n">
        <v>0.0193</v>
      </c>
    </row>
    <row r="238" customFormat="false" ht="15" hidden="false" customHeight="false" outlineLevel="0" collapsed="false">
      <c r="A238" s="28" t="s">
        <v>172</v>
      </c>
      <c r="B238" s="28" t="s">
        <v>173</v>
      </c>
      <c r="C238" s="28" t="s">
        <v>174</v>
      </c>
      <c r="D238" s="23" t="n">
        <v>1</v>
      </c>
      <c r="E238" s="23" t="n">
        <v>16</v>
      </c>
      <c r="F238" s="28" t="s">
        <v>914</v>
      </c>
      <c r="G238" s="19" t="n">
        <v>0.0191</v>
      </c>
    </row>
    <row r="239" customFormat="false" ht="15" hidden="false" customHeight="false" outlineLevel="0" collapsed="false">
      <c r="A239" s="28" t="s">
        <v>172</v>
      </c>
      <c r="B239" s="28" t="s">
        <v>173</v>
      </c>
      <c r="C239" s="28" t="s">
        <v>174</v>
      </c>
      <c r="D239" s="23" t="n">
        <v>1</v>
      </c>
      <c r="E239" s="23" t="n">
        <v>16</v>
      </c>
      <c r="F239" s="28" t="s">
        <v>915</v>
      </c>
      <c r="G239" s="19" t="n">
        <v>0.0349</v>
      </c>
    </row>
    <row r="240" customFormat="false" ht="15" hidden="false" customHeight="false" outlineLevel="0" collapsed="false">
      <c r="A240" s="28" t="s">
        <v>172</v>
      </c>
      <c r="B240" s="28" t="s">
        <v>173</v>
      </c>
      <c r="C240" s="28" t="s">
        <v>174</v>
      </c>
      <c r="D240" s="23" t="n">
        <v>1</v>
      </c>
      <c r="E240" s="23" t="n">
        <v>17</v>
      </c>
      <c r="F240" s="28" t="s">
        <v>904</v>
      </c>
      <c r="G240" s="19" t="n">
        <v>0.0063</v>
      </c>
    </row>
    <row r="241" customFormat="false" ht="15" hidden="false" customHeight="false" outlineLevel="0" collapsed="false">
      <c r="A241" s="28" t="s">
        <v>172</v>
      </c>
      <c r="B241" s="28" t="s">
        <v>173</v>
      </c>
      <c r="C241" s="28" t="s">
        <v>174</v>
      </c>
      <c r="D241" s="23" t="n">
        <v>1</v>
      </c>
      <c r="E241" s="23" t="n">
        <v>17</v>
      </c>
      <c r="F241" s="28" t="s">
        <v>551</v>
      </c>
      <c r="G241" s="19" t="n">
        <v>0.0375</v>
      </c>
    </row>
    <row r="242" customFormat="false" ht="15" hidden="false" customHeight="false" outlineLevel="0" collapsed="false">
      <c r="A242" s="28" t="s">
        <v>172</v>
      </c>
      <c r="B242" s="28" t="s">
        <v>173</v>
      </c>
      <c r="C242" s="28" t="s">
        <v>174</v>
      </c>
      <c r="D242" s="23" t="n">
        <v>1</v>
      </c>
      <c r="E242" s="23" t="n">
        <v>17</v>
      </c>
      <c r="F242" s="28" t="s">
        <v>451</v>
      </c>
      <c r="G242" s="19" t="n">
        <v>0.0061</v>
      </c>
    </row>
    <row r="243" customFormat="false" ht="15" hidden="false" customHeight="false" outlineLevel="0" collapsed="false">
      <c r="A243" s="28" t="s">
        <v>172</v>
      </c>
      <c r="B243" s="28" t="s">
        <v>173</v>
      </c>
      <c r="C243" s="28" t="s">
        <v>174</v>
      </c>
      <c r="D243" s="23" t="n">
        <v>1</v>
      </c>
      <c r="E243" s="23" t="n">
        <v>17</v>
      </c>
      <c r="F243" s="28" t="s">
        <v>905</v>
      </c>
      <c r="G243" s="19" t="n">
        <v>0.0087</v>
      </c>
    </row>
    <row r="244" customFormat="false" ht="15" hidden="false" customHeight="false" outlineLevel="0" collapsed="false">
      <c r="A244" s="28" t="s">
        <v>172</v>
      </c>
      <c r="B244" s="28" t="s">
        <v>173</v>
      </c>
      <c r="C244" s="28" t="s">
        <v>174</v>
      </c>
      <c r="D244" s="23" t="n">
        <v>1</v>
      </c>
      <c r="E244" s="23" t="n">
        <v>17</v>
      </c>
      <c r="F244" s="28" t="s">
        <v>906</v>
      </c>
      <c r="G244" s="19" t="n">
        <v>0.0101</v>
      </c>
    </row>
    <row r="245" customFormat="false" ht="15" hidden="false" customHeight="false" outlineLevel="0" collapsed="false">
      <c r="A245" s="28" t="s">
        <v>172</v>
      </c>
      <c r="B245" s="28" t="s">
        <v>173</v>
      </c>
      <c r="C245" s="28" t="s">
        <v>174</v>
      </c>
      <c r="D245" s="23" t="n">
        <v>1</v>
      </c>
      <c r="E245" s="23" t="n">
        <v>17</v>
      </c>
      <c r="F245" s="28" t="s">
        <v>907</v>
      </c>
      <c r="G245" s="19" t="n">
        <v>0.0098</v>
      </c>
    </row>
    <row r="246" customFormat="false" ht="15" hidden="false" customHeight="false" outlineLevel="0" collapsed="false">
      <c r="A246" s="28" t="s">
        <v>172</v>
      </c>
      <c r="B246" s="28" t="s">
        <v>173</v>
      </c>
      <c r="C246" s="28" t="s">
        <v>174</v>
      </c>
      <c r="D246" s="23" t="n">
        <v>1</v>
      </c>
      <c r="E246" s="23" t="n">
        <v>17</v>
      </c>
      <c r="F246" s="28" t="s">
        <v>908</v>
      </c>
      <c r="G246" s="19" t="n">
        <v>0.0114</v>
      </c>
    </row>
    <row r="247" customFormat="false" ht="15" hidden="false" customHeight="false" outlineLevel="0" collapsed="false">
      <c r="A247" s="28" t="s">
        <v>172</v>
      </c>
      <c r="B247" s="28" t="s">
        <v>173</v>
      </c>
      <c r="C247" s="28" t="s">
        <v>174</v>
      </c>
      <c r="D247" s="23" t="n">
        <v>1</v>
      </c>
      <c r="E247" s="23" t="n">
        <v>17</v>
      </c>
      <c r="F247" s="28" t="s">
        <v>909</v>
      </c>
      <c r="G247" s="19" t="n">
        <v>0.0115</v>
      </c>
    </row>
    <row r="248" customFormat="false" ht="15" hidden="false" customHeight="false" outlineLevel="0" collapsed="false">
      <c r="A248" s="28" t="s">
        <v>172</v>
      </c>
      <c r="B248" s="28" t="s">
        <v>173</v>
      </c>
      <c r="C248" s="28" t="s">
        <v>174</v>
      </c>
      <c r="D248" s="23" t="n">
        <v>1</v>
      </c>
      <c r="E248" s="23" t="n">
        <v>17</v>
      </c>
      <c r="F248" s="28" t="s">
        <v>910</v>
      </c>
      <c r="G248" s="19" t="n">
        <v>0.0119</v>
      </c>
    </row>
    <row r="249" customFormat="false" ht="15" hidden="false" customHeight="false" outlineLevel="0" collapsed="false">
      <c r="A249" s="28" t="s">
        <v>172</v>
      </c>
      <c r="B249" s="28" t="s">
        <v>173</v>
      </c>
      <c r="C249" s="28" t="s">
        <v>174</v>
      </c>
      <c r="D249" s="23" t="n">
        <v>1</v>
      </c>
      <c r="E249" s="23" t="n">
        <v>17</v>
      </c>
      <c r="F249" s="28" t="s">
        <v>911</v>
      </c>
      <c r="G249" s="19" t="n">
        <v>0.013</v>
      </c>
    </row>
    <row r="250" customFormat="false" ht="15" hidden="false" customHeight="false" outlineLevel="0" collapsed="false">
      <c r="A250" s="28" t="s">
        <v>172</v>
      </c>
      <c r="B250" s="28" t="s">
        <v>173</v>
      </c>
      <c r="C250" s="28" t="s">
        <v>174</v>
      </c>
      <c r="D250" s="23" t="n">
        <v>1</v>
      </c>
      <c r="E250" s="23" t="n">
        <v>17</v>
      </c>
      <c r="F250" s="28" t="s">
        <v>912</v>
      </c>
      <c r="G250" s="19" t="n">
        <v>0.0144</v>
      </c>
    </row>
    <row r="251" customFormat="false" ht="15" hidden="false" customHeight="false" outlineLevel="0" collapsed="false">
      <c r="A251" s="28" t="s">
        <v>172</v>
      </c>
      <c r="B251" s="28" t="s">
        <v>173</v>
      </c>
      <c r="C251" s="28" t="s">
        <v>174</v>
      </c>
      <c r="D251" s="23" t="n">
        <v>1</v>
      </c>
      <c r="E251" s="23" t="n">
        <v>17</v>
      </c>
      <c r="F251" s="28" t="s">
        <v>913</v>
      </c>
      <c r="G251" s="19" t="n">
        <v>0.0193</v>
      </c>
    </row>
    <row r="252" customFormat="false" ht="15" hidden="false" customHeight="false" outlineLevel="0" collapsed="false">
      <c r="A252" s="28" t="s">
        <v>172</v>
      </c>
      <c r="B252" s="28" t="s">
        <v>173</v>
      </c>
      <c r="C252" s="28" t="s">
        <v>174</v>
      </c>
      <c r="D252" s="23" t="n">
        <v>1</v>
      </c>
      <c r="E252" s="23" t="n">
        <v>17</v>
      </c>
      <c r="F252" s="28" t="s">
        <v>914</v>
      </c>
      <c r="G252" s="19" t="n">
        <v>0.0191</v>
      </c>
    </row>
    <row r="253" customFormat="false" ht="15" hidden="false" customHeight="false" outlineLevel="0" collapsed="false">
      <c r="A253" s="28" t="s">
        <v>172</v>
      </c>
      <c r="B253" s="28" t="s">
        <v>173</v>
      </c>
      <c r="C253" s="28" t="s">
        <v>174</v>
      </c>
      <c r="D253" s="23" t="n">
        <v>1</v>
      </c>
      <c r="E253" s="23" t="n">
        <v>17</v>
      </c>
      <c r="F253" s="28" t="s">
        <v>915</v>
      </c>
      <c r="G253" s="19" t="n">
        <v>0.0349</v>
      </c>
    </row>
    <row r="254" customFormat="false" ht="15" hidden="false" customHeight="false" outlineLevel="0" collapsed="false">
      <c r="A254" s="28" t="s">
        <v>172</v>
      </c>
      <c r="B254" s="28" t="s">
        <v>173</v>
      </c>
      <c r="C254" s="28" t="s">
        <v>174</v>
      </c>
      <c r="D254" s="23" t="n">
        <v>1</v>
      </c>
      <c r="E254" s="23" t="n">
        <v>18</v>
      </c>
      <c r="F254" s="28" t="s">
        <v>904</v>
      </c>
      <c r="G254" s="19" t="n">
        <v>0.0063</v>
      </c>
    </row>
    <row r="255" customFormat="false" ht="15" hidden="false" customHeight="false" outlineLevel="0" collapsed="false">
      <c r="A255" s="28" t="s">
        <v>172</v>
      </c>
      <c r="B255" s="28" t="s">
        <v>173</v>
      </c>
      <c r="C255" s="28" t="s">
        <v>174</v>
      </c>
      <c r="D255" s="23" t="n">
        <v>1</v>
      </c>
      <c r="E255" s="23" t="n">
        <v>18</v>
      </c>
      <c r="F255" s="28" t="s">
        <v>551</v>
      </c>
      <c r="G255" s="19" t="n">
        <v>0.0375</v>
      </c>
    </row>
    <row r="256" customFormat="false" ht="15" hidden="false" customHeight="false" outlineLevel="0" collapsed="false">
      <c r="A256" s="28" t="s">
        <v>172</v>
      </c>
      <c r="B256" s="28" t="s">
        <v>173</v>
      </c>
      <c r="C256" s="28" t="s">
        <v>174</v>
      </c>
      <c r="D256" s="23" t="n">
        <v>1</v>
      </c>
      <c r="E256" s="23" t="n">
        <v>18</v>
      </c>
      <c r="F256" s="28" t="s">
        <v>451</v>
      </c>
      <c r="G256" s="19" t="n">
        <v>0.0061</v>
      </c>
    </row>
    <row r="257" customFormat="false" ht="15" hidden="false" customHeight="false" outlineLevel="0" collapsed="false">
      <c r="A257" s="28" t="s">
        <v>172</v>
      </c>
      <c r="B257" s="28" t="s">
        <v>173</v>
      </c>
      <c r="C257" s="28" t="s">
        <v>174</v>
      </c>
      <c r="D257" s="23" t="n">
        <v>1</v>
      </c>
      <c r="E257" s="23" t="n">
        <v>18</v>
      </c>
      <c r="F257" s="28" t="s">
        <v>905</v>
      </c>
      <c r="G257" s="19" t="n">
        <v>0.0087</v>
      </c>
    </row>
    <row r="258" customFormat="false" ht="15" hidden="false" customHeight="false" outlineLevel="0" collapsed="false">
      <c r="A258" s="28" t="s">
        <v>172</v>
      </c>
      <c r="B258" s="28" t="s">
        <v>173</v>
      </c>
      <c r="C258" s="28" t="s">
        <v>174</v>
      </c>
      <c r="D258" s="23" t="n">
        <v>1</v>
      </c>
      <c r="E258" s="23" t="n">
        <v>18</v>
      </c>
      <c r="F258" s="28" t="s">
        <v>906</v>
      </c>
      <c r="G258" s="19" t="n">
        <v>0.0101</v>
      </c>
    </row>
    <row r="259" customFormat="false" ht="15" hidden="false" customHeight="false" outlineLevel="0" collapsed="false">
      <c r="A259" s="28" t="s">
        <v>172</v>
      </c>
      <c r="B259" s="28" t="s">
        <v>173</v>
      </c>
      <c r="C259" s="28" t="s">
        <v>174</v>
      </c>
      <c r="D259" s="23" t="n">
        <v>1</v>
      </c>
      <c r="E259" s="23" t="n">
        <v>18</v>
      </c>
      <c r="F259" s="28" t="s">
        <v>907</v>
      </c>
      <c r="G259" s="19" t="n">
        <v>0.0098</v>
      </c>
    </row>
    <row r="260" customFormat="false" ht="15" hidden="false" customHeight="false" outlineLevel="0" collapsed="false">
      <c r="A260" s="28" t="s">
        <v>172</v>
      </c>
      <c r="B260" s="28" t="s">
        <v>173</v>
      </c>
      <c r="C260" s="28" t="s">
        <v>174</v>
      </c>
      <c r="D260" s="23" t="n">
        <v>1</v>
      </c>
      <c r="E260" s="23" t="n">
        <v>18</v>
      </c>
      <c r="F260" s="28" t="s">
        <v>908</v>
      </c>
      <c r="G260" s="19" t="n">
        <v>0.0114</v>
      </c>
    </row>
    <row r="261" customFormat="false" ht="15" hidden="false" customHeight="false" outlineLevel="0" collapsed="false">
      <c r="A261" s="28" t="s">
        <v>172</v>
      </c>
      <c r="B261" s="28" t="s">
        <v>173</v>
      </c>
      <c r="C261" s="28" t="s">
        <v>174</v>
      </c>
      <c r="D261" s="23" t="n">
        <v>1</v>
      </c>
      <c r="E261" s="23" t="n">
        <v>18</v>
      </c>
      <c r="F261" s="28" t="s">
        <v>909</v>
      </c>
      <c r="G261" s="19" t="n">
        <v>0.0115</v>
      </c>
    </row>
    <row r="262" customFormat="false" ht="15" hidden="false" customHeight="false" outlineLevel="0" collapsed="false">
      <c r="A262" s="28" t="s">
        <v>172</v>
      </c>
      <c r="B262" s="28" t="s">
        <v>173</v>
      </c>
      <c r="C262" s="28" t="s">
        <v>174</v>
      </c>
      <c r="D262" s="23" t="n">
        <v>1</v>
      </c>
      <c r="E262" s="23" t="n">
        <v>18</v>
      </c>
      <c r="F262" s="28" t="s">
        <v>910</v>
      </c>
      <c r="G262" s="19" t="n">
        <v>0.0119</v>
      </c>
    </row>
    <row r="263" customFormat="false" ht="15" hidden="false" customHeight="false" outlineLevel="0" collapsed="false">
      <c r="A263" s="28" t="s">
        <v>172</v>
      </c>
      <c r="B263" s="28" t="s">
        <v>173</v>
      </c>
      <c r="C263" s="28" t="s">
        <v>174</v>
      </c>
      <c r="D263" s="23" t="n">
        <v>1</v>
      </c>
      <c r="E263" s="23" t="n">
        <v>18</v>
      </c>
      <c r="F263" s="28" t="s">
        <v>911</v>
      </c>
      <c r="G263" s="19" t="n">
        <v>0.013</v>
      </c>
    </row>
    <row r="264" customFormat="false" ht="15" hidden="false" customHeight="false" outlineLevel="0" collapsed="false">
      <c r="A264" s="28" t="s">
        <v>172</v>
      </c>
      <c r="B264" s="28" t="s">
        <v>173</v>
      </c>
      <c r="C264" s="28" t="s">
        <v>174</v>
      </c>
      <c r="D264" s="23" t="n">
        <v>1</v>
      </c>
      <c r="E264" s="23" t="n">
        <v>18</v>
      </c>
      <c r="F264" s="28" t="s">
        <v>912</v>
      </c>
      <c r="G264" s="19" t="n">
        <v>0.0144</v>
      </c>
    </row>
    <row r="265" customFormat="false" ht="15" hidden="false" customHeight="false" outlineLevel="0" collapsed="false">
      <c r="A265" s="28" t="s">
        <v>172</v>
      </c>
      <c r="B265" s="28" t="s">
        <v>173</v>
      </c>
      <c r="C265" s="28" t="s">
        <v>174</v>
      </c>
      <c r="D265" s="23" t="n">
        <v>1</v>
      </c>
      <c r="E265" s="23" t="n">
        <v>18</v>
      </c>
      <c r="F265" s="28" t="s">
        <v>913</v>
      </c>
      <c r="G265" s="19" t="n">
        <v>0.0193</v>
      </c>
    </row>
    <row r="266" customFormat="false" ht="15" hidden="false" customHeight="false" outlineLevel="0" collapsed="false">
      <c r="A266" s="28" t="s">
        <v>172</v>
      </c>
      <c r="B266" s="28" t="s">
        <v>173</v>
      </c>
      <c r="C266" s="28" t="s">
        <v>174</v>
      </c>
      <c r="D266" s="23" t="n">
        <v>1</v>
      </c>
      <c r="E266" s="23" t="n">
        <v>18</v>
      </c>
      <c r="F266" s="28" t="s">
        <v>914</v>
      </c>
      <c r="G266" s="19" t="n">
        <v>0.0191</v>
      </c>
    </row>
    <row r="267" customFormat="false" ht="15" hidden="false" customHeight="false" outlineLevel="0" collapsed="false">
      <c r="A267" s="28" t="s">
        <v>172</v>
      </c>
      <c r="B267" s="28" t="s">
        <v>173</v>
      </c>
      <c r="C267" s="28" t="s">
        <v>174</v>
      </c>
      <c r="D267" s="23" t="n">
        <v>1</v>
      </c>
      <c r="E267" s="23" t="n">
        <v>18</v>
      </c>
      <c r="F267" s="28" t="s">
        <v>915</v>
      </c>
      <c r="G267" s="19" t="n">
        <v>0.0349</v>
      </c>
    </row>
    <row r="268" customFormat="false" ht="15" hidden="false" customHeight="false" outlineLevel="0" collapsed="false">
      <c r="A268" s="28" t="s">
        <v>172</v>
      </c>
      <c r="B268" s="28" t="s">
        <v>173</v>
      </c>
      <c r="C268" s="28" t="s">
        <v>174</v>
      </c>
      <c r="D268" s="23" t="n">
        <v>1</v>
      </c>
      <c r="E268" s="23" t="n">
        <v>19</v>
      </c>
      <c r="F268" s="28" t="s">
        <v>904</v>
      </c>
      <c r="G268" s="19" t="n">
        <v>0.0063</v>
      </c>
    </row>
    <row r="269" customFormat="false" ht="15" hidden="false" customHeight="false" outlineLevel="0" collapsed="false">
      <c r="A269" s="28" t="s">
        <v>172</v>
      </c>
      <c r="B269" s="28" t="s">
        <v>173</v>
      </c>
      <c r="C269" s="28" t="s">
        <v>174</v>
      </c>
      <c r="D269" s="23" t="n">
        <v>1</v>
      </c>
      <c r="E269" s="23" t="n">
        <v>19</v>
      </c>
      <c r="F269" s="28" t="s">
        <v>551</v>
      </c>
      <c r="G269" s="19" t="n">
        <v>0.0375</v>
      </c>
    </row>
    <row r="270" customFormat="false" ht="15" hidden="false" customHeight="false" outlineLevel="0" collapsed="false">
      <c r="A270" s="28" t="s">
        <v>172</v>
      </c>
      <c r="B270" s="28" t="s">
        <v>173</v>
      </c>
      <c r="C270" s="28" t="s">
        <v>174</v>
      </c>
      <c r="D270" s="23" t="n">
        <v>1</v>
      </c>
      <c r="E270" s="23" t="n">
        <v>19</v>
      </c>
      <c r="F270" s="28" t="s">
        <v>451</v>
      </c>
      <c r="G270" s="19" t="n">
        <v>0.0061</v>
      </c>
    </row>
    <row r="271" customFormat="false" ht="15" hidden="false" customHeight="false" outlineLevel="0" collapsed="false">
      <c r="A271" s="28" t="s">
        <v>172</v>
      </c>
      <c r="B271" s="28" t="s">
        <v>173</v>
      </c>
      <c r="C271" s="28" t="s">
        <v>174</v>
      </c>
      <c r="D271" s="23" t="n">
        <v>1</v>
      </c>
      <c r="E271" s="23" t="n">
        <v>19</v>
      </c>
      <c r="F271" s="28" t="s">
        <v>905</v>
      </c>
      <c r="G271" s="19" t="n">
        <v>0.0087</v>
      </c>
    </row>
    <row r="272" customFormat="false" ht="15" hidden="false" customHeight="false" outlineLevel="0" collapsed="false">
      <c r="A272" s="28" t="s">
        <v>172</v>
      </c>
      <c r="B272" s="28" t="s">
        <v>173</v>
      </c>
      <c r="C272" s="28" t="s">
        <v>174</v>
      </c>
      <c r="D272" s="23" t="n">
        <v>1</v>
      </c>
      <c r="E272" s="23" t="n">
        <v>19</v>
      </c>
      <c r="F272" s="28" t="s">
        <v>906</v>
      </c>
      <c r="G272" s="19" t="n">
        <v>0.0101</v>
      </c>
    </row>
    <row r="273" customFormat="false" ht="15" hidden="false" customHeight="false" outlineLevel="0" collapsed="false">
      <c r="A273" s="28" t="s">
        <v>172</v>
      </c>
      <c r="B273" s="28" t="s">
        <v>173</v>
      </c>
      <c r="C273" s="28" t="s">
        <v>174</v>
      </c>
      <c r="D273" s="23" t="n">
        <v>1</v>
      </c>
      <c r="E273" s="23" t="n">
        <v>19</v>
      </c>
      <c r="F273" s="28" t="s">
        <v>907</v>
      </c>
      <c r="G273" s="19" t="n">
        <v>0.0098</v>
      </c>
    </row>
    <row r="274" customFormat="false" ht="15" hidden="false" customHeight="false" outlineLevel="0" collapsed="false">
      <c r="A274" s="28" t="s">
        <v>172</v>
      </c>
      <c r="B274" s="28" t="s">
        <v>173</v>
      </c>
      <c r="C274" s="28" t="s">
        <v>174</v>
      </c>
      <c r="D274" s="23" t="n">
        <v>1</v>
      </c>
      <c r="E274" s="23" t="n">
        <v>19</v>
      </c>
      <c r="F274" s="28" t="s">
        <v>908</v>
      </c>
      <c r="G274" s="19" t="n">
        <v>0.0114</v>
      </c>
    </row>
    <row r="275" customFormat="false" ht="15" hidden="false" customHeight="false" outlineLevel="0" collapsed="false">
      <c r="A275" s="28" t="s">
        <v>172</v>
      </c>
      <c r="B275" s="28" t="s">
        <v>173</v>
      </c>
      <c r="C275" s="28" t="s">
        <v>174</v>
      </c>
      <c r="D275" s="23" t="n">
        <v>1</v>
      </c>
      <c r="E275" s="23" t="n">
        <v>19</v>
      </c>
      <c r="F275" s="28" t="s">
        <v>909</v>
      </c>
      <c r="G275" s="19" t="n">
        <v>0.0115</v>
      </c>
    </row>
    <row r="276" customFormat="false" ht="15" hidden="false" customHeight="false" outlineLevel="0" collapsed="false">
      <c r="A276" s="28" t="s">
        <v>172</v>
      </c>
      <c r="B276" s="28" t="s">
        <v>173</v>
      </c>
      <c r="C276" s="28" t="s">
        <v>174</v>
      </c>
      <c r="D276" s="23" t="n">
        <v>1</v>
      </c>
      <c r="E276" s="23" t="n">
        <v>19</v>
      </c>
      <c r="F276" s="28" t="s">
        <v>910</v>
      </c>
      <c r="G276" s="19" t="n">
        <v>0.0119</v>
      </c>
    </row>
    <row r="277" customFormat="false" ht="15" hidden="false" customHeight="false" outlineLevel="0" collapsed="false">
      <c r="A277" s="28" t="s">
        <v>172</v>
      </c>
      <c r="B277" s="28" t="s">
        <v>173</v>
      </c>
      <c r="C277" s="28" t="s">
        <v>174</v>
      </c>
      <c r="D277" s="23" t="n">
        <v>1</v>
      </c>
      <c r="E277" s="23" t="n">
        <v>19</v>
      </c>
      <c r="F277" s="28" t="s">
        <v>911</v>
      </c>
      <c r="G277" s="19" t="n">
        <v>0.013</v>
      </c>
    </row>
    <row r="278" customFormat="false" ht="15" hidden="false" customHeight="false" outlineLevel="0" collapsed="false">
      <c r="A278" s="28" t="s">
        <v>172</v>
      </c>
      <c r="B278" s="28" t="s">
        <v>173</v>
      </c>
      <c r="C278" s="28" t="s">
        <v>174</v>
      </c>
      <c r="D278" s="23" t="n">
        <v>1</v>
      </c>
      <c r="E278" s="23" t="n">
        <v>19</v>
      </c>
      <c r="F278" s="28" t="s">
        <v>912</v>
      </c>
      <c r="G278" s="19" t="n">
        <v>0.0144</v>
      </c>
    </row>
    <row r="279" customFormat="false" ht="15" hidden="false" customHeight="false" outlineLevel="0" collapsed="false">
      <c r="A279" s="28" t="s">
        <v>172</v>
      </c>
      <c r="B279" s="28" t="s">
        <v>173</v>
      </c>
      <c r="C279" s="28" t="s">
        <v>174</v>
      </c>
      <c r="D279" s="23" t="n">
        <v>1</v>
      </c>
      <c r="E279" s="23" t="n">
        <v>19</v>
      </c>
      <c r="F279" s="28" t="s">
        <v>913</v>
      </c>
      <c r="G279" s="19" t="n">
        <v>0.0193</v>
      </c>
    </row>
    <row r="280" customFormat="false" ht="15" hidden="false" customHeight="false" outlineLevel="0" collapsed="false">
      <c r="A280" s="28" t="s">
        <v>172</v>
      </c>
      <c r="B280" s="28" t="s">
        <v>173</v>
      </c>
      <c r="C280" s="28" t="s">
        <v>174</v>
      </c>
      <c r="D280" s="23" t="n">
        <v>1</v>
      </c>
      <c r="E280" s="23" t="n">
        <v>19</v>
      </c>
      <c r="F280" s="28" t="s">
        <v>914</v>
      </c>
      <c r="G280" s="19" t="n">
        <v>0.0191</v>
      </c>
    </row>
    <row r="281" customFormat="false" ht="15" hidden="false" customHeight="false" outlineLevel="0" collapsed="false">
      <c r="A281" s="28" t="s">
        <v>172</v>
      </c>
      <c r="B281" s="28" t="s">
        <v>173</v>
      </c>
      <c r="C281" s="28" t="s">
        <v>174</v>
      </c>
      <c r="D281" s="23" t="n">
        <v>1</v>
      </c>
      <c r="E281" s="23" t="n">
        <v>19</v>
      </c>
      <c r="F281" s="28" t="s">
        <v>915</v>
      </c>
      <c r="G281" s="19" t="n">
        <v>0.0349</v>
      </c>
    </row>
    <row r="282" customFormat="false" ht="15" hidden="false" customHeight="false" outlineLevel="0" collapsed="false">
      <c r="A282" s="28" t="s">
        <v>172</v>
      </c>
      <c r="B282" s="28" t="s">
        <v>173</v>
      </c>
      <c r="C282" s="28" t="s">
        <v>174</v>
      </c>
      <c r="D282" s="23" t="n">
        <v>1</v>
      </c>
      <c r="E282" s="23" t="n">
        <v>20</v>
      </c>
      <c r="F282" s="28" t="s">
        <v>904</v>
      </c>
      <c r="G282" s="19" t="n">
        <v>0.0063</v>
      </c>
    </row>
    <row r="283" customFormat="false" ht="15" hidden="false" customHeight="false" outlineLevel="0" collapsed="false">
      <c r="A283" s="28" t="s">
        <v>172</v>
      </c>
      <c r="B283" s="28" t="s">
        <v>173</v>
      </c>
      <c r="C283" s="28" t="s">
        <v>174</v>
      </c>
      <c r="D283" s="23" t="n">
        <v>1</v>
      </c>
      <c r="E283" s="23" t="n">
        <v>20</v>
      </c>
      <c r="F283" s="28" t="s">
        <v>551</v>
      </c>
      <c r="G283" s="19" t="n">
        <v>0.0375</v>
      </c>
    </row>
    <row r="284" customFormat="false" ht="15" hidden="false" customHeight="false" outlineLevel="0" collapsed="false">
      <c r="A284" s="28" t="s">
        <v>172</v>
      </c>
      <c r="B284" s="28" t="s">
        <v>173</v>
      </c>
      <c r="C284" s="28" t="s">
        <v>174</v>
      </c>
      <c r="D284" s="23" t="n">
        <v>1</v>
      </c>
      <c r="E284" s="23" t="n">
        <v>20</v>
      </c>
      <c r="F284" s="28" t="s">
        <v>451</v>
      </c>
      <c r="G284" s="19" t="n">
        <v>0.0061</v>
      </c>
    </row>
    <row r="285" customFormat="false" ht="15" hidden="false" customHeight="false" outlineLevel="0" collapsed="false">
      <c r="A285" s="28" t="s">
        <v>172</v>
      </c>
      <c r="B285" s="28" t="s">
        <v>173</v>
      </c>
      <c r="C285" s="28" t="s">
        <v>174</v>
      </c>
      <c r="D285" s="23" t="n">
        <v>1</v>
      </c>
      <c r="E285" s="23" t="n">
        <v>20</v>
      </c>
      <c r="F285" s="28" t="s">
        <v>905</v>
      </c>
      <c r="G285" s="19" t="n">
        <v>0.0087</v>
      </c>
    </row>
    <row r="286" customFormat="false" ht="15" hidden="false" customHeight="false" outlineLevel="0" collapsed="false">
      <c r="A286" s="28" t="s">
        <v>172</v>
      </c>
      <c r="B286" s="28" t="s">
        <v>173</v>
      </c>
      <c r="C286" s="28" t="s">
        <v>174</v>
      </c>
      <c r="D286" s="23" t="n">
        <v>1</v>
      </c>
      <c r="E286" s="23" t="n">
        <v>20</v>
      </c>
      <c r="F286" s="28" t="s">
        <v>906</v>
      </c>
      <c r="G286" s="19" t="n">
        <v>0.0101</v>
      </c>
    </row>
    <row r="287" customFormat="false" ht="15" hidden="false" customHeight="false" outlineLevel="0" collapsed="false">
      <c r="A287" s="28" t="s">
        <v>172</v>
      </c>
      <c r="B287" s="28" t="s">
        <v>173</v>
      </c>
      <c r="C287" s="28" t="s">
        <v>174</v>
      </c>
      <c r="D287" s="23" t="n">
        <v>1</v>
      </c>
      <c r="E287" s="23" t="n">
        <v>20</v>
      </c>
      <c r="F287" s="28" t="s">
        <v>907</v>
      </c>
      <c r="G287" s="19" t="n">
        <v>0.0098</v>
      </c>
    </row>
    <row r="288" customFormat="false" ht="15" hidden="false" customHeight="false" outlineLevel="0" collapsed="false">
      <c r="A288" s="28" t="s">
        <v>172</v>
      </c>
      <c r="B288" s="28" t="s">
        <v>173</v>
      </c>
      <c r="C288" s="28" t="s">
        <v>174</v>
      </c>
      <c r="D288" s="23" t="n">
        <v>1</v>
      </c>
      <c r="E288" s="23" t="n">
        <v>20</v>
      </c>
      <c r="F288" s="28" t="s">
        <v>908</v>
      </c>
      <c r="G288" s="19" t="n">
        <v>0.0114</v>
      </c>
    </row>
    <row r="289" customFormat="false" ht="15" hidden="false" customHeight="false" outlineLevel="0" collapsed="false">
      <c r="A289" s="28" t="s">
        <v>172</v>
      </c>
      <c r="B289" s="28" t="s">
        <v>173</v>
      </c>
      <c r="C289" s="28" t="s">
        <v>174</v>
      </c>
      <c r="D289" s="23" t="n">
        <v>1</v>
      </c>
      <c r="E289" s="23" t="n">
        <v>20</v>
      </c>
      <c r="F289" s="28" t="s">
        <v>909</v>
      </c>
      <c r="G289" s="19" t="n">
        <v>0.0115</v>
      </c>
    </row>
    <row r="290" customFormat="false" ht="15" hidden="false" customHeight="false" outlineLevel="0" collapsed="false">
      <c r="A290" s="28" t="s">
        <v>172</v>
      </c>
      <c r="B290" s="28" t="s">
        <v>173</v>
      </c>
      <c r="C290" s="28" t="s">
        <v>174</v>
      </c>
      <c r="D290" s="23" t="n">
        <v>1</v>
      </c>
      <c r="E290" s="23" t="n">
        <v>20</v>
      </c>
      <c r="F290" s="28" t="s">
        <v>910</v>
      </c>
      <c r="G290" s="19" t="n">
        <v>0.0119</v>
      </c>
    </row>
    <row r="291" customFormat="false" ht="15" hidden="false" customHeight="false" outlineLevel="0" collapsed="false">
      <c r="A291" s="28" t="s">
        <v>172</v>
      </c>
      <c r="B291" s="28" t="s">
        <v>173</v>
      </c>
      <c r="C291" s="28" t="s">
        <v>174</v>
      </c>
      <c r="D291" s="23" t="n">
        <v>1</v>
      </c>
      <c r="E291" s="23" t="n">
        <v>20</v>
      </c>
      <c r="F291" s="28" t="s">
        <v>911</v>
      </c>
      <c r="G291" s="19" t="n">
        <v>0.013</v>
      </c>
    </row>
    <row r="292" customFormat="false" ht="15" hidden="false" customHeight="false" outlineLevel="0" collapsed="false">
      <c r="A292" s="28" t="s">
        <v>172</v>
      </c>
      <c r="B292" s="28" t="s">
        <v>173</v>
      </c>
      <c r="C292" s="28" t="s">
        <v>174</v>
      </c>
      <c r="D292" s="23" t="n">
        <v>1</v>
      </c>
      <c r="E292" s="23" t="n">
        <v>20</v>
      </c>
      <c r="F292" s="28" t="s">
        <v>912</v>
      </c>
      <c r="G292" s="19" t="n">
        <v>0.0144</v>
      </c>
    </row>
    <row r="293" customFormat="false" ht="15" hidden="false" customHeight="false" outlineLevel="0" collapsed="false">
      <c r="A293" s="28" t="s">
        <v>172</v>
      </c>
      <c r="B293" s="28" t="s">
        <v>173</v>
      </c>
      <c r="C293" s="28" t="s">
        <v>174</v>
      </c>
      <c r="D293" s="23" t="n">
        <v>1</v>
      </c>
      <c r="E293" s="23" t="n">
        <v>20</v>
      </c>
      <c r="F293" s="28" t="s">
        <v>913</v>
      </c>
      <c r="G293" s="19" t="n">
        <v>0.0193</v>
      </c>
    </row>
    <row r="294" customFormat="false" ht="15" hidden="false" customHeight="false" outlineLevel="0" collapsed="false">
      <c r="A294" s="28" t="s">
        <v>172</v>
      </c>
      <c r="B294" s="28" t="s">
        <v>173</v>
      </c>
      <c r="C294" s="28" t="s">
        <v>174</v>
      </c>
      <c r="D294" s="23" t="n">
        <v>1</v>
      </c>
      <c r="E294" s="23" t="n">
        <v>20</v>
      </c>
      <c r="F294" s="28" t="s">
        <v>914</v>
      </c>
      <c r="G294" s="19" t="n">
        <v>0.0191</v>
      </c>
    </row>
    <row r="295" customFormat="false" ht="15" hidden="false" customHeight="false" outlineLevel="0" collapsed="false">
      <c r="A295" s="28" t="s">
        <v>172</v>
      </c>
      <c r="B295" s="28" t="s">
        <v>173</v>
      </c>
      <c r="C295" s="28" t="s">
        <v>174</v>
      </c>
      <c r="D295" s="23" t="n">
        <v>1</v>
      </c>
      <c r="E295" s="23" t="n">
        <v>20</v>
      </c>
      <c r="F295" s="28" t="s">
        <v>915</v>
      </c>
      <c r="G295" s="19" t="n">
        <v>0.0349</v>
      </c>
    </row>
    <row r="296" customFormat="false" ht="15" hidden="false" customHeight="false" outlineLevel="0" collapsed="false">
      <c r="A296" s="28" t="s">
        <v>172</v>
      </c>
      <c r="B296" s="28" t="s">
        <v>173</v>
      </c>
      <c r="C296" s="28" t="s">
        <v>174</v>
      </c>
      <c r="D296" s="23" t="n">
        <v>1</v>
      </c>
      <c r="E296" s="23" t="n">
        <v>21</v>
      </c>
      <c r="F296" s="28" t="s">
        <v>904</v>
      </c>
      <c r="G296" s="19" t="n">
        <v>0.0063</v>
      </c>
    </row>
    <row r="297" customFormat="false" ht="15" hidden="false" customHeight="false" outlineLevel="0" collapsed="false">
      <c r="A297" s="28" t="s">
        <v>172</v>
      </c>
      <c r="B297" s="28" t="s">
        <v>173</v>
      </c>
      <c r="C297" s="28" t="s">
        <v>174</v>
      </c>
      <c r="D297" s="23" t="n">
        <v>1</v>
      </c>
      <c r="E297" s="23" t="n">
        <v>21</v>
      </c>
      <c r="F297" s="28" t="s">
        <v>551</v>
      </c>
      <c r="G297" s="19" t="n">
        <v>0.0375</v>
      </c>
    </row>
    <row r="298" customFormat="false" ht="15" hidden="false" customHeight="false" outlineLevel="0" collapsed="false">
      <c r="A298" s="28" t="s">
        <v>172</v>
      </c>
      <c r="B298" s="28" t="s">
        <v>173</v>
      </c>
      <c r="C298" s="28" t="s">
        <v>174</v>
      </c>
      <c r="D298" s="23" t="n">
        <v>1</v>
      </c>
      <c r="E298" s="23" t="n">
        <v>21</v>
      </c>
      <c r="F298" s="28" t="s">
        <v>451</v>
      </c>
      <c r="G298" s="19" t="n">
        <v>0.0061</v>
      </c>
    </row>
    <row r="299" customFormat="false" ht="15" hidden="false" customHeight="false" outlineLevel="0" collapsed="false">
      <c r="A299" s="28" t="s">
        <v>172</v>
      </c>
      <c r="B299" s="28" t="s">
        <v>173</v>
      </c>
      <c r="C299" s="28" t="s">
        <v>174</v>
      </c>
      <c r="D299" s="23" t="n">
        <v>1</v>
      </c>
      <c r="E299" s="23" t="n">
        <v>21</v>
      </c>
      <c r="F299" s="28" t="s">
        <v>905</v>
      </c>
      <c r="G299" s="19" t="n">
        <v>0.0087</v>
      </c>
    </row>
    <row r="300" customFormat="false" ht="15" hidden="false" customHeight="false" outlineLevel="0" collapsed="false">
      <c r="A300" s="28" t="s">
        <v>172</v>
      </c>
      <c r="B300" s="28" t="s">
        <v>173</v>
      </c>
      <c r="C300" s="28" t="s">
        <v>174</v>
      </c>
      <c r="D300" s="23" t="n">
        <v>1</v>
      </c>
      <c r="E300" s="23" t="n">
        <v>21</v>
      </c>
      <c r="F300" s="28" t="s">
        <v>906</v>
      </c>
      <c r="G300" s="19" t="n">
        <v>0.0101</v>
      </c>
    </row>
    <row r="301" customFormat="false" ht="15" hidden="false" customHeight="false" outlineLevel="0" collapsed="false">
      <c r="A301" s="28" t="s">
        <v>172</v>
      </c>
      <c r="B301" s="28" t="s">
        <v>173</v>
      </c>
      <c r="C301" s="28" t="s">
        <v>174</v>
      </c>
      <c r="D301" s="23" t="n">
        <v>1</v>
      </c>
      <c r="E301" s="23" t="n">
        <v>21</v>
      </c>
      <c r="F301" s="28" t="s">
        <v>907</v>
      </c>
      <c r="G301" s="19" t="n">
        <v>0.0098</v>
      </c>
    </row>
    <row r="302" customFormat="false" ht="15" hidden="false" customHeight="false" outlineLevel="0" collapsed="false">
      <c r="A302" s="28" t="s">
        <v>172</v>
      </c>
      <c r="B302" s="28" t="s">
        <v>173</v>
      </c>
      <c r="C302" s="28" t="s">
        <v>174</v>
      </c>
      <c r="D302" s="23" t="n">
        <v>1</v>
      </c>
      <c r="E302" s="23" t="n">
        <v>21</v>
      </c>
      <c r="F302" s="28" t="s">
        <v>908</v>
      </c>
      <c r="G302" s="19" t="n">
        <v>0.0114</v>
      </c>
    </row>
    <row r="303" customFormat="false" ht="15" hidden="false" customHeight="false" outlineLevel="0" collapsed="false">
      <c r="A303" s="28" t="s">
        <v>172</v>
      </c>
      <c r="B303" s="28" t="s">
        <v>173</v>
      </c>
      <c r="C303" s="28" t="s">
        <v>174</v>
      </c>
      <c r="D303" s="23" t="n">
        <v>1</v>
      </c>
      <c r="E303" s="23" t="n">
        <v>21</v>
      </c>
      <c r="F303" s="28" t="s">
        <v>909</v>
      </c>
      <c r="G303" s="19" t="n">
        <v>0.0115</v>
      </c>
    </row>
    <row r="304" customFormat="false" ht="15" hidden="false" customHeight="false" outlineLevel="0" collapsed="false">
      <c r="A304" s="28" t="s">
        <v>172</v>
      </c>
      <c r="B304" s="28" t="s">
        <v>173</v>
      </c>
      <c r="C304" s="28" t="s">
        <v>174</v>
      </c>
      <c r="D304" s="23" t="n">
        <v>1</v>
      </c>
      <c r="E304" s="23" t="n">
        <v>21</v>
      </c>
      <c r="F304" s="28" t="s">
        <v>910</v>
      </c>
      <c r="G304" s="19" t="n">
        <v>0.0119</v>
      </c>
    </row>
    <row r="305" customFormat="false" ht="15" hidden="false" customHeight="false" outlineLevel="0" collapsed="false">
      <c r="A305" s="28" t="s">
        <v>172</v>
      </c>
      <c r="B305" s="28" t="s">
        <v>173</v>
      </c>
      <c r="C305" s="28" t="s">
        <v>174</v>
      </c>
      <c r="D305" s="23" t="n">
        <v>1</v>
      </c>
      <c r="E305" s="23" t="n">
        <v>21</v>
      </c>
      <c r="F305" s="28" t="s">
        <v>911</v>
      </c>
      <c r="G305" s="19" t="n">
        <v>0.013</v>
      </c>
    </row>
    <row r="306" customFormat="false" ht="15" hidden="false" customHeight="false" outlineLevel="0" collapsed="false">
      <c r="A306" s="28" t="s">
        <v>172</v>
      </c>
      <c r="B306" s="28" t="s">
        <v>173</v>
      </c>
      <c r="C306" s="28" t="s">
        <v>174</v>
      </c>
      <c r="D306" s="23" t="n">
        <v>1</v>
      </c>
      <c r="E306" s="23" t="n">
        <v>21</v>
      </c>
      <c r="F306" s="28" t="s">
        <v>912</v>
      </c>
      <c r="G306" s="19" t="n">
        <v>0.0144</v>
      </c>
    </row>
    <row r="307" customFormat="false" ht="15" hidden="false" customHeight="false" outlineLevel="0" collapsed="false">
      <c r="A307" s="28" t="s">
        <v>172</v>
      </c>
      <c r="B307" s="28" t="s">
        <v>173</v>
      </c>
      <c r="C307" s="28" t="s">
        <v>174</v>
      </c>
      <c r="D307" s="23" t="n">
        <v>1</v>
      </c>
      <c r="E307" s="23" t="n">
        <v>21</v>
      </c>
      <c r="F307" s="28" t="s">
        <v>913</v>
      </c>
      <c r="G307" s="19" t="n">
        <v>0.0193</v>
      </c>
    </row>
    <row r="308" customFormat="false" ht="15" hidden="false" customHeight="false" outlineLevel="0" collapsed="false">
      <c r="A308" s="28" t="s">
        <v>172</v>
      </c>
      <c r="B308" s="28" t="s">
        <v>173</v>
      </c>
      <c r="C308" s="28" t="s">
        <v>174</v>
      </c>
      <c r="D308" s="23" t="n">
        <v>1</v>
      </c>
      <c r="E308" s="23" t="n">
        <v>21</v>
      </c>
      <c r="F308" s="28" t="s">
        <v>914</v>
      </c>
      <c r="G308" s="19" t="n">
        <v>0.0191</v>
      </c>
    </row>
    <row r="309" customFormat="false" ht="15" hidden="false" customHeight="false" outlineLevel="0" collapsed="false">
      <c r="A309" s="28" t="s">
        <v>172</v>
      </c>
      <c r="B309" s="28" t="s">
        <v>173</v>
      </c>
      <c r="C309" s="28" t="s">
        <v>174</v>
      </c>
      <c r="D309" s="23" t="n">
        <v>1</v>
      </c>
      <c r="E309" s="23" t="n">
        <v>21</v>
      </c>
      <c r="F309" s="28" t="s">
        <v>915</v>
      </c>
      <c r="G309" s="19" t="n">
        <v>0.0349</v>
      </c>
    </row>
    <row r="310" customFormat="false" ht="15" hidden="false" customHeight="false" outlineLevel="0" collapsed="false">
      <c r="A310" s="28" t="s">
        <v>172</v>
      </c>
      <c r="B310" s="28" t="s">
        <v>173</v>
      </c>
      <c r="C310" s="28" t="s">
        <v>174</v>
      </c>
      <c r="D310" s="23" t="n">
        <v>1</v>
      </c>
      <c r="E310" s="23" t="n">
        <v>22</v>
      </c>
      <c r="F310" s="28" t="s">
        <v>904</v>
      </c>
      <c r="G310" s="19" t="n">
        <v>0.0063</v>
      </c>
    </row>
    <row r="311" customFormat="false" ht="15" hidden="false" customHeight="false" outlineLevel="0" collapsed="false">
      <c r="A311" s="28" t="s">
        <v>172</v>
      </c>
      <c r="B311" s="28" t="s">
        <v>173</v>
      </c>
      <c r="C311" s="28" t="s">
        <v>174</v>
      </c>
      <c r="D311" s="23" t="n">
        <v>1</v>
      </c>
      <c r="E311" s="23" t="n">
        <v>22</v>
      </c>
      <c r="F311" s="28" t="s">
        <v>551</v>
      </c>
      <c r="G311" s="19" t="n">
        <v>0.0375</v>
      </c>
    </row>
    <row r="312" customFormat="false" ht="15" hidden="false" customHeight="false" outlineLevel="0" collapsed="false">
      <c r="A312" s="28" t="s">
        <v>172</v>
      </c>
      <c r="B312" s="28" t="s">
        <v>173</v>
      </c>
      <c r="C312" s="28" t="s">
        <v>174</v>
      </c>
      <c r="D312" s="23" t="n">
        <v>1</v>
      </c>
      <c r="E312" s="23" t="n">
        <v>22</v>
      </c>
      <c r="F312" s="28" t="s">
        <v>451</v>
      </c>
      <c r="G312" s="19" t="n">
        <v>0.0061</v>
      </c>
    </row>
    <row r="313" customFormat="false" ht="15" hidden="false" customHeight="false" outlineLevel="0" collapsed="false">
      <c r="A313" s="28" t="s">
        <v>172</v>
      </c>
      <c r="B313" s="28" t="s">
        <v>173</v>
      </c>
      <c r="C313" s="28" t="s">
        <v>174</v>
      </c>
      <c r="D313" s="23" t="n">
        <v>1</v>
      </c>
      <c r="E313" s="23" t="n">
        <v>22</v>
      </c>
      <c r="F313" s="28" t="s">
        <v>905</v>
      </c>
      <c r="G313" s="19" t="n">
        <v>0.0087</v>
      </c>
    </row>
    <row r="314" customFormat="false" ht="15" hidden="false" customHeight="false" outlineLevel="0" collapsed="false">
      <c r="A314" s="28" t="s">
        <v>172</v>
      </c>
      <c r="B314" s="28" t="s">
        <v>173</v>
      </c>
      <c r="C314" s="28" t="s">
        <v>174</v>
      </c>
      <c r="D314" s="23" t="n">
        <v>1</v>
      </c>
      <c r="E314" s="23" t="n">
        <v>22</v>
      </c>
      <c r="F314" s="28" t="s">
        <v>906</v>
      </c>
      <c r="G314" s="19" t="n">
        <v>0.0101</v>
      </c>
    </row>
    <row r="315" customFormat="false" ht="15" hidden="false" customHeight="false" outlineLevel="0" collapsed="false">
      <c r="A315" s="28" t="s">
        <v>172</v>
      </c>
      <c r="B315" s="28" t="s">
        <v>173</v>
      </c>
      <c r="C315" s="28" t="s">
        <v>174</v>
      </c>
      <c r="D315" s="23" t="n">
        <v>1</v>
      </c>
      <c r="E315" s="23" t="n">
        <v>22</v>
      </c>
      <c r="F315" s="28" t="s">
        <v>907</v>
      </c>
      <c r="G315" s="19" t="n">
        <v>0.0098</v>
      </c>
    </row>
    <row r="316" customFormat="false" ht="15" hidden="false" customHeight="false" outlineLevel="0" collapsed="false">
      <c r="A316" s="28" t="s">
        <v>172</v>
      </c>
      <c r="B316" s="28" t="s">
        <v>173</v>
      </c>
      <c r="C316" s="28" t="s">
        <v>174</v>
      </c>
      <c r="D316" s="23" t="n">
        <v>1</v>
      </c>
      <c r="E316" s="23" t="n">
        <v>22</v>
      </c>
      <c r="F316" s="28" t="s">
        <v>908</v>
      </c>
      <c r="G316" s="19" t="n">
        <v>0.0114</v>
      </c>
    </row>
    <row r="317" customFormat="false" ht="15" hidden="false" customHeight="false" outlineLevel="0" collapsed="false">
      <c r="A317" s="28" t="s">
        <v>172</v>
      </c>
      <c r="B317" s="28" t="s">
        <v>173</v>
      </c>
      <c r="C317" s="28" t="s">
        <v>174</v>
      </c>
      <c r="D317" s="23" t="n">
        <v>1</v>
      </c>
      <c r="E317" s="23" t="n">
        <v>22</v>
      </c>
      <c r="F317" s="28" t="s">
        <v>909</v>
      </c>
      <c r="G317" s="19" t="n">
        <v>0.0115</v>
      </c>
    </row>
    <row r="318" customFormat="false" ht="15" hidden="false" customHeight="false" outlineLevel="0" collapsed="false">
      <c r="A318" s="28" t="s">
        <v>172</v>
      </c>
      <c r="B318" s="28" t="s">
        <v>173</v>
      </c>
      <c r="C318" s="28" t="s">
        <v>174</v>
      </c>
      <c r="D318" s="23" t="n">
        <v>1</v>
      </c>
      <c r="E318" s="23" t="n">
        <v>22</v>
      </c>
      <c r="F318" s="28" t="s">
        <v>910</v>
      </c>
      <c r="G318" s="19" t="n">
        <v>0.0119</v>
      </c>
    </row>
    <row r="319" customFormat="false" ht="15" hidden="false" customHeight="false" outlineLevel="0" collapsed="false">
      <c r="A319" s="28" t="s">
        <v>172</v>
      </c>
      <c r="B319" s="28" t="s">
        <v>173</v>
      </c>
      <c r="C319" s="28" t="s">
        <v>174</v>
      </c>
      <c r="D319" s="23" t="n">
        <v>1</v>
      </c>
      <c r="E319" s="23" t="n">
        <v>22</v>
      </c>
      <c r="F319" s="28" t="s">
        <v>911</v>
      </c>
      <c r="G319" s="19" t="n">
        <v>0.013</v>
      </c>
    </row>
    <row r="320" customFormat="false" ht="15" hidden="false" customHeight="false" outlineLevel="0" collapsed="false">
      <c r="A320" s="28" t="s">
        <v>172</v>
      </c>
      <c r="B320" s="28" t="s">
        <v>173</v>
      </c>
      <c r="C320" s="28" t="s">
        <v>174</v>
      </c>
      <c r="D320" s="23" t="n">
        <v>1</v>
      </c>
      <c r="E320" s="23" t="n">
        <v>22</v>
      </c>
      <c r="F320" s="28" t="s">
        <v>912</v>
      </c>
      <c r="G320" s="19" t="n">
        <v>0.0144</v>
      </c>
    </row>
    <row r="321" customFormat="false" ht="15" hidden="false" customHeight="false" outlineLevel="0" collapsed="false">
      <c r="A321" s="28" t="s">
        <v>172</v>
      </c>
      <c r="B321" s="28" t="s">
        <v>173</v>
      </c>
      <c r="C321" s="28" t="s">
        <v>174</v>
      </c>
      <c r="D321" s="23" t="n">
        <v>1</v>
      </c>
      <c r="E321" s="23" t="n">
        <v>22</v>
      </c>
      <c r="F321" s="28" t="s">
        <v>913</v>
      </c>
      <c r="G321" s="19" t="n">
        <v>0.0193</v>
      </c>
    </row>
    <row r="322" customFormat="false" ht="15" hidden="false" customHeight="false" outlineLevel="0" collapsed="false">
      <c r="A322" s="28" t="s">
        <v>172</v>
      </c>
      <c r="B322" s="28" t="s">
        <v>173</v>
      </c>
      <c r="C322" s="28" t="s">
        <v>174</v>
      </c>
      <c r="D322" s="23" t="n">
        <v>1</v>
      </c>
      <c r="E322" s="23" t="n">
        <v>22</v>
      </c>
      <c r="F322" s="28" t="s">
        <v>914</v>
      </c>
      <c r="G322" s="19" t="n">
        <v>0.0191</v>
      </c>
    </row>
    <row r="323" customFormat="false" ht="15" hidden="false" customHeight="false" outlineLevel="0" collapsed="false">
      <c r="A323" s="28" t="s">
        <v>172</v>
      </c>
      <c r="B323" s="28" t="s">
        <v>173</v>
      </c>
      <c r="C323" s="28" t="s">
        <v>174</v>
      </c>
      <c r="D323" s="23" t="n">
        <v>1</v>
      </c>
      <c r="E323" s="23" t="n">
        <v>22</v>
      </c>
      <c r="F323" s="28" t="s">
        <v>915</v>
      </c>
      <c r="G323" s="19" t="n">
        <v>0.0349</v>
      </c>
    </row>
    <row r="324" customFormat="false" ht="15" hidden="false" customHeight="false" outlineLevel="0" collapsed="false">
      <c r="A324" s="28" t="s">
        <v>172</v>
      </c>
      <c r="B324" s="28" t="s">
        <v>173</v>
      </c>
      <c r="C324" s="28" t="s">
        <v>174</v>
      </c>
      <c r="D324" s="23" t="n">
        <v>1</v>
      </c>
      <c r="E324" s="23" t="n">
        <v>23</v>
      </c>
      <c r="F324" s="28" t="s">
        <v>904</v>
      </c>
      <c r="G324" s="19" t="n">
        <v>0.0063</v>
      </c>
    </row>
    <row r="325" customFormat="false" ht="15" hidden="false" customHeight="false" outlineLevel="0" collapsed="false">
      <c r="A325" s="28" t="s">
        <v>172</v>
      </c>
      <c r="B325" s="28" t="s">
        <v>173</v>
      </c>
      <c r="C325" s="28" t="s">
        <v>174</v>
      </c>
      <c r="D325" s="23" t="n">
        <v>1</v>
      </c>
      <c r="E325" s="23" t="n">
        <v>23</v>
      </c>
      <c r="F325" s="28" t="s">
        <v>551</v>
      </c>
      <c r="G325" s="19" t="n">
        <v>0.0375</v>
      </c>
    </row>
    <row r="326" customFormat="false" ht="15" hidden="false" customHeight="false" outlineLevel="0" collapsed="false">
      <c r="A326" s="28" t="s">
        <v>172</v>
      </c>
      <c r="B326" s="28" t="s">
        <v>173</v>
      </c>
      <c r="C326" s="28" t="s">
        <v>174</v>
      </c>
      <c r="D326" s="23" t="n">
        <v>1</v>
      </c>
      <c r="E326" s="23" t="n">
        <v>23</v>
      </c>
      <c r="F326" s="28" t="s">
        <v>451</v>
      </c>
      <c r="G326" s="19" t="n">
        <v>0.0061</v>
      </c>
    </row>
    <row r="327" customFormat="false" ht="15" hidden="false" customHeight="false" outlineLevel="0" collapsed="false">
      <c r="A327" s="28" t="s">
        <v>172</v>
      </c>
      <c r="B327" s="28" t="s">
        <v>173</v>
      </c>
      <c r="C327" s="28" t="s">
        <v>174</v>
      </c>
      <c r="D327" s="23" t="n">
        <v>1</v>
      </c>
      <c r="E327" s="23" t="n">
        <v>23</v>
      </c>
      <c r="F327" s="28" t="s">
        <v>905</v>
      </c>
      <c r="G327" s="19" t="n">
        <v>0.0087</v>
      </c>
    </row>
    <row r="328" customFormat="false" ht="15" hidden="false" customHeight="false" outlineLevel="0" collapsed="false">
      <c r="A328" s="28" t="s">
        <v>172</v>
      </c>
      <c r="B328" s="28" t="s">
        <v>173</v>
      </c>
      <c r="C328" s="28" t="s">
        <v>174</v>
      </c>
      <c r="D328" s="23" t="n">
        <v>1</v>
      </c>
      <c r="E328" s="23" t="n">
        <v>23</v>
      </c>
      <c r="F328" s="28" t="s">
        <v>906</v>
      </c>
      <c r="G328" s="19" t="n">
        <v>0.0101</v>
      </c>
    </row>
    <row r="329" customFormat="false" ht="15" hidden="false" customHeight="false" outlineLevel="0" collapsed="false">
      <c r="A329" s="28" t="s">
        <v>172</v>
      </c>
      <c r="B329" s="28" t="s">
        <v>173</v>
      </c>
      <c r="C329" s="28" t="s">
        <v>174</v>
      </c>
      <c r="D329" s="23" t="n">
        <v>1</v>
      </c>
      <c r="E329" s="23" t="n">
        <v>23</v>
      </c>
      <c r="F329" s="28" t="s">
        <v>907</v>
      </c>
      <c r="G329" s="19" t="n">
        <v>0.0098</v>
      </c>
    </row>
    <row r="330" customFormat="false" ht="15" hidden="false" customHeight="false" outlineLevel="0" collapsed="false">
      <c r="A330" s="28" t="s">
        <v>172</v>
      </c>
      <c r="B330" s="28" t="s">
        <v>173</v>
      </c>
      <c r="C330" s="28" t="s">
        <v>174</v>
      </c>
      <c r="D330" s="23" t="n">
        <v>1</v>
      </c>
      <c r="E330" s="23" t="n">
        <v>23</v>
      </c>
      <c r="F330" s="28" t="s">
        <v>908</v>
      </c>
      <c r="G330" s="19" t="n">
        <v>0.0114</v>
      </c>
    </row>
    <row r="331" customFormat="false" ht="15" hidden="false" customHeight="false" outlineLevel="0" collapsed="false">
      <c r="A331" s="28" t="s">
        <v>172</v>
      </c>
      <c r="B331" s="28" t="s">
        <v>173</v>
      </c>
      <c r="C331" s="28" t="s">
        <v>174</v>
      </c>
      <c r="D331" s="23" t="n">
        <v>1</v>
      </c>
      <c r="E331" s="23" t="n">
        <v>23</v>
      </c>
      <c r="F331" s="28" t="s">
        <v>909</v>
      </c>
      <c r="G331" s="19" t="n">
        <v>0.0115</v>
      </c>
    </row>
    <row r="332" customFormat="false" ht="15" hidden="false" customHeight="false" outlineLevel="0" collapsed="false">
      <c r="A332" s="28" t="s">
        <v>172</v>
      </c>
      <c r="B332" s="28" t="s">
        <v>173</v>
      </c>
      <c r="C332" s="28" t="s">
        <v>174</v>
      </c>
      <c r="D332" s="23" t="n">
        <v>1</v>
      </c>
      <c r="E332" s="23" t="n">
        <v>23</v>
      </c>
      <c r="F332" s="28" t="s">
        <v>910</v>
      </c>
      <c r="G332" s="19" t="n">
        <v>0.0119</v>
      </c>
    </row>
    <row r="333" customFormat="false" ht="15" hidden="false" customHeight="false" outlineLevel="0" collapsed="false">
      <c r="A333" s="28" t="s">
        <v>172</v>
      </c>
      <c r="B333" s="28" t="s">
        <v>173</v>
      </c>
      <c r="C333" s="28" t="s">
        <v>174</v>
      </c>
      <c r="D333" s="23" t="n">
        <v>1</v>
      </c>
      <c r="E333" s="23" t="n">
        <v>23</v>
      </c>
      <c r="F333" s="28" t="s">
        <v>911</v>
      </c>
      <c r="G333" s="19" t="n">
        <v>0.013</v>
      </c>
    </row>
    <row r="334" customFormat="false" ht="15" hidden="false" customHeight="false" outlineLevel="0" collapsed="false">
      <c r="A334" s="28" t="s">
        <v>172</v>
      </c>
      <c r="B334" s="28" t="s">
        <v>173</v>
      </c>
      <c r="C334" s="28" t="s">
        <v>174</v>
      </c>
      <c r="D334" s="23" t="n">
        <v>1</v>
      </c>
      <c r="E334" s="23" t="n">
        <v>23</v>
      </c>
      <c r="F334" s="28" t="s">
        <v>912</v>
      </c>
      <c r="G334" s="19" t="n">
        <v>0.0144</v>
      </c>
    </row>
    <row r="335" customFormat="false" ht="15" hidden="false" customHeight="false" outlineLevel="0" collapsed="false">
      <c r="A335" s="28" t="s">
        <v>172</v>
      </c>
      <c r="B335" s="28" t="s">
        <v>173</v>
      </c>
      <c r="C335" s="28" t="s">
        <v>174</v>
      </c>
      <c r="D335" s="23" t="n">
        <v>1</v>
      </c>
      <c r="E335" s="23" t="n">
        <v>23</v>
      </c>
      <c r="F335" s="28" t="s">
        <v>913</v>
      </c>
      <c r="G335" s="19" t="n">
        <v>0.0193</v>
      </c>
    </row>
    <row r="336" customFormat="false" ht="15" hidden="false" customHeight="false" outlineLevel="0" collapsed="false">
      <c r="A336" s="28" t="s">
        <v>172</v>
      </c>
      <c r="B336" s="28" t="s">
        <v>173</v>
      </c>
      <c r="C336" s="28" t="s">
        <v>174</v>
      </c>
      <c r="D336" s="23" t="n">
        <v>1</v>
      </c>
      <c r="E336" s="23" t="n">
        <v>23</v>
      </c>
      <c r="F336" s="28" t="s">
        <v>914</v>
      </c>
      <c r="G336" s="19" t="n">
        <v>0.0191</v>
      </c>
    </row>
    <row r="337" customFormat="false" ht="15" hidden="false" customHeight="false" outlineLevel="0" collapsed="false">
      <c r="A337" s="28" t="s">
        <v>172</v>
      </c>
      <c r="B337" s="28" t="s">
        <v>173</v>
      </c>
      <c r="C337" s="28" t="s">
        <v>174</v>
      </c>
      <c r="D337" s="23" t="n">
        <v>1</v>
      </c>
      <c r="E337" s="23" t="n">
        <v>23</v>
      </c>
      <c r="F337" s="28" t="s">
        <v>915</v>
      </c>
      <c r="G337" s="19" t="n">
        <v>0.0349</v>
      </c>
    </row>
    <row r="338" customFormat="false" ht="15" hidden="false" customHeight="false" outlineLevel="0" collapsed="false">
      <c r="A338" s="28" t="s">
        <v>172</v>
      </c>
      <c r="B338" s="28" t="s">
        <v>173</v>
      </c>
      <c r="C338" s="28" t="s">
        <v>174</v>
      </c>
      <c r="D338" s="23" t="n">
        <v>1</v>
      </c>
      <c r="E338" s="23" t="n">
        <v>24</v>
      </c>
      <c r="F338" s="28" t="s">
        <v>904</v>
      </c>
      <c r="G338" s="19" t="n">
        <v>0.0063</v>
      </c>
    </row>
    <row r="339" customFormat="false" ht="15" hidden="false" customHeight="false" outlineLevel="0" collapsed="false">
      <c r="A339" s="28" t="s">
        <v>172</v>
      </c>
      <c r="B339" s="28" t="s">
        <v>173</v>
      </c>
      <c r="C339" s="28" t="s">
        <v>174</v>
      </c>
      <c r="D339" s="23" t="n">
        <v>1</v>
      </c>
      <c r="E339" s="23" t="n">
        <v>24</v>
      </c>
      <c r="F339" s="28" t="s">
        <v>551</v>
      </c>
      <c r="G339" s="19" t="n">
        <v>0.0375</v>
      </c>
    </row>
    <row r="340" customFormat="false" ht="15" hidden="false" customHeight="false" outlineLevel="0" collapsed="false">
      <c r="A340" s="28" t="s">
        <v>172</v>
      </c>
      <c r="B340" s="28" t="s">
        <v>173</v>
      </c>
      <c r="C340" s="28" t="s">
        <v>174</v>
      </c>
      <c r="D340" s="23" t="n">
        <v>1</v>
      </c>
      <c r="E340" s="23" t="n">
        <v>24</v>
      </c>
      <c r="F340" s="28" t="s">
        <v>451</v>
      </c>
      <c r="G340" s="19" t="n">
        <v>0.0061</v>
      </c>
    </row>
    <row r="341" customFormat="false" ht="15" hidden="false" customHeight="false" outlineLevel="0" collapsed="false">
      <c r="A341" s="28" t="s">
        <v>172</v>
      </c>
      <c r="B341" s="28" t="s">
        <v>173</v>
      </c>
      <c r="C341" s="28" t="s">
        <v>174</v>
      </c>
      <c r="D341" s="23" t="n">
        <v>1</v>
      </c>
      <c r="E341" s="23" t="n">
        <v>24</v>
      </c>
      <c r="F341" s="28" t="s">
        <v>905</v>
      </c>
      <c r="G341" s="19" t="n">
        <v>0.0087</v>
      </c>
    </row>
    <row r="342" customFormat="false" ht="15" hidden="false" customHeight="false" outlineLevel="0" collapsed="false">
      <c r="A342" s="28" t="s">
        <v>172</v>
      </c>
      <c r="B342" s="28" t="s">
        <v>173</v>
      </c>
      <c r="C342" s="28" t="s">
        <v>174</v>
      </c>
      <c r="D342" s="23" t="n">
        <v>1</v>
      </c>
      <c r="E342" s="23" t="n">
        <v>24</v>
      </c>
      <c r="F342" s="28" t="s">
        <v>906</v>
      </c>
      <c r="G342" s="19" t="n">
        <v>0.0101</v>
      </c>
    </row>
    <row r="343" customFormat="false" ht="15" hidden="false" customHeight="false" outlineLevel="0" collapsed="false">
      <c r="A343" s="28" t="s">
        <v>172</v>
      </c>
      <c r="B343" s="28" t="s">
        <v>173</v>
      </c>
      <c r="C343" s="28" t="s">
        <v>174</v>
      </c>
      <c r="D343" s="23" t="n">
        <v>1</v>
      </c>
      <c r="E343" s="23" t="n">
        <v>24</v>
      </c>
      <c r="F343" s="28" t="s">
        <v>907</v>
      </c>
      <c r="G343" s="19" t="n">
        <v>0.0098</v>
      </c>
    </row>
    <row r="344" customFormat="false" ht="15" hidden="false" customHeight="false" outlineLevel="0" collapsed="false">
      <c r="A344" s="28" t="s">
        <v>172</v>
      </c>
      <c r="B344" s="28" t="s">
        <v>173</v>
      </c>
      <c r="C344" s="28" t="s">
        <v>174</v>
      </c>
      <c r="D344" s="23" t="n">
        <v>1</v>
      </c>
      <c r="E344" s="23" t="n">
        <v>24</v>
      </c>
      <c r="F344" s="28" t="s">
        <v>908</v>
      </c>
      <c r="G344" s="19" t="n">
        <v>0.0114</v>
      </c>
    </row>
    <row r="345" customFormat="false" ht="15" hidden="false" customHeight="false" outlineLevel="0" collapsed="false">
      <c r="A345" s="28" t="s">
        <v>172</v>
      </c>
      <c r="B345" s="28" t="s">
        <v>173</v>
      </c>
      <c r="C345" s="28" t="s">
        <v>174</v>
      </c>
      <c r="D345" s="23" t="n">
        <v>1</v>
      </c>
      <c r="E345" s="23" t="n">
        <v>24</v>
      </c>
      <c r="F345" s="28" t="s">
        <v>909</v>
      </c>
      <c r="G345" s="19" t="n">
        <v>0.0115</v>
      </c>
    </row>
    <row r="346" customFormat="false" ht="15" hidden="false" customHeight="false" outlineLevel="0" collapsed="false">
      <c r="A346" s="28" t="s">
        <v>172</v>
      </c>
      <c r="B346" s="28" t="s">
        <v>173</v>
      </c>
      <c r="C346" s="28" t="s">
        <v>174</v>
      </c>
      <c r="D346" s="23" t="n">
        <v>1</v>
      </c>
      <c r="E346" s="23" t="n">
        <v>24</v>
      </c>
      <c r="F346" s="28" t="s">
        <v>910</v>
      </c>
      <c r="G346" s="19" t="n">
        <v>0.0119</v>
      </c>
    </row>
    <row r="347" customFormat="false" ht="15" hidden="false" customHeight="false" outlineLevel="0" collapsed="false">
      <c r="A347" s="28" t="s">
        <v>172</v>
      </c>
      <c r="B347" s="28" t="s">
        <v>173</v>
      </c>
      <c r="C347" s="28" t="s">
        <v>174</v>
      </c>
      <c r="D347" s="23" t="n">
        <v>1</v>
      </c>
      <c r="E347" s="23" t="n">
        <v>24</v>
      </c>
      <c r="F347" s="28" t="s">
        <v>911</v>
      </c>
      <c r="G347" s="19" t="n">
        <v>0.013</v>
      </c>
    </row>
    <row r="348" customFormat="false" ht="15" hidden="false" customHeight="false" outlineLevel="0" collapsed="false">
      <c r="A348" s="28" t="s">
        <v>172</v>
      </c>
      <c r="B348" s="28" t="s">
        <v>173</v>
      </c>
      <c r="C348" s="28" t="s">
        <v>174</v>
      </c>
      <c r="D348" s="23" t="n">
        <v>1</v>
      </c>
      <c r="E348" s="23" t="n">
        <v>24</v>
      </c>
      <c r="F348" s="28" t="s">
        <v>912</v>
      </c>
      <c r="G348" s="19" t="n">
        <v>0.0144</v>
      </c>
    </row>
    <row r="349" customFormat="false" ht="15" hidden="false" customHeight="false" outlineLevel="0" collapsed="false">
      <c r="A349" s="28" t="s">
        <v>172</v>
      </c>
      <c r="B349" s="28" t="s">
        <v>173</v>
      </c>
      <c r="C349" s="28" t="s">
        <v>174</v>
      </c>
      <c r="D349" s="23" t="n">
        <v>1</v>
      </c>
      <c r="E349" s="23" t="n">
        <v>24</v>
      </c>
      <c r="F349" s="28" t="s">
        <v>913</v>
      </c>
      <c r="G349" s="19" t="n">
        <v>0.0193</v>
      </c>
    </row>
    <row r="350" customFormat="false" ht="15" hidden="false" customHeight="false" outlineLevel="0" collapsed="false">
      <c r="A350" s="28" t="s">
        <v>172</v>
      </c>
      <c r="B350" s="28" t="s">
        <v>173</v>
      </c>
      <c r="C350" s="28" t="s">
        <v>174</v>
      </c>
      <c r="D350" s="23" t="n">
        <v>1</v>
      </c>
      <c r="E350" s="23" t="n">
        <v>24</v>
      </c>
      <c r="F350" s="28" t="s">
        <v>914</v>
      </c>
      <c r="G350" s="19" t="n">
        <v>0.0191</v>
      </c>
    </row>
    <row r="351" customFormat="false" ht="15" hidden="false" customHeight="false" outlineLevel="0" collapsed="false">
      <c r="A351" s="28" t="s">
        <v>172</v>
      </c>
      <c r="B351" s="28" t="s">
        <v>173</v>
      </c>
      <c r="C351" s="28" t="s">
        <v>174</v>
      </c>
      <c r="D351" s="23" t="n">
        <v>1</v>
      </c>
      <c r="E351" s="23" t="n">
        <v>24</v>
      </c>
      <c r="F351" s="28" t="s">
        <v>915</v>
      </c>
      <c r="G351" s="19" t="n">
        <v>0.0349</v>
      </c>
    </row>
    <row r="352" customFormat="false" ht="15" hidden="false" customHeight="false" outlineLevel="0" collapsed="false">
      <c r="A352" s="28" t="s">
        <v>176</v>
      </c>
      <c r="B352" s="28" t="s">
        <v>177</v>
      </c>
      <c r="C352" s="28" t="s">
        <v>174</v>
      </c>
      <c r="D352" s="23" t="n">
        <v>2</v>
      </c>
      <c r="E352" s="23" t="n">
        <v>0</v>
      </c>
      <c r="F352" s="28" t="s">
        <v>904</v>
      </c>
      <c r="G352" s="19" t="n">
        <v>0.0163</v>
      </c>
    </row>
    <row r="353" customFormat="false" ht="15" hidden="false" customHeight="false" outlineLevel="0" collapsed="false">
      <c r="A353" s="28" t="s">
        <v>176</v>
      </c>
      <c r="B353" s="28" t="s">
        <v>177</v>
      </c>
      <c r="C353" s="28" t="s">
        <v>174</v>
      </c>
      <c r="D353" s="23" t="n">
        <v>2</v>
      </c>
      <c r="E353" s="23" t="n">
        <v>0</v>
      </c>
      <c r="F353" s="28" t="s">
        <v>551</v>
      </c>
      <c r="G353" s="19" t="n">
        <v>0.0475</v>
      </c>
    </row>
    <row r="354" customFormat="false" ht="15" hidden="false" customHeight="false" outlineLevel="0" collapsed="false">
      <c r="A354" s="28" t="s">
        <v>176</v>
      </c>
      <c r="B354" s="28" t="s">
        <v>177</v>
      </c>
      <c r="C354" s="28" t="s">
        <v>174</v>
      </c>
      <c r="D354" s="23" t="n">
        <v>2</v>
      </c>
      <c r="E354" s="23" t="n">
        <v>0</v>
      </c>
      <c r="F354" s="28" t="s">
        <v>451</v>
      </c>
      <c r="G354" s="19" t="n">
        <v>0.0161</v>
      </c>
    </row>
    <row r="355" customFormat="false" ht="15" hidden="false" customHeight="false" outlineLevel="0" collapsed="false">
      <c r="A355" s="28" t="s">
        <v>176</v>
      </c>
      <c r="B355" s="28" t="s">
        <v>177</v>
      </c>
      <c r="C355" s="28" t="s">
        <v>174</v>
      </c>
      <c r="D355" s="23" t="n">
        <v>2</v>
      </c>
      <c r="E355" s="23" t="n">
        <v>0</v>
      </c>
      <c r="F355" s="28" t="s">
        <v>905</v>
      </c>
      <c r="G355" s="19" t="n">
        <v>0.0187</v>
      </c>
    </row>
    <row r="356" customFormat="false" ht="15" hidden="false" customHeight="false" outlineLevel="0" collapsed="false">
      <c r="A356" s="28" t="s">
        <v>176</v>
      </c>
      <c r="B356" s="28" t="s">
        <v>177</v>
      </c>
      <c r="C356" s="28" t="s">
        <v>174</v>
      </c>
      <c r="D356" s="23" t="n">
        <v>2</v>
      </c>
      <c r="E356" s="23" t="n">
        <v>0</v>
      </c>
      <c r="F356" s="28" t="s">
        <v>906</v>
      </c>
      <c r="G356" s="19" t="n">
        <v>0.0201</v>
      </c>
    </row>
    <row r="357" customFormat="false" ht="15" hidden="false" customHeight="false" outlineLevel="0" collapsed="false">
      <c r="A357" s="28" t="s">
        <v>176</v>
      </c>
      <c r="B357" s="28" t="s">
        <v>177</v>
      </c>
      <c r="C357" s="28" t="s">
        <v>174</v>
      </c>
      <c r="D357" s="23" t="n">
        <v>2</v>
      </c>
      <c r="E357" s="23" t="n">
        <v>0</v>
      </c>
      <c r="F357" s="28" t="s">
        <v>907</v>
      </c>
      <c r="G357" s="19" t="n">
        <v>0.0198</v>
      </c>
    </row>
    <row r="358" customFormat="false" ht="15" hidden="false" customHeight="false" outlineLevel="0" collapsed="false">
      <c r="A358" s="28" t="s">
        <v>176</v>
      </c>
      <c r="B358" s="28" t="s">
        <v>177</v>
      </c>
      <c r="C358" s="28" t="s">
        <v>174</v>
      </c>
      <c r="D358" s="23" t="n">
        <v>2</v>
      </c>
      <c r="E358" s="23" t="n">
        <v>0</v>
      </c>
      <c r="F358" s="28" t="s">
        <v>908</v>
      </c>
      <c r="G358" s="19" t="n">
        <v>0.0214</v>
      </c>
    </row>
    <row r="359" customFormat="false" ht="15" hidden="false" customHeight="false" outlineLevel="0" collapsed="false">
      <c r="A359" s="28" t="s">
        <v>176</v>
      </c>
      <c r="B359" s="28" t="s">
        <v>177</v>
      </c>
      <c r="C359" s="28" t="s">
        <v>174</v>
      </c>
      <c r="D359" s="23" t="n">
        <v>2</v>
      </c>
      <c r="E359" s="23" t="n">
        <v>0</v>
      </c>
      <c r="F359" s="28" t="s">
        <v>909</v>
      </c>
      <c r="G359" s="19" t="n">
        <v>0.0215</v>
      </c>
    </row>
    <row r="360" customFormat="false" ht="15" hidden="false" customHeight="false" outlineLevel="0" collapsed="false">
      <c r="A360" s="28" t="s">
        <v>176</v>
      </c>
      <c r="B360" s="28" t="s">
        <v>177</v>
      </c>
      <c r="C360" s="28" t="s">
        <v>174</v>
      </c>
      <c r="D360" s="23" t="n">
        <v>2</v>
      </c>
      <c r="E360" s="23" t="n">
        <v>0</v>
      </c>
      <c r="F360" s="28" t="s">
        <v>910</v>
      </c>
      <c r="G360" s="19" t="n">
        <v>0.0219</v>
      </c>
    </row>
    <row r="361" customFormat="false" ht="15" hidden="false" customHeight="false" outlineLevel="0" collapsed="false">
      <c r="A361" s="28" t="s">
        <v>176</v>
      </c>
      <c r="B361" s="28" t="s">
        <v>177</v>
      </c>
      <c r="C361" s="28" t="s">
        <v>174</v>
      </c>
      <c r="D361" s="23" t="n">
        <v>2</v>
      </c>
      <c r="E361" s="23" t="n">
        <v>0</v>
      </c>
      <c r="F361" s="28" t="s">
        <v>911</v>
      </c>
      <c r="G361" s="19" t="n">
        <v>0.023</v>
      </c>
    </row>
    <row r="362" customFormat="false" ht="15" hidden="false" customHeight="false" outlineLevel="0" collapsed="false">
      <c r="A362" s="28" t="s">
        <v>176</v>
      </c>
      <c r="B362" s="28" t="s">
        <v>177</v>
      </c>
      <c r="C362" s="28" t="s">
        <v>174</v>
      </c>
      <c r="D362" s="23" t="n">
        <v>2</v>
      </c>
      <c r="E362" s="23" t="n">
        <v>0</v>
      </c>
      <c r="F362" s="28" t="s">
        <v>912</v>
      </c>
      <c r="G362" s="19" t="n">
        <v>0.0244</v>
      </c>
    </row>
    <row r="363" customFormat="false" ht="15" hidden="false" customHeight="false" outlineLevel="0" collapsed="false">
      <c r="A363" s="28" t="s">
        <v>176</v>
      </c>
      <c r="B363" s="28" t="s">
        <v>177</v>
      </c>
      <c r="C363" s="28" t="s">
        <v>174</v>
      </c>
      <c r="D363" s="23" t="n">
        <v>2</v>
      </c>
      <c r="E363" s="23" t="n">
        <v>0</v>
      </c>
      <c r="F363" s="28" t="s">
        <v>913</v>
      </c>
      <c r="G363" s="19" t="n">
        <v>0.0293</v>
      </c>
    </row>
    <row r="364" customFormat="false" ht="15" hidden="false" customHeight="false" outlineLevel="0" collapsed="false">
      <c r="A364" s="28" t="s">
        <v>176</v>
      </c>
      <c r="B364" s="28" t="s">
        <v>177</v>
      </c>
      <c r="C364" s="28" t="s">
        <v>174</v>
      </c>
      <c r="D364" s="23" t="n">
        <v>2</v>
      </c>
      <c r="E364" s="23" t="n">
        <v>0</v>
      </c>
      <c r="F364" s="28" t="s">
        <v>914</v>
      </c>
      <c r="G364" s="19" t="n">
        <v>0.0291</v>
      </c>
    </row>
    <row r="365" customFormat="false" ht="15" hidden="false" customHeight="false" outlineLevel="0" collapsed="false">
      <c r="A365" s="28" t="s">
        <v>176</v>
      </c>
      <c r="B365" s="28" t="s">
        <v>177</v>
      </c>
      <c r="C365" s="28" t="s">
        <v>174</v>
      </c>
      <c r="D365" s="23" t="n">
        <v>2</v>
      </c>
      <c r="E365" s="23" t="n">
        <v>0</v>
      </c>
      <c r="F365" s="28" t="s">
        <v>915</v>
      </c>
      <c r="G365" s="19" t="n">
        <v>0.0449</v>
      </c>
    </row>
    <row r="366" customFormat="false" ht="15" hidden="false" customHeight="false" outlineLevel="0" collapsed="false">
      <c r="A366" s="28" t="s">
        <v>176</v>
      </c>
      <c r="B366" s="28" t="s">
        <v>177</v>
      </c>
      <c r="C366" s="28" t="s">
        <v>174</v>
      </c>
      <c r="D366" s="23" t="n">
        <v>2</v>
      </c>
      <c r="E366" s="23" t="n">
        <v>1</v>
      </c>
      <c r="F366" s="28" t="s">
        <v>904</v>
      </c>
      <c r="G366" s="19" t="n">
        <v>0.0163</v>
      </c>
    </row>
    <row r="367" customFormat="false" ht="15" hidden="false" customHeight="false" outlineLevel="0" collapsed="false">
      <c r="A367" s="28" t="s">
        <v>176</v>
      </c>
      <c r="B367" s="28" t="s">
        <v>177</v>
      </c>
      <c r="C367" s="28" t="s">
        <v>174</v>
      </c>
      <c r="D367" s="23" t="n">
        <v>2</v>
      </c>
      <c r="E367" s="23" t="n">
        <v>1</v>
      </c>
      <c r="F367" s="28" t="s">
        <v>551</v>
      </c>
      <c r="G367" s="19" t="n">
        <v>0.0475</v>
      </c>
    </row>
    <row r="368" customFormat="false" ht="15" hidden="false" customHeight="false" outlineLevel="0" collapsed="false">
      <c r="A368" s="28" t="s">
        <v>176</v>
      </c>
      <c r="B368" s="28" t="s">
        <v>177</v>
      </c>
      <c r="C368" s="28" t="s">
        <v>174</v>
      </c>
      <c r="D368" s="23" t="n">
        <v>2</v>
      </c>
      <c r="E368" s="23" t="n">
        <v>1</v>
      </c>
      <c r="F368" s="28" t="s">
        <v>451</v>
      </c>
      <c r="G368" s="19" t="n">
        <v>0.0161</v>
      </c>
    </row>
    <row r="369" customFormat="false" ht="15" hidden="false" customHeight="false" outlineLevel="0" collapsed="false">
      <c r="A369" s="28" t="s">
        <v>176</v>
      </c>
      <c r="B369" s="28" t="s">
        <v>177</v>
      </c>
      <c r="C369" s="28" t="s">
        <v>174</v>
      </c>
      <c r="D369" s="23" t="n">
        <v>2</v>
      </c>
      <c r="E369" s="23" t="n">
        <v>1</v>
      </c>
      <c r="F369" s="28" t="s">
        <v>905</v>
      </c>
      <c r="G369" s="19" t="n">
        <v>0.0187</v>
      </c>
    </row>
    <row r="370" customFormat="false" ht="15" hidden="false" customHeight="false" outlineLevel="0" collapsed="false">
      <c r="A370" s="28" t="s">
        <v>176</v>
      </c>
      <c r="B370" s="28" t="s">
        <v>177</v>
      </c>
      <c r="C370" s="28" t="s">
        <v>174</v>
      </c>
      <c r="D370" s="23" t="n">
        <v>2</v>
      </c>
      <c r="E370" s="23" t="n">
        <v>1</v>
      </c>
      <c r="F370" s="28" t="s">
        <v>906</v>
      </c>
      <c r="G370" s="19" t="n">
        <v>0.0201</v>
      </c>
    </row>
    <row r="371" customFormat="false" ht="15" hidden="false" customHeight="false" outlineLevel="0" collapsed="false">
      <c r="A371" s="28" t="s">
        <v>176</v>
      </c>
      <c r="B371" s="28" t="s">
        <v>177</v>
      </c>
      <c r="C371" s="28" t="s">
        <v>174</v>
      </c>
      <c r="D371" s="23" t="n">
        <v>2</v>
      </c>
      <c r="E371" s="23" t="n">
        <v>1</v>
      </c>
      <c r="F371" s="28" t="s">
        <v>907</v>
      </c>
      <c r="G371" s="19" t="n">
        <v>0.0198</v>
      </c>
    </row>
    <row r="372" customFormat="false" ht="15" hidden="false" customHeight="false" outlineLevel="0" collapsed="false">
      <c r="A372" s="28" t="s">
        <v>176</v>
      </c>
      <c r="B372" s="28" t="s">
        <v>177</v>
      </c>
      <c r="C372" s="28" t="s">
        <v>174</v>
      </c>
      <c r="D372" s="23" t="n">
        <v>2</v>
      </c>
      <c r="E372" s="23" t="n">
        <v>1</v>
      </c>
      <c r="F372" s="28" t="s">
        <v>908</v>
      </c>
      <c r="G372" s="19" t="n">
        <v>0.0214</v>
      </c>
    </row>
    <row r="373" customFormat="false" ht="15" hidden="false" customHeight="false" outlineLevel="0" collapsed="false">
      <c r="A373" s="28" t="s">
        <v>176</v>
      </c>
      <c r="B373" s="28" t="s">
        <v>177</v>
      </c>
      <c r="C373" s="28" t="s">
        <v>174</v>
      </c>
      <c r="D373" s="23" t="n">
        <v>2</v>
      </c>
      <c r="E373" s="23" t="n">
        <v>1</v>
      </c>
      <c r="F373" s="28" t="s">
        <v>909</v>
      </c>
      <c r="G373" s="19" t="n">
        <v>0.0215</v>
      </c>
    </row>
    <row r="374" customFormat="false" ht="15" hidden="false" customHeight="false" outlineLevel="0" collapsed="false">
      <c r="A374" s="28" t="s">
        <v>176</v>
      </c>
      <c r="B374" s="28" t="s">
        <v>177</v>
      </c>
      <c r="C374" s="28" t="s">
        <v>174</v>
      </c>
      <c r="D374" s="23" t="n">
        <v>2</v>
      </c>
      <c r="E374" s="23" t="n">
        <v>1</v>
      </c>
      <c r="F374" s="28" t="s">
        <v>910</v>
      </c>
      <c r="G374" s="19" t="n">
        <v>0.0219</v>
      </c>
    </row>
    <row r="375" customFormat="false" ht="15" hidden="false" customHeight="false" outlineLevel="0" collapsed="false">
      <c r="A375" s="28" t="s">
        <v>176</v>
      </c>
      <c r="B375" s="28" t="s">
        <v>177</v>
      </c>
      <c r="C375" s="28" t="s">
        <v>174</v>
      </c>
      <c r="D375" s="23" t="n">
        <v>2</v>
      </c>
      <c r="E375" s="23" t="n">
        <v>1</v>
      </c>
      <c r="F375" s="28" t="s">
        <v>911</v>
      </c>
      <c r="G375" s="19" t="n">
        <v>0.023</v>
      </c>
    </row>
    <row r="376" customFormat="false" ht="15" hidden="false" customHeight="false" outlineLevel="0" collapsed="false">
      <c r="A376" s="28" t="s">
        <v>176</v>
      </c>
      <c r="B376" s="28" t="s">
        <v>177</v>
      </c>
      <c r="C376" s="28" t="s">
        <v>174</v>
      </c>
      <c r="D376" s="23" t="n">
        <v>2</v>
      </c>
      <c r="E376" s="23" t="n">
        <v>1</v>
      </c>
      <c r="F376" s="28" t="s">
        <v>912</v>
      </c>
      <c r="G376" s="19" t="n">
        <v>0.0244</v>
      </c>
    </row>
    <row r="377" customFormat="false" ht="15" hidden="false" customHeight="false" outlineLevel="0" collapsed="false">
      <c r="A377" s="28" t="s">
        <v>176</v>
      </c>
      <c r="B377" s="28" t="s">
        <v>177</v>
      </c>
      <c r="C377" s="28" t="s">
        <v>174</v>
      </c>
      <c r="D377" s="23" t="n">
        <v>2</v>
      </c>
      <c r="E377" s="23" t="n">
        <v>1</v>
      </c>
      <c r="F377" s="28" t="s">
        <v>913</v>
      </c>
      <c r="G377" s="19" t="n">
        <v>0.0293</v>
      </c>
    </row>
    <row r="378" customFormat="false" ht="15" hidden="false" customHeight="false" outlineLevel="0" collapsed="false">
      <c r="A378" s="28" t="s">
        <v>176</v>
      </c>
      <c r="B378" s="28" t="s">
        <v>177</v>
      </c>
      <c r="C378" s="28" t="s">
        <v>174</v>
      </c>
      <c r="D378" s="23" t="n">
        <v>2</v>
      </c>
      <c r="E378" s="23" t="n">
        <v>1</v>
      </c>
      <c r="F378" s="28" t="s">
        <v>914</v>
      </c>
      <c r="G378" s="19" t="n">
        <v>0.0291</v>
      </c>
    </row>
    <row r="379" customFormat="false" ht="15" hidden="false" customHeight="false" outlineLevel="0" collapsed="false">
      <c r="A379" s="28" t="s">
        <v>176</v>
      </c>
      <c r="B379" s="28" t="s">
        <v>177</v>
      </c>
      <c r="C379" s="28" t="s">
        <v>174</v>
      </c>
      <c r="D379" s="23" t="n">
        <v>2</v>
      </c>
      <c r="E379" s="23" t="n">
        <v>1</v>
      </c>
      <c r="F379" s="28" t="s">
        <v>915</v>
      </c>
      <c r="G379" s="19" t="n">
        <v>0.0449</v>
      </c>
    </row>
    <row r="380" customFormat="false" ht="15" hidden="false" customHeight="false" outlineLevel="0" collapsed="false">
      <c r="A380" s="28" t="s">
        <v>176</v>
      </c>
      <c r="B380" s="28" t="s">
        <v>177</v>
      </c>
      <c r="C380" s="28" t="s">
        <v>174</v>
      </c>
      <c r="D380" s="23" t="n">
        <v>2</v>
      </c>
      <c r="E380" s="23" t="n">
        <v>2</v>
      </c>
      <c r="F380" s="28" t="s">
        <v>904</v>
      </c>
      <c r="G380" s="19" t="n">
        <v>0.0163</v>
      </c>
    </row>
    <row r="381" customFormat="false" ht="15" hidden="false" customHeight="false" outlineLevel="0" collapsed="false">
      <c r="A381" s="28" t="s">
        <v>176</v>
      </c>
      <c r="B381" s="28" t="s">
        <v>177</v>
      </c>
      <c r="C381" s="28" t="s">
        <v>174</v>
      </c>
      <c r="D381" s="23" t="n">
        <v>2</v>
      </c>
      <c r="E381" s="23" t="n">
        <v>2</v>
      </c>
      <c r="F381" s="28" t="s">
        <v>551</v>
      </c>
      <c r="G381" s="19" t="n">
        <v>0.0475</v>
      </c>
    </row>
    <row r="382" customFormat="false" ht="15" hidden="false" customHeight="false" outlineLevel="0" collapsed="false">
      <c r="A382" s="28" t="s">
        <v>176</v>
      </c>
      <c r="B382" s="28" t="s">
        <v>177</v>
      </c>
      <c r="C382" s="28" t="s">
        <v>174</v>
      </c>
      <c r="D382" s="23" t="n">
        <v>2</v>
      </c>
      <c r="E382" s="23" t="n">
        <v>2</v>
      </c>
      <c r="F382" s="28" t="s">
        <v>451</v>
      </c>
      <c r="G382" s="19" t="n">
        <v>0.0161</v>
      </c>
    </row>
    <row r="383" customFormat="false" ht="15" hidden="false" customHeight="false" outlineLevel="0" collapsed="false">
      <c r="A383" s="28" t="s">
        <v>176</v>
      </c>
      <c r="B383" s="28" t="s">
        <v>177</v>
      </c>
      <c r="C383" s="28" t="s">
        <v>174</v>
      </c>
      <c r="D383" s="23" t="n">
        <v>2</v>
      </c>
      <c r="E383" s="23" t="n">
        <v>2</v>
      </c>
      <c r="F383" s="28" t="s">
        <v>905</v>
      </c>
      <c r="G383" s="19" t="n">
        <v>0.0187</v>
      </c>
    </row>
    <row r="384" customFormat="false" ht="15" hidden="false" customHeight="false" outlineLevel="0" collapsed="false">
      <c r="A384" s="28" t="s">
        <v>176</v>
      </c>
      <c r="B384" s="28" t="s">
        <v>177</v>
      </c>
      <c r="C384" s="28" t="s">
        <v>174</v>
      </c>
      <c r="D384" s="23" t="n">
        <v>2</v>
      </c>
      <c r="E384" s="23" t="n">
        <v>2</v>
      </c>
      <c r="F384" s="28" t="s">
        <v>906</v>
      </c>
      <c r="G384" s="19" t="n">
        <v>0.0201</v>
      </c>
    </row>
    <row r="385" customFormat="false" ht="15" hidden="false" customHeight="false" outlineLevel="0" collapsed="false">
      <c r="A385" s="28" t="s">
        <v>176</v>
      </c>
      <c r="B385" s="28" t="s">
        <v>177</v>
      </c>
      <c r="C385" s="28" t="s">
        <v>174</v>
      </c>
      <c r="D385" s="23" t="n">
        <v>2</v>
      </c>
      <c r="E385" s="23" t="n">
        <v>2</v>
      </c>
      <c r="F385" s="28" t="s">
        <v>907</v>
      </c>
      <c r="G385" s="19" t="n">
        <v>0.0198</v>
      </c>
    </row>
    <row r="386" customFormat="false" ht="15" hidden="false" customHeight="false" outlineLevel="0" collapsed="false">
      <c r="A386" s="28" t="s">
        <v>176</v>
      </c>
      <c r="B386" s="28" t="s">
        <v>177</v>
      </c>
      <c r="C386" s="28" t="s">
        <v>174</v>
      </c>
      <c r="D386" s="23" t="n">
        <v>2</v>
      </c>
      <c r="E386" s="23" t="n">
        <v>2</v>
      </c>
      <c r="F386" s="28" t="s">
        <v>908</v>
      </c>
      <c r="G386" s="19" t="n">
        <v>0.0214</v>
      </c>
    </row>
    <row r="387" customFormat="false" ht="15" hidden="false" customHeight="false" outlineLevel="0" collapsed="false">
      <c r="A387" s="28" t="s">
        <v>176</v>
      </c>
      <c r="B387" s="28" t="s">
        <v>177</v>
      </c>
      <c r="C387" s="28" t="s">
        <v>174</v>
      </c>
      <c r="D387" s="23" t="n">
        <v>2</v>
      </c>
      <c r="E387" s="23" t="n">
        <v>2</v>
      </c>
      <c r="F387" s="28" t="s">
        <v>909</v>
      </c>
      <c r="G387" s="19" t="n">
        <v>0.0215</v>
      </c>
    </row>
    <row r="388" customFormat="false" ht="15" hidden="false" customHeight="false" outlineLevel="0" collapsed="false">
      <c r="A388" s="28" t="s">
        <v>176</v>
      </c>
      <c r="B388" s="28" t="s">
        <v>177</v>
      </c>
      <c r="C388" s="28" t="s">
        <v>174</v>
      </c>
      <c r="D388" s="23" t="n">
        <v>2</v>
      </c>
      <c r="E388" s="23" t="n">
        <v>2</v>
      </c>
      <c r="F388" s="28" t="s">
        <v>910</v>
      </c>
      <c r="G388" s="19" t="n">
        <v>0.0219</v>
      </c>
    </row>
    <row r="389" customFormat="false" ht="15" hidden="false" customHeight="false" outlineLevel="0" collapsed="false">
      <c r="A389" s="28" t="s">
        <v>176</v>
      </c>
      <c r="B389" s="28" t="s">
        <v>177</v>
      </c>
      <c r="C389" s="28" t="s">
        <v>174</v>
      </c>
      <c r="D389" s="23" t="n">
        <v>2</v>
      </c>
      <c r="E389" s="23" t="n">
        <v>2</v>
      </c>
      <c r="F389" s="28" t="s">
        <v>911</v>
      </c>
      <c r="G389" s="19" t="n">
        <v>0.023</v>
      </c>
    </row>
    <row r="390" customFormat="false" ht="15" hidden="false" customHeight="false" outlineLevel="0" collapsed="false">
      <c r="A390" s="28" t="s">
        <v>176</v>
      </c>
      <c r="B390" s="28" t="s">
        <v>177</v>
      </c>
      <c r="C390" s="28" t="s">
        <v>174</v>
      </c>
      <c r="D390" s="23" t="n">
        <v>2</v>
      </c>
      <c r="E390" s="23" t="n">
        <v>2</v>
      </c>
      <c r="F390" s="28" t="s">
        <v>912</v>
      </c>
      <c r="G390" s="19" t="n">
        <v>0.0244</v>
      </c>
    </row>
    <row r="391" customFormat="false" ht="15" hidden="false" customHeight="false" outlineLevel="0" collapsed="false">
      <c r="A391" s="28" t="s">
        <v>176</v>
      </c>
      <c r="B391" s="28" t="s">
        <v>177</v>
      </c>
      <c r="C391" s="28" t="s">
        <v>174</v>
      </c>
      <c r="D391" s="23" t="n">
        <v>2</v>
      </c>
      <c r="E391" s="23" t="n">
        <v>2</v>
      </c>
      <c r="F391" s="28" t="s">
        <v>913</v>
      </c>
      <c r="G391" s="19" t="n">
        <v>0.0293</v>
      </c>
    </row>
    <row r="392" customFormat="false" ht="15" hidden="false" customHeight="false" outlineLevel="0" collapsed="false">
      <c r="A392" s="28" t="s">
        <v>176</v>
      </c>
      <c r="B392" s="28" t="s">
        <v>177</v>
      </c>
      <c r="C392" s="28" t="s">
        <v>174</v>
      </c>
      <c r="D392" s="23" t="n">
        <v>2</v>
      </c>
      <c r="E392" s="23" t="n">
        <v>2</v>
      </c>
      <c r="F392" s="28" t="s">
        <v>914</v>
      </c>
      <c r="G392" s="19" t="n">
        <v>0.0291</v>
      </c>
    </row>
    <row r="393" customFormat="false" ht="15" hidden="false" customHeight="false" outlineLevel="0" collapsed="false">
      <c r="A393" s="28" t="s">
        <v>176</v>
      </c>
      <c r="B393" s="28" t="s">
        <v>177</v>
      </c>
      <c r="C393" s="28" t="s">
        <v>174</v>
      </c>
      <c r="D393" s="23" t="n">
        <v>2</v>
      </c>
      <c r="E393" s="23" t="n">
        <v>2</v>
      </c>
      <c r="F393" s="28" t="s">
        <v>915</v>
      </c>
      <c r="G393" s="19" t="n">
        <v>0.0449</v>
      </c>
    </row>
    <row r="394" customFormat="false" ht="15" hidden="false" customHeight="false" outlineLevel="0" collapsed="false">
      <c r="A394" s="28" t="s">
        <v>176</v>
      </c>
      <c r="B394" s="28" t="s">
        <v>177</v>
      </c>
      <c r="C394" s="28" t="s">
        <v>174</v>
      </c>
      <c r="D394" s="23" t="n">
        <v>2</v>
      </c>
      <c r="E394" s="23" t="n">
        <v>3</v>
      </c>
      <c r="F394" s="28" t="s">
        <v>904</v>
      </c>
      <c r="G394" s="19" t="n">
        <v>0.0163</v>
      </c>
    </row>
    <row r="395" customFormat="false" ht="15" hidden="false" customHeight="false" outlineLevel="0" collapsed="false">
      <c r="A395" s="28" t="s">
        <v>176</v>
      </c>
      <c r="B395" s="28" t="s">
        <v>177</v>
      </c>
      <c r="C395" s="28" t="s">
        <v>174</v>
      </c>
      <c r="D395" s="23" t="n">
        <v>2</v>
      </c>
      <c r="E395" s="23" t="n">
        <v>3</v>
      </c>
      <c r="F395" s="28" t="s">
        <v>551</v>
      </c>
      <c r="G395" s="19" t="n">
        <v>0.0475</v>
      </c>
    </row>
    <row r="396" customFormat="false" ht="15" hidden="false" customHeight="false" outlineLevel="0" collapsed="false">
      <c r="A396" s="28" t="s">
        <v>176</v>
      </c>
      <c r="B396" s="28" t="s">
        <v>177</v>
      </c>
      <c r="C396" s="28" t="s">
        <v>174</v>
      </c>
      <c r="D396" s="23" t="n">
        <v>2</v>
      </c>
      <c r="E396" s="23" t="n">
        <v>3</v>
      </c>
      <c r="F396" s="28" t="s">
        <v>451</v>
      </c>
      <c r="G396" s="19" t="n">
        <v>0.0161</v>
      </c>
    </row>
    <row r="397" customFormat="false" ht="15" hidden="false" customHeight="false" outlineLevel="0" collapsed="false">
      <c r="A397" s="28" t="s">
        <v>176</v>
      </c>
      <c r="B397" s="28" t="s">
        <v>177</v>
      </c>
      <c r="C397" s="28" t="s">
        <v>174</v>
      </c>
      <c r="D397" s="23" t="n">
        <v>2</v>
      </c>
      <c r="E397" s="23" t="n">
        <v>3</v>
      </c>
      <c r="F397" s="28" t="s">
        <v>905</v>
      </c>
      <c r="G397" s="19" t="n">
        <v>0.0187</v>
      </c>
    </row>
    <row r="398" customFormat="false" ht="15" hidden="false" customHeight="false" outlineLevel="0" collapsed="false">
      <c r="A398" s="28" t="s">
        <v>176</v>
      </c>
      <c r="B398" s="28" t="s">
        <v>177</v>
      </c>
      <c r="C398" s="28" t="s">
        <v>174</v>
      </c>
      <c r="D398" s="23" t="n">
        <v>2</v>
      </c>
      <c r="E398" s="23" t="n">
        <v>3</v>
      </c>
      <c r="F398" s="28" t="s">
        <v>906</v>
      </c>
      <c r="G398" s="19" t="n">
        <v>0.0201</v>
      </c>
    </row>
    <row r="399" customFormat="false" ht="15" hidden="false" customHeight="false" outlineLevel="0" collapsed="false">
      <c r="A399" s="28" t="s">
        <v>176</v>
      </c>
      <c r="B399" s="28" t="s">
        <v>177</v>
      </c>
      <c r="C399" s="28" t="s">
        <v>174</v>
      </c>
      <c r="D399" s="23" t="n">
        <v>2</v>
      </c>
      <c r="E399" s="23" t="n">
        <v>3</v>
      </c>
      <c r="F399" s="28" t="s">
        <v>907</v>
      </c>
      <c r="G399" s="19" t="n">
        <v>0.0198</v>
      </c>
    </row>
    <row r="400" customFormat="false" ht="15" hidden="false" customHeight="false" outlineLevel="0" collapsed="false">
      <c r="A400" s="28" t="s">
        <v>176</v>
      </c>
      <c r="B400" s="28" t="s">
        <v>177</v>
      </c>
      <c r="C400" s="28" t="s">
        <v>174</v>
      </c>
      <c r="D400" s="23" t="n">
        <v>2</v>
      </c>
      <c r="E400" s="23" t="n">
        <v>3</v>
      </c>
      <c r="F400" s="28" t="s">
        <v>908</v>
      </c>
      <c r="G400" s="19" t="n">
        <v>0.0214</v>
      </c>
    </row>
    <row r="401" customFormat="false" ht="15" hidden="false" customHeight="false" outlineLevel="0" collapsed="false">
      <c r="A401" s="28" t="s">
        <v>176</v>
      </c>
      <c r="B401" s="28" t="s">
        <v>177</v>
      </c>
      <c r="C401" s="28" t="s">
        <v>174</v>
      </c>
      <c r="D401" s="23" t="n">
        <v>2</v>
      </c>
      <c r="E401" s="23" t="n">
        <v>3</v>
      </c>
      <c r="F401" s="28" t="s">
        <v>909</v>
      </c>
      <c r="G401" s="19" t="n">
        <v>0.0215</v>
      </c>
    </row>
    <row r="402" customFormat="false" ht="15" hidden="false" customHeight="false" outlineLevel="0" collapsed="false">
      <c r="A402" s="28" t="s">
        <v>176</v>
      </c>
      <c r="B402" s="28" t="s">
        <v>177</v>
      </c>
      <c r="C402" s="28" t="s">
        <v>174</v>
      </c>
      <c r="D402" s="23" t="n">
        <v>2</v>
      </c>
      <c r="E402" s="23" t="n">
        <v>3</v>
      </c>
      <c r="F402" s="28" t="s">
        <v>910</v>
      </c>
      <c r="G402" s="19" t="n">
        <v>0.0219</v>
      </c>
    </row>
    <row r="403" customFormat="false" ht="15" hidden="false" customHeight="false" outlineLevel="0" collapsed="false">
      <c r="A403" s="28" t="s">
        <v>176</v>
      </c>
      <c r="B403" s="28" t="s">
        <v>177</v>
      </c>
      <c r="C403" s="28" t="s">
        <v>174</v>
      </c>
      <c r="D403" s="23" t="n">
        <v>2</v>
      </c>
      <c r="E403" s="23" t="n">
        <v>3</v>
      </c>
      <c r="F403" s="28" t="s">
        <v>911</v>
      </c>
      <c r="G403" s="19" t="n">
        <v>0.023</v>
      </c>
    </row>
    <row r="404" customFormat="false" ht="15" hidden="false" customHeight="false" outlineLevel="0" collapsed="false">
      <c r="A404" s="28" t="s">
        <v>176</v>
      </c>
      <c r="B404" s="28" t="s">
        <v>177</v>
      </c>
      <c r="C404" s="28" t="s">
        <v>174</v>
      </c>
      <c r="D404" s="23" t="n">
        <v>2</v>
      </c>
      <c r="E404" s="23" t="n">
        <v>3</v>
      </c>
      <c r="F404" s="28" t="s">
        <v>912</v>
      </c>
      <c r="G404" s="19" t="n">
        <v>0.0244</v>
      </c>
    </row>
    <row r="405" customFormat="false" ht="15" hidden="false" customHeight="false" outlineLevel="0" collapsed="false">
      <c r="A405" s="28" t="s">
        <v>176</v>
      </c>
      <c r="B405" s="28" t="s">
        <v>177</v>
      </c>
      <c r="C405" s="28" t="s">
        <v>174</v>
      </c>
      <c r="D405" s="23" t="n">
        <v>2</v>
      </c>
      <c r="E405" s="23" t="n">
        <v>3</v>
      </c>
      <c r="F405" s="28" t="s">
        <v>913</v>
      </c>
      <c r="G405" s="19" t="n">
        <v>0.0293</v>
      </c>
    </row>
    <row r="406" customFormat="false" ht="15" hidden="false" customHeight="false" outlineLevel="0" collapsed="false">
      <c r="A406" s="28" t="s">
        <v>176</v>
      </c>
      <c r="B406" s="28" t="s">
        <v>177</v>
      </c>
      <c r="C406" s="28" t="s">
        <v>174</v>
      </c>
      <c r="D406" s="23" t="n">
        <v>2</v>
      </c>
      <c r="E406" s="23" t="n">
        <v>3</v>
      </c>
      <c r="F406" s="28" t="s">
        <v>914</v>
      </c>
      <c r="G406" s="19" t="n">
        <v>0.0291</v>
      </c>
    </row>
    <row r="407" customFormat="false" ht="15" hidden="false" customHeight="false" outlineLevel="0" collapsed="false">
      <c r="A407" s="28" t="s">
        <v>176</v>
      </c>
      <c r="B407" s="28" t="s">
        <v>177</v>
      </c>
      <c r="C407" s="28" t="s">
        <v>174</v>
      </c>
      <c r="D407" s="23" t="n">
        <v>2</v>
      </c>
      <c r="E407" s="23" t="n">
        <v>3</v>
      </c>
      <c r="F407" s="28" t="s">
        <v>915</v>
      </c>
      <c r="G407" s="19" t="n">
        <v>0.0449</v>
      </c>
    </row>
    <row r="408" customFormat="false" ht="15" hidden="false" customHeight="false" outlineLevel="0" collapsed="false">
      <c r="A408" s="28" t="s">
        <v>176</v>
      </c>
      <c r="B408" s="28" t="s">
        <v>177</v>
      </c>
      <c r="C408" s="28" t="s">
        <v>174</v>
      </c>
      <c r="D408" s="23" t="n">
        <v>2</v>
      </c>
      <c r="E408" s="23" t="n">
        <v>4</v>
      </c>
      <c r="F408" s="28" t="s">
        <v>904</v>
      </c>
      <c r="G408" s="19" t="n">
        <v>0.0163</v>
      </c>
    </row>
    <row r="409" customFormat="false" ht="15" hidden="false" customHeight="false" outlineLevel="0" collapsed="false">
      <c r="A409" s="28" t="s">
        <v>176</v>
      </c>
      <c r="B409" s="28" t="s">
        <v>177</v>
      </c>
      <c r="C409" s="28" t="s">
        <v>174</v>
      </c>
      <c r="D409" s="23" t="n">
        <v>2</v>
      </c>
      <c r="E409" s="23" t="n">
        <v>4</v>
      </c>
      <c r="F409" s="28" t="s">
        <v>551</v>
      </c>
      <c r="G409" s="19" t="n">
        <v>0.0475</v>
      </c>
    </row>
    <row r="410" customFormat="false" ht="15" hidden="false" customHeight="false" outlineLevel="0" collapsed="false">
      <c r="A410" s="28" t="s">
        <v>176</v>
      </c>
      <c r="B410" s="28" t="s">
        <v>177</v>
      </c>
      <c r="C410" s="28" t="s">
        <v>174</v>
      </c>
      <c r="D410" s="23" t="n">
        <v>2</v>
      </c>
      <c r="E410" s="23" t="n">
        <v>4</v>
      </c>
      <c r="F410" s="28" t="s">
        <v>451</v>
      </c>
      <c r="G410" s="19" t="n">
        <v>0.0161</v>
      </c>
    </row>
    <row r="411" customFormat="false" ht="15" hidden="false" customHeight="false" outlineLevel="0" collapsed="false">
      <c r="A411" s="28" t="s">
        <v>176</v>
      </c>
      <c r="B411" s="28" t="s">
        <v>177</v>
      </c>
      <c r="C411" s="28" t="s">
        <v>174</v>
      </c>
      <c r="D411" s="23" t="n">
        <v>2</v>
      </c>
      <c r="E411" s="23" t="n">
        <v>4</v>
      </c>
      <c r="F411" s="28" t="s">
        <v>905</v>
      </c>
      <c r="G411" s="19" t="n">
        <v>0.0187</v>
      </c>
    </row>
    <row r="412" customFormat="false" ht="15" hidden="false" customHeight="false" outlineLevel="0" collapsed="false">
      <c r="A412" s="28" t="s">
        <v>176</v>
      </c>
      <c r="B412" s="28" t="s">
        <v>177</v>
      </c>
      <c r="C412" s="28" t="s">
        <v>174</v>
      </c>
      <c r="D412" s="23" t="n">
        <v>2</v>
      </c>
      <c r="E412" s="23" t="n">
        <v>4</v>
      </c>
      <c r="F412" s="28" t="s">
        <v>906</v>
      </c>
      <c r="G412" s="19" t="n">
        <v>0.0201</v>
      </c>
    </row>
    <row r="413" customFormat="false" ht="15" hidden="false" customHeight="false" outlineLevel="0" collapsed="false">
      <c r="A413" s="28" t="s">
        <v>176</v>
      </c>
      <c r="B413" s="28" t="s">
        <v>177</v>
      </c>
      <c r="C413" s="28" t="s">
        <v>174</v>
      </c>
      <c r="D413" s="23" t="n">
        <v>2</v>
      </c>
      <c r="E413" s="23" t="n">
        <v>4</v>
      </c>
      <c r="F413" s="28" t="s">
        <v>907</v>
      </c>
      <c r="G413" s="19" t="n">
        <v>0.0198</v>
      </c>
    </row>
    <row r="414" customFormat="false" ht="15" hidden="false" customHeight="false" outlineLevel="0" collapsed="false">
      <c r="A414" s="28" t="s">
        <v>176</v>
      </c>
      <c r="B414" s="28" t="s">
        <v>177</v>
      </c>
      <c r="C414" s="28" t="s">
        <v>174</v>
      </c>
      <c r="D414" s="23" t="n">
        <v>2</v>
      </c>
      <c r="E414" s="23" t="n">
        <v>4</v>
      </c>
      <c r="F414" s="28" t="s">
        <v>908</v>
      </c>
      <c r="G414" s="19" t="n">
        <v>0.0214</v>
      </c>
    </row>
    <row r="415" customFormat="false" ht="15" hidden="false" customHeight="false" outlineLevel="0" collapsed="false">
      <c r="A415" s="28" t="s">
        <v>176</v>
      </c>
      <c r="B415" s="28" t="s">
        <v>177</v>
      </c>
      <c r="C415" s="28" t="s">
        <v>174</v>
      </c>
      <c r="D415" s="23" t="n">
        <v>2</v>
      </c>
      <c r="E415" s="23" t="n">
        <v>4</v>
      </c>
      <c r="F415" s="28" t="s">
        <v>909</v>
      </c>
      <c r="G415" s="19" t="n">
        <v>0.0215</v>
      </c>
    </row>
    <row r="416" customFormat="false" ht="15" hidden="false" customHeight="false" outlineLevel="0" collapsed="false">
      <c r="A416" s="28" t="s">
        <v>176</v>
      </c>
      <c r="B416" s="28" t="s">
        <v>177</v>
      </c>
      <c r="C416" s="28" t="s">
        <v>174</v>
      </c>
      <c r="D416" s="23" t="n">
        <v>2</v>
      </c>
      <c r="E416" s="23" t="n">
        <v>4</v>
      </c>
      <c r="F416" s="28" t="s">
        <v>910</v>
      </c>
      <c r="G416" s="19" t="n">
        <v>0.0219</v>
      </c>
    </row>
    <row r="417" customFormat="false" ht="15" hidden="false" customHeight="false" outlineLevel="0" collapsed="false">
      <c r="A417" s="28" t="s">
        <v>176</v>
      </c>
      <c r="B417" s="28" t="s">
        <v>177</v>
      </c>
      <c r="C417" s="28" t="s">
        <v>174</v>
      </c>
      <c r="D417" s="23" t="n">
        <v>2</v>
      </c>
      <c r="E417" s="23" t="n">
        <v>4</v>
      </c>
      <c r="F417" s="28" t="s">
        <v>911</v>
      </c>
      <c r="G417" s="19" t="n">
        <v>0.023</v>
      </c>
    </row>
    <row r="418" customFormat="false" ht="15" hidden="false" customHeight="false" outlineLevel="0" collapsed="false">
      <c r="A418" s="28" t="s">
        <v>176</v>
      </c>
      <c r="B418" s="28" t="s">
        <v>177</v>
      </c>
      <c r="C418" s="28" t="s">
        <v>174</v>
      </c>
      <c r="D418" s="23" t="n">
        <v>2</v>
      </c>
      <c r="E418" s="23" t="n">
        <v>4</v>
      </c>
      <c r="F418" s="28" t="s">
        <v>912</v>
      </c>
      <c r="G418" s="19" t="n">
        <v>0.0244</v>
      </c>
    </row>
    <row r="419" customFormat="false" ht="15" hidden="false" customHeight="false" outlineLevel="0" collapsed="false">
      <c r="A419" s="28" t="s">
        <v>176</v>
      </c>
      <c r="B419" s="28" t="s">
        <v>177</v>
      </c>
      <c r="C419" s="28" t="s">
        <v>174</v>
      </c>
      <c r="D419" s="23" t="n">
        <v>2</v>
      </c>
      <c r="E419" s="23" t="n">
        <v>4</v>
      </c>
      <c r="F419" s="28" t="s">
        <v>913</v>
      </c>
      <c r="G419" s="19" t="n">
        <v>0.0293</v>
      </c>
    </row>
    <row r="420" customFormat="false" ht="15" hidden="false" customHeight="false" outlineLevel="0" collapsed="false">
      <c r="A420" s="28" t="s">
        <v>176</v>
      </c>
      <c r="B420" s="28" t="s">
        <v>177</v>
      </c>
      <c r="C420" s="28" t="s">
        <v>174</v>
      </c>
      <c r="D420" s="23" t="n">
        <v>2</v>
      </c>
      <c r="E420" s="23" t="n">
        <v>4</v>
      </c>
      <c r="F420" s="28" t="s">
        <v>914</v>
      </c>
      <c r="G420" s="19" t="n">
        <v>0.0291</v>
      </c>
    </row>
    <row r="421" customFormat="false" ht="15" hidden="false" customHeight="false" outlineLevel="0" collapsed="false">
      <c r="A421" s="28" t="s">
        <v>176</v>
      </c>
      <c r="B421" s="28" t="s">
        <v>177</v>
      </c>
      <c r="C421" s="28" t="s">
        <v>174</v>
      </c>
      <c r="D421" s="23" t="n">
        <v>2</v>
      </c>
      <c r="E421" s="23" t="n">
        <v>4</v>
      </c>
      <c r="F421" s="28" t="s">
        <v>915</v>
      </c>
      <c r="G421" s="19" t="n">
        <v>0.0449</v>
      </c>
    </row>
    <row r="422" customFormat="false" ht="15" hidden="false" customHeight="false" outlineLevel="0" collapsed="false">
      <c r="A422" s="28" t="s">
        <v>176</v>
      </c>
      <c r="B422" s="28" t="s">
        <v>177</v>
      </c>
      <c r="C422" s="28" t="s">
        <v>174</v>
      </c>
      <c r="D422" s="23" t="n">
        <v>2</v>
      </c>
      <c r="E422" s="23" t="n">
        <v>5</v>
      </c>
      <c r="F422" s="28" t="s">
        <v>904</v>
      </c>
      <c r="G422" s="19" t="n">
        <v>0.0163</v>
      </c>
    </row>
    <row r="423" customFormat="false" ht="15" hidden="false" customHeight="false" outlineLevel="0" collapsed="false">
      <c r="A423" s="28" t="s">
        <v>176</v>
      </c>
      <c r="B423" s="28" t="s">
        <v>177</v>
      </c>
      <c r="C423" s="28" t="s">
        <v>174</v>
      </c>
      <c r="D423" s="23" t="n">
        <v>2</v>
      </c>
      <c r="E423" s="23" t="n">
        <v>5</v>
      </c>
      <c r="F423" s="28" t="s">
        <v>551</v>
      </c>
      <c r="G423" s="19" t="n">
        <v>0.0475</v>
      </c>
    </row>
    <row r="424" customFormat="false" ht="15" hidden="false" customHeight="false" outlineLevel="0" collapsed="false">
      <c r="A424" s="28" t="s">
        <v>176</v>
      </c>
      <c r="B424" s="28" t="s">
        <v>177</v>
      </c>
      <c r="C424" s="28" t="s">
        <v>174</v>
      </c>
      <c r="D424" s="23" t="n">
        <v>2</v>
      </c>
      <c r="E424" s="23" t="n">
        <v>5</v>
      </c>
      <c r="F424" s="28" t="s">
        <v>451</v>
      </c>
      <c r="G424" s="19" t="n">
        <v>0.0161</v>
      </c>
    </row>
    <row r="425" customFormat="false" ht="15" hidden="false" customHeight="false" outlineLevel="0" collapsed="false">
      <c r="A425" s="28" t="s">
        <v>176</v>
      </c>
      <c r="B425" s="28" t="s">
        <v>177</v>
      </c>
      <c r="C425" s="28" t="s">
        <v>174</v>
      </c>
      <c r="D425" s="23" t="n">
        <v>2</v>
      </c>
      <c r="E425" s="23" t="n">
        <v>5</v>
      </c>
      <c r="F425" s="28" t="s">
        <v>905</v>
      </c>
      <c r="G425" s="19" t="n">
        <v>0.0187</v>
      </c>
    </row>
    <row r="426" customFormat="false" ht="15" hidden="false" customHeight="false" outlineLevel="0" collapsed="false">
      <c r="A426" s="28" t="s">
        <v>176</v>
      </c>
      <c r="B426" s="28" t="s">
        <v>177</v>
      </c>
      <c r="C426" s="28" t="s">
        <v>174</v>
      </c>
      <c r="D426" s="23" t="n">
        <v>2</v>
      </c>
      <c r="E426" s="23" t="n">
        <v>5</v>
      </c>
      <c r="F426" s="28" t="s">
        <v>906</v>
      </c>
      <c r="G426" s="19" t="n">
        <v>0.0201</v>
      </c>
    </row>
    <row r="427" customFormat="false" ht="15" hidden="false" customHeight="false" outlineLevel="0" collapsed="false">
      <c r="A427" s="28" t="s">
        <v>176</v>
      </c>
      <c r="B427" s="28" t="s">
        <v>177</v>
      </c>
      <c r="C427" s="28" t="s">
        <v>174</v>
      </c>
      <c r="D427" s="23" t="n">
        <v>2</v>
      </c>
      <c r="E427" s="23" t="n">
        <v>5</v>
      </c>
      <c r="F427" s="28" t="s">
        <v>907</v>
      </c>
      <c r="G427" s="19" t="n">
        <v>0.0198</v>
      </c>
    </row>
    <row r="428" customFormat="false" ht="15" hidden="false" customHeight="false" outlineLevel="0" collapsed="false">
      <c r="A428" s="28" t="s">
        <v>176</v>
      </c>
      <c r="B428" s="28" t="s">
        <v>177</v>
      </c>
      <c r="C428" s="28" t="s">
        <v>174</v>
      </c>
      <c r="D428" s="23" t="n">
        <v>2</v>
      </c>
      <c r="E428" s="23" t="n">
        <v>5</v>
      </c>
      <c r="F428" s="28" t="s">
        <v>908</v>
      </c>
      <c r="G428" s="19" t="n">
        <v>0.0214</v>
      </c>
    </row>
    <row r="429" customFormat="false" ht="15" hidden="false" customHeight="false" outlineLevel="0" collapsed="false">
      <c r="A429" s="28" t="s">
        <v>176</v>
      </c>
      <c r="B429" s="28" t="s">
        <v>177</v>
      </c>
      <c r="C429" s="28" t="s">
        <v>174</v>
      </c>
      <c r="D429" s="23" t="n">
        <v>2</v>
      </c>
      <c r="E429" s="23" t="n">
        <v>5</v>
      </c>
      <c r="F429" s="28" t="s">
        <v>909</v>
      </c>
      <c r="G429" s="19" t="n">
        <v>0.0215</v>
      </c>
    </row>
    <row r="430" customFormat="false" ht="15" hidden="false" customHeight="false" outlineLevel="0" collapsed="false">
      <c r="A430" s="28" t="s">
        <v>176</v>
      </c>
      <c r="B430" s="28" t="s">
        <v>177</v>
      </c>
      <c r="C430" s="28" t="s">
        <v>174</v>
      </c>
      <c r="D430" s="23" t="n">
        <v>2</v>
      </c>
      <c r="E430" s="23" t="n">
        <v>5</v>
      </c>
      <c r="F430" s="28" t="s">
        <v>910</v>
      </c>
      <c r="G430" s="19" t="n">
        <v>0.0219</v>
      </c>
    </row>
    <row r="431" customFormat="false" ht="15" hidden="false" customHeight="false" outlineLevel="0" collapsed="false">
      <c r="A431" s="28" t="s">
        <v>176</v>
      </c>
      <c r="B431" s="28" t="s">
        <v>177</v>
      </c>
      <c r="C431" s="28" t="s">
        <v>174</v>
      </c>
      <c r="D431" s="23" t="n">
        <v>2</v>
      </c>
      <c r="E431" s="23" t="n">
        <v>5</v>
      </c>
      <c r="F431" s="28" t="s">
        <v>911</v>
      </c>
      <c r="G431" s="19" t="n">
        <v>0.023</v>
      </c>
    </row>
    <row r="432" customFormat="false" ht="15" hidden="false" customHeight="false" outlineLevel="0" collapsed="false">
      <c r="A432" s="28" t="s">
        <v>176</v>
      </c>
      <c r="B432" s="28" t="s">
        <v>177</v>
      </c>
      <c r="C432" s="28" t="s">
        <v>174</v>
      </c>
      <c r="D432" s="23" t="n">
        <v>2</v>
      </c>
      <c r="E432" s="23" t="n">
        <v>5</v>
      </c>
      <c r="F432" s="28" t="s">
        <v>912</v>
      </c>
      <c r="G432" s="19" t="n">
        <v>0.0244</v>
      </c>
    </row>
    <row r="433" customFormat="false" ht="15" hidden="false" customHeight="false" outlineLevel="0" collapsed="false">
      <c r="A433" s="28" t="s">
        <v>176</v>
      </c>
      <c r="B433" s="28" t="s">
        <v>177</v>
      </c>
      <c r="C433" s="28" t="s">
        <v>174</v>
      </c>
      <c r="D433" s="23" t="n">
        <v>2</v>
      </c>
      <c r="E433" s="23" t="n">
        <v>5</v>
      </c>
      <c r="F433" s="28" t="s">
        <v>913</v>
      </c>
      <c r="G433" s="19" t="n">
        <v>0.0293</v>
      </c>
    </row>
    <row r="434" customFormat="false" ht="15" hidden="false" customHeight="false" outlineLevel="0" collapsed="false">
      <c r="A434" s="28" t="s">
        <v>176</v>
      </c>
      <c r="B434" s="28" t="s">
        <v>177</v>
      </c>
      <c r="C434" s="28" t="s">
        <v>174</v>
      </c>
      <c r="D434" s="23" t="n">
        <v>2</v>
      </c>
      <c r="E434" s="23" t="n">
        <v>5</v>
      </c>
      <c r="F434" s="28" t="s">
        <v>914</v>
      </c>
      <c r="G434" s="19" t="n">
        <v>0.0291</v>
      </c>
    </row>
    <row r="435" customFormat="false" ht="15" hidden="false" customHeight="false" outlineLevel="0" collapsed="false">
      <c r="A435" s="28" t="s">
        <v>176</v>
      </c>
      <c r="B435" s="28" t="s">
        <v>177</v>
      </c>
      <c r="C435" s="28" t="s">
        <v>174</v>
      </c>
      <c r="D435" s="23" t="n">
        <v>2</v>
      </c>
      <c r="E435" s="23" t="n">
        <v>5</v>
      </c>
      <c r="F435" s="28" t="s">
        <v>915</v>
      </c>
      <c r="G435" s="19" t="n">
        <v>0.0449</v>
      </c>
    </row>
    <row r="436" customFormat="false" ht="15" hidden="false" customHeight="false" outlineLevel="0" collapsed="false">
      <c r="A436" s="28" t="s">
        <v>176</v>
      </c>
      <c r="B436" s="28" t="s">
        <v>177</v>
      </c>
      <c r="C436" s="28" t="s">
        <v>174</v>
      </c>
      <c r="D436" s="23" t="n">
        <v>2</v>
      </c>
      <c r="E436" s="23" t="n">
        <v>6</v>
      </c>
      <c r="F436" s="28" t="s">
        <v>904</v>
      </c>
      <c r="G436" s="19" t="n">
        <v>0.0163</v>
      </c>
    </row>
    <row r="437" customFormat="false" ht="15" hidden="false" customHeight="false" outlineLevel="0" collapsed="false">
      <c r="A437" s="28" t="s">
        <v>176</v>
      </c>
      <c r="B437" s="28" t="s">
        <v>177</v>
      </c>
      <c r="C437" s="28" t="s">
        <v>174</v>
      </c>
      <c r="D437" s="23" t="n">
        <v>2</v>
      </c>
      <c r="E437" s="23" t="n">
        <v>6</v>
      </c>
      <c r="F437" s="28" t="s">
        <v>551</v>
      </c>
      <c r="G437" s="19" t="n">
        <v>0.0475</v>
      </c>
    </row>
    <row r="438" customFormat="false" ht="15" hidden="false" customHeight="false" outlineLevel="0" collapsed="false">
      <c r="A438" s="28" t="s">
        <v>176</v>
      </c>
      <c r="B438" s="28" t="s">
        <v>177</v>
      </c>
      <c r="C438" s="28" t="s">
        <v>174</v>
      </c>
      <c r="D438" s="23" t="n">
        <v>2</v>
      </c>
      <c r="E438" s="23" t="n">
        <v>6</v>
      </c>
      <c r="F438" s="28" t="s">
        <v>451</v>
      </c>
      <c r="G438" s="19" t="n">
        <v>0.0161</v>
      </c>
    </row>
    <row r="439" customFormat="false" ht="15" hidden="false" customHeight="false" outlineLevel="0" collapsed="false">
      <c r="A439" s="28" t="s">
        <v>176</v>
      </c>
      <c r="B439" s="28" t="s">
        <v>177</v>
      </c>
      <c r="C439" s="28" t="s">
        <v>174</v>
      </c>
      <c r="D439" s="23" t="n">
        <v>2</v>
      </c>
      <c r="E439" s="23" t="n">
        <v>6</v>
      </c>
      <c r="F439" s="28" t="s">
        <v>905</v>
      </c>
      <c r="G439" s="19" t="n">
        <v>0.0187</v>
      </c>
    </row>
    <row r="440" customFormat="false" ht="15" hidden="false" customHeight="false" outlineLevel="0" collapsed="false">
      <c r="A440" s="28" t="s">
        <v>176</v>
      </c>
      <c r="B440" s="28" t="s">
        <v>177</v>
      </c>
      <c r="C440" s="28" t="s">
        <v>174</v>
      </c>
      <c r="D440" s="23" t="n">
        <v>2</v>
      </c>
      <c r="E440" s="23" t="n">
        <v>6</v>
      </c>
      <c r="F440" s="28" t="s">
        <v>906</v>
      </c>
      <c r="G440" s="19" t="n">
        <v>0.0201</v>
      </c>
    </row>
    <row r="441" customFormat="false" ht="15" hidden="false" customHeight="false" outlineLevel="0" collapsed="false">
      <c r="A441" s="28" t="s">
        <v>176</v>
      </c>
      <c r="B441" s="28" t="s">
        <v>177</v>
      </c>
      <c r="C441" s="28" t="s">
        <v>174</v>
      </c>
      <c r="D441" s="23" t="n">
        <v>2</v>
      </c>
      <c r="E441" s="23" t="n">
        <v>6</v>
      </c>
      <c r="F441" s="28" t="s">
        <v>907</v>
      </c>
      <c r="G441" s="19" t="n">
        <v>0.0198</v>
      </c>
    </row>
    <row r="442" customFormat="false" ht="15" hidden="false" customHeight="false" outlineLevel="0" collapsed="false">
      <c r="A442" s="28" t="s">
        <v>176</v>
      </c>
      <c r="B442" s="28" t="s">
        <v>177</v>
      </c>
      <c r="C442" s="28" t="s">
        <v>174</v>
      </c>
      <c r="D442" s="23" t="n">
        <v>2</v>
      </c>
      <c r="E442" s="23" t="n">
        <v>6</v>
      </c>
      <c r="F442" s="28" t="s">
        <v>908</v>
      </c>
      <c r="G442" s="19" t="n">
        <v>0.0214</v>
      </c>
    </row>
    <row r="443" customFormat="false" ht="15" hidden="false" customHeight="false" outlineLevel="0" collapsed="false">
      <c r="A443" s="28" t="s">
        <v>176</v>
      </c>
      <c r="B443" s="28" t="s">
        <v>177</v>
      </c>
      <c r="C443" s="28" t="s">
        <v>174</v>
      </c>
      <c r="D443" s="23" t="n">
        <v>2</v>
      </c>
      <c r="E443" s="23" t="n">
        <v>6</v>
      </c>
      <c r="F443" s="28" t="s">
        <v>909</v>
      </c>
      <c r="G443" s="19" t="n">
        <v>0.0215</v>
      </c>
    </row>
    <row r="444" customFormat="false" ht="15" hidden="false" customHeight="false" outlineLevel="0" collapsed="false">
      <c r="A444" s="28" t="s">
        <v>176</v>
      </c>
      <c r="B444" s="28" t="s">
        <v>177</v>
      </c>
      <c r="C444" s="28" t="s">
        <v>174</v>
      </c>
      <c r="D444" s="23" t="n">
        <v>2</v>
      </c>
      <c r="E444" s="23" t="n">
        <v>6</v>
      </c>
      <c r="F444" s="28" t="s">
        <v>910</v>
      </c>
      <c r="G444" s="19" t="n">
        <v>0.0219</v>
      </c>
    </row>
    <row r="445" customFormat="false" ht="15" hidden="false" customHeight="false" outlineLevel="0" collapsed="false">
      <c r="A445" s="28" t="s">
        <v>176</v>
      </c>
      <c r="B445" s="28" t="s">
        <v>177</v>
      </c>
      <c r="C445" s="28" t="s">
        <v>174</v>
      </c>
      <c r="D445" s="23" t="n">
        <v>2</v>
      </c>
      <c r="E445" s="23" t="n">
        <v>6</v>
      </c>
      <c r="F445" s="28" t="s">
        <v>911</v>
      </c>
      <c r="G445" s="19" t="n">
        <v>0.023</v>
      </c>
    </row>
    <row r="446" customFormat="false" ht="15" hidden="false" customHeight="false" outlineLevel="0" collapsed="false">
      <c r="A446" s="28" t="s">
        <v>176</v>
      </c>
      <c r="B446" s="28" t="s">
        <v>177</v>
      </c>
      <c r="C446" s="28" t="s">
        <v>174</v>
      </c>
      <c r="D446" s="23" t="n">
        <v>2</v>
      </c>
      <c r="E446" s="23" t="n">
        <v>6</v>
      </c>
      <c r="F446" s="28" t="s">
        <v>912</v>
      </c>
      <c r="G446" s="19" t="n">
        <v>0.0244</v>
      </c>
    </row>
    <row r="447" customFormat="false" ht="15" hidden="false" customHeight="false" outlineLevel="0" collapsed="false">
      <c r="A447" s="28" t="s">
        <v>176</v>
      </c>
      <c r="B447" s="28" t="s">
        <v>177</v>
      </c>
      <c r="C447" s="28" t="s">
        <v>174</v>
      </c>
      <c r="D447" s="23" t="n">
        <v>2</v>
      </c>
      <c r="E447" s="23" t="n">
        <v>6</v>
      </c>
      <c r="F447" s="28" t="s">
        <v>913</v>
      </c>
      <c r="G447" s="19" t="n">
        <v>0.0293</v>
      </c>
    </row>
    <row r="448" customFormat="false" ht="15" hidden="false" customHeight="false" outlineLevel="0" collapsed="false">
      <c r="A448" s="28" t="s">
        <v>176</v>
      </c>
      <c r="B448" s="28" t="s">
        <v>177</v>
      </c>
      <c r="C448" s="28" t="s">
        <v>174</v>
      </c>
      <c r="D448" s="23" t="n">
        <v>2</v>
      </c>
      <c r="E448" s="23" t="n">
        <v>6</v>
      </c>
      <c r="F448" s="28" t="s">
        <v>914</v>
      </c>
      <c r="G448" s="19" t="n">
        <v>0.0291</v>
      </c>
    </row>
    <row r="449" customFormat="false" ht="15" hidden="false" customHeight="false" outlineLevel="0" collapsed="false">
      <c r="A449" s="28" t="s">
        <v>176</v>
      </c>
      <c r="B449" s="28" t="s">
        <v>177</v>
      </c>
      <c r="C449" s="28" t="s">
        <v>174</v>
      </c>
      <c r="D449" s="23" t="n">
        <v>2</v>
      </c>
      <c r="E449" s="23" t="n">
        <v>6</v>
      </c>
      <c r="F449" s="28" t="s">
        <v>915</v>
      </c>
      <c r="G449" s="19" t="n">
        <v>0.0449</v>
      </c>
    </row>
    <row r="450" customFormat="false" ht="15" hidden="false" customHeight="false" outlineLevel="0" collapsed="false">
      <c r="A450" s="28" t="s">
        <v>176</v>
      </c>
      <c r="B450" s="28" t="s">
        <v>177</v>
      </c>
      <c r="C450" s="28" t="s">
        <v>174</v>
      </c>
      <c r="D450" s="23" t="n">
        <v>2</v>
      </c>
      <c r="E450" s="23" t="n">
        <v>7</v>
      </c>
      <c r="F450" s="28" t="s">
        <v>904</v>
      </c>
      <c r="G450" s="19" t="n">
        <v>0.0163</v>
      </c>
    </row>
    <row r="451" customFormat="false" ht="15" hidden="false" customHeight="false" outlineLevel="0" collapsed="false">
      <c r="A451" s="28" t="s">
        <v>176</v>
      </c>
      <c r="B451" s="28" t="s">
        <v>177</v>
      </c>
      <c r="C451" s="28" t="s">
        <v>174</v>
      </c>
      <c r="D451" s="23" t="n">
        <v>2</v>
      </c>
      <c r="E451" s="23" t="n">
        <v>7</v>
      </c>
      <c r="F451" s="28" t="s">
        <v>551</v>
      </c>
      <c r="G451" s="19" t="n">
        <v>0.0475</v>
      </c>
    </row>
    <row r="452" customFormat="false" ht="15" hidden="false" customHeight="false" outlineLevel="0" collapsed="false">
      <c r="A452" s="28" t="s">
        <v>176</v>
      </c>
      <c r="B452" s="28" t="s">
        <v>177</v>
      </c>
      <c r="C452" s="28" t="s">
        <v>174</v>
      </c>
      <c r="D452" s="23" t="n">
        <v>2</v>
      </c>
      <c r="E452" s="23" t="n">
        <v>7</v>
      </c>
      <c r="F452" s="28" t="s">
        <v>451</v>
      </c>
      <c r="G452" s="19" t="n">
        <v>0.0161</v>
      </c>
    </row>
    <row r="453" customFormat="false" ht="15" hidden="false" customHeight="false" outlineLevel="0" collapsed="false">
      <c r="A453" s="28" t="s">
        <v>176</v>
      </c>
      <c r="B453" s="28" t="s">
        <v>177</v>
      </c>
      <c r="C453" s="28" t="s">
        <v>174</v>
      </c>
      <c r="D453" s="23" t="n">
        <v>2</v>
      </c>
      <c r="E453" s="23" t="n">
        <v>7</v>
      </c>
      <c r="F453" s="28" t="s">
        <v>905</v>
      </c>
      <c r="G453" s="19" t="n">
        <v>0.0187</v>
      </c>
    </row>
    <row r="454" customFormat="false" ht="15" hidden="false" customHeight="false" outlineLevel="0" collapsed="false">
      <c r="A454" s="28" t="s">
        <v>176</v>
      </c>
      <c r="B454" s="28" t="s">
        <v>177</v>
      </c>
      <c r="C454" s="28" t="s">
        <v>174</v>
      </c>
      <c r="D454" s="23" t="n">
        <v>2</v>
      </c>
      <c r="E454" s="23" t="n">
        <v>7</v>
      </c>
      <c r="F454" s="28" t="s">
        <v>906</v>
      </c>
      <c r="G454" s="19" t="n">
        <v>0.0201</v>
      </c>
    </row>
    <row r="455" customFormat="false" ht="15" hidden="false" customHeight="false" outlineLevel="0" collapsed="false">
      <c r="A455" s="28" t="s">
        <v>176</v>
      </c>
      <c r="B455" s="28" t="s">
        <v>177</v>
      </c>
      <c r="C455" s="28" t="s">
        <v>174</v>
      </c>
      <c r="D455" s="23" t="n">
        <v>2</v>
      </c>
      <c r="E455" s="23" t="n">
        <v>7</v>
      </c>
      <c r="F455" s="28" t="s">
        <v>907</v>
      </c>
      <c r="G455" s="19" t="n">
        <v>0.0198</v>
      </c>
    </row>
    <row r="456" customFormat="false" ht="15" hidden="false" customHeight="false" outlineLevel="0" collapsed="false">
      <c r="A456" s="28" t="s">
        <v>176</v>
      </c>
      <c r="B456" s="28" t="s">
        <v>177</v>
      </c>
      <c r="C456" s="28" t="s">
        <v>174</v>
      </c>
      <c r="D456" s="23" t="n">
        <v>2</v>
      </c>
      <c r="E456" s="23" t="n">
        <v>7</v>
      </c>
      <c r="F456" s="28" t="s">
        <v>908</v>
      </c>
      <c r="G456" s="19" t="n">
        <v>0.0214</v>
      </c>
    </row>
    <row r="457" customFormat="false" ht="15" hidden="false" customHeight="false" outlineLevel="0" collapsed="false">
      <c r="A457" s="28" t="s">
        <v>176</v>
      </c>
      <c r="B457" s="28" t="s">
        <v>177</v>
      </c>
      <c r="C457" s="28" t="s">
        <v>174</v>
      </c>
      <c r="D457" s="23" t="n">
        <v>2</v>
      </c>
      <c r="E457" s="23" t="n">
        <v>7</v>
      </c>
      <c r="F457" s="28" t="s">
        <v>909</v>
      </c>
      <c r="G457" s="19" t="n">
        <v>0.0215</v>
      </c>
    </row>
    <row r="458" customFormat="false" ht="15" hidden="false" customHeight="false" outlineLevel="0" collapsed="false">
      <c r="A458" s="28" t="s">
        <v>176</v>
      </c>
      <c r="B458" s="28" t="s">
        <v>177</v>
      </c>
      <c r="C458" s="28" t="s">
        <v>174</v>
      </c>
      <c r="D458" s="23" t="n">
        <v>2</v>
      </c>
      <c r="E458" s="23" t="n">
        <v>7</v>
      </c>
      <c r="F458" s="28" t="s">
        <v>910</v>
      </c>
      <c r="G458" s="19" t="n">
        <v>0.0219</v>
      </c>
    </row>
    <row r="459" customFormat="false" ht="15" hidden="false" customHeight="false" outlineLevel="0" collapsed="false">
      <c r="A459" s="28" t="s">
        <v>176</v>
      </c>
      <c r="B459" s="28" t="s">
        <v>177</v>
      </c>
      <c r="C459" s="28" t="s">
        <v>174</v>
      </c>
      <c r="D459" s="23" t="n">
        <v>2</v>
      </c>
      <c r="E459" s="23" t="n">
        <v>7</v>
      </c>
      <c r="F459" s="28" t="s">
        <v>911</v>
      </c>
      <c r="G459" s="19" t="n">
        <v>0.023</v>
      </c>
    </row>
    <row r="460" customFormat="false" ht="15" hidden="false" customHeight="false" outlineLevel="0" collapsed="false">
      <c r="A460" s="28" t="s">
        <v>176</v>
      </c>
      <c r="B460" s="28" t="s">
        <v>177</v>
      </c>
      <c r="C460" s="28" t="s">
        <v>174</v>
      </c>
      <c r="D460" s="23" t="n">
        <v>2</v>
      </c>
      <c r="E460" s="23" t="n">
        <v>7</v>
      </c>
      <c r="F460" s="28" t="s">
        <v>912</v>
      </c>
      <c r="G460" s="19" t="n">
        <v>0.0244</v>
      </c>
    </row>
    <row r="461" customFormat="false" ht="15" hidden="false" customHeight="false" outlineLevel="0" collapsed="false">
      <c r="A461" s="28" t="s">
        <v>176</v>
      </c>
      <c r="B461" s="28" t="s">
        <v>177</v>
      </c>
      <c r="C461" s="28" t="s">
        <v>174</v>
      </c>
      <c r="D461" s="23" t="n">
        <v>2</v>
      </c>
      <c r="E461" s="23" t="n">
        <v>7</v>
      </c>
      <c r="F461" s="28" t="s">
        <v>913</v>
      </c>
      <c r="G461" s="19" t="n">
        <v>0.0293</v>
      </c>
    </row>
    <row r="462" customFormat="false" ht="15" hidden="false" customHeight="false" outlineLevel="0" collapsed="false">
      <c r="A462" s="28" t="s">
        <v>176</v>
      </c>
      <c r="B462" s="28" t="s">
        <v>177</v>
      </c>
      <c r="C462" s="28" t="s">
        <v>174</v>
      </c>
      <c r="D462" s="23" t="n">
        <v>2</v>
      </c>
      <c r="E462" s="23" t="n">
        <v>7</v>
      </c>
      <c r="F462" s="28" t="s">
        <v>914</v>
      </c>
      <c r="G462" s="19" t="n">
        <v>0.0291</v>
      </c>
    </row>
    <row r="463" customFormat="false" ht="15" hidden="false" customHeight="false" outlineLevel="0" collapsed="false">
      <c r="A463" s="28" t="s">
        <v>176</v>
      </c>
      <c r="B463" s="28" t="s">
        <v>177</v>
      </c>
      <c r="C463" s="28" t="s">
        <v>174</v>
      </c>
      <c r="D463" s="23" t="n">
        <v>2</v>
      </c>
      <c r="E463" s="23" t="n">
        <v>7</v>
      </c>
      <c r="F463" s="28" t="s">
        <v>915</v>
      </c>
      <c r="G463" s="19" t="n">
        <v>0.0449</v>
      </c>
    </row>
    <row r="464" customFormat="false" ht="15" hidden="false" customHeight="false" outlineLevel="0" collapsed="false">
      <c r="A464" s="28" t="s">
        <v>176</v>
      </c>
      <c r="B464" s="28" t="s">
        <v>177</v>
      </c>
      <c r="C464" s="28" t="s">
        <v>174</v>
      </c>
      <c r="D464" s="23" t="n">
        <v>2</v>
      </c>
      <c r="E464" s="23" t="n">
        <v>8</v>
      </c>
      <c r="F464" s="28" t="s">
        <v>904</v>
      </c>
      <c r="G464" s="19" t="n">
        <v>0.0163</v>
      </c>
    </row>
    <row r="465" customFormat="false" ht="15" hidden="false" customHeight="false" outlineLevel="0" collapsed="false">
      <c r="A465" s="28" t="s">
        <v>176</v>
      </c>
      <c r="B465" s="28" t="s">
        <v>177</v>
      </c>
      <c r="C465" s="28" t="s">
        <v>174</v>
      </c>
      <c r="D465" s="23" t="n">
        <v>2</v>
      </c>
      <c r="E465" s="23" t="n">
        <v>8</v>
      </c>
      <c r="F465" s="28" t="s">
        <v>551</v>
      </c>
      <c r="G465" s="19" t="n">
        <v>0.0475</v>
      </c>
    </row>
    <row r="466" customFormat="false" ht="15" hidden="false" customHeight="false" outlineLevel="0" collapsed="false">
      <c r="A466" s="28" t="s">
        <v>176</v>
      </c>
      <c r="B466" s="28" t="s">
        <v>177</v>
      </c>
      <c r="C466" s="28" t="s">
        <v>174</v>
      </c>
      <c r="D466" s="23" t="n">
        <v>2</v>
      </c>
      <c r="E466" s="23" t="n">
        <v>8</v>
      </c>
      <c r="F466" s="28" t="s">
        <v>451</v>
      </c>
      <c r="G466" s="19" t="n">
        <v>0.0161</v>
      </c>
    </row>
    <row r="467" customFormat="false" ht="15" hidden="false" customHeight="false" outlineLevel="0" collapsed="false">
      <c r="A467" s="28" t="s">
        <v>176</v>
      </c>
      <c r="B467" s="28" t="s">
        <v>177</v>
      </c>
      <c r="C467" s="28" t="s">
        <v>174</v>
      </c>
      <c r="D467" s="23" t="n">
        <v>2</v>
      </c>
      <c r="E467" s="23" t="n">
        <v>8</v>
      </c>
      <c r="F467" s="28" t="s">
        <v>905</v>
      </c>
      <c r="G467" s="19" t="n">
        <v>0.0187</v>
      </c>
    </row>
    <row r="468" customFormat="false" ht="15" hidden="false" customHeight="false" outlineLevel="0" collapsed="false">
      <c r="A468" s="28" t="s">
        <v>176</v>
      </c>
      <c r="B468" s="28" t="s">
        <v>177</v>
      </c>
      <c r="C468" s="28" t="s">
        <v>174</v>
      </c>
      <c r="D468" s="23" t="n">
        <v>2</v>
      </c>
      <c r="E468" s="23" t="n">
        <v>8</v>
      </c>
      <c r="F468" s="28" t="s">
        <v>906</v>
      </c>
      <c r="G468" s="19" t="n">
        <v>0.0201</v>
      </c>
    </row>
    <row r="469" customFormat="false" ht="15" hidden="false" customHeight="false" outlineLevel="0" collapsed="false">
      <c r="A469" s="28" t="s">
        <v>176</v>
      </c>
      <c r="B469" s="28" t="s">
        <v>177</v>
      </c>
      <c r="C469" s="28" t="s">
        <v>174</v>
      </c>
      <c r="D469" s="23" t="n">
        <v>2</v>
      </c>
      <c r="E469" s="23" t="n">
        <v>8</v>
      </c>
      <c r="F469" s="28" t="s">
        <v>907</v>
      </c>
      <c r="G469" s="19" t="n">
        <v>0.0198</v>
      </c>
    </row>
    <row r="470" customFormat="false" ht="15" hidden="false" customHeight="false" outlineLevel="0" collapsed="false">
      <c r="A470" s="28" t="s">
        <v>176</v>
      </c>
      <c r="B470" s="28" t="s">
        <v>177</v>
      </c>
      <c r="C470" s="28" t="s">
        <v>174</v>
      </c>
      <c r="D470" s="23" t="n">
        <v>2</v>
      </c>
      <c r="E470" s="23" t="n">
        <v>8</v>
      </c>
      <c r="F470" s="28" t="s">
        <v>908</v>
      </c>
      <c r="G470" s="19" t="n">
        <v>0.0214</v>
      </c>
    </row>
    <row r="471" customFormat="false" ht="15" hidden="false" customHeight="false" outlineLevel="0" collapsed="false">
      <c r="A471" s="28" t="s">
        <v>176</v>
      </c>
      <c r="B471" s="28" t="s">
        <v>177</v>
      </c>
      <c r="C471" s="28" t="s">
        <v>174</v>
      </c>
      <c r="D471" s="23" t="n">
        <v>2</v>
      </c>
      <c r="E471" s="23" t="n">
        <v>8</v>
      </c>
      <c r="F471" s="28" t="s">
        <v>909</v>
      </c>
      <c r="G471" s="19" t="n">
        <v>0.0215</v>
      </c>
    </row>
    <row r="472" customFormat="false" ht="15" hidden="false" customHeight="false" outlineLevel="0" collapsed="false">
      <c r="A472" s="28" t="s">
        <v>176</v>
      </c>
      <c r="B472" s="28" t="s">
        <v>177</v>
      </c>
      <c r="C472" s="28" t="s">
        <v>174</v>
      </c>
      <c r="D472" s="23" t="n">
        <v>2</v>
      </c>
      <c r="E472" s="23" t="n">
        <v>8</v>
      </c>
      <c r="F472" s="28" t="s">
        <v>910</v>
      </c>
      <c r="G472" s="19" t="n">
        <v>0.0219</v>
      </c>
    </row>
    <row r="473" customFormat="false" ht="15" hidden="false" customHeight="false" outlineLevel="0" collapsed="false">
      <c r="A473" s="28" t="s">
        <v>176</v>
      </c>
      <c r="B473" s="28" t="s">
        <v>177</v>
      </c>
      <c r="C473" s="28" t="s">
        <v>174</v>
      </c>
      <c r="D473" s="23" t="n">
        <v>2</v>
      </c>
      <c r="E473" s="23" t="n">
        <v>8</v>
      </c>
      <c r="F473" s="28" t="s">
        <v>911</v>
      </c>
      <c r="G473" s="19" t="n">
        <v>0.023</v>
      </c>
    </row>
    <row r="474" customFormat="false" ht="15" hidden="false" customHeight="false" outlineLevel="0" collapsed="false">
      <c r="A474" s="28" t="s">
        <v>176</v>
      </c>
      <c r="B474" s="28" t="s">
        <v>177</v>
      </c>
      <c r="C474" s="28" t="s">
        <v>174</v>
      </c>
      <c r="D474" s="23" t="n">
        <v>2</v>
      </c>
      <c r="E474" s="23" t="n">
        <v>8</v>
      </c>
      <c r="F474" s="28" t="s">
        <v>912</v>
      </c>
      <c r="G474" s="19" t="n">
        <v>0.0244</v>
      </c>
    </row>
    <row r="475" customFormat="false" ht="15" hidden="false" customHeight="false" outlineLevel="0" collapsed="false">
      <c r="A475" s="28" t="s">
        <v>176</v>
      </c>
      <c r="B475" s="28" t="s">
        <v>177</v>
      </c>
      <c r="C475" s="28" t="s">
        <v>174</v>
      </c>
      <c r="D475" s="23" t="n">
        <v>2</v>
      </c>
      <c r="E475" s="23" t="n">
        <v>8</v>
      </c>
      <c r="F475" s="28" t="s">
        <v>913</v>
      </c>
      <c r="G475" s="19" t="n">
        <v>0.0293</v>
      </c>
    </row>
    <row r="476" customFormat="false" ht="15" hidden="false" customHeight="false" outlineLevel="0" collapsed="false">
      <c r="A476" s="28" t="s">
        <v>176</v>
      </c>
      <c r="B476" s="28" t="s">
        <v>177</v>
      </c>
      <c r="C476" s="28" t="s">
        <v>174</v>
      </c>
      <c r="D476" s="23" t="n">
        <v>2</v>
      </c>
      <c r="E476" s="23" t="n">
        <v>8</v>
      </c>
      <c r="F476" s="28" t="s">
        <v>914</v>
      </c>
      <c r="G476" s="19" t="n">
        <v>0.0291</v>
      </c>
    </row>
    <row r="477" customFormat="false" ht="15" hidden="false" customHeight="false" outlineLevel="0" collapsed="false">
      <c r="A477" s="28" t="s">
        <v>176</v>
      </c>
      <c r="B477" s="28" t="s">
        <v>177</v>
      </c>
      <c r="C477" s="28" t="s">
        <v>174</v>
      </c>
      <c r="D477" s="23" t="n">
        <v>2</v>
      </c>
      <c r="E477" s="23" t="n">
        <v>8</v>
      </c>
      <c r="F477" s="28" t="s">
        <v>915</v>
      </c>
      <c r="G477" s="19" t="n">
        <v>0.0449</v>
      </c>
    </row>
    <row r="478" customFormat="false" ht="15" hidden="false" customHeight="false" outlineLevel="0" collapsed="false">
      <c r="A478" s="28" t="s">
        <v>176</v>
      </c>
      <c r="B478" s="28" t="s">
        <v>177</v>
      </c>
      <c r="C478" s="28" t="s">
        <v>174</v>
      </c>
      <c r="D478" s="23" t="n">
        <v>2</v>
      </c>
      <c r="E478" s="23" t="n">
        <v>9</v>
      </c>
      <c r="F478" s="28" t="s">
        <v>904</v>
      </c>
      <c r="G478" s="19" t="n">
        <v>0.0163</v>
      </c>
    </row>
    <row r="479" customFormat="false" ht="15" hidden="false" customHeight="false" outlineLevel="0" collapsed="false">
      <c r="A479" s="28" t="s">
        <v>176</v>
      </c>
      <c r="B479" s="28" t="s">
        <v>177</v>
      </c>
      <c r="C479" s="28" t="s">
        <v>174</v>
      </c>
      <c r="D479" s="23" t="n">
        <v>2</v>
      </c>
      <c r="E479" s="23" t="n">
        <v>9</v>
      </c>
      <c r="F479" s="28" t="s">
        <v>551</v>
      </c>
      <c r="G479" s="19" t="n">
        <v>0.0475</v>
      </c>
    </row>
    <row r="480" customFormat="false" ht="15" hidden="false" customHeight="false" outlineLevel="0" collapsed="false">
      <c r="A480" s="28" t="s">
        <v>176</v>
      </c>
      <c r="B480" s="28" t="s">
        <v>177</v>
      </c>
      <c r="C480" s="28" t="s">
        <v>174</v>
      </c>
      <c r="D480" s="23" t="n">
        <v>2</v>
      </c>
      <c r="E480" s="23" t="n">
        <v>9</v>
      </c>
      <c r="F480" s="28" t="s">
        <v>451</v>
      </c>
      <c r="G480" s="19" t="n">
        <v>0.0161</v>
      </c>
    </row>
    <row r="481" customFormat="false" ht="15" hidden="false" customHeight="false" outlineLevel="0" collapsed="false">
      <c r="A481" s="28" t="s">
        <v>176</v>
      </c>
      <c r="B481" s="28" t="s">
        <v>177</v>
      </c>
      <c r="C481" s="28" t="s">
        <v>174</v>
      </c>
      <c r="D481" s="23" t="n">
        <v>2</v>
      </c>
      <c r="E481" s="23" t="n">
        <v>9</v>
      </c>
      <c r="F481" s="28" t="s">
        <v>905</v>
      </c>
      <c r="G481" s="19" t="n">
        <v>0.0187</v>
      </c>
    </row>
    <row r="482" customFormat="false" ht="15" hidden="false" customHeight="false" outlineLevel="0" collapsed="false">
      <c r="A482" s="28" t="s">
        <v>176</v>
      </c>
      <c r="B482" s="28" t="s">
        <v>177</v>
      </c>
      <c r="C482" s="28" t="s">
        <v>174</v>
      </c>
      <c r="D482" s="23" t="n">
        <v>2</v>
      </c>
      <c r="E482" s="23" t="n">
        <v>9</v>
      </c>
      <c r="F482" s="28" t="s">
        <v>906</v>
      </c>
      <c r="G482" s="19" t="n">
        <v>0.0201</v>
      </c>
    </row>
    <row r="483" customFormat="false" ht="15" hidden="false" customHeight="false" outlineLevel="0" collapsed="false">
      <c r="A483" s="28" t="s">
        <v>176</v>
      </c>
      <c r="B483" s="28" t="s">
        <v>177</v>
      </c>
      <c r="C483" s="28" t="s">
        <v>174</v>
      </c>
      <c r="D483" s="23" t="n">
        <v>2</v>
      </c>
      <c r="E483" s="23" t="n">
        <v>9</v>
      </c>
      <c r="F483" s="28" t="s">
        <v>907</v>
      </c>
      <c r="G483" s="19" t="n">
        <v>0.0198</v>
      </c>
    </row>
    <row r="484" customFormat="false" ht="15" hidden="false" customHeight="false" outlineLevel="0" collapsed="false">
      <c r="A484" s="28" t="s">
        <v>176</v>
      </c>
      <c r="B484" s="28" t="s">
        <v>177</v>
      </c>
      <c r="C484" s="28" t="s">
        <v>174</v>
      </c>
      <c r="D484" s="23" t="n">
        <v>2</v>
      </c>
      <c r="E484" s="23" t="n">
        <v>9</v>
      </c>
      <c r="F484" s="28" t="s">
        <v>908</v>
      </c>
      <c r="G484" s="19" t="n">
        <v>0.0214</v>
      </c>
    </row>
    <row r="485" customFormat="false" ht="15" hidden="false" customHeight="false" outlineLevel="0" collapsed="false">
      <c r="A485" s="28" t="s">
        <v>176</v>
      </c>
      <c r="B485" s="28" t="s">
        <v>177</v>
      </c>
      <c r="C485" s="28" t="s">
        <v>174</v>
      </c>
      <c r="D485" s="23" t="n">
        <v>2</v>
      </c>
      <c r="E485" s="23" t="n">
        <v>9</v>
      </c>
      <c r="F485" s="28" t="s">
        <v>909</v>
      </c>
      <c r="G485" s="19" t="n">
        <v>0.0215</v>
      </c>
    </row>
    <row r="486" customFormat="false" ht="15" hidden="false" customHeight="false" outlineLevel="0" collapsed="false">
      <c r="A486" s="28" t="s">
        <v>176</v>
      </c>
      <c r="B486" s="28" t="s">
        <v>177</v>
      </c>
      <c r="C486" s="28" t="s">
        <v>174</v>
      </c>
      <c r="D486" s="23" t="n">
        <v>2</v>
      </c>
      <c r="E486" s="23" t="n">
        <v>9</v>
      </c>
      <c r="F486" s="28" t="s">
        <v>910</v>
      </c>
      <c r="G486" s="19" t="n">
        <v>0.0219</v>
      </c>
    </row>
    <row r="487" customFormat="false" ht="15" hidden="false" customHeight="false" outlineLevel="0" collapsed="false">
      <c r="A487" s="28" t="s">
        <v>176</v>
      </c>
      <c r="B487" s="28" t="s">
        <v>177</v>
      </c>
      <c r="C487" s="28" t="s">
        <v>174</v>
      </c>
      <c r="D487" s="23" t="n">
        <v>2</v>
      </c>
      <c r="E487" s="23" t="n">
        <v>9</v>
      </c>
      <c r="F487" s="28" t="s">
        <v>911</v>
      </c>
      <c r="G487" s="19" t="n">
        <v>0.023</v>
      </c>
    </row>
    <row r="488" customFormat="false" ht="15" hidden="false" customHeight="false" outlineLevel="0" collapsed="false">
      <c r="A488" s="28" t="s">
        <v>176</v>
      </c>
      <c r="B488" s="28" t="s">
        <v>177</v>
      </c>
      <c r="C488" s="28" t="s">
        <v>174</v>
      </c>
      <c r="D488" s="23" t="n">
        <v>2</v>
      </c>
      <c r="E488" s="23" t="n">
        <v>9</v>
      </c>
      <c r="F488" s="28" t="s">
        <v>912</v>
      </c>
      <c r="G488" s="19" t="n">
        <v>0.0244</v>
      </c>
    </row>
    <row r="489" customFormat="false" ht="15" hidden="false" customHeight="false" outlineLevel="0" collapsed="false">
      <c r="A489" s="28" t="s">
        <v>176</v>
      </c>
      <c r="B489" s="28" t="s">
        <v>177</v>
      </c>
      <c r="C489" s="28" t="s">
        <v>174</v>
      </c>
      <c r="D489" s="23" t="n">
        <v>2</v>
      </c>
      <c r="E489" s="23" t="n">
        <v>9</v>
      </c>
      <c r="F489" s="28" t="s">
        <v>913</v>
      </c>
      <c r="G489" s="19" t="n">
        <v>0.0293</v>
      </c>
    </row>
    <row r="490" customFormat="false" ht="15" hidden="false" customHeight="false" outlineLevel="0" collapsed="false">
      <c r="A490" s="28" t="s">
        <v>176</v>
      </c>
      <c r="B490" s="28" t="s">
        <v>177</v>
      </c>
      <c r="C490" s="28" t="s">
        <v>174</v>
      </c>
      <c r="D490" s="23" t="n">
        <v>2</v>
      </c>
      <c r="E490" s="23" t="n">
        <v>9</v>
      </c>
      <c r="F490" s="28" t="s">
        <v>914</v>
      </c>
      <c r="G490" s="19" t="n">
        <v>0.0291</v>
      </c>
    </row>
    <row r="491" customFormat="false" ht="15" hidden="false" customHeight="false" outlineLevel="0" collapsed="false">
      <c r="A491" s="28" t="s">
        <v>176</v>
      </c>
      <c r="B491" s="28" t="s">
        <v>177</v>
      </c>
      <c r="C491" s="28" t="s">
        <v>174</v>
      </c>
      <c r="D491" s="23" t="n">
        <v>2</v>
      </c>
      <c r="E491" s="23" t="n">
        <v>9</v>
      </c>
      <c r="F491" s="28" t="s">
        <v>915</v>
      </c>
      <c r="G491" s="19" t="n">
        <v>0.0449</v>
      </c>
    </row>
    <row r="492" customFormat="false" ht="15" hidden="false" customHeight="false" outlineLevel="0" collapsed="false">
      <c r="A492" s="28" t="s">
        <v>176</v>
      </c>
      <c r="B492" s="28" t="s">
        <v>177</v>
      </c>
      <c r="C492" s="28" t="s">
        <v>174</v>
      </c>
      <c r="D492" s="23" t="n">
        <v>2</v>
      </c>
      <c r="E492" s="23" t="n">
        <v>10</v>
      </c>
      <c r="F492" s="28" t="s">
        <v>904</v>
      </c>
      <c r="G492" s="19" t="n">
        <v>0.0163</v>
      </c>
    </row>
    <row r="493" customFormat="false" ht="15" hidden="false" customHeight="false" outlineLevel="0" collapsed="false">
      <c r="A493" s="28" t="s">
        <v>176</v>
      </c>
      <c r="B493" s="28" t="s">
        <v>177</v>
      </c>
      <c r="C493" s="28" t="s">
        <v>174</v>
      </c>
      <c r="D493" s="23" t="n">
        <v>2</v>
      </c>
      <c r="E493" s="23" t="n">
        <v>10</v>
      </c>
      <c r="F493" s="28" t="s">
        <v>551</v>
      </c>
      <c r="G493" s="19" t="n">
        <v>0.0475</v>
      </c>
    </row>
    <row r="494" customFormat="false" ht="15" hidden="false" customHeight="false" outlineLevel="0" collapsed="false">
      <c r="A494" s="28" t="s">
        <v>176</v>
      </c>
      <c r="B494" s="28" t="s">
        <v>177</v>
      </c>
      <c r="C494" s="28" t="s">
        <v>174</v>
      </c>
      <c r="D494" s="23" t="n">
        <v>2</v>
      </c>
      <c r="E494" s="23" t="n">
        <v>10</v>
      </c>
      <c r="F494" s="28" t="s">
        <v>451</v>
      </c>
      <c r="G494" s="19" t="n">
        <v>0.0161</v>
      </c>
    </row>
    <row r="495" customFormat="false" ht="15" hidden="false" customHeight="false" outlineLevel="0" collapsed="false">
      <c r="A495" s="28" t="s">
        <v>176</v>
      </c>
      <c r="B495" s="28" t="s">
        <v>177</v>
      </c>
      <c r="C495" s="28" t="s">
        <v>174</v>
      </c>
      <c r="D495" s="23" t="n">
        <v>2</v>
      </c>
      <c r="E495" s="23" t="n">
        <v>10</v>
      </c>
      <c r="F495" s="28" t="s">
        <v>905</v>
      </c>
      <c r="G495" s="19" t="n">
        <v>0.0187</v>
      </c>
    </row>
    <row r="496" customFormat="false" ht="15" hidden="false" customHeight="false" outlineLevel="0" collapsed="false">
      <c r="A496" s="28" t="s">
        <v>176</v>
      </c>
      <c r="B496" s="28" t="s">
        <v>177</v>
      </c>
      <c r="C496" s="28" t="s">
        <v>174</v>
      </c>
      <c r="D496" s="23" t="n">
        <v>2</v>
      </c>
      <c r="E496" s="23" t="n">
        <v>10</v>
      </c>
      <c r="F496" s="28" t="s">
        <v>906</v>
      </c>
      <c r="G496" s="19" t="n">
        <v>0.0201</v>
      </c>
    </row>
    <row r="497" customFormat="false" ht="15" hidden="false" customHeight="false" outlineLevel="0" collapsed="false">
      <c r="A497" s="28" t="s">
        <v>176</v>
      </c>
      <c r="B497" s="28" t="s">
        <v>177</v>
      </c>
      <c r="C497" s="28" t="s">
        <v>174</v>
      </c>
      <c r="D497" s="23" t="n">
        <v>2</v>
      </c>
      <c r="E497" s="23" t="n">
        <v>10</v>
      </c>
      <c r="F497" s="28" t="s">
        <v>907</v>
      </c>
      <c r="G497" s="19" t="n">
        <v>0.0198</v>
      </c>
    </row>
    <row r="498" customFormat="false" ht="15" hidden="false" customHeight="false" outlineLevel="0" collapsed="false">
      <c r="A498" s="28" t="s">
        <v>176</v>
      </c>
      <c r="B498" s="28" t="s">
        <v>177</v>
      </c>
      <c r="C498" s="28" t="s">
        <v>174</v>
      </c>
      <c r="D498" s="23" t="n">
        <v>2</v>
      </c>
      <c r="E498" s="23" t="n">
        <v>10</v>
      </c>
      <c r="F498" s="28" t="s">
        <v>908</v>
      </c>
      <c r="G498" s="19" t="n">
        <v>0.0214</v>
      </c>
    </row>
    <row r="499" customFormat="false" ht="15" hidden="false" customHeight="false" outlineLevel="0" collapsed="false">
      <c r="A499" s="28" t="s">
        <v>176</v>
      </c>
      <c r="B499" s="28" t="s">
        <v>177</v>
      </c>
      <c r="C499" s="28" t="s">
        <v>174</v>
      </c>
      <c r="D499" s="23" t="n">
        <v>2</v>
      </c>
      <c r="E499" s="23" t="n">
        <v>10</v>
      </c>
      <c r="F499" s="28" t="s">
        <v>909</v>
      </c>
      <c r="G499" s="19" t="n">
        <v>0.0215</v>
      </c>
    </row>
    <row r="500" customFormat="false" ht="15" hidden="false" customHeight="false" outlineLevel="0" collapsed="false">
      <c r="A500" s="28" t="s">
        <v>176</v>
      </c>
      <c r="B500" s="28" t="s">
        <v>177</v>
      </c>
      <c r="C500" s="28" t="s">
        <v>174</v>
      </c>
      <c r="D500" s="23" t="n">
        <v>2</v>
      </c>
      <c r="E500" s="23" t="n">
        <v>10</v>
      </c>
      <c r="F500" s="28" t="s">
        <v>910</v>
      </c>
      <c r="G500" s="19" t="n">
        <v>0.0219</v>
      </c>
    </row>
    <row r="501" customFormat="false" ht="15" hidden="false" customHeight="false" outlineLevel="0" collapsed="false">
      <c r="A501" s="28" t="s">
        <v>176</v>
      </c>
      <c r="B501" s="28" t="s">
        <v>177</v>
      </c>
      <c r="C501" s="28" t="s">
        <v>174</v>
      </c>
      <c r="D501" s="23" t="n">
        <v>2</v>
      </c>
      <c r="E501" s="23" t="n">
        <v>10</v>
      </c>
      <c r="F501" s="28" t="s">
        <v>911</v>
      </c>
      <c r="G501" s="19" t="n">
        <v>0.023</v>
      </c>
    </row>
    <row r="502" customFormat="false" ht="15" hidden="false" customHeight="false" outlineLevel="0" collapsed="false">
      <c r="A502" s="28" t="s">
        <v>176</v>
      </c>
      <c r="B502" s="28" t="s">
        <v>177</v>
      </c>
      <c r="C502" s="28" t="s">
        <v>174</v>
      </c>
      <c r="D502" s="23" t="n">
        <v>2</v>
      </c>
      <c r="E502" s="23" t="n">
        <v>10</v>
      </c>
      <c r="F502" s="28" t="s">
        <v>912</v>
      </c>
      <c r="G502" s="19" t="n">
        <v>0.0244</v>
      </c>
    </row>
    <row r="503" customFormat="false" ht="15" hidden="false" customHeight="false" outlineLevel="0" collapsed="false">
      <c r="A503" s="28" t="s">
        <v>176</v>
      </c>
      <c r="B503" s="28" t="s">
        <v>177</v>
      </c>
      <c r="C503" s="28" t="s">
        <v>174</v>
      </c>
      <c r="D503" s="23" t="n">
        <v>2</v>
      </c>
      <c r="E503" s="23" t="n">
        <v>10</v>
      </c>
      <c r="F503" s="28" t="s">
        <v>913</v>
      </c>
      <c r="G503" s="19" t="n">
        <v>0.0293</v>
      </c>
    </row>
    <row r="504" customFormat="false" ht="15" hidden="false" customHeight="false" outlineLevel="0" collapsed="false">
      <c r="A504" s="28" t="s">
        <v>176</v>
      </c>
      <c r="B504" s="28" t="s">
        <v>177</v>
      </c>
      <c r="C504" s="28" t="s">
        <v>174</v>
      </c>
      <c r="D504" s="23" t="n">
        <v>2</v>
      </c>
      <c r="E504" s="23" t="n">
        <v>10</v>
      </c>
      <c r="F504" s="28" t="s">
        <v>914</v>
      </c>
      <c r="G504" s="19" t="n">
        <v>0.0291</v>
      </c>
    </row>
    <row r="505" customFormat="false" ht="15" hidden="false" customHeight="false" outlineLevel="0" collapsed="false">
      <c r="A505" s="28" t="s">
        <v>176</v>
      </c>
      <c r="B505" s="28" t="s">
        <v>177</v>
      </c>
      <c r="C505" s="28" t="s">
        <v>174</v>
      </c>
      <c r="D505" s="23" t="n">
        <v>2</v>
      </c>
      <c r="E505" s="23" t="n">
        <v>10</v>
      </c>
      <c r="F505" s="28" t="s">
        <v>915</v>
      </c>
      <c r="G505" s="19" t="n">
        <v>0.0449</v>
      </c>
    </row>
    <row r="506" customFormat="false" ht="15" hidden="false" customHeight="false" outlineLevel="0" collapsed="false">
      <c r="A506" s="28" t="s">
        <v>176</v>
      </c>
      <c r="B506" s="28" t="s">
        <v>177</v>
      </c>
      <c r="C506" s="28" t="s">
        <v>174</v>
      </c>
      <c r="D506" s="23" t="n">
        <v>2</v>
      </c>
      <c r="E506" s="23" t="n">
        <v>11</v>
      </c>
      <c r="F506" s="28" t="s">
        <v>904</v>
      </c>
      <c r="G506" s="19" t="n">
        <v>0.0163</v>
      </c>
    </row>
    <row r="507" customFormat="false" ht="15" hidden="false" customHeight="false" outlineLevel="0" collapsed="false">
      <c r="A507" s="28" t="s">
        <v>176</v>
      </c>
      <c r="B507" s="28" t="s">
        <v>177</v>
      </c>
      <c r="C507" s="28" t="s">
        <v>174</v>
      </c>
      <c r="D507" s="23" t="n">
        <v>2</v>
      </c>
      <c r="E507" s="23" t="n">
        <v>11</v>
      </c>
      <c r="F507" s="28" t="s">
        <v>551</v>
      </c>
      <c r="G507" s="19" t="n">
        <v>0.0475</v>
      </c>
    </row>
    <row r="508" customFormat="false" ht="15" hidden="false" customHeight="false" outlineLevel="0" collapsed="false">
      <c r="A508" s="28" t="s">
        <v>176</v>
      </c>
      <c r="B508" s="28" t="s">
        <v>177</v>
      </c>
      <c r="C508" s="28" t="s">
        <v>174</v>
      </c>
      <c r="D508" s="23" t="n">
        <v>2</v>
      </c>
      <c r="E508" s="23" t="n">
        <v>11</v>
      </c>
      <c r="F508" s="28" t="s">
        <v>451</v>
      </c>
      <c r="G508" s="19" t="n">
        <v>0.0161</v>
      </c>
    </row>
    <row r="509" customFormat="false" ht="15" hidden="false" customHeight="false" outlineLevel="0" collapsed="false">
      <c r="A509" s="28" t="s">
        <v>176</v>
      </c>
      <c r="B509" s="28" t="s">
        <v>177</v>
      </c>
      <c r="C509" s="28" t="s">
        <v>174</v>
      </c>
      <c r="D509" s="23" t="n">
        <v>2</v>
      </c>
      <c r="E509" s="23" t="n">
        <v>11</v>
      </c>
      <c r="F509" s="28" t="s">
        <v>905</v>
      </c>
      <c r="G509" s="19" t="n">
        <v>0.0187</v>
      </c>
    </row>
    <row r="510" customFormat="false" ht="15" hidden="false" customHeight="false" outlineLevel="0" collapsed="false">
      <c r="A510" s="28" t="s">
        <v>176</v>
      </c>
      <c r="B510" s="28" t="s">
        <v>177</v>
      </c>
      <c r="C510" s="28" t="s">
        <v>174</v>
      </c>
      <c r="D510" s="23" t="n">
        <v>2</v>
      </c>
      <c r="E510" s="23" t="n">
        <v>11</v>
      </c>
      <c r="F510" s="28" t="s">
        <v>906</v>
      </c>
      <c r="G510" s="19" t="n">
        <v>0.0201</v>
      </c>
    </row>
    <row r="511" customFormat="false" ht="15" hidden="false" customHeight="false" outlineLevel="0" collapsed="false">
      <c r="A511" s="28" t="s">
        <v>176</v>
      </c>
      <c r="B511" s="28" t="s">
        <v>177</v>
      </c>
      <c r="C511" s="28" t="s">
        <v>174</v>
      </c>
      <c r="D511" s="23" t="n">
        <v>2</v>
      </c>
      <c r="E511" s="23" t="n">
        <v>11</v>
      </c>
      <c r="F511" s="28" t="s">
        <v>907</v>
      </c>
      <c r="G511" s="19" t="n">
        <v>0.0198</v>
      </c>
    </row>
    <row r="512" customFormat="false" ht="15" hidden="false" customHeight="false" outlineLevel="0" collapsed="false">
      <c r="A512" s="28" t="s">
        <v>176</v>
      </c>
      <c r="B512" s="28" t="s">
        <v>177</v>
      </c>
      <c r="C512" s="28" t="s">
        <v>174</v>
      </c>
      <c r="D512" s="23" t="n">
        <v>2</v>
      </c>
      <c r="E512" s="23" t="n">
        <v>11</v>
      </c>
      <c r="F512" s="28" t="s">
        <v>908</v>
      </c>
      <c r="G512" s="19" t="n">
        <v>0.0214</v>
      </c>
    </row>
    <row r="513" customFormat="false" ht="15" hidden="false" customHeight="false" outlineLevel="0" collapsed="false">
      <c r="A513" s="28" t="s">
        <v>176</v>
      </c>
      <c r="B513" s="28" t="s">
        <v>177</v>
      </c>
      <c r="C513" s="28" t="s">
        <v>174</v>
      </c>
      <c r="D513" s="23" t="n">
        <v>2</v>
      </c>
      <c r="E513" s="23" t="n">
        <v>11</v>
      </c>
      <c r="F513" s="28" t="s">
        <v>909</v>
      </c>
      <c r="G513" s="19" t="n">
        <v>0.0215</v>
      </c>
    </row>
    <row r="514" customFormat="false" ht="15" hidden="false" customHeight="false" outlineLevel="0" collapsed="false">
      <c r="A514" s="28" t="s">
        <v>176</v>
      </c>
      <c r="B514" s="28" t="s">
        <v>177</v>
      </c>
      <c r="C514" s="28" t="s">
        <v>174</v>
      </c>
      <c r="D514" s="23" t="n">
        <v>2</v>
      </c>
      <c r="E514" s="23" t="n">
        <v>11</v>
      </c>
      <c r="F514" s="28" t="s">
        <v>910</v>
      </c>
      <c r="G514" s="19" t="n">
        <v>0.0219</v>
      </c>
    </row>
    <row r="515" customFormat="false" ht="15" hidden="false" customHeight="false" outlineLevel="0" collapsed="false">
      <c r="A515" s="28" t="s">
        <v>176</v>
      </c>
      <c r="B515" s="28" t="s">
        <v>177</v>
      </c>
      <c r="C515" s="28" t="s">
        <v>174</v>
      </c>
      <c r="D515" s="23" t="n">
        <v>2</v>
      </c>
      <c r="E515" s="23" t="n">
        <v>11</v>
      </c>
      <c r="F515" s="28" t="s">
        <v>911</v>
      </c>
      <c r="G515" s="19" t="n">
        <v>0.023</v>
      </c>
    </row>
    <row r="516" customFormat="false" ht="15" hidden="false" customHeight="false" outlineLevel="0" collapsed="false">
      <c r="A516" s="28" t="s">
        <v>176</v>
      </c>
      <c r="B516" s="28" t="s">
        <v>177</v>
      </c>
      <c r="C516" s="28" t="s">
        <v>174</v>
      </c>
      <c r="D516" s="23" t="n">
        <v>2</v>
      </c>
      <c r="E516" s="23" t="n">
        <v>11</v>
      </c>
      <c r="F516" s="28" t="s">
        <v>912</v>
      </c>
      <c r="G516" s="19" t="n">
        <v>0.0244</v>
      </c>
    </row>
    <row r="517" customFormat="false" ht="15" hidden="false" customHeight="false" outlineLevel="0" collapsed="false">
      <c r="A517" s="28" t="s">
        <v>176</v>
      </c>
      <c r="B517" s="28" t="s">
        <v>177</v>
      </c>
      <c r="C517" s="28" t="s">
        <v>174</v>
      </c>
      <c r="D517" s="23" t="n">
        <v>2</v>
      </c>
      <c r="E517" s="23" t="n">
        <v>11</v>
      </c>
      <c r="F517" s="28" t="s">
        <v>913</v>
      </c>
      <c r="G517" s="19" t="n">
        <v>0.0293</v>
      </c>
    </row>
    <row r="518" customFormat="false" ht="15" hidden="false" customHeight="false" outlineLevel="0" collapsed="false">
      <c r="A518" s="28" t="s">
        <v>176</v>
      </c>
      <c r="B518" s="28" t="s">
        <v>177</v>
      </c>
      <c r="C518" s="28" t="s">
        <v>174</v>
      </c>
      <c r="D518" s="23" t="n">
        <v>2</v>
      </c>
      <c r="E518" s="23" t="n">
        <v>11</v>
      </c>
      <c r="F518" s="28" t="s">
        <v>914</v>
      </c>
      <c r="G518" s="19" t="n">
        <v>0.0291</v>
      </c>
    </row>
    <row r="519" customFormat="false" ht="15" hidden="false" customHeight="false" outlineLevel="0" collapsed="false">
      <c r="A519" s="28" t="s">
        <v>176</v>
      </c>
      <c r="B519" s="28" t="s">
        <v>177</v>
      </c>
      <c r="C519" s="28" t="s">
        <v>174</v>
      </c>
      <c r="D519" s="23" t="n">
        <v>2</v>
      </c>
      <c r="E519" s="23" t="n">
        <v>11</v>
      </c>
      <c r="F519" s="28" t="s">
        <v>915</v>
      </c>
      <c r="G519" s="19" t="n">
        <v>0.0449</v>
      </c>
    </row>
    <row r="520" customFormat="false" ht="15" hidden="false" customHeight="false" outlineLevel="0" collapsed="false">
      <c r="A520" s="28" t="s">
        <v>176</v>
      </c>
      <c r="B520" s="28" t="s">
        <v>177</v>
      </c>
      <c r="C520" s="28" t="s">
        <v>174</v>
      </c>
      <c r="D520" s="23" t="n">
        <v>2</v>
      </c>
      <c r="E520" s="23" t="n">
        <v>12</v>
      </c>
      <c r="F520" s="28" t="s">
        <v>904</v>
      </c>
      <c r="G520" s="19" t="n">
        <v>0.0163</v>
      </c>
    </row>
    <row r="521" customFormat="false" ht="15" hidden="false" customHeight="false" outlineLevel="0" collapsed="false">
      <c r="A521" s="28" t="s">
        <v>176</v>
      </c>
      <c r="B521" s="28" t="s">
        <v>177</v>
      </c>
      <c r="C521" s="28" t="s">
        <v>174</v>
      </c>
      <c r="D521" s="23" t="n">
        <v>2</v>
      </c>
      <c r="E521" s="23" t="n">
        <v>12</v>
      </c>
      <c r="F521" s="28" t="s">
        <v>551</v>
      </c>
      <c r="G521" s="19" t="n">
        <v>0.0475</v>
      </c>
    </row>
    <row r="522" customFormat="false" ht="15" hidden="false" customHeight="false" outlineLevel="0" collapsed="false">
      <c r="A522" s="28" t="s">
        <v>176</v>
      </c>
      <c r="B522" s="28" t="s">
        <v>177</v>
      </c>
      <c r="C522" s="28" t="s">
        <v>174</v>
      </c>
      <c r="D522" s="23" t="n">
        <v>2</v>
      </c>
      <c r="E522" s="23" t="n">
        <v>12</v>
      </c>
      <c r="F522" s="28" t="s">
        <v>451</v>
      </c>
      <c r="G522" s="19" t="n">
        <v>0.0161</v>
      </c>
    </row>
    <row r="523" customFormat="false" ht="15" hidden="false" customHeight="false" outlineLevel="0" collapsed="false">
      <c r="A523" s="28" t="s">
        <v>176</v>
      </c>
      <c r="B523" s="28" t="s">
        <v>177</v>
      </c>
      <c r="C523" s="28" t="s">
        <v>174</v>
      </c>
      <c r="D523" s="23" t="n">
        <v>2</v>
      </c>
      <c r="E523" s="23" t="n">
        <v>12</v>
      </c>
      <c r="F523" s="28" t="s">
        <v>905</v>
      </c>
      <c r="G523" s="19" t="n">
        <v>0.0187</v>
      </c>
    </row>
    <row r="524" customFormat="false" ht="15" hidden="false" customHeight="false" outlineLevel="0" collapsed="false">
      <c r="A524" s="28" t="s">
        <v>176</v>
      </c>
      <c r="B524" s="28" t="s">
        <v>177</v>
      </c>
      <c r="C524" s="28" t="s">
        <v>174</v>
      </c>
      <c r="D524" s="23" t="n">
        <v>2</v>
      </c>
      <c r="E524" s="23" t="n">
        <v>12</v>
      </c>
      <c r="F524" s="28" t="s">
        <v>906</v>
      </c>
      <c r="G524" s="19" t="n">
        <v>0.0201</v>
      </c>
    </row>
    <row r="525" customFormat="false" ht="15" hidden="false" customHeight="false" outlineLevel="0" collapsed="false">
      <c r="A525" s="28" t="s">
        <v>176</v>
      </c>
      <c r="B525" s="28" t="s">
        <v>177</v>
      </c>
      <c r="C525" s="28" t="s">
        <v>174</v>
      </c>
      <c r="D525" s="23" t="n">
        <v>2</v>
      </c>
      <c r="E525" s="23" t="n">
        <v>12</v>
      </c>
      <c r="F525" s="28" t="s">
        <v>907</v>
      </c>
      <c r="G525" s="19" t="n">
        <v>0.0198</v>
      </c>
    </row>
    <row r="526" customFormat="false" ht="15" hidden="false" customHeight="false" outlineLevel="0" collapsed="false">
      <c r="A526" s="28" t="s">
        <v>176</v>
      </c>
      <c r="B526" s="28" t="s">
        <v>177</v>
      </c>
      <c r="C526" s="28" t="s">
        <v>174</v>
      </c>
      <c r="D526" s="23" t="n">
        <v>2</v>
      </c>
      <c r="E526" s="23" t="n">
        <v>12</v>
      </c>
      <c r="F526" s="28" t="s">
        <v>908</v>
      </c>
      <c r="G526" s="19" t="n">
        <v>0.0214</v>
      </c>
    </row>
    <row r="527" customFormat="false" ht="15" hidden="false" customHeight="false" outlineLevel="0" collapsed="false">
      <c r="A527" s="28" t="s">
        <v>176</v>
      </c>
      <c r="B527" s="28" t="s">
        <v>177</v>
      </c>
      <c r="C527" s="28" t="s">
        <v>174</v>
      </c>
      <c r="D527" s="23" t="n">
        <v>2</v>
      </c>
      <c r="E527" s="23" t="n">
        <v>12</v>
      </c>
      <c r="F527" s="28" t="s">
        <v>909</v>
      </c>
      <c r="G527" s="19" t="n">
        <v>0.0215</v>
      </c>
    </row>
    <row r="528" customFormat="false" ht="15" hidden="false" customHeight="false" outlineLevel="0" collapsed="false">
      <c r="A528" s="28" t="s">
        <v>176</v>
      </c>
      <c r="B528" s="28" t="s">
        <v>177</v>
      </c>
      <c r="C528" s="28" t="s">
        <v>174</v>
      </c>
      <c r="D528" s="23" t="n">
        <v>2</v>
      </c>
      <c r="E528" s="23" t="n">
        <v>12</v>
      </c>
      <c r="F528" s="28" t="s">
        <v>910</v>
      </c>
      <c r="G528" s="19" t="n">
        <v>0.0219</v>
      </c>
    </row>
    <row r="529" customFormat="false" ht="15" hidden="false" customHeight="false" outlineLevel="0" collapsed="false">
      <c r="A529" s="28" t="s">
        <v>176</v>
      </c>
      <c r="B529" s="28" t="s">
        <v>177</v>
      </c>
      <c r="C529" s="28" t="s">
        <v>174</v>
      </c>
      <c r="D529" s="23" t="n">
        <v>2</v>
      </c>
      <c r="E529" s="23" t="n">
        <v>12</v>
      </c>
      <c r="F529" s="28" t="s">
        <v>911</v>
      </c>
      <c r="G529" s="19" t="n">
        <v>0.023</v>
      </c>
    </row>
    <row r="530" customFormat="false" ht="15" hidden="false" customHeight="false" outlineLevel="0" collapsed="false">
      <c r="A530" s="28" t="s">
        <v>176</v>
      </c>
      <c r="B530" s="28" t="s">
        <v>177</v>
      </c>
      <c r="C530" s="28" t="s">
        <v>174</v>
      </c>
      <c r="D530" s="23" t="n">
        <v>2</v>
      </c>
      <c r="E530" s="23" t="n">
        <v>12</v>
      </c>
      <c r="F530" s="28" t="s">
        <v>912</v>
      </c>
      <c r="G530" s="19" t="n">
        <v>0.0244</v>
      </c>
    </row>
    <row r="531" customFormat="false" ht="15" hidden="false" customHeight="false" outlineLevel="0" collapsed="false">
      <c r="A531" s="28" t="s">
        <v>176</v>
      </c>
      <c r="B531" s="28" t="s">
        <v>177</v>
      </c>
      <c r="C531" s="28" t="s">
        <v>174</v>
      </c>
      <c r="D531" s="23" t="n">
        <v>2</v>
      </c>
      <c r="E531" s="23" t="n">
        <v>12</v>
      </c>
      <c r="F531" s="28" t="s">
        <v>913</v>
      </c>
      <c r="G531" s="19" t="n">
        <v>0.0293</v>
      </c>
    </row>
    <row r="532" customFormat="false" ht="15" hidden="false" customHeight="false" outlineLevel="0" collapsed="false">
      <c r="A532" s="28" t="s">
        <v>176</v>
      </c>
      <c r="B532" s="28" t="s">
        <v>177</v>
      </c>
      <c r="C532" s="28" t="s">
        <v>174</v>
      </c>
      <c r="D532" s="23" t="n">
        <v>2</v>
      </c>
      <c r="E532" s="23" t="n">
        <v>12</v>
      </c>
      <c r="F532" s="28" t="s">
        <v>914</v>
      </c>
      <c r="G532" s="19" t="n">
        <v>0.0291</v>
      </c>
    </row>
    <row r="533" customFormat="false" ht="15" hidden="false" customHeight="false" outlineLevel="0" collapsed="false">
      <c r="A533" s="28" t="s">
        <v>176</v>
      </c>
      <c r="B533" s="28" t="s">
        <v>177</v>
      </c>
      <c r="C533" s="28" t="s">
        <v>174</v>
      </c>
      <c r="D533" s="23" t="n">
        <v>2</v>
      </c>
      <c r="E533" s="23" t="n">
        <v>12</v>
      </c>
      <c r="F533" s="28" t="s">
        <v>915</v>
      </c>
      <c r="G533" s="19" t="n">
        <v>0.0449</v>
      </c>
    </row>
    <row r="534" customFormat="false" ht="15" hidden="false" customHeight="false" outlineLevel="0" collapsed="false">
      <c r="A534" s="28" t="s">
        <v>176</v>
      </c>
      <c r="B534" s="28" t="s">
        <v>177</v>
      </c>
      <c r="C534" s="28" t="s">
        <v>174</v>
      </c>
      <c r="D534" s="23" t="n">
        <v>2</v>
      </c>
      <c r="E534" s="23" t="n">
        <v>13</v>
      </c>
      <c r="F534" s="28" t="s">
        <v>904</v>
      </c>
      <c r="G534" s="19" t="n">
        <v>0.0163</v>
      </c>
    </row>
    <row r="535" customFormat="false" ht="15" hidden="false" customHeight="false" outlineLevel="0" collapsed="false">
      <c r="A535" s="28" t="s">
        <v>176</v>
      </c>
      <c r="B535" s="28" t="s">
        <v>177</v>
      </c>
      <c r="C535" s="28" t="s">
        <v>174</v>
      </c>
      <c r="D535" s="23" t="n">
        <v>2</v>
      </c>
      <c r="E535" s="23" t="n">
        <v>13</v>
      </c>
      <c r="F535" s="28" t="s">
        <v>551</v>
      </c>
      <c r="G535" s="19" t="n">
        <v>0.0475</v>
      </c>
    </row>
    <row r="536" customFormat="false" ht="15" hidden="false" customHeight="false" outlineLevel="0" collapsed="false">
      <c r="A536" s="28" t="s">
        <v>176</v>
      </c>
      <c r="B536" s="28" t="s">
        <v>177</v>
      </c>
      <c r="C536" s="28" t="s">
        <v>174</v>
      </c>
      <c r="D536" s="23" t="n">
        <v>2</v>
      </c>
      <c r="E536" s="23" t="n">
        <v>13</v>
      </c>
      <c r="F536" s="28" t="s">
        <v>451</v>
      </c>
      <c r="G536" s="19" t="n">
        <v>0.0161</v>
      </c>
    </row>
    <row r="537" customFormat="false" ht="15" hidden="false" customHeight="false" outlineLevel="0" collapsed="false">
      <c r="A537" s="28" t="s">
        <v>176</v>
      </c>
      <c r="B537" s="28" t="s">
        <v>177</v>
      </c>
      <c r="C537" s="28" t="s">
        <v>174</v>
      </c>
      <c r="D537" s="23" t="n">
        <v>2</v>
      </c>
      <c r="E537" s="23" t="n">
        <v>13</v>
      </c>
      <c r="F537" s="28" t="s">
        <v>905</v>
      </c>
      <c r="G537" s="19" t="n">
        <v>0.0187</v>
      </c>
    </row>
    <row r="538" customFormat="false" ht="15" hidden="false" customHeight="false" outlineLevel="0" collapsed="false">
      <c r="A538" s="28" t="s">
        <v>176</v>
      </c>
      <c r="B538" s="28" t="s">
        <v>177</v>
      </c>
      <c r="C538" s="28" t="s">
        <v>174</v>
      </c>
      <c r="D538" s="23" t="n">
        <v>2</v>
      </c>
      <c r="E538" s="23" t="n">
        <v>13</v>
      </c>
      <c r="F538" s="28" t="s">
        <v>906</v>
      </c>
      <c r="G538" s="19" t="n">
        <v>0.0201</v>
      </c>
    </row>
    <row r="539" customFormat="false" ht="15" hidden="false" customHeight="false" outlineLevel="0" collapsed="false">
      <c r="A539" s="28" t="s">
        <v>176</v>
      </c>
      <c r="B539" s="28" t="s">
        <v>177</v>
      </c>
      <c r="C539" s="28" t="s">
        <v>174</v>
      </c>
      <c r="D539" s="23" t="n">
        <v>2</v>
      </c>
      <c r="E539" s="23" t="n">
        <v>13</v>
      </c>
      <c r="F539" s="28" t="s">
        <v>907</v>
      </c>
      <c r="G539" s="19" t="n">
        <v>0.0198</v>
      </c>
    </row>
    <row r="540" customFormat="false" ht="15" hidden="false" customHeight="false" outlineLevel="0" collapsed="false">
      <c r="A540" s="28" t="s">
        <v>176</v>
      </c>
      <c r="B540" s="28" t="s">
        <v>177</v>
      </c>
      <c r="C540" s="28" t="s">
        <v>174</v>
      </c>
      <c r="D540" s="23" t="n">
        <v>2</v>
      </c>
      <c r="E540" s="23" t="n">
        <v>13</v>
      </c>
      <c r="F540" s="28" t="s">
        <v>908</v>
      </c>
      <c r="G540" s="19" t="n">
        <v>0.0214</v>
      </c>
    </row>
    <row r="541" customFormat="false" ht="15" hidden="false" customHeight="false" outlineLevel="0" collapsed="false">
      <c r="A541" s="28" t="s">
        <v>176</v>
      </c>
      <c r="B541" s="28" t="s">
        <v>177</v>
      </c>
      <c r="C541" s="28" t="s">
        <v>174</v>
      </c>
      <c r="D541" s="23" t="n">
        <v>2</v>
      </c>
      <c r="E541" s="23" t="n">
        <v>13</v>
      </c>
      <c r="F541" s="28" t="s">
        <v>909</v>
      </c>
      <c r="G541" s="19" t="n">
        <v>0.0215</v>
      </c>
    </row>
    <row r="542" customFormat="false" ht="15" hidden="false" customHeight="false" outlineLevel="0" collapsed="false">
      <c r="A542" s="28" t="s">
        <v>176</v>
      </c>
      <c r="B542" s="28" t="s">
        <v>177</v>
      </c>
      <c r="C542" s="28" t="s">
        <v>174</v>
      </c>
      <c r="D542" s="23" t="n">
        <v>2</v>
      </c>
      <c r="E542" s="23" t="n">
        <v>13</v>
      </c>
      <c r="F542" s="28" t="s">
        <v>910</v>
      </c>
      <c r="G542" s="19" t="n">
        <v>0.0219</v>
      </c>
    </row>
    <row r="543" customFormat="false" ht="15" hidden="false" customHeight="false" outlineLevel="0" collapsed="false">
      <c r="A543" s="28" t="s">
        <v>176</v>
      </c>
      <c r="B543" s="28" t="s">
        <v>177</v>
      </c>
      <c r="C543" s="28" t="s">
        <v>174</v>
      </c>
      <c r="D543" s="23" t="n">
        <v>2</v>
      </c>
      <c r="E543" s="23" t="n">
        <v>13</v>
      </c>
      <c r="F543" s="28" t="s">
        <v>911</v>
      </c>
      <c r="G543" s="19" t="n">
        <v>0.023</v>
      </c>
    </row>
    <row r="544" customFormat="false" ht="15" hidden="false" customHeight="false" outlineLevel="0" collapsed="false">
      <c r="A544" s="28" t="s">
        <v>176</v>
      </c>
      <c r="B544" s="28" t="s">
        <v>177</v>
      </c>
      <c r="C544" s="28" t="s">
        <v>174</v>
      </c>
      <c r="D544" s="23" t="n">
        <v>2</v>
      </c>
      <c r="E544" s="23" t="n">
        <v>13</v>
      </c>
      <c r="F544" s="28" t="s">
        <v>912</v>
      </c>
      <c r="G544" s="19" t="n">
        <v>0.0244</v>
      </c>
    </row>
    <row r="545" customFormat="false" ht="15" hidden="false" customHeight="false" outlineLevel="0" collapsed="false">
      <c r="A545" s="28" t="s">
        <v>176</v>
      </c>
      <c r="B545" s="28" t="s">
        <v>177</v>
      </c>
      <c r="C545" s="28" t="s">
        <v>174</v>
      </c>
      <c r="D545" s="23" t="n">
        <v>2</v>
      </c>
      <c r="E545" s="23" t="n">
        <v>13</v>
      </c>
      <c r="F545" s="28" t="s">
        <v>913</v>
      </c>
      <c r="G545" s="19" t="n">
        <v>0.0293</v>
      </c>
    </row>
    <row r="546" customFormat="false" ht="15" hidden="false" customHeight="false" outlineLevel="0" collapsed="false">
      <c r="A546" s="28" t="s">
        <v>176</v>
      </c>
      <c r="B546" s="28" t="s">
        <v>177</v>
      </c>
      <c r="C546" s="28" t="s">
        <v>174</v>
      </c>
      <c r="D546" s="23" t="n">
        <v>2</v>
      </c>
      <c r="E546" s="23" t="n">
        <v>13</v>
      </c>
      <c r="F546" s="28" t="s">
        <v>914</v>
      </c>
      <c r="G546" s="19" t="n">
        <v>0.0291</v>
      </c>
    </row>
    <row r="547" customFormat="false" ht="15" hidden="false" customHeight="false" outlineLevel="0" collapsed="false">
      <c r="A547" s="28" t="s">
        <v>176</v>
      </c>
      <c r="B547" s="28" t="s">
        <v>177</v>
      </c>
      <c r="C547" s="28" t="s">
        <v>174</v>
      </c>
      <c r="D547" s="23" t="n">
        <v>2</v>
      </c>
      <c r="E547" s="23" t="n">
        <v>13</v>
      </c>
      <c r="F547" s="28" t="s">
        <v>915</v>
      </c>
      <c r="G547" s="19" t="n">
        <v>0.0449</v>
      </c>
    </row>
    <row r="548" customFormat="false" ht="15" hidden="false" customHeight="false" outlineLevel="0" collapsed="false">
      <c r="A548" s="28" t="s">
        <v>176</v>
      </c>
      <c r="B548" s="28" t="s">
        <v>177</v>
      </c>
      <c r="C548" s="28" t="s">
        <v>174</v>
      </c>
      <c r="D548" s="23" t="n">
        <v>2</v>
      </c>
      <c r="E548" s="23" t="n">
        <v>14</v>
      </c>
      <c r="F548" s="28" t="s">
        <v>904</v>
      </c>
      <c r="G548" s="19" t="n">
        <v>0.0163</v>
      </c>
    </row>
    <row r="549" customFormat="false" ht="15" hidden="false" customHeight="false" outlineLevel="0" collapsed="false">
      <c r="A549" s="28" t="s">
        <v>176</v>
      </c>
      <c r="B549" s="28" t="s">
        <v>177</v>
      </c>
      <c r="C549" s="28" t="s">
        <v>174</v>
      </c>
      <c r="D549" s="23" t="n">
        <v>2</v>
      </c>
      <c r="E549" s="23" t="n">
        <v>14</v>
      </c>
      <c r="F549" s="28" t="s">
        <v>551</v>
      </c>
      <c r="G549" s="19" t="n">
        <v>0.0475</v>
      </c>
    </row>
    <row r="550" customFormat="false" ht="15" hidden="false" customHeight="false" outlineLevel="0" collapsed="false">
      <c r="A550" s="28" t="s">
        <v>176</v>
      </c>
      <c r="B550" s="28" t="s">
        <v>177</v>
      </c>
      <c r="C550" s="28" t="s">
        <v>174</v>
      </c>
      <c r="D550" s="23" t="n">
        <v>2</v>
      </c>
      <c r="E550" s="23" t="n">
        <v>14</v>
      </c>
      <c r="F550" s="28" t="s">
        <v>451</v>
      </c>
      <c r="G550" s="19" t="n">
        <v>0.0161</v>
      </c>
    </row>
    <row r="551" customFormat="false" ht="15" hidden="false" customHeight="false" outlineLevel="0" collapsed="false">
      <c r="A551" s="28" t="s">
        <v>176</v>
      </c>
      <c r="B551" s="28" t="s">
        <v>177</v>
      </c>
      <c r="C551" s="28" t="s">
        <v>174</v>
      </c>
      <c r="D551" s="23" t="n">
        <v>2</v>
      </c>
      <c r="E551" s="23" t="n">
        <v>14</v>
      </c>
      <c r="F551" s="28" t="s">
        <v>905</v>
      </c>
      <c r="G551" s="19" t="n">
        <v>0.0187</v>
      </c>
    </row>
    <row r="552" customFormat="false" ht="15" hidden="false" customHeight="false" outlineLevel="0" collapsed="false">
      <c r="A552" s="28" t="s">
        <v>176</v>
      </c>
      <c r="B552" s="28" t="s">
        <v>177</v>
      </c>
      <c r="C552" s="28" t="s">
        <v>174</v>
      </c>
      <c r="D552" s="23" t="n">
        <v>2</v>
      </c>
      <c r="E552" s="23" t="n">
        <v>14</v>
      </c>
      <c r="F552" s="28" t="s">
        <v>906</v>
      </c>
      <c r="G552" s="19" t="n">
        <v>0.0201</v>
      </c>
    </row>
    <row r="553" customFormat="false" ht="15" hidden="false" customHeight="false" outlineLevel="0" collapsed="false">
      <c r="A553" s="28" t="s">
        <v>176</v>
      </c>
      <c r="B553" s="28" t="s">
        <v>177</v>
      </c>
      <c r="C553" s="28" t="s">
        <v>174</v>
      </c>
      <c r="D553" s="23" t="n">
        <v>2</v>
      </c>
      <c r="E553" s="23" t="n">
        <v>14</v>
      </c>
      <c r="F553" s="28" t="s">
        <v>907</v>
      </c>
      <c r="G553" s="19" t="n">
        <v>0.0198</v>
      </c>
    </row>
    <row r="554" customFormat="false" ht="15" hidden="false" customHeight="false" outlineLevel="0" collapsed="false">
      <c r="A554" s="28" t="s">
        <v>176</v>
      </c>
      <c r="B554" s="28" t="s">
        <v>177</v>
      </c>
      <c r="C554" s="28" t="s">
        <v>174</v>
      </c>
      <c r="D554" s="23" t="n">
        <v>2</v>
      </c>
      <c r="E554" s="23" t="n">
        <v>14</v>
      </c>
      <c r="F554" s="28" t="s">
        <v>908</v>
      </c>
      <c r="G554" s="19" t="n">
        <v>0.0214</v>
      </c>
    </row>
    <row r="555" customFormat="false" ht="15" hidden="false" customHeight="false" outlineLevel="0" collapsed="false">
      <c r="A555" s="28" t="s">
        <v>176</v>
      </c>
      <c r="B555" s="28" t="s">
        <v>177</v>
      </c>
      <c r="C555" s="28" t="s">
        <v>174</v>
      </c>
      <c r="D555" s="23" t="n">
        <v>2</v>
      </c>
      <c r="E555" s="23" t="n">
        <v>14</v>
      </c>
      <c r="F555" s="28" t="s">
        <v>909</v>
      </c>
      <c r="G555" s="19" t="n">
        <v>0.0215</v>
      </c>
    </row>
    <row r="556" customFormat="false" ht="15" hidden="false" customHeight="false" outlineLevel="0" collapsed="false">
      <c r="A556" s="28" t="s">
        <v>176</v>
      </c>
      <c r="B556" s="28" t="s">
        <v>177</v>
      </c>
      <c r="C556" s="28" t="s">
        <v>174</v>
      </c>
      <c r="D556" s="23" t="n">
        <v>2</v>
      </c>
      <c r="E556" s="23" t="n">
        <v>14</v>
      </c>
      <c r="F556" s="28" t="s">
        <v>910</v>
      </c>
      <c r="G556" s="19" t="n">
        <v>0.0219</v>
      </c>
    </row>
    <row r="557" customFormat="false" ht="15" hidden="false" customHeight="false" outlineLevel="0" collapsed="false">
      <c r="A557" s="28" t="s">
        <v>176</v>
      </c>
      <c r="B557" s="28" t="s">
        <v>177</v>
      </c>
      <c r="C557" s="28" t="s">
        <v>174</v>
      </c>
      <c r="D557" s="23" t="n">
        <v>2</v>
      </c>
      <c r="E557" s="23" t="n">
        <v>14</v>
      </c>
      <c r="F557" s="28" t="s">
        <v>911</v>
      </c>
      <c r="G557" s="19" t="n">
        <v>0.023</v>
      </c>
    </row>
    <row r="558" customFormat="false" ht="15" hidden="false" customHeight="false" outlineLevel="0" collapsed="false">
      <c r="A558" s="28" t="s">
        <v>176</v>
      </c>
      <c r="B558" s="28" t="s">
        <v>177</v>
      </c>
      <c r="C558" s="28" t="s">
        <v>174</v>
      </c>
      <c r="D558" s="23" t="n">
        <v>2</v>
      </c>
      <c r="E558" s="23" t="n">
        <v>14</v>
      </c>
      <c r="F558" s="28" t="s">
        <v>912</v>
      </c>
      <c r="G558" s="19" t="n">
        <v>0.0244</v>
      </c>
    </row>
    <row r="559" customFormat="false" ht="15" hidden="false" customHeight="false" outlineLevel="0" collapsed="false">
      <c r="A559" s="28" t="s">
        <v>176</v>
      </c>
      <c r="B559" s="28" t="s">
        <v>177</v>
      </c>
      <c r="C559" s="28" t="s">
        <v>174</v>
      </c>
      <c r="D559" s="23" t="n">
        <v>2</v>
      </c>
      <c r="E559" s="23" t="n">
        <v>14</v>
      </c>
      <c r="F559" s="28" t="s">
        <v>913</v>
      </c>
      <c r="G559" s="19" t="n">
        <v>0.0293</v>
      </c>
    </row>
    <row r="560" customFormat="false" ht="15" hidden="false" customHeight="false" outlineLevel="0" collapsed="false">
      <c r="A560" s="28" t="s">
        <v>176</v>
      </c>
      <c r="B560" s="28" t="s">
        <v>177</v>
      </c>
      <c r="C560" s="28" t="s">
        <v>174</v>
      </c>
      <c r="D560" s="23" t="n">
        <v>2</v>
      </c>
      <c r="E560" s="23" t="n">
        <v>14</v>
      </c>
      <c r="F560" s="28" t="s">
        <v>914</v>
      </c>
      <c r="G560" s="19" t="n">
        <v>0.0291</v>
      </c>
    </row>
    <row r="561" customFormat="false" ht="15" hidden="false" customHeight="false" outlineLevel="0" collapsed="false">
      <c r="A561" s="28" t="s">
        <v>176</v>
      </c>
      <c r="B561" s="28" t="s">
        <v>177</v>
      </c>
      <c r="C561" s="28" t="s">
        <v>174</v>
      </c>
      <c r="D561" s="23" t="n">
        <v>2</v>
      </c>
      <c r="E561" s="23" t="n">
        <v>14</v>
      </c>
      <c r="F561" s="28" t="s">
        <v>915</v>
      </c>
      <c r="G561" s="19" t="n">
        <v>0.0449</v>
      </c>
    </row>
    <row r="562" customFormat="false" ht="15" hidden="false" customHeight="false" outlineLevel="0" collapsed="false">
      <c r="A562" s="28" t="s">
        <v>176</v>
      </c>
      <c r="B562" s="28" t="s">
        <v>177</v>
      </c>
      <c r="C562" s="28" t="s">
        <v>174</v>
      </c>
      <c r="D562" s="23" t="n">
        <v>2</v>
      </c>
      <c r="E562" s="23" t="n">
        <v>15</v>
      </c>
      <c r="F562" s="28" t="s">
        <v>904</v>
      </c>
      <c r="G562" s="19" t="n">
        <v>0.0163</v>
      </c>
    </row>
    <row r="563" customFormat="false" ht="15" hidden="false" customHeight="false" outlineLevel="0" collapsed="false">
      <c r="A563" s="28" t="s">
        <v>176</v>
      </c>
      <c r="B563" s="28" t="s">
        <v>177</v>
      </c>
      <c r="C563" s="28" t="s">
        <v>174</v>
      </c>
      <c r="D563" s="23" t="n">
        <v>2</v>
      </c>
      <c r="E563" s="23" t="n">
        <v>15</v>
      </c>
      <c r="F563" s="28" t="s">
        <v>551</v>
      </c>
      <c r="G563" s="19" t="n">
        <v>0.0475</v>
      </c>
    </row>
    <row r="564" customFormat="false" ht="15" hidden="false" customHeight="false" outlineLevel="0" collapsed="false">
      <c r="A564" s="28" t="s">
        <v>176</v>
      </c>
      <c r="B564" s="28" t="s">
        <v>177</v>
      </c>
      <c r="C564" s="28" t="s">
        <v>174</v>
      </c>
      <c r="D564" s="23" t="n">
        <v>2</v>
      </c>
      <c r="E564" s="23" t="n">
        <v>15</v>
      </c>
      <c r="F564" s="28" t="s">
        <v>451</v>
      </c>
      <c r="G564" s="19" t="n">
        <v>0.0161</v>
      </c>
    </row>
    <row r="565" customFormat="false" ht="15" hidden="false" customHeight="false" outlineLevel="0" collapsed="false">
      <c r="A565" s="28" t="s">
        <v>176</v>
      </c>
      <c r="B565" s="28" t="s">
        <v>177</v>
      </c>
      <c r="C565" s="28" t="s">
        <v>174</v>
      </c>
      <c r="D565" s="23" t="n">
        <v>2</v>
      </c>
      <c r="E565" s="23" t="n">
        <v>15</v>
      </c>
      <c r="F565" s="28" t="s">
        <v>905</v>
      </c>
      <c r="G565" s="19" t="n">
        <v>0.0187</v>
      </c>
    </row>
    <row r="566" customFormat="false" ht="15" hidden="false" customHeight="false" outlineLevel="0" collapsed="false">
      <c r="A566" s="28" t="s">
        <v>176</v>
      </c>
      <c r="B566" s="28" t="s">
        <v>177</v>
      </c>
      <c r="C566" s="28" t="s">
        <v>174</v>
      </c>
      <c r="D566" s="23" t="n">
        <v>2</v>
      </c>
      <c r="E566" s="23" t="n">
        <v>15</v>
      </c>
      <c r="F566" s="28" t="s">
        <v>906</v>
      </c>
      <c r="G566" s="19" t="n">
        <v>0.0201</v>
      </c>
    </row>
    <row r="567" customFormat="false" ht="15" hidden="false" customHeight="false" outlineLevel="0" collapsed="false">
      <c r="A567" s="28" t="s">
        <v>176</v>
      </c>
      <c r="B567" s="28" t="s">
        <v>177</v>
      </c>
      <c r="C567" s="28" t="s">
        <v>174</v>
      </c>
      <c r="D567" s="23" t="n">
        <v>2</v>
      </c>
      <c r="E567" s="23" t="n">
        <v>15</v>
      </c>
      <c r="F567" s="28" t="s">
        <v>907</v>
      </c>
      <c r="G567" s="19" t="n">
        <v>0.0198</v>
      </c>
    </row>
    <row r="568" customFormat="false" ht="15" hidden="false" customHeight="false" outlineLevel="0" collapsed="false">
      <c r="A568" s="28" t="s">
        <v>176</v>
      </c>
      <c r="B568" s="28" t="s">
        <v>177</v>
      </c>
      <c r="C568" s="28" t="s">
        <v>174</v>
      </c>
      <c r="D568" s="23" t="n">
        <v>2</v>
      </c>
      <c r="E568" s="23" t="n">
        <v>15</v>
      </c>
      <c r="F568" s="28" t="s">
        <v>908</v>
      </c>
      <c r="G568" s="19" t="n">
        <v>0.0214</v>
      </c>
    </row>
    <row r="569" customFormat="false" ht="15" hidden="false" customHeight="false" outlineLevel="0" collapsed="false">
      <c r="A569" s="28" t="s">
        <v>176</v>
      </c>
      <c r="B569" s="28" t="s">
        <v>177</v>
      </c>
      <c r="C569" s="28" t="s">
        <v>174</v>
      </c>
      <c r="D569" s="23" t="n">
        <v>2</v>
      </c>
      <c r="E569" s="23" t="n">
        <v>15</v>
      </c>
      <c r="F569" s="28" t="s">
        <v>909</v>
      </c>
      <c r="G569" s="19" t="n">
        <v>0.0215</v>
      </c>
    </row>
    <row r="570" customFormat="false" ht="15" hidden="false" customHeight="false" outlineLevel="0" collapsed="false">
      <c r="A570" s="28" t="s">
        <v>176</v>
      </c>
      <c r="B570" s="28" t="s">
        <v>177</v>
      </c>
      <c r="C570" s="28" t="s">
        <v>174</v>
      </c>
      <c r="D570" s="23" t="n">
        <v>2</v>
      </c>
      <c r="E570" s="23" t="n">
        <v>15</v>
      </c>
      <c r="F570" s="28" t="s">
        <v>910</v>
      </c>
      <c r="G570" s="19" t="n">
        <v>0.0219</v>
      </c>
    </row>
    <row r="571" customFormat="false" ht="15" hidden="false" customHeight="false" outlineLevel="0" collapsed="false">
      <c r="A571" s="28" t="s">
        <v>176</v>
      </c>
      <c r="B571" s="28" t="s">
        <v>177</v>
      </c>
      <c r="C571" s="28" t="s">
        <v>174</v>
      </c>
      <c r="D571" s="23" t="n">
        <v>2</v>
      </c>
      <c r="E571" s="23" t="n">
        <v>15</v>
      </c>
      <c r="F571" s="28" t="s">
        <v>911</v>
      </c>
      <c r="G571" s="19" t="n">
        <v>0.023</v>
      </c>
    </row>
    <row r="572" customFormat="false" ht="15" hidden="false" customHeight="false" outlineLevel="0" collapsed="false">
      <c r="A572" s="28" t="s">
        <v>176</v>
      </c>
      <c r="B572" s="28" t="s">
        <v>177</v>
      </c>
      <c r="C572" s="28" t="s">
        <v>174</v>
      </c>
      <c r="D572" s="23" t="n">
        <v>2</v>
      </c>
      <c r="E572" s="23" t="n">
        <v>15</v>
      </c>
      <c r="F572" s="28" t="s">
        <v>912</v>
      </c>
      <c r="G572" s="19" t="n">
        <v>0.0244</v>
      </c>
    </row>
    <row r="573" customFormat="false" ht="15" hidden="false" customHeight="false" outlineLevel="0" collapsed="false">
      <c r="A573" s="28" t="s">
        <v>176</v>
      </c>
      <c r="B573" s="28" t="s">
        <v>177</v>
      </c>
      <c r="C573" s="28" t="s">
        <v>174</v>
      </c>
      <c r="D573" s="23" t="n">
        <v>2</v>
      </c>
      <c r="E573" s="23" t="n">
        <v>15</v>
      </c>
      <c r="F573" s="28" t="s">
        <v>913</v>
      </c>
      <c r="G573" s="19" t="n">
        <v>0.0293</v>
      </c>
    </row>
    <row r="574" customFormat="false" ht="15" hidden="false" customHeight="false" outlineLevel="0" collapsed="false">
      <c r="A574" s="28" t="s">
        <v>176</v>
      </c>
      <c r="B574" s="28" t="s">
        <v>177</v>
      </c>
      <c r="C574" s="28" t="s">
        <v>174</v>
      </c>
      <c r="D574" s="23" t="n">
        <v>2</v>
      </c>
      <c r="E574" s="23" t="n">
        <v>15</v>
      </c>
      <c r="F574" s="28" t="s">
        <v>914</v>
      </c>
      <c r="G574" s="19" t="n">
        <v>0.0291</v>
      </c>
    </row>
    <row r="575" customFormat="false" ht="15" hidden="false" customHeight="false" outlineLevel="0" collapsed="false">
      <c r="A575" s="28" t="s">
        <v>176</v>
      </c>
      <c r="B575" s="28" t="s">
        <v>177</v>
      </c>
      <c r="C575" s="28" t="s">
        <v>174</v>
      </c>
      <c r="D575" s="23" t="n">
        <v>2</v>
      </c>
      <c r="E575" s="23" t="n">
        <v>15</v>
      </c>
      <c r="F575" s="28" t="s">
        <v>915</v>
      </c>
      <c r="G575" s="19" t="n">
        <v>0.0449</v>
      </c>
    </row>
    <row r="576" customFormat="false" ht="15" hidden="false" customHeight="false" outlineLevel="0" collapsed="false">
      <c r="A576" s="28" t="s">
        <v>176</v>
      </c>
      <c r="B576" s="28" t="s">
        <v>177</v>
      </c>
      <c r="C576" s="28" t="s">
        <v>174</v>
      </c>
      <c r="D576" s="23" t="n">
        <v>2</v>
      </c>
      <c r="E576" s="23" t="n">
        <v>16</v>
      </c>
      <c r="F576" s="28" t="s">
        <v>904</v>
      </c>
      <c r="G576" s="19" t="n">
        <v>0.0163</v>
      </c>
    </row>
    <row r="577" customFormat="false" ht="15" hidden="false" customHeight="false" outlineLevel="0" collapsed="false">
      <c r="A577" s="28" t="s">
        <v>176</v>
      </c>
      <c r="B577" s="28" t="s">
        <v>177</v>
      </c>
      <c r="C577" s="28" t="s">
        <v>174</v>
      </c>
      <c r="D577" s="23" t="n">
        <v>2</v>
      </c>
      <c r="E577" s="23" t="n">
        <v>16</v>
      </c>
      <c r="F577" s="28" t="s">
        <v>551</v>
      </c>
      <c r="G577" s="19" t="n">
        <v>0.0475</v>
      </c>
    </row>
    <row r="578" customFormat="false" ht="15" hidden="false" customHeight="false" outlineLevel="0" collapsed="false">
      <c r="A578" s="28" t="s">
        <v>176</v>
      </c>
      <c r="B578" s="28" t="s">
        <v>177</v>
      </c>
      <c r="C578" s="28" t="s">
        <v>174</v>
      </c>
      <c r="D578" s="23" t="n">
        <v>2</v>
      </c>
      <c r="E578" s="23" t="n">
        <v>16</v>
      </c>
      <c r="F578" s="28" t="s">
        <v>451</v>
      </c>
      <c r="G578" s="19" t="n">
        <v>0.0161</v>
      </c>
    </row>
    <row r="579" customFormat="false" ht="15" hidden="false" customHeight="false" outlineLevel="0" collapsed="false">
      <c r="A579" s="28" t="s">
        <v>176</v>
      </c>
      <c r="B579" s="28" t="s">
        <v>177</v>
      </c>
      <c r="C579" s="28" t="s">
        <v>174</v>
      </c>
      <c r="D579" s="23" t="n">
        <v>2</v>
      </c>
      <c r="E579" s="23" t="n">
        <v>16</v>
      </c>
      <c r="F579" s="28" t="s">
        <v>905</v>
      </c>
      <c r="G579" s="19" t="n">
        <v>0.0187</v>
      </c>
    </row>
    <row r="580" customFormat="false" ht="15" hidden="false" customHeight="false" outlineLevel="0" collapsed="false">
      <c r="A580" s="28" t="s">
        <v>176</v>
      </c>
      <c r="B580" s="28" t="s">
        <v>177</v>
      </c>
      <c r="C580" s="28" t="s">
        <v>174</v>
      </c>
      <c r="D580" s="23" t="n">
        <v>2</v>
      </c>
      <c r="E580" s="23" t="n">
        <v>16</v>
      </c>
      <c r="F580" s="28" t="s">
        <v>906</v>
      </c>
      <c r="G580" s="19" t="n">
        <v>0.0201</v>
      </c>
    </row>
    <row r="581" customFormat="false" ht="15" hidden="false" customHeight="false" outlineLevel="0" collapsed="false">
      <c r="A581" s="28" t="s">
        <v>176</v>
      </c>
      <c r="B581" s="28" t="s">
        <v>177</v>
      </c>
      <c r="C581" s="28" t="s">
        <v>174</v>
      </c>
      <c r="D581" s="23" t="n">
        <v>2</v>
      </c>
      <c r="E581" s="23" t="n">
        <v>16</v>
      </c>
      <c r="F581" s="28" t="s">
        <v>907</v>
      </c>
      <c r="G581" s="19" t="n">
        <v>0.0198</v>
      </c>
    </row>
    <row r="582" customFormat="false" ht="15" hidden="false" customHeight="false" outlineLevel="0" collapsed="false">
      <c r="A582" s="28" t="s">
        <v>176</v>
      </c>
      <c r="B582" s="28" t="s">
        <v>177</v>
      </c>
      <c r="C582" s="28" t="s">
        <v>174</v>
      </c>
      <c r="D582" s="23" t="n">
        <v>2</v>
      </c>
      <c r="E582" s="23" t="n">
        <v>16</v>
      </c>
      <c r="F582" s="28" t="s">
        <v>908</v>
      </c>
      <c r="G582" s="19" t="n">
        <v>0.0214</v>
      </c>
    </row>
    <row r="583" customFormat="false" ht="15" hidden="false" customHeight="false" outlineLevel="0" collapsed="false">
      <c r="A583" s="28" t="s">
        <v>176</v>
      </c>
      <c r="B583" s="28" t="s">
        <v>177</v>
      </c>
      <c r="C583" s="28" t="s">
        <v>174</v>
      </c>
      <c r="D583" s="23" t="n">
        <v>2</v>
      </c>
      <c r="E583" s="23" t="n">
        <v>16</v>
      </c>
      <c r="F583" s="28" t="s">
        <v>909</v>
      </c>
      <c r="G583" s="19" t="n">
        <v>0.0215</v>
      </c>
    </row>
    <row r="584" customFormat="false" ht="15" hidden="false" customHeight="false" outlineLevel="0" collapsed="false">
      <c r="A584" s="28" t="s">
        <v>176</v>
      </c>
      <c r="B584" s="28" t="s">
        <v>177</v>
      </c>
      <c r="C584" s="28" t="s">
        <v>174</v>
      </c>
      <c r="D584" s="23" t="n">
        <v>2</v>
      </c>
      <c r="E584" s="23" t="n">
        <v>16</v>
      </c>
      <c r="F584" s="28" t="s">
        <v>910</v>
      </c>
      <c r="G584" s="19" t="n">
        <v>0.0219</v>
      </c>
    </row>
    <row r="585" customFormat="false" ht="15" hidden="false" customHeight="false" outlineLevel="0" collapsed="false">
      <c r="A585" s="28" t="s">
        <v>176</v>
      </c>
      <c r="B585" s="28" t="s">
        <v>177</v>
      </c>
      <c r="C585" s="28" t="s">
        <v>174</v>
      </c>
      <c r="D585" s="23" t="n">
        <v>2</v>
      </c>
      <c r="E585" s="23" t="n">
        <v>16</v>
      </c>
      <c r="F585" s="28" t="s">
        <v>911</v>
      </c>
      <c r="G585" s="19" t="n">
        <v>0.023</v>
      </c>
    </row>
    <row r="586" customFormat="false" ht="15" hidden="false" customHeight="false" outlineLevel="0" collapsed="false">
      <c r="A586" s="28" t="s">
        <v>176</v>
      </c>
      <c r="B586" s="28" t="s">
        <v>177</v>
      </c>
      <c r="C586" s="28" t="s">
        <v>174</v>
      </c>
      <c r="D586" s="23" t="n">
        <v>2</v>
      </c>
      <c r="E586" s="23" t="n">
        <v>16</v>
      </c>
      <c r="F586" s="28" t="s">
        <v>912</v>
      </c>
      <c r="G586" s="19" t="n">
        <v>0.0244</v>
      </c>
    </row>
    <row r="587" customFormat="false" ht="15" hidden="false" customHeight="false" outlineLevel="0" collapsed="false">
      <c r="A587" s="28" t="s">
        <v>176</v>
      </c>
      <c r="B587" s="28" t="s">
        <v>177</v>
      </c>
      <c r="C587" s="28" t="s">
        <v>174</v>
      </c>
      <c r="D587" s="23" t="n">
        <v>2</v>
      </c>
      <c r="E587" s="23" t="n">
        <v>16</v>
      </c>
      <c r="F587" s="28" t="s">
        <v>913</v>
      </c>
      <c r="G587" s="19" t="n">
        <v>0.0293</v>
      </c>
    </row>
    <row r="588" customFormat="false" ht="15" hidden="false" customHeight="false" outlineLevel="0" collapsed="false">
      <c r="A588" s="28" t="s">
        <v>176</v>
      </c>
      <c r="B588" s="28" t="s">
        <v>177</v>
      </c>
      <c r="C588" s="28" t="s">
        <v>174</v>
      </c>
      <c r="D588" s="23" t="n">
        <v>2</v>
      </c>
      <c r="E588" s="23" t="n">
        <v>16</v>
      </c>
      <c r="F588" s="28" t="s">
        <v>914</v>
      </c>
      <c r="G588" s="19" t="n">
        <v>0.0291</v>
      </c>
    </row>
    <row r="589" customFormat="false" ht="15" hidden="false" customHeight="false" outlineLevel="0" collapsed="false">
      <c r="A589" s="28" t="s">
        <v>176</v>
      </c>
      <c r="B589" s="28" t="s">
        <v>177</v>
      </c>
      <c r="C589" s="28" t="s">
        <v>174</v>
      </c>
      <c r="D589" s="23" t="n">
        <v>2</v>
      </c>
      <c r="E589" s="23" t="n">
        <v>16</v>
      </c>
      <c r="F589" s="28" t="s">
        <v>915</v>
      </c>
      <c r="G589" s="19" t="n">
        <v>0.0449</v>
      </c>
    </row>
    <row r="590" customFormat="false" ht="15" hidden="false" customHeight="false" outlineLevel="0" collapsed="false">
      <c r="A590" s="28" t="s">
        <v>176</v>
      </c>
      <c r="B590" s="28" t="s">
        <v>177</v>
      </c>
      <c r="C590" s="28" t="s">
        <v>174</v>
      </c>
      <c r="D590" s="23" t="n">
        <v>2</v>
      </c>
      <c r="E590" s="23" t="n">
        <v>17</v>
      </c>
      <c r="F590" s="28" t="s">
        <v>904</v>
      </c>
      <c r="G590" s="19" t="n">
        <v>0.0163</v>
      </c>
    </row>
    <row r="591" customFormat="false" ht="15" hidden="false" customHeight="false" outlineLevel="0" collapsed="false">
      <c r="A591" s="28" t="s">
        <v>176</v>
      </c>
      <c r="B591" s="28" t="s">
        <v>177</v>
      </c>
      <c r="C591" s="28" t="s">
        <v>174</v>
      </c>
      <c r="D591" s="23" t="n">
        <v>2</v>
      </c>
      <c r="E591" s="23" t="n">
        <v>17</v>
      </c>
      <c r="F591" s="28" t="s">
        <v>551</v>
      </c>
      <c r="G591" s="19" t="n">
        <v>0.0475</v>
      </c>
    </row>
    <row r="592" customFormat="false" ht="15" hidden="false" customHeight="false" outlineLevel="0" collapsed="false">
      <c r="A592" s="28" t="s">
        <v>176</v>
      </c>
      <c r="B592" s="28" t="s">
        <v>177</v>
      </c>
      <c r="C592" s="28" t="s">
        <v>174</v>
      </c>
      <c r="D592" s="23" t="n">
        <v>2</v>
      </c>
      <c r="E592" s="23" t="n">
        <v>17</v>
      </c>
      <c r="F592" s="28" t="s">
        <v>451</v>
      </c>
      <c r="G592" s="19" t="n">
        <v>0.0161</v>
      </c>
    </row>
    <row r="593" customFormat="false" ht="15" hidden="false" customHeight="false" outlineLevel="0" collapsed="false">
      <c r="A593" s="28" t="s">
        <v>176</v>
      </c>
      <c r="B593" s="28" t="s">
        <v>177</v>
      </c>
      <c r="C593" s="28" t="s">
        <v>174</v>
      </c>
      <c r="D593" s="23" t="n">
        <v>2</v>
      </c>
      <c r="E593" s="23" t="n">
        <v>17</v>
      </c>
      <c r="F593" s="28" t="s">
        <v>905</v>
      </c>
      <c r="G593" s="19" t="n">
        <v>0.0187</v>
      </c>
    </row>
    <row r="594" customFormat="false" ht="15" hidden="false" customHeight="false" outlineLevel="0" collapsed="false">
      <c r="A594" s="28" t="s">
        <v>176</v>
      </c>
      <c r="B594" s="28" t="s">
        <v>177</v>
      </c>
      <c r="C594" s="28" t="s">
        <v>174</v>
      </c>
      <c r="D594" s="23" t="n">
        <v>2</v>
      </c>
      <c r="E594" s="23" t="n">
        <v>17</v>
      </c>
      <c r="F594" s="28" t="s">
        <v>906</v>
      </c>
      <c r="G594" s="19" t="n">
        <v>0.0201</v>
      </c>
    </row>
    <row r="595" customFormat="false" ht="15" hidden="false" customHeight="false" outlineLevel="0" collapsed="false">
      <c r="A595" s="28" t="s">
        <v>176</v>
      </c>
      <c r="B595" s="28" t="s">
        <v>177</v>
      </c>
      <c r="C595" s="28" t="s">
        <v>174</v>
      </c>
      <c r="D595" s="23" t="n">
        <v>2</v>
      </c>
      <c r="E595" s="23" t="n">
        <v>17</v>
      </c>
      <c r="F595" s="28" t="s">
        <v>907</v>
      </c>
      <c r="G595" s="19" t="n">
        <v>0.0198</v>
      </c>
    </row>
    <row r="596" customFormat="false" ht="15" hidden="false" customHeight="false" outlineLevel="0" collapsed="false">
      <c r="A596" s="28" t="s">
        <v>176</v>
      </c>
      <c r="B596" s="28" t="s">
        <v>177</v>
      </c>
      <c r="C596" s="28" t="s">
        <v>174</v>
      </c>
      <c r="D596" s="23" t="n">
        <v>2</v>
      </c>
      <c r="E596" s="23" t="n">
        <v>17</v>
      </c>
      <c r="F596" s="28" t="s">
        <v>908</v>
      </c>
      <c r="G596" s="19" t="n">
        <v>0.0214</v>
      </c>
    </row>
    <row r="597" customFormat="false" ht="15" hidden="false" customHeight="false" outlineLevel="0" collapsed="false">
      <c r="A597" s="28" t="s">
        <v>176</v>
      </c>
      <c r="B597" s="28" t="s">
        <v>177</v>
      </c>
      <c r="C597" s="28" t="s">
        <v>174</v>
      </c>
      <c r="D597" s="23" t="n">
        <v>2</v>
      </c>
      <c r="E597" s="23" t="n">
        <v>17</v>
      </c>
      <c r="F597" s="28" t="s">
        <v>909</v>
      </c>
      <c r="G597" s="19" t="n">
        <v>0.0215</v>
      </c>
    </row>
    <row r="598" customFormat="false" ht="15" hidden="false" customHeight="false" outlineLevel="0" collapsed="false">
      <c r="A598" s="28" t="s">
        <v>176</v>
      </c>
      <c r="B598" s="28" t="s">
        <v>177</v>
      </c>
      <c r="C598" s="28" t="s">
        <v>174</v>
      </c>
      <c r="D598" s="23" t="n">
        <v>2</v>
      </c>
      <c r="E598" s="23" t="n">
        <v>17</v>
      </c>
      <c r="F598" s="28" t="s">
        <v>910</v>
      </c>
      <c r="G598" s="19" t="n">
        <v>0.0219</v>
      </c>
    </row>
    <row r="599" customFormat="false" ht="15" hidden="false" customHeight="false" outlineLevel="0" collapsed="false">
      <c r="A599" s="28" t="s">
        <v>176</v>
      </c>
      <c r="B599" s="28" t="s">
        <v>177</v>
      </c>
      <c r="C599" s="28" t="s">
        <v>174</v>
      </c>
      <c r="D599" s="23" t="n">
        <v>2</v>
      </c>
      <c r="E599" s="23" t="n">
        <v>17</v>
      </c>
      <c r="F599" s="28" t="s">
        <v>911</v>
      </c>
      <c r="G599" s="19" t="n">
        <v>0.023</v>
      </c>
    </row>
    <row r="600" customFormat="false" ht="15" hidden="false" customHeight="false" outlineLevel="0" collapsed="false">
      <c r="A600" s="28" t="s">
        <v>176</v>
      </c>
      <c r="B600" s="28" t="s">
        <v>177</v>
      </c>
      <c r="C600" s="28" t="s">
        <v>174</v>
      </c>
      <c r="D600" s="23" t="n">
        <v>2</v>
      </c>
      <c r="E600" s="23" t="n">
        <v>17</v>
      </c>
      <c r="F600" s="28" t="s">
        <v>912</v>
      </c>
      <c r="G600" s="19" t="n">
        <v>0.0244</v>
      </c>
    </row>
    <row r="601" customFormat="false" ht="15" hidden="false" customHeight="false" outlineLevel="0" collapsed="false">
      <c r="A601" s="28" t="s">
        <v>176</v>
      </c>
      <c r="B601" s="28" t="s">
        <v>177</v>
      </c>
      <c r="C601" s="28" t="s">
        <v>174</v>
      </c>
      <c r="D601" s="23" t="n">
        <v>2</v>
      </c>
      <c r="E601" s="23" t="n">
        <v>17</v>
      </c>
      <c r="F601" s="28" t="s">
        <v>913</v>
      </c>
      <c r="G601" s="19" t="n">
        <v>0.0293</v>
      </c>
    </row>
    <row r="602" customFormat="false" ht="15" hidden="false" customHeight="false" outlineLevel="0" collapsed="false">
      <c r="A602" s="28" t="s">
        <v>176</v>
      </c>
      <c r="B602" s="28" t="s">
        <v>177</v>
      </c>
      <c r="C602" s="28" t="s">
        <v>174</v>
      </c>
      <c r="D602" s="23" t="n">
        <v>2</v>
      </c>
      <c r="E602" s="23" t="n">
        <v>17</v>
      </c>
      <c r="F602" s="28" t="s">
        <v>914</v>
      </c>
      <c r="G602" s="19" t="n">
        <v>0.0291</v>
      </c>
    </row>
    <row r="603" customFormat="false" ht="15" hidden="false" customHeight="false" outlineLevel="0" collapsed="false">
      <c r="A603" s="28" t="s">
        <v>176</v>
      </c>
      <c r="B603" s="28" t="s">
        <v>177</v>
      </c>
      <c r="C603" s="28" t="s">
        <v>174</v>
      </c>
      <c r="D603" s="23" t="n">
        <v>2</v>
      </c>
      <c r="E603" s="23" t="n">
        <v>17</v>
      </c>
      <c r="F603" s="28" t="s">
        <v>915</v>
      </c>
      <c r="G603" s="19" t="n">
        <v>0.0449</v>
      </c>
    </row>
    <row r="604" customFormat="false" ht="15" hidden="false" customHeight="false" outlineLevel="0" collapsed="false">
      <c r="A604" s="28" t="s">
        <v>176</v>
      </c>
      <c r="B604" s="28" t="s">
        <v>177</v>
      </c>
      <c r="C604" s="28" t="s">
        <v>174</v>
      </c>
      <c r="D604" s="23" t="n">
        <v>2</v>
      </c>
      <c r="E604" s="23" t="n">
        <v>18</v>
      </c>
      <c r="F604" s="28" t="s">
        <v>904</v>
      </c>
      <c r="G604" s="19" t="n">
        <v>0.0163</v>
      </c>
    </row>
    <row r="605" customFormat="false" ht="15" hidden="false" customHeight="false" outlineLevel="0" collapsed="false">
      <c r="A605" s="28" t="s">
        <v>176</v>
      </c>
      <c r="B605" s="28" t="s">
        <v>177</v>
      </c>
      <c r="C605" s="28" t="s">
        <v>174</v>
      </c>
      <c r="D605" s="23" t="n">
        <v>2</v>
      </c>
      <c r="E605" s="23" t="n">
        <v>18</v>
      </c>
      <c r="F605" s="28" t="s">
        <v>551</v>
      </c>
      <c r="G605" s="19" t="n">
        <v>0.0475</v>
      </c>
    </row>
    <row r="606" customFormat="false" ht="15" hidden="false" customHeight="false" outlineLevel="0" collapsed="false">
      <c r="A606" s="28" t="s">
        <v>176</v>
      </c>
      <c r="B606" s="28" t="s">
        <v>177</v>
      </c>
      <c r="C606" s="28" t="s">
        <v>174</v>
      </c>
      <c r="D606" s="23" t="n">
        <v>2</v>
      </c>
      <c r="E606" s="23" t="n">
        <v>18</v>
      </c>
      <c r="F606" s="28" t="s">
        <v>451</v>
      </c>
      <c r="G606" s="19" t="n">
        <v>0.0161</v>
      </c>
    </row>
    <row r="607" customFormat="false" ht="15" hidden="false" customHeight="false" outlineLevel="0" collapsed="false">
      <c r="A607" s="28" t="s">
        <v>176</v>
      </c>
      <c r="B607" s="28" t="s">
        <v>177</v>
      </c>
      <c r="C607" s="28" t="s">
        <v>174</v>
      </c>
      <c r="D607" s="23" t="n">
        <v>2</v>
      </c>
      <c r="E607" s="23" t="n">
        <v>18</v>
      </c>
      <c r="F607" s="28" t="s">
        <v>905</v>
      </c>
      <c r="G607" s="19" t="n">
        <v>0.0187</v>
      </c>
    </row>
    <row r="608" customFormat="false" ht="15" hidden="false" customHeight="false" outlineLevel="0" collapsed="false">
      <c r="A608" s="28" t="s">
        <v>176</v>
      </c>
      <c r="B608" s="28" t="s">
        <v>177</v>
      </c>
      <c r="C608" s="28" t="s">
        <v>174</v>
      </c>
      <c r="D608" s="23" t="n">
        <v>2</v>
      </c>
      <c r="E608" s="23" t="n">
        <v>18</v>
      </c>
      <c r="F608" s="28" t="s">
        <v>906</v>
      </c>
      <c r="G608" s="19" t="n">
        <v>0.0201</v>
      </c>
    </row>
    <row r="609" customFormat="false" ht="15" hidden="false" customHeight="false" outlineLevel="0" collapsed="false">
      <c r="A609" s="28" t="s">
        <v>176</v>
      </c>
      <c r="B609" s="28" t="s">
        <v>177</v>
      </c>
      <c r="C609" s="28" t="s">
        <v>174</v>
      </c>
      <c r="D609" s="23" t="n">
        <v>2</v>
      </c>
      <c r="E609" s="23" t="n">
        <v>18</v>
      </c>
      <c r="F609" s="28" t="s">
        <v>907</v>
      </c>
      <c r="G609" s="19" t="n">
        <v>0.0198</v>
      </c>
    </row>
    <row r="610" customFormat="false" ht="15" hidden="false" customHeight="false" outlineLevel="0" collapsed="false">
      <c r="A610" s="28" t="s">
        <v>176</v>
      </c>
      <c r="B610" s="28" t="s">
        <v>177</v>
      </c>
      <c r="C610" s="28" t="s">
        <v>174</v>
      </c>
      <c r="D610" s="23" t="n">
        <v>2</v>
      </c>
      <c r="E610" s="23" t="n">
        <v>18</v>
      </c>
      <c r="F610" s="28" t="s">
        <v>908</v>
      </c>
      <c r="G610" s="19" t="n">
        <v>0.0214</v>
      </c>
    </row>
    <row r="611" customFormat="false" ht="15" hidden="false" customHeight="false" outlineLevel="0" collapsed="false">
      <c r="A611" s="28" t="s">
        <v>176</v>
      </c>
      <c r="B611" s="28" t="s">
        <v>177</v>
      </c>
      <c r="C611" s="28" t="s">
        <v>174</v>
      </c>
      <c r="D611" s="23" t="n">
        <v>2</v>
      </c>
      <c r="E611" s="23" t="n">
        <v>18</v>
      </c>
      <c r="F611" s="28" t="s">
        <v>909</v>
      </c>
      <c r="G611" s="19" t="n">
        <v>0.0215</v>
      </c>
    </row>
    <row r="612" customFormat="false" ht="15" hidden="false" customHeight="false" outlineLevel="0" collapsed="false">
      <c r="A612" s="28" t="s">
        <v>176</v>
      </c>
      <c r="B612" s="28" t="s">
        <v>177</v>
      </c>
      <c r="C612" s="28" t="s">
        <v>174</v>
      </c>
      <c r="D612" s="23" t="n">
        <v>2</v>
      </c>
      <c r="E612" s="23" t="n">
        <v>18</v>
      </c>
      <c r="F612" s="28" t="s">
        <v>910</v>
      </c>
      <c r="G612" s="19" t="n">
        <v>0.0219</v>
      </c>
    </row>
    <row r="613" customFormat="false" ht="15" hidden="false" customHeight="false" outlineLevel="0" collapsed="false">
      <c r="A613" s="28" t="s">
        <v>176</v>
      </c>
      <c r="B613" s="28" t="s">
        <v>177</v>
      </c>
      <c r="C613" s="28" t="s">
        <v>174</v>
      </c>
      <c r="D613" s="23" t="n">
        <v>2</v>
      </c>
      <c r="E613" s="23" t="n">
        <v>18</v>
      </c>
      <c r="F613" s="28" t="s">
        <v>911</v>
      </c>
      <c r="G613" s="19" t="n">
        <v>0.023</v>
      </c>
    </row>
    <row r="614" customFormat="false" ht="15" hidden="false" customHeight="false" outlineLevel="0" collapsed="false">
      <c r="A614" s="28" t="s">
        <v>176</v>
      </c>
      <c r="B614" s="28" t="s">
        <v>177</v>
      </c>
      <c r="C614" s="28" t="s">
        <v>174</v>
      </c>
      <c r="D614" s="23" t="n">
        <v>2</v>
      </c>
      <c r="E614" s="23" t="n">
        <v>18</v>
      </c>
      <c r="F614" s="28" t="s">
        <v>912</v>
      </c>
      <c r="G614" s="19" t="n">
        <v>0.0244</v>
      </c>
    </row>
    <row r="615" customFormat="false" ht="15" hidden="false" customHeight="false" outlineLevel="0" collapsed="false">
      <c r="A615" s="28" t="s">
        <v>176</v>
      </c>
      <c r="B615" s="28" t="s">
        <v>177</v>
      </c>
      <c r="C615" s="28" t="s">
        <v>174</v>
      </c>
      <c r="D615" s="23" t="n">
        <v>2</v>
      </c>
      <c r="E615" s="23" t="n">
        <v>18</v>
      </c>
      <c r="F615" s="28" t="s">
        <v>913</v>
      </c>
      <c r="G615" s="19" t="n">
        <v>0.0293</v>
      </c>
    </row>
    <row r="616" customFormat="false" ht="15" hidden="false" customHeight="false" outlineLevel="0" collapsed="false">
      <c r="A616" s="28" t="s">
        <v>176</v>
      </c>
      <c r="B616" s="28" t="s">
        <v>177</v>
      </c>
      <c r="C616" s="28" t="s">
        <v>174</v>
      </c>
      <c r="D616" s="23" t="n">
        <v>2</v>
      </c>
      <c r="E616" s="23" t="n">
        <v>18</v>
      </c>
      <c r="F616" s="28" t="s">
        <v>914</v>
      </c>
      <c r="G616" s="19" t="n">
        <v>0.0291</v>
      </c>
    </row>
    <row r="617" customFormat="false" ht="15" hidden="false" customHeight="false" outlineLevel="0" collapsed="false">
      <c r="A617" s="28" t="s">
        <v>176</v>
      </c>
      <c r="B617" s="28" t="s">
        <v>177</v>
      </c>
      <c r="C617" s="28" t="s">
        <v>174</v>
      </c>
      <c r="D617" s="23" t="n">
        <v>2</v>
      </c>
      <c r="E617" s="23" t="n">
        <v>18</v>
      </c>
      <c r="F617" s="28" t="s">
        <v>915</v>
      </c>
      <c r="G617" s="19" t="n">
        <v>0.0449</v>
      </c>
    </row>
    <row r="618" customFormat="false" ht="15" hidden="false" customHeight="false" outlineLevel="0" collapsed="false">
      <c r="A618" s="28" t="s">
        <v>176</v>
      </c>
      <c r="B618" s="28" t="s">
        <v>177</v>
      </c>
      <c r="C618" s="28" t="s">
        <v>174</v>
      </c>
      <c r="D618" s="23" t="n">
        <v>2</v>
      </c>
      <c r="E618" s="23" t="n">
        <v>19</v>
      </c>
      <c r="F618" s="28" t="s">
        <v>904</v>
      </c>
      <c r="G618" s="19" t="n">
        <v>0.0163</v>
      </c>
    </row>
    <row r="619" customFormat="false" ht="15" hidden="false" customHeight="false" outlineLevel="0" collapsed="false">
      <c r="A619" s="28" t="s">
        <v>176</v>
      </c>
      <c r="B619" s="28" t="s">
        <v>177</v>
      </c>
      <c r="C619" s="28" t="s">
        <v>174</v>
      </c>
      <c r="D619" s="23" t="n">
        <v>2</v>
      </c>
      <c r="E619" s="23" t="n">
        <v>19</v>
      </c>
      <c r="F619" s="28" t="s">
        <v>551</v>
      </c>
      <c r="G619" s="19" t="n">
        <v>0.0475</v>
      </c>
    </row>
    <row r="620" customFormat="false" ht="15" hidden="false" customHeight="false" outlineLevel="0" collapsed="false">
      <c r="A620" s="28" t="s">
        <v>176</v>
      </c>
      <c r="B620" s="28" t="s">
        <v>177</v>
      </c>
      <c r="C620" s="28" t="s">
        <v>174</v>
      </c>
      <c r="D620" s="23" t="n">
        <v>2</v>
      </c>
      <c r="E620" s="23" t="n">
        <v>19</v>
      </c>
      <c r="F620" s="28" t="s">
        <v>451</v>
      </c>
      <c r="G620" s="19" t="n">
        <v>0.0161</v>
      </c>
    </row>
    <row r="621" customFormat="false" ht="15" hidden="false" customHeight="false" outlineLevel="0" collapsed="false">
      <c r="A621" s="28" t="s">
        <v>176</v>
      </c>
      <c r="B621" s="28" t="s">
        <v>177</v>
      </c>
      <c r="C621" s="28" t="s">
        <v>174</v>
      </c>
      <c r="D621" s="23" t="n">
        <v>2</v>
      </c>
      <c r="E621" s="23" t="n">
        <v>19</v>
      </c>
      <c r="F621" s="28" t="s">
        <v>905</v>
      </c>
      <c r="G621" s="19" t="n">
        <v>0.0187</v>
      </c>
    </row>
    <row r="622" customFormat="false" ht="15" hidden="false" customHeight="false" outlineLevel="0" collapsed="false">
      <c r="A622" s="28" t="s">
        <v>176</v>
      </c>
      <c r="B622" s="28" t="s">
        <v>177</v>
      </c>
      <c r="C622" s="28" t="s">
        <v>174</v>
      </c>
      <c r="D622" s="23" t="n">
        <v>2</v>
      </c>
      <c r="E622" s="23" t="n">
        <v>19</v>
      </c>
      <c r="F622" s="28" t="s">
        <v>906</v>
      </c>
      <c r="G622" s="19" t="n">
        <v>0.0201</v>
      </c>
    </row>
    <row r="623" customFormat="false" ht="15" hidden="false" customHeight="false" outlineLevel="0" collapsed="false">
      <c r="A623" s="28" t="s">
        <v>176</v>
      </c>
      <c r="B623" s="28" t="s">
        <v>177</v>
      </c>
      <c r="C623" s="28" t="s">
        <v>174</v>
      </c>
      <c r="D623" s="23" t="n">
        <v>2</v>
      </c>
      <c r="E623" s="23" t="n">
        <v>19</v>
      </c>
      <c r="F623" s="28" t="s">
        <v>907</v>
      </c>
      <c r="G623" s="19" t="n">
        <v>0.0198</v>
      </c>
    </row>
    <row r="624" customFormat="false" ht="15" hidden="false" customHeight="false" outlineLevel="0" collapsed="false">
      <c r="A624" s="28" t="s">
        <v>176</v>
      </c>
      <c r="B624" s="28" t="s">
        <v>177</v>
      </c>
      <c r="C624" s="28" t="s">
        <v>174</v>
      </c>
      <c r="D624" s="23" t="n">
        <v>2</v>
      </c>
      <c r="E624" s="23" t="n">
        <v>19</v>
      </c>
      <c r="F624" s="28" t="s">
        <v>908</v>
      </c>
      <c r="G624" s="19" t="n">
        <v>0.0214</v>
      </c>
    </row>
    <row r="625" customFormat="false" ht="15" hidden="false" customHeight="false" outlineLevel="0" collapsed="false">
      <c r="A625" s="28" t="s">
        <v>176</v>
      </c>
      <c r="B625" s="28" t="s">
        <v>177</v>
      </c>
      <c r="C625" s="28" t="s">
        <v>174</v>
      </c>
      <c r="D625" s="23" t="n">
        <v>2</v>
      </c>
      <c r="E625" s="23" t="n">
        <v>19</v>
      </c>
      <c r="F625" s="28" t="s">
        <v>909</v>
      </c>
      <c r="G625" s="19" t="n">
        <v>0.0215</v>
      </c>
    </row>
    <row r="626" customFormat="false" ht="15" hidden="false" customHeight="false" outlineLevel="0" collapsed="false">
      <c r="A626" s="28" t="s">
        <v>176</v>
      </c>
      <c r="B626" s="28" t="s">
        <v>177</v>
      </c>
      <c r="C626" s="28" t="s">
        <v>174</v>
      </c>
      <c r="D626" s="23" t="n">
        <v>2</v>
      </c>
      <c r="E626" s="23" t="n">
        <v>19</v>
      </c>
      <c r="F626" s="28" t="s">
        <v>910</v>
      </c>
      <c r="G626" s="19" t="n">
        <v>0.0219</v>
      </c>
    </row>
    <row r="627" customFormat="false" ht="15" hidden="false" customHeight="false" outlineLevel="0" collapsed="false">
      <c r="A627" s="28" t="s">
        <v>176</v>
      </c>
      <c r="B627" s="28" t="s">
        <v>177</v>
      </c>
      <c r="C627" s="28" t="s">
        <v>174</v>
      </c>
      <c r="D627" s="23" t="n">
        <v>2</v>
      </c>
      <c r="E627" s="23" t="n">
        <v>19</v>
      </c>
      <c r="F627" s="28" t="s">
        <v>911</v>
      </c>
      <c r="G627" s="19" t="n">
        <v>0.023</v>
      </c>
    </row>
    <row r="628" customFormat="false" ht="15" hidden="false" customHeight="false" outlineLevel="0" collapsed="false">
      <c r="A628" s="28" t="s">
        <v>176</v>
      </c>
      <c r="B628" s="28" t="s">
        <v>177</v>
      </c>
      <c r="C628" s="28" t="s">
        <v>174</v>
      </c>
      <c r="D628" s="23" t="n">
        <v>2</v>
      </c>
      <c r="E628" s="23" t="n">
        <v>19</v>
      </c>
      <c r="F628" s="28" t="s">
        <v>912</v>
      </c>
      <c r="G628" s="19" t="n">
        <v>0.0244</v>
      </c>
    </row>
    <row r="629" customFormat="false" ht="15" hidden="false" customHeight="false" outlineLevel="0" collapsed="false">
      <c r="A629" s="28" t="s">
        <v>176</v>
      </c>
      <c r="B629" s="28" t="s">
        <v>177</v>
      </c>
      <c r="C629" s="28" t="s">
        <v>174</v>
      </c>
      <c r="D629" s="23" t="n">
        <v>2</v>
      </c>
      <c r="E629" s="23" t="n">
        <v>19</v>
      </c>
      <c r="F629" s="28" t="s">
        <v>913</v>
      </c>
      <c r="G629" s="19" t="n">
        <v>0.0293</v>
      </c>
    </row>
    <row r="630" customFormat="false" ht="15" hidden="false" customHeight="false" outlineLevel="0" collapsed="false">
      <c r="A630" s="28" t="s">
        <v>176</v>
      </c>
      <c r="B630" s="28" t="s">
        <v>177</v>
      </c>
      <c r="C630" s="28" t="s">
        <v>174</v>
      </c>
      <c r="D630" s="23" t="n">
        <v>2</v>
      </c>
      <c r="E630" s="23" t="n">
        <v>19</v>
      </c>
      <c r="F630" s="28" t="s">
        <v>914</v>
      </c>
      <c r="G630" s="19" t="n">
        <v>0.0291</v>
      </c>
    </row>
    <row r="631" customFormat="false" ht="15" hidden="false" customHeight="false" outlineLevel="0" collapsed="false">
      <c r="A631" s="28" t="s">
        <v>176</v>
      </c>
      <c r="B631" s="28" t="s">
        <v>177</v>
      </c>
      <c r="C631" s="28" t="s">
        <v>174</v>
      </c>
      <c r="D631" s="23" t="n">
        <v>2</v>
      </c>
      <c r="E631" s="23" t="n">
        <v>19</v>
      </c>
      <c r="F631" s="28" t="s">
        <v>915</v>
      </c>
      <c r="G631" s="19" t="n">
        <v>0.0449</v>
      </c>
    </row>
    <row r="632" customFormat="false" ht="15" hidden="false" customHeight="false" outlineLevel="0" collapsed="false">
      <c r="A632" s="28" t="s">
        <v>176</v>
      </c>
      <c r="B632" s="28" t="s">
        <v>177</v>
      </c>
      <c r="C632" s="28" t="s">
        <v>174</v>
      </c>
      <c r="D632" s="23" t="n">
        <v>2</v>
      </c>
      <c r="E632" s="23" t="n">
        <v>20</v>
      </c>
      <c r="F632" s="28" t="s">
        <v>904</v>
      </c>
      <c r="G632" s="19" t="n">
        <v>0.0163</v>
      </c>
    </row>
    <row r="633" customFormat="false" ht="15" hidden="false" customHeight="false" outlineLevel="0" collapsed="false">
      <c r="A633" s="28" t="s">
        <v>176</v>
      </c>
      <c r="B633" s="28" t="s">
        <v>177</v>
      </c>
      <c r="C633" s="28" t="s">
        <v>174</v>
      </c>
      <c r="D633" s="23" t="n">
        <v>2</v>
      </c>
      <c r="E633" s="23" t="n">
        <v>20</v>
      </c>
      <c r="F633" s="28" t="s">
        <v>551</v>
      </c>
      <c r="G633" s="19" t="n">
        <v>0.0475</v>
      </c>
    </row>
    <row r="634" customFormat="false" ht="15" hidden="false" customHeight="false" outlineLevel="0" collapsed="false">
      <c r="A634" s="28" t="s">
        <v>176</v>
      </c>
      <c r="B634" s="28" t="s">
        <v>177</v>
      </c>
      <c r="C634" s="28" t="s">
        <v>174</v>
      </c>
      <c r="D634" s="23" t="n">
        <v>2</v>
      </c>
      <c r="E634" s="23" t="n">
        <v>20</v>
      </c>
      <c r="F634" s="28" t="s">
        <v>451</v>
      </c>
      <c r="G634" s="19" t="n">
        <v>0.0161</v>
      </c>
    </row>
    <row r="635" customFormat="false" ht="15" hidden="false" customHeight="false" outlineLevel="0" collapsed="false">
      <c r="A635" s="28" t="s">
        <v>176</v>
      </c>
      <c r="B635" s="28" t="s">
        <v>177</v>
      </c>
      <c r="C635" s="28" t="s">
        <v>174</v>
      </c>
      <c r="D635" s="23" t="n">
        <v>2</v>
      </c>
      <c r="E635" s="23" t="n">
        <v>20</v>
      </c>
      <c r="F635" s="28" t="s">
        <v>905</v>
      </c>
      <c r="G635" s="19" t="n">
        <v>0.0187</v>
      </c>
    </row>
    <row r="636" customFormat="false" ht="15" hidden="false" customHeight="false" outlineLevel="0" collapsed="false">
      <c r="A636" s="28" t="s">
        <v>176</v>
      </c>
      <c r="B636" s="28" t="s">
        <v>177</v>
      </c>
      <c r="C636" s="28" t="s">
        <v>174</v>
      </c>
      <c r="D636" s="23" t="n">
        <v>2</v>
      </c>
      <c r="E636" s="23" t="n">
        <v>20</v>
      </c>
      <c r="F636" s="28" t="s">
        <v>906</v>
      </c>
      <c r="G636" s="19" t="n">
        <v>0.0201</v>
      </c>
    </row>
    <row r="637" customFormat="false" ht="15" hidden="false" customHeight="false" outlineLevel="0" collapsed="false">
      <c r="A637" s="28" t="s">
        <v>176</v>
      </c>
      <c r="B637" s="28" t="s">
        <v>177</v>
      </c>
      <c r="C637" s="28" t="s">
        <v>174</v>
      </c>
      <c r="D637" s="23" t="n">
        <v>2</v>
      </c>
      <c r="E637" s="23" t="n">
        <v>20</v>
      </c>
      <c r="F637" s="28" t="s">
        <v>907</v>
      </c>
      <c r="G637" s="19" t="n">
        <v>0.0198</v>
      </c>
    </row>
    <row r="638" customFormat="false" ht="15" hidden="false" customHeight="false" outlineLevel="0" collapsed="false">
      <c r="A638" s="28" t="s">
        <v>176</v>
      </c>
      <c r="B638" s="28" t="s">
        <v>177</v>
      </c>
      <c r="C638" s="28" t="s">
        <v>174</v>
      </c>
      <c r="D638" s="23" t="n">
        <v>2</v>
      </c>
      <c r="E638" s="23" t="n">
        <v>20</v>
      </c>
      <c r="F638" s="28" t="s">
        <v>908</v>
      </c>
      <c r="G638" s="19" t="n">
        <v>0.0214</v>
      </c>
    </row>
    <row r="639" customFormat="false" ht="15" hidden="false" customHeight="false" outlineLevel="0" collapsed="false">
      <c r="A639" s="28" t="s">
        <v>176</v>
      </c>
      <c r="B639" s="28" t="s">
        <v>177</v>
      </c>
      <c r="C639" s="28" t="s">
        <v>174</v>
      </c>
      <c r="D639" s="23" t="n">
        <v>2</v>
      </c>
      <c r="E639" s="23" t="n">
        <v>20</v>
      </c>
      <c r="F639" s="28" t="s">
        <v>909</v>
      </c>
      <c r="G639" s="19" t="n">
        <v>0.0215</v>
      </c>
    </row>
    <row r="640" customFormat="false" ht="15" hidden="false" customHeight="false" outlineLevel="0" collapsed="false">
      <c r="A640" s="28" t="s">
        <v>176</v>
      </c>
      <c r="B640" s="28" t="s">
        <v>177</v>
      </c>
      <c r="C640" s="28" t="s">
        <v>174</v>
      </c>
      <c r="D640" s="23" t="n">
        <v>2</v>
      </c>
      <c r="E640" s="23" t="n">
        <v>20</v>
      </c>
      <c r="F640" s="28" t="s">
        <v>910</v>
      </c>
      <c r="G640" s="19" t="n">
        <v>0.0219</v>
      </c>
    </row>
    <row r="641" customFormat="false" ht="15" hidden="false" customHeight="false" outlineLevel="0" collapsed="false">
      <c r="A641" s="28" t="s">
        <v>176</v>
      </c>
      <c r="B641" s="28" t="s">
        <v>177</v>
      </c>
      <c r="C641" s="28" t="s">
        <v>174</v>
      </c>
      <c r="D641" s="23" t="n">
        <v>2</v>
      </c>
      <c r="E641" s="23" t="n">
        <v>20</v>
      </c>
      <c r="F641" s="28" t="s">
        <v>911</v>
      </c>
      <c r="G641" s="19" t="n">
        <v>0.023</v>
      </c>
    </row>
    <row r="642" customFormat="false" ht="15" hidden="false" customHeight="false" outlineLevel="0" collapsed="false">
      <c r="A642" s="28" t="s">
        <v>176</v>
      </c>
      <c r="B642" s="28" t="s">
        <v>177</v>
      </c>
      <c r="C642" s="28" t="s">
        <v>174</v>
      </c>
      <c r="D642" s="23" t="n">
        <v>2</v>
      </c>
      <c r="E642" s="23" t="n">
        <v>20</v>
      </c>
      <c r="F642" s="28" t="s">
        <v>912</v>
      </c>
      <c r="G642" s="19" t="n">
        <v>0.0244</v>
      </c>
    </row>
    <row r="643" customFormat="false" ht="15" hidden="false" customHeight="false" outlineLevel="0" collapsed="false">
      <c r="A643" s="28" t="s">
        <v>176</v>
      </c>
      <c r="B643" s="28" t="s">
        <v>177</v>
      </c>
      <c r="C643" s="28" t="s">
        <v>174</v>
      </c>
      <c r="D643" s="23" t="n">
        <v>2</v>
      </c>
      <c r="E643" s="23" t="n">
        <v>20</v>
      </c>
      <c r="F643" s="28" t="s">
        <v>913</v>
      </c>
      <c r="G643" s="19" t="n">
        <v>0.0293</v>
      </c>
    </row>
    <row r="644" customFormat="false" ht="15" hidden="false" customHeight="false" outlineLevel="0" collapsed="false">
      <c r="A644" s="28" t="s">
        <v>176</v>
      </c>
      <c r="B644" s="28" t="s">
        <v>177</v>
      </c>
      <c r="C644" s="28" t="s">
        <v>174</v>
      </c>
      <c r="D644" s="23" t="n">
        <v>2</v>
      </c>
      <c r="E644" s="23" t="n">
        <v>20</v>
      </c>
      <c r="F644" s="28" t="s">
        <v>914</v>
      </c>
      <c r="G644" s="19" t="n">
        <v>0.0291</v>
      </c>
    </row>
    <row r="645" customFormat="false" ht="15" hidden="false" customHeight="false" outlineLevel="0" collapsed="false">
      <c r="A645" s="28" t="s">
        <v>176</v>
      </c>
      <c r="B645" s="28" t="s">
        <v>177</v>
      </c>
      <c r="C645" s="28" t="s">
        <v>174</v>
      </c>
      <c r="D645" s="23" t="n">
        <v>2</v>
      </c>
      <c r="E645" s="23" t="n">
        <v>20</v>
      </c>
      <c r="F645" s="28" t="s">
        <v>915</v>
      </c>
      <c r="G645" s="19" t="n">
        <v>0.0449</v>
      </c>
    </row>
    <row r="646" customFormat="false" ht="15" hidden="false" customHeight="false" outlineLevel="0" collapsed="false">
      <c r="A646" s="28" t="s">
        <v>176</v>
      </c>
      <c r="B646" s="28" t="s">
        <v>177</v>
      </c>
      <c r="C646" s="28" t="s">
        <v>174</v>
      </c>
      <c r="D646" s="23" t="n">
        <v>2</v>
      </c>
      <c r="E646" s="23" t="n">
        <v>21</v>
      </c>
      <c r="F646" s="28" t="s">
        <v>904</v>
      </c>
      <c r="G646" s="19" t="n">
        <v>0.0163</v>
      </c>
    </row>
    <row r="647" customFormat="false" ht="15" hidden="false" customHeight="false" outlineLevel="0" collapsed="false">
      <c r="A647" s="28" t="s">
        <v>176</v>
      </c>
      <c r="B647" s="28" t="s">
        <v>177</v>
      </c>
      <c r="C647" s="28" t="s">
        <v>174</v>
      </c>
      <c r="D647" s="23" t="n">
        <v>2</v>
      </c>
      <c r="E647" s="23" t="n">
        <v>21</v>
      </c>
      <c r="F647" s="28" t="s">
        <v>551</v>
      </c>
      <c r="G647" s="19" t="n">
        <v>0.0475</v>
      </c>
    </row>
    <row r="648" customFormat="false" ht="15" hidden="false" customHeight="false" outlineLevel="0" collapsed="false">
      <c r="A648" s="28" t="s">
        <v>176</v>
      </c>
      <c r="B648" s="28" t="s">
        <v>177</v>
      </c>
      <c r="C648" s="28" t="s">
        <v>174</v>
      </c>
      <c r="D648" s="23" t="n">
        <v>2</v>
      </c>
      <c r="E648" s="23" t="n">
        <v>21</v>
      </c>
      <c r="F648" s="28" t="s">
        <v>451</v>
      </c>
      <c r="G648" s="19" t="n">
        <v>0.0161</v>
      </c>
    </row>
    <row r="649" customFormat="false" ht="15" hidden="false" customHeight="false" outlineLevel="0" collapsed="false">
      <c r="A649" s="28" t="s">
        <v>176</v>
      </c>
      <c r="B649" s="28" t="s">
        <v>177</v>
      </c>
      <c r="C649" s="28" t="s">
        <v>174</v>
      </c>
      <c r="D649" s="23" t="n">
        <v>2</v>
      </c>
      <c r="E649" s="23" t="n">
        <v>21</v>
      </c>
      <c r="F649" s="28" t="s">
        <v>905</v>
      </c>
      <c r="G649" s="19" t="n">
        <v>0.0187</v>
      </c>
    </row>
    <row r="650" customFormat="false" ht="15" hidden="false" customHeight="false" outlineLevel="0" collapsed="false">
      <c r="A650" s="28" t="s">
        <v>176</v>
      </c>
      <c r="B650" s="28" t="s">
        <v>177</v>
      </c>
      <c r="C650" s="28" t="s">
        <v>174</v>
      </c>
      <c r="D650" s="23" t="n">
        <v>2</v>
      </c>
      <c r="E650" s="23" t="n">
        <v>21</v>
      </c>
      <c r="F650" s="28" t="s">
        <v>906</v>
      </c>
      <c r="G650" s="19" t="n">
        <v>0.0201</v>
      </c>
    </row>
    <row r="651" customFormat="false" ht="15" hidden="false" customHeight="false" outlineLevel="0" collapsed="false">
      <c r="A651" s="28" t="s">
        <v>176</v>
      </c>
      <c r="B651" s="28" t="s">
        <v>177</v>
      </c>
      <c r="C651" s="28" t="s">
        <v>174</v>
      </c>
      <c r="D651" s="23" t="n">
        <v>2</v>
      </c>
      <c r="E651" s="23" t="n">
        <v>21</v>
      </c>
      <c r="F651" s="28" t="s">
        <v>907</v>
      </c>
      <c r="G651" s="19" t="n">
        <v>0.0198</v>
      </c>
    </row>
    <row r="652" customFormat="false" ht="15" hidden="false" customHeight="false" outlineLevel="0" collapsed="false">
      <c r="A652" s="28" t="s">
        <v>176</v>
      </c>
      <c r="B652" s="28" t="s">
        <v>177</v>
      </c>
      <c r="C652" s="28" t="s">
        <v>174</v>
      </c>
      <c r="D652" s="23" t="n">
        <v>2</v>
      </c>
      <c r="E652" s="23" t="n">
        <v>21</v>
      </c>
      <c r="F652" s="28" t="s">
        <v>908</v>
      </c>
      <c r="G652" s="19" t="n">
        <v>0.0214</v>
      </c>
    </row>
    <row r="653" customFormat="false" ht="15" hidden="false" customHeight="false" outlineLevel="0" collapsed="false">
      <c r="A653" s="28" t="s">
        <v>176</v>
      </c>
      <c r="B653" s="28" t="s">
        <v>177</v>
      </c>
      <c r="C653" s="28" t="s">
        <v>174</v>
      </c>
      <c r="D653" s="23" t="n">
        <v>2</v>
      </c>
      <c r="E653" s="23" t="n">
        <v>21</v>
      </c>
      <c r="F653" s="28" t="s">
        <v>909</v>
      </c>
      <c r="G653" s="19" t="n">
        <v>0.0215</v>
      </c>
    </row>
    <row r="654" customFormat="false" ht="15" hidden="false" customHeight="false" outlineLevel="0" collapsed="false">
      <c r="A654" s="28" t="s">
        <v>176</v>
      </c>
      <c r="B654" s="28" t="s">
        <v>177</v>
      </c>
      <c r="C654" s="28" t="s">
        <v>174</v>
      </c>
      <c r="D654" s="23" t="n">
        <v>2</v>
      </c>
      <c r="E654" s="23" t="n">
        <v>21</v>
      </c>
      <c r="F654" s="28" t="s">
        <v>910</v>
      </c>
      <c r="G654" s="19" t="n">
        <v>0.0219</v>
      </c>
    </row>
    <row r="655" customFormat="false" ht="15" hidden="false" customHeight="false" outlineLevel="0" collapsed="false">
      <c r="A655" s="28" t="s">
        <v>176</v>
      </c>
      <c r="B655" s="28" t="s">
        <v>177</v>
      </c>
      <c r="C655" s="28" t="s">
        <v>174</v>
      </c>
      <c r="D655" s="23" t="n">
        <v>2</v>
      </c>
      <c r="E655" s="23" t="n">
        <v>21</v>
      </c>
      <c r="F655" s="28" t="s">
        <v>911</v>
      </c>
      <c r="G655" s="19" t="n">
        <v>0.023</v>
      </c>
    </row>
    <row r="656" customFormat="false" ht="15" hidden="false" customHeight="false" outlineLevel="0" collapsed="false">
      <c r="A656" s="28" t="s">
        <v>176</v>
      </c>
      <c r="B656" s="28" t="s">
        <v>177</v>
      </c>
      <c r="C656" s="28" t="s">
        <v>174</v>
      </c>
      <c r="D656" s="23" t="n">
        <v>2</v>
      </c>
      <c r="E656" s="23" t="n">
        <v>21</v>
      </c>
      <c r="F656" s="28" t="s">
        <v>912</v>
      </c>
      <c r="G656" s="19" t="n">
        <v>0.0244</v>
      </c>
    </row>
    <row r="657" customFormat="false" ht="15" hidden="false" customHeight="false" outlineLevel="0" collapsed="false">
      <c r="A657" s="28" t="s">
        <v>176</v>
      </c>
      <c r="B657" s="28" t="s">
        <v>177</v>
      </c>
      <c r="C657" s="28" t="s">
        <v>174</v>
      </c>
      <c r="D657" s="23" t="n">
        <v>2</v>
      </c>
      <c r="E657" s="23" t="n">
        <v>21</v>
      </c>
      <c r="F657" s="28" t="s">
        <v>913</v>
      </c>
      <c r="G657" s="19" t="n">
        <v>0.0293</v>
      </c>
    </row>
    <row r="658" customFormat="false" ht="15" hidden="false" customHeight="false" outlineLevel="0" collapsed="false">
      <c r="A658" s="28" t="s">
        <v>176</v>
      </c>
      <c r="B658" s="28" t="s">
        <v>177</v>
      </c>
      <c r="C658" s="28" t="s">
        <v>174</v>
      </c>
      <c r="D658" s="23" t="n">
        <v>2</v>
      </c>
      <c r="E658" s="23" t="n">
        <v>21</v>
      </c>
      <c r="F658" s="28" t="s">
        <v>914</v>
      </c>
      <c r="G658" s="19" t="n">
        <v>0.0291</v>
      </c>
    </row>
    <row r="659" customFormat="false" ht="15" hidden="false" customHeight="false" outlineLevel="0" collapsed="false">
      <c r="A659" s="28" t="s">
        <v>176</v>
      </c>
      <c r="B659" s="28" t="s">
        <v>177</v>
      </c>
      <c r="C659" s="28" t="s">
        <v>174</v>
      </c>
      <c r="D659" s="23" t="n">
        <v>2</v>
      </c>
      <c r="E659" s="23" t="n">
        <v>21</v>
      </c>
      <c r="F659" s="28" t="s">
        <v>915</v>
      </c>
      <c r="G659" s="19" t="n">
        <v>0.0449</v>
      </c>
    </row>
    <row r="660" customFormat="false" ht="15" hidden="false" customHeight="false" outlineLevel="0" collapsed="false">
      <c r="A660" s="28" t="s">
        <v>176</v>
      </c>
      <c r="B660" s="28" t="s">
        <v>177</v>
      </c>
      <c r="C660" s="28" t="s">
        <v>174</v>
      </c>
      <c r="D660" s="23" t="n">
        <v>2</v>
      </c>
      <c r="E660" s="23" t="n">
        <v>22</v>
      </c>
      <c r="F660" s="28" t="s">
        <v>904</v>
      </c>
      <c r="G660" s="19" t="n">
        <v>0.0163</v>
      </c>
    </row>
    <row r="661" customFormat="false" ht="15" hidden="false" customHeight="false" outlineLevel="0" collapsed="false">
      <c r="A661" s="28" t="s">
        <v>176</v>
      </c>
      <c r="B661" s="28" t="s">
        <v>177</v>
      </c>
      <c r="C661" s="28" t="s">
        <v>174</v>
      </c>
      <c r="D661" s="23" t="n">
        <v>2</v>
      </c>
      <c r="E661" s="23" t="n">
        <v>22</v>
      </c>
      <c r="F661" s="28" t="s">
        <v>551</v>
      </c>
      <c r="G661" s="19" t="n">
        <v>0.0475</v>
      </c>
    </row>
    <row r="662" customFormat="false" ht="15" hidden="false" customHeight="false" outlineLevel="0" collapsed="false">
      <c r="A662" s="28" t="s">
        <v>176</v>
      </c>
      <c r="B662" s="28" t="s">
        <v>177</v>
      </c>
      <c r="C662" s="28" t="s">
        <v>174</v>
      </c>
      <c r="D662" s="23" t="n">
        <v>2</v>
      </c>
      <c r="E662" s="23" t="n">
        <v>22</v>
      </c>
      <c r="F662" s="28" t="s">
        <v>451</v>
      </c>
      <c r="G662" s="19" t="n">
        <v>0.0161</v>
      </c>
    </row>
    <row r="663" customFormat="false" ht="15" hidden="false" customHeight="false" outlineLevel="0" collapsed="false">
      <c r="A663" s="28" t="s">
        <v>176</v>
      </c>
      <c r="B663" s="28" t="s">
        <v>177</v>
      </c>
      <c r="C663" s="28" t="s">
        <v>174</v>
      </c>
      <c r="D663" s="23" t="n">
        <v>2</v>
      </c>
      <c r="E663" s="23" t="n">
        <v>22</v>
      </c>
      <c r="F663" s="28" t="s">
        <v>905</v>
      </c>
      <c r="G663" s="19" t="n">
        <v>0.0187</v>
      </c>
    </row>
    <row r="664" customFormat="false" ht="15" hidden="false" customHeight="false" outlineLevel="0" collapsed="false">
      <c r="A664" s="28" t="s">
        <v>176</v>
      </c>
      <c r="B664" s="28" t="s">
        <v>177</v>
      </c>
      <c r="C664" s="28" t="s">
        <v>174</v>
      </c>
      <c r="D664" s="23" t="n">
        <v>2</v>
      </c>
      <c r="E664" s="23" t="n">
        <v>22</v>
      </c>
      <c r="F664" s="28" t="s">
        <v>906</v>
      </c>
      <c r="G664" s="19" t="n">
        <v>0.0201</v>
      </c>
    </row>
    <row r="665" customFormat="false" ht="15" hidden="false" customHeight="false" outlineLevel="0" collapsed="false">
      <c r="A665" s="28" t="s">
        <v>176</v>
      </c>
      <c r="B665" s="28" t="s">
        <v>177</v>
      </c>
      <c r="C665" s="28" t="s">
        <v>174</v>
      </c>
      <c r="D665" s="23" t="n">
        <v>2</v>
      </c>
      <c r="E665" s="23" t="n">
        <v>22</v>
      </c>
      <c r="F665" s="28" t="s">
        <v>907</v>
      </c>
      <c r="G665" s="19" t="n">
        <v>0.0198</v>
      </c>
    </row>
    <row r="666" customFormat="false" ht="15" hidden="false" customHeight="false" outlineLevel="0" collapsed="false">
      <c r="A666" s="28" t="s">
        <v>176</v>
      </c>
      <c r="B666" s="28" t="s">
        <v>177</v>
      </c>
      <c r="C666" s="28" t="s">
        <v>174</v>
      </c>
      <c r="D666" s="23" t="n">
        <v>2</v>
      </c>
      <c r="E666" s="23" t="n">
        <v>22</v>
      </c>
      <c r="F666" s="28" t="s">
        <v>908</v>
      </c>
      <c r="G666" s="19" t="n">
        <v>0.0214</v>
      </c>
    </row>
    <row r="667" customFormat="false" ht="15" hidden="false" customHeight="false" outlineLevel="0" collapsed="false">
      <c r="A667" s="28" t="s">
        <v>176</v>
      </c>
      <c r="B667" s="28" t="s">
        <v>177</v>
      </c>
      <c r="C667" s="28" t="s">
        <v>174</v>
      </c>
      <c r="D667" s="23" t="n">
        <v>2</v>
      </c>
      <c r="E667" s="23" t="n">
        <v>22</v>
      </c>
      <c r="F667" s="28" t="s">
        <v>909</v>
      </c>
      <c r="G667" s="19" t="n">
        <v>0.0215</v>
      </c>
    </row>
    <row r="668" customFormat="false" ht="15" hidden="false" customHeight="false" outlineLevel="0" collapsed="false">
      <c r="A668" s="28" t="s">
        <v>176</v>
      </c>
      <c r="B668" s="28" t="s">
        <v>177</v>
      </c>
      <c r="C668" s="28" t="s">
        <v>174</v>
      </c>
      <c r="D668" s="23" t="n">
        <v>2</v>
      </c>
      <c r="E668" s="23" t="n">
        <v>22</v>
      </c>
      <c r="F668" s="28" t="s">
        <v>910</v>
      </c>
      <c r="G668" s="19" t="n">
        <v>0.0219</v>
      </c>
    </row>
    <row r="669" customFormat="false" ht="15" hidden="false" customHeight="false" outlineLevel="0" collapsed="false">
      <c r="A669" s="28" t="s">
        <v>176</v>
      </c>
      <c r="B669" s="28" t="s">
        <v>177</v>
      </c>
      <c r="C669" s="28" t="s">
        <v>174</v>
      </c>
      <c r="D669" s="23" t="n">
        <v>2</v>
      </c>
      <c r="E669" s="23" t="n">
        <v>22</v>
      </c>
      <c r="F669" s="28" t="s">
        <v>911</v>
      </c>
      <c r="G669" s="19" t="n">
        <v>0.023</v>
      </c>
    </row>
    <row r="670" customFormat="false" ht="15" hidden="false" customHeight="false" outlineLevel="0" collapsed="false">
      <c r="A670" s="28" t="s">
        <v>176</v>
      </c>
      <c r="B670" s="28" t="s">
        <v>177</v>
      </c>
      <c r="C670" s="28" t="s">
        <v>174</v>
      </c>
      <c r="D670" s="23" t="n">
        <v>2</v>
      </c>
      <c r="E670" s="23" t="n">
        <v>22</v>
      </c>
      <c r="F670" s="28" t="s">
        <v>912</v>
      </c>
      <c r="G670" s="19" t="n">
        <v>0.0244</v>
      </c>
    </row>
    <row r="671" customFormat="false" ht="15" hidden="false" customHeight="false" outlineLevel="0" collapsed="false">
      <c r="A671" s="28" t="s">
        <v>176</v>
      </c>
      <c r="B671" s="28" t="s">
        <v>177</v>
      </c>
      <c r="C671" s="28" t="s">
        <v>174</v>
      </c>
      <c r="D671" s="23" t="n">
        <v>2</v>
      </c>
      <c r="E671" s="23" t="n">
        <v>22</v>
      </c>
      <c r="F671" s="28" t="s">
        <v>913</v>
      </c>
      <c r="G671" s="19" t="n">
        <v>0.0293</v>
      </c>
    </row>
    <row r="672" customFormat="false" ht="15" hidden="false" customHeight="false" outlineLevel="0" collapsed="false">
      <c r="A672" s="28" t="s">
        <v>176</v>
      </c>
      <c r="B672" s="28" t="s">
        <v>177</v>
      </c>
      <c r="C672" s="28" t="s">
        <v>174</v>
      </c>
      <c r="D672" s="23" t="n">
        <v>2</v>
      </c>
      <c r="E672" s="23" t="n">
        <v>22</v>
      </c>
      <c r="F672" s="28" t="s">
        <v>914</v>
      </c>
      <c r="G672" s="19" t="n">
        <v>0.0291</v>
      </c>
    </row>
    <row r="673" customFormat="false" ht="15" hidden="false" customHeight="false" outlineLevel="0" collapsed="false">
      <c r="A673" s="28" t="s">
        <v>176</v>
      </c>
      <c r="B673" s="28" t="s">
        <v>177</v>
      </c>
      <c r="C673" s="28" t="s">
        <v>174</v>
      </c>
      <c r="D673" s="23" t="n">
        <v>2</v>
      </c>
      <c r="E673" s="23" t="n">
        <v>22</v>
      </c>
      <c r="F673" s="28" t="s">
        <v>915</v>
      </c>
      <c r="G673" s="19" t="n">
        <v>0.0449</v>
      </c>
    </row>
    <row r="674" customFormat="false" ht="15" hidden="false" customHeight="false" outlineLevel="0" collapsed="false">
      <c r="A674" s="28" t="s">
        <v>176</v>
      </c>
      <c r="B674" s="28" t="s">
        <v>177</v>
      </c>
      <c r="C674" s="28" t="s">
        <v>174</v>
      </c>
      <c r="D674" s="23" t="n">
        <v>2</v>
      </c>
      <c r="E674" s="23" t="n">
        <v>23</v>
      </c>
      <c r="F674" s="28" t="s">
        <v>904</v>
      </c>
      <c r="G674" s="19" t="n">
        <v>0.0163</v>
      </c>
    </row>
    <row r="675" customFormat="false" ht="15" hidden="false" customHeight="false" outlineLevel="0" collapsed="false">
      <c r="A675" s="28" t="s">
        <v>176</v>
      </c>
      <c r="B675" s="28" t="s">
        <v>177</v>
      </c>
      <c r="C675" s="28" t="s">
        <v>174</v>
      </c>
      <c r="D675" s="23" t="n">
        <v>2</v>
      </c>
      <c r="E675" s="23" t="n">
        <v>23</v>
      </c>
      <c r="F675" s="28" t="s">
        <v>551</v>
      </c>
      <c r="G675" s="19" t="n">
        <v>0.0475</v>
      </c>
    </row>
    <row r="676" customFormat="false" ht="15" hidden="false" customHeight="false" outlineLevel="0" collapsed="false">
      <c r="A676" s="28" t="s">
        <v>176</v>
      </c>
      <c r="B676" s="28" t="s">
        <v>177</v>
      </c>
      <c r="C676" s="28" t="s">
        <v>174</v>
      </c>
      <c r="D676" s="23" t="n">
        <v>2</v>
      </c>
      <c r="E676" s="23" t="n">
        <v>23</v>
      </c>
      <c r="F676" s="28" t="s">
        <v>451</v>
      </c>
      <c r="G676" s="19" t="n">
        <v>0.0161</v>
      </c>
    </row>
    <row r="677" customFormat="false" ht="15" hidden="false" customHeight="false" outlineLevel="0" collapsed="false">
      <c r="A677" s="28" t="s">
        <v>176</v>
      </c>
      <c r="B677" s="28" t="s">
        <v>177</v>
      </c>
      <c r="C677" s="28" t="s">
        <v>174</v>
      </c>
      <c r="D677" s="23" t="n">
        <v>2</v>
      </c>
      <c r="E677" s="23" t="n">
        <v>23</v>
      </c>
      <c r="F677" s="28" t="s">
        <v>905</v>
      </c>
      <c r="G677" s="19" t="n">
        <v>0.0187</v>
      </c>
    </row>
    <row r="678" customFormat="false" ht="15" hidden="false" customHeight="false" outlineLevel="0" collapsed="false">
      <c r="A678" s="28" t="s">
        <v>176</v>
      </c>
      <c r="B678" s="28" t="s">
        <v>177</v>
      </c>
      <c r="C678" s="28" t="s">
        <v>174</v>
      </c>
      <c r="D678" s="23" t="n">
        <v>2</v>
      </c>
      <c r="E678" s="23" t="n">
        <v>23</v>
      </c>
      <c r="F678" s="28" t="s">
        <v>906</v>
      </c>
      <c r="G678" s="19" t="n">
        <v>0.0201</v>
      </c>
    </row>
    <row r="679" customFormat="false" ht="15" hidden="false" customHeight="false" outlineLevel="0" collapsed="false">
      <c r="A679" s="28" t="s">
        <v>176</v>
      </c>
      <c r="B679" s="28" t="s">
        <v>177</v>
      </c>
      <c r="C679" s="28" t="s">
        <v>174</v>
      </c>
      <c r="D679" s="23" t="n">
        <v>2</v>
      </c>
      <c r="E679" s="23" t="n">
        <v>23</v>
      </c>
      <c r="F679" s="28" t="s">
        <v>907</v>
      </c>
      <c r="G679" s="19" t="n">
        <v>0.0198</v>
      </c>
    </row>
    <row r="680" customFormat="false" ht="15" hidden="false" customHeight="false" outlineLevel="0" collapsed="false">
      <c r="A680" s="28" t="s">
        <v>176</v>
      </c>
      <c r="B680" s="28" t="s">
        <v>177</v>
      </c>
      <c r="C680" s="28" t="s">
        <v>174</v>
      </c>
      <c r="D680" s="23" t="n">
        <v>2</v>
      </c>
      <c r="E680" s="23" t="n">
        <v>23</v>
      </c>
      <c r="F680" s="28" t="s">
        <v>908</v>
      </c>
      <c r="G680" s="19" t="n">
        <v>0.0214</v>
      </c>
    </row>
    <row r="681" customFormat="false" ht="15" hidden="false" customHeight="false" outlineLevel="0" collapsed="false">
      <c r="A681" s="28" t="s">
        <v>176</v>
      </c>
      <c r="B681" s="28" t="s">
        <v>177</v>
      </c>
      <c r="C681" s="28" t="s">
        <v>174</v>
      </c>
      <c r="D681" s="23" t="n">
        <v>2</v>
      </c>
      <c r="E681" s="23" t="n">
        <v>23</v>
      </c>
      <c r="F681" s="28" t="s">
        <v>909</v>
      </c>
      <c r="G681" s="19" t="n">
        <v>0.0215</v>
      </c>
    </row>
    <row r="682" customFormat="false" ht="15" hidden="false" customHeight="false" outlineLevel="0" collapsed="false">
      <c r="A682" s="28" t="s">
        <v>176</v>
      </c>
      <c r="B682" s="28" t="s">
        <v>177</v>
      </c>
      <c r="C682" s="28" t="s">
        <v>174</v>
      </c>
      <c r="D682" s="23" t="n">
        <v>2</v>
      </c>
      <c r="E682" s="23" t="n">
        <v>23</v>
      </c>
      <c r="F682" s="28" t="s">
        <v>910</v>
      </c>
      <c r="G682" s="19" t="n">
        <v>0.0219</v>
      </c>
    </row>
    <row r="683" customFormat="false" ht="15" hidden="false" customHeight="false" outlineLevel="0" collapsed="false">
      <c r="A683" s="28" t="s">
        <v>176</v>
      </c>
      <c r="B683" s="28" t="s">
        <v>177</v>
      </c>
      <c r="C683" s="28" t="s">
        <v>174</v>
      </c>
      <c r="D683" s="23" t="n">
        <v>2</v>
      </c>
      <c r="E683" s="23" t="n">
        <v>23</v>
      </c>
      <c r="F683" s="28" t="s">
        <v>911</v>
      </c>
      <c r="G683" s="19" t="n">
        <v>0.023</v>
      </c>
    </row>
    <row r="684" customFormat="false" ht="15" hidden="false" customHeight="false" outlineLevel="0" collapsed="false">
      <c r="A684" s="28" t="s">
        <v>176</v>
      </c>
      <c r="B684" s="28" t="s">
        <v>177</v>
      </c>
      <c r="C684" s="28" t="s">
        <v>174</v>
      </c>
      <c r="D684" s="23" t="n">
        <v>2</v>
      </c>
      <c r="E684" s="23" t="n">
        <v>23</v>
      </c>
      <c r="F684" s="28" t="s">
        <v>912</v>
      </c>
      <c r="G684" s="19" t="n">
        <v>0.0244</v>
      </c>
    </row>
    <row r="685" customFormat="false" ht="15" hidden="false" customHeight="false" outlineLevel="0" collapsed="false">
      <c r="A685" s="28" t="s">
        <v>176</v>
      </c>
      <c r="B685" s="28" t="s">
        <v>177</v>
      </c>
      <c r="C685" s="28" t="s">
        <v>174</v>
      </c>
      <c r="D685" s="23" t="n">
        <v>2</v>
      </c>
      <c r="E685" s="23" t="n">
        <v>23</v>
      </c>
      <c r="F685" s="28" t="s">
        <v>913</v>
      </c>
      <c r="G685" s="19" t="n">
        <v>0.0293</v>
      </c>
    </row>
    <row r="686" customFormat="false" ht="15" hidden="false" customHeight="false" outlineLevel="0" collapsed="false">
      <c r="A686" s="28" t="s">
        <v>176</v>
      </c>
      <c r="B686" s="28" t="s">
        <v>177</v>
      </c>
      <c r="C686" s="28" t="s">
        <v>174</v>
      </c>
      <c r="D686" s="23" t="n">
        <v>2</v>
      </c>
      <c r="E686" s="23" t="n">
        <v>23</v>
      </c>
      <c r="F686" s="28" t="s">
        <v>914</v>
      </c>
      <c r="G686" s="19" t="n">
        <v>0.0291</v>
      </c>
    </row>
    <row r="687" customFormat="false" ht="15" hidden="false" customHeight="false" outlineLevel="0" collapsed="false">
      <c r="A687" s="28" t="s">
        <v>176</v>
      </c>
      <c r="B687" s="28" t="s">
        <v>177</v>
      </c>
      <c r="C687" s="28" t="s">
        <v>174</v>
      </c>
      <c r="D687" s="23" t="n">
        <v>2</v>
      </c>
      <c r="E687" s="23" t="n">
        <v>23</v>
      </c>
      <c r="F687" s="28" t="s">
        <v>915</v>
      </c>
      <c r="G687" s="19" t="n">
        <v>0.0449</v>
      </c>
    </row>
    <row r="688" customFormat="false" ht="15" hidden="false" customHeight="false" outlineLevel="0" collapsed="false">
      <c r="A688" s="28" t="s">
        <v>176</v>
      </c>
      <c r="B688" s="28" t="s">
        <v>177</v>
      </c>
      <c r="C688" s="28" t="s">
        <v>174</v>
      </c>
      <c r="D688" s="23" t="n">
        <v>2</v>
      </c>
      <c r="E688" s="23" t="n">
        <v>24</v>
      </c>
      <c r="F688" s="28" t="s">
        <v>904</v>
      </c>
      <c r="G688" s="19" t="n">
        <v>0.0163</v>
      </c>
    </row>
    <row r="689" customFormat="false" ht="15" hidden="false" customHeight="false" outlineLevel="0" collapsed="false">
      <c r="A689" s="28" t="s">
        <v>176</v>
      </c>
      <c r="B689" s="28" t="s">
        <v>177</v>
      </c>
      <c r="C689" s="28" t="s">
        <v>174</v>
      </c>
      <c r="D689" s="23" t="n">
        <v>2</v>
      </c>
      <c r="E689" s="23" t="n">
        <v>24</v>
      </c>
      <c r="F689" s="28" t="s">
        <v>551</v>
      </c>
      <c r="G689" s="19" t="n">
        <v>0.0475</v>
      </c>
    </row>
    <row r="690" customFormat="false" ht="15" hidden="false" customHeight="false" outlineLevel="0" collapsed="false">
      <c r="A690" s="28" t="s">
        <v>176</v>
      </c>
      <c r="B690" s="28" t="s">
        <v>177</v>
      </c>
      <c r="C690" s="28" t="s">
        <v>174</v>
      </c>
      <c r="D690" s="23" t="n">
        <v>2</v>
      </c>
      <c r="E690" s="23" t="n">
        <v>24</v>
      </c>
      <c r="F690" s="28" t="s">
        <v>451</v>
      </c>
      <c r="G690" s="19" t="n">
        <v>0.0161</v>
      </c>
    </row>
    <row r="691" customFormat="false" ht="15" hidden="false" customHeight="false" outlineLevel="0" collapsed="false">
      <c r="A691" s="28" t="s">
        <v>176</v>
      </c>
      <c r="B691" s="28" t="s">
        <v>177</v>
      </c>
      <c r="C691" s="28" t="s">
        <v>174</v>
      </c>
      <c r="D691" s="23" t="n">
        <v>2</v>
      </c>
      <c r="E691" s="23" t="n">
        <v>24</v>
      </c>
      <c r="F691" s="28" t="s">
        <v>905</v>
      </c>
      <c r="G691" s="19" t="n">
        <v>0.0187</v>
      </c>
    </row>
    <row r="692" customFormat="false" ht="15" hidden="false" customHeight="false" outlineLevel="0" collapsed="false">
      <c r="A692" s="28" t="s">
        <v>176</v>
      </c>
      <c r="B692" s="28" t="s">
        <v>177</v>
      </c>
      <c r="C692" s="28" t="s">
        <v>174</v>
      </c>
      <c r="D692" s="23" t="n">
        <v>2</v>
      </c>
      <c r="E692" s="23" t="n">
        <v>24</v>
      </c>
      <c r="F692" s="28" t="s">
        <v>906</v>
      </c>
      <c r="G692" s="19" t="n">
        <v>0.0201</v>
      </c>
    </row>
    <row r="693" customFormat="false" ht="15" hidden="false" customHeight="false" outlineLevel="0" collapsed="false">
      <c r="A693" s="28" t="s">
        <v>176</v>
      </c>
      <c r="B693" s="28" t="s">
        <v>177</v>
      </c>
      <c r="C693" s="28" t="s">
        <v>174</v>
      </c>
      <c r="D693" s="23" t="n">
        <v>2</v>
      </c>
      <c r="E693" s="23" t="n">
        <v>24</v>
      </c>
      <c r="F693" s="28" t="s">
        <v>907</v>
      </c>
      <c r="G693" s="19" t="n">
        <v>0.0198</v>
      </c>
    </row>
    <row r="694" customFormat="false" ht="15" hidden="false" customHeight="false" outlineLevel="0" collapsed="false">
      <c r="A694" s="28" t="s">
        <v>176</v>
      </c>
      <c r="B694" s="28" t="s">
        <v>177</v>
      </c>
      <c r="C694" s="28" t="s">
        <v>174</v>
      </c>
      <c r="D694" s="23" t="n">
        <v>2</v>
      </c>
      <c r="E694" s="23" t="n">
        <v>24</v>
      </c>
      <c r="F694" s="28" t="s">
        <v>908</v>
      </c>
      <c r="G694" s="19" t="n">
        <v>0.0214</v>
      </c>
    </row>
    <row r="695" customFormat="false" ht="15" hidden="false" customHeight="false" outlineLevel="0" collapsed="false">
      <c r="A695" s="28" t="s">
        <v>176</v>
      </c>
      <c r="B695" s="28" t="s">
        <v>177</v>
      </c>
      <c r="C695" s="28" t="s">
        <v>174</v>
      </c>
      <c r="D695" s="23" t="n">
        <v>2</v>
      </c>
      <c r="E695" s="23" t="n">
        <v>24</v>
      </c>
      <c r="F695" s="28" t="s">
        <v>909</v>
      </c>
      <c r="G695" s="19" t="n">
        <v>0.0215</v>
      </c>
    </row>
    <row r="696" customFormat="false" ht="15" hidden="false" customHeight="false" outlineLevel="0" collapsed="false">
      <c r="A696" s="28" t="s">
        <v>176</v>
      </c>
      <c r="B696" s="28" t="s">
        <v>177</v>
      </c>
      <c r="C696" s="28" t="s">
        <v>174</v>
      </c>
      <c r="D696" s="23" t="n">
        <v>2</v>
      </c>
      <c r="E696" s="23" t="n">
        <v>24</v>
      </c>
      <c r="F696" s="28" t="s">
        <v>910</v>
      </c>
      <c r="G696" s="19" t="n">
        <v>0.0219</v>
      </c>
    </row>
    <row r="697" customFormat="false" ht="15" hidden="false" customHeight="false" outlineLevel="0" collapsed="false">
      <c r="A697" s="28" t="s">
        <v>176</v>
      </c>
      <c r="B697" s="28" t="s">
        <v>177</v>
      </c>
      <c r="C697" s="28" t="s">
        <v>174</v>
      </c>
      <c r="D697" s="23" t="n">
        <v>2</v>
      </c>
      <c r="E697" s="23" t="n">
        <v>24</v>
      </c>
      <c r="F697" s="28" t="s">
        <v>911</v>
      </c>
      <c r="G697" s="19" t="n">
        <v>0.023</v>
      </c>
    </row>
    <row r="698" customFormat="false" ht="15" hidden="false" customHeight="false" outlineLevel="0" collapsed="false">
      <c r="A698" s="28" t="s">
        <v>176</v>
      </c>
      <c r="B698" s="28" t="s">
        <v>177</v>
      </c>
      <c r="C698" s="28" t="s">
        <v>174</v>
      </c>
      <c r="D698" s="23" t="n">
        <v>2</v>
      </c>
      <c r="E698" s="23" t="n">
        <v>24</v>
      </c>
      <c r="F698" s="28" t="s">
        <v>912</v>
      </c>
      <c r="G698" s="19" t="n">
        <v>0.0244</v>
      </c>
    </row>
    <row r="699" customFormat="false" ht="15" hidden="false" customHeight="false" outlineLevel="0" collapsed="false">
      <c r="A699" s="28" t="s">
        <v>176</v>
      </c>
      <c r="B699" s="28" t="s">
        <v>177</v>
      </c>
      <c r="C699" s="28" t="s">
        <v>174</v>
      </c>
      <c r="D699" s="23" t="n">
        <v>2</v>
      </c>
      <c r="E699" s="23" t="n">
        <v>24</v>
      </c>
      <c r="F699" s="28" t="s">
        <v>913</v>
      </c>
      <c r="G699" s="19" t="n">
        <v>0.0293</v>
      </c>
    </row>
    <row r="700" customFormat="false" ht="15" hidden="false" customHeight="false" outlineLevel="0" collapsed="false">
      <c r="A700" s="28" t="s">
        <v>176</v>
      </c>
      <c r="B700" s="28" t="s">
        <v>177</v>
      </c>
      <c r="C700" s="28" t="s">
        <v>174</v>
      </c>
      <c r="D700" s="23" t="n">
        <v>2</v>
      </c>
      <c r="E700" s="23" t="n">
        <v>24</v>
      </c>
      <c r="F700" s="28" t="s">
        <v>914</v>
      </c>
      <c r="G700" s="19" t="n">
        <v>0.0291</v>
      </c>
    </row>
    <row r="701" customFormat="false" ht="15" hidden="false" customHeight="false" outlineLevel="0" collapsed="false">
      <c r="A701" s="28" t="s">
        <v>176</v>
      </c>
      <c r="B701" s="28" t="s">
        <v>177</v>
      </c>
      <c r="C701" s="28" t="s">
        <v>174</v>
      </c>
      <c r="D701" s="23" t="n">
        <v>2</v>
      </c>
      <c r="E701" s="23" t="n">
        <v>24</v>
      </c>
      <c r="F701" s="28" t="s">
        <v>915</v>
      </c>
      <c r="G701" s="19" t="n">
        <v>0.0449</v>
      </c>
    </row>
    <row r="702" customFormat="false" ht="15" hidden="false" customHeight="false" outlineLevel="0" collapsed="false">
      <c r="A702" s="28" t="s">
        <v>178</v>
      </c>
      <c r="B702" s="28" t="s">
        <v>179</v>
      </c>
      <c r="C702" s="28" t="s">
        <v>174</v>
      </c>
      <c r="D702" s="23" t="n">
        <v>3</v>
      </c>
      <c r="E702" s="23" t="n">
        <v>0</v>
      </c>
      <c r="F702" s="28" t="s">
        <v>904</v>
      </c>
      <c r="G702" s="19" t="n">
        <v>0.0263</v>
      </c>
    </row>
    <row r="703" customFormat="false" ht="15" hidden="false" customHeight="false" outlineLevel="0" collapsed="false">
      <c r="A703" s="28" t="s">
        <v>178</v>
      </c>
      <c r="B703" s="28" t="s">
        <v>179</v>
      </c>
      <c r="C703" s="28" t="s">
        <v>174</v>
      </c>
      <c r="D703" s="23" t="n">
        <v>3</v>
      </c>
      <c r="E703" s="23" t="n">
        <v>0</v>
      </c>
      <c r="F703" s="28" t="s">
        <v>551</v>
      </c>
      <c r="G703" s="19" t="n">
        <v>0.0575</v>
      </c>
    </row>
    <row r="704" customFormat="false" ht="15" hidden="false" customHeight="false" outlineLevel="0" collapsed="false">
      <c r="A704" s="28" t="s">
        <v>178</v>
      </c>
      <c r="B704" s="28" t="s">
        <v>179</v>
      </c>
      <c r="C704" s="28" t="s">
        <v>174</v>
      </c>
      <c r="D704" s="23" t="n">
        <v>3</v>
      </c>
      <c r="E704" s="23" t="n">
        <v>0</v>
      </c>
      <c r="F704" s="28" t="s">
        <v>451</v>
      </c>
      <c r="G704" s="19" t="n">
        <v>0.0261</v>
      </c>
    </row>
    <row r="705" customFormat="false" ht="15" hidden="false" customHeight="false" outlineLevel="0" collapsed="false">
      <c r="A705" s="28" t="s">
        <v>178</v>
      </c>
      <c r="B705" s="28" t="s">
        <v>179</v>
      </c>
      <c r="C705" s="28" t="s">
        <v>174</v>
      </c>
      <c r="D705" s="23" t="n">
        <v>3</v>
      </c>
      <c r="E705" s="23" t="n">
        <v>0</v>
      </c>
      <c r="F705" s="28" t="s">
        <v>905</v>
      </c>
      <c r="G705" s="19" t="n">
        <v>0.0287</v>
      </c>
    </row>
    <row r="706" customFormat="false" ht="15" hidden="false" customHeight="false" outlineLevel="0" collapsed="false">
      <c r="A706" s="28" t="s">
        <v>178</v>
      </c>
      <c r="B706" s="28" t="s">
        <v>179</v>
      </c>
      <c r="C706" s="28" t="s">
        <v>174</v>
      </c>
      <c r="D706" s="23" t="n">
        <v>3</v>
      </c>
      <c r="E706" s="23" t="n">
        <v>0</v>
      </c>
      <c r="F706" s="28" t="s">
        <v>906</v>
      </c>
      <c r="G706" s="19" t="n">
        <v>0.0301</v>
      </c>
    </row>
    <row r="707" customFormat="false" ht="15" hidden="false" customHeight="false" outlineLevel="0" collapsed="false">
      <c r="A707" s="28" t="s">
        <v>178</v>
      </c>
      <c r="B707" s="28" t="s">
        <v>179</v>
      </c>
      <c r="C707" s="28" t="s">
        <v>174</v>
      </c>
      <c r="D707" s="23" t="n">
        <v>3</v>
      </c>
      <c r="E707" s="23" t="n">
        <v>0</v>
      </c>
      <c r="F707" s="28" t="s">
        <v>907</v>
      </c>
      <c r="G707" s="19" t="n">
        <v>0.0298</v>
      </c>
    </row>
    <row r="708" customFormat="false" ht="15" hidden="false" customHeight="false" outlineLevel="0" collapsed="false">
      <c r="A708" s="28" t="s">
        <v>178</v>
      </c>
      <c r="B708" s="28" t="s">
        <v>179</v>
      </c>
      <c r="C708" s="28" t="s">
        <v>174</v>
      </c>
      <c r="D708" s="23" t="n">
        <v>3</v>
      </c>
      <c r="E708" s="23" t="n">
        <v>0</v>
      </c>
      <c r="F708" s="28" t="s">
        <v>908</v>
      </c>
      <c r="G708" s="19" t="n">
        <v>0.0314</v>
      </c>
    </row>
    <row r="709" customFormat="false" ht="15" hidden="false" customHeight="false" outlineLevel="0" collapsed="false">
      <c r="A709" s="28" t="s">
        <v>178</v>
      </c>
      <c r="B709" s="28" t="s">
        <v>179</v>
      </c>
      <c r="C709" s="28" t="s">
        <v>174</v>
      </c>
      <c r="D709" s="23" t="n">
        <v>3</v>
      </c>
      <c r="E709" s="23" t="n">
        <v>0</v>
      </c>
      <c r="F709" s="28" t="s">
        <v>909</v>
      </c>
      <c r="G709" s="19" t="n">
        <v>0.0315</v>
      </c>
    </row>
    <row r="710" customFormat="false" ht="15" hidden="false" customHeight="false" outlineLevel="0" collapsed="false">
      <c r="A710" s="28" t="s">
        <v>178</v>
      </c>
      <c r="B710" s="28" t="s">
        <v>179</v>
      </c>
      <c r="C710" s="28" t="s">
        <v>174</v>
      </c>
      <c r="D710" s="23" t="n">
        <v>3</v>
      </c>
      <c r="E710" s="23" t="n">
        <v>0</v>
      </c>
      <c r="F710" s="28" t="s">
        <v>910</v>
      </c>
      <c r="G710" s="19" t="n">
        <v>0.0319</v>
      </c>
    </row>
    <row r="711" customFormat="false" ht="15" hidden="false" customHeight="false" outlineLevel="0" collapsed="false">
      <c r="A711" s="28" t="s">
        <v>178</v>
      </c>
      <c r="B711" s="28" t="s">
        <v>179</v>
      </c>
      <c r="C711" s="28" t="s">
        <v>174</v>
      </c>
      <c r="D711" s="23" t="n">
        <v>3</v>
      </c>
      <c r="E711" s="23" t="n">
        <v>0</v>
      </c>
      <c r="F711" s="28" t="s">
        <v>911</v>
      </c>
      <c r="G711" s="19" t="n">
        <v>0.033</v>
      </c>
    </row>
    <row r="712" customFormat="false" ht="15" hidden="false" customHeight="false" outlineLevel="0" collapsed="false">
      <c r="A712" s="28" t="s">
        <v>178</v>
      </c>
      <c r="B712" s="28" t="s">
        <v>179</v>
      </c>
      <c r="C712" s="28" t="s">
        <v>174</v>
      </c>
      <c r="D712" s="23" t="n">
        <v>3</v>
      </c>
      <c r="E712" s="23" t="n">
        <v>0</v>
      </c>
      <c r="F712" s="28" t="s">
        <v>912</v>
      </c>
      <c r="G712" s="19" t="n">
        <v>0.0344</v>
      </c>
    </row>
    <row r="713" customFormat="false" ht="15" hidden="false" customHeight="false" outlineLevel="0" collapsed="false">
      <c r="A713" s="28" t="s">
        <v>178</v>
      </c>
      <c r="B713" s="28" t="s">
        <v>179</v>
      </c>
      <c r="C713" s="28" t="s">
        <v>174</v>
      </c>
      <c r="D713" s="23" t="n">
        <v>3</v>
      </c>
      <c r="E713" s="23" t="n">
        <v>0</v>
      </c>
      <c r="F713" s="28" t="s">
        <v>913</v>
      </c>
      <c r="G713" s="19" t="n">
        <v>0.0393</v>
      </c>
    </row>
    <row r="714" customFormat="false" ht="15" hidden="false" customHeight="false" outlineLevel="0" collapsed="false">
      <c r="A714" s="28" t="s">
        <v>178</v>
      </c>
      <c r="B714" s="28" t="s">
        <v>179</v>
      </c>
      <c r="C714" s="28" t="s">
        <v>174</v>
      </c>
      <c r="D714" s="23" t="n">
        <v>3</v>
      </c>
      <c r="E714" s="23" t="n">
        <v>0</v>
      </c>
      <c r="F714" s="28" t="s">
        <v>914</v>
      </c>
      <c r="G714" s="19" t="n">
        <v>0.0391</v>
      </c>
    </row>
    <row r="715" customFormat="false" ht="15" hidden="false" customHeight="false" outlineLevel="0" collapsed="false">
      <c r="A715" s="28" t="s">
        <v>178</v>
      </c>
      <c r="B715" s="28" t="s">
        <v>179</v>
      </c>
      <c r="C715" s="28" t="s">
        <v>174</v>
      </c>
      <c r="D715" s="23" t="n">
        <v>3</v>
      </c>
      <c r="E715" s="23" t="n">
        <v>0</v>
      </c>
      <c r="F715" s="28" t="s">
        <v>915</v>
      </c>
      <c r="G715" s="19" t="n">
        <v>0.0549</v>
      </c>
    </row>
    <row r="716" customFormat="false" ht="15" hidden="false" customHeight="false" outlineLevel="0" collapsed="false">
      <c r="A716" s="28" t="s">
        <v>178</v>
      </c>
      <c r="B716" s="28" t="s">
        <v>179</v>
      </c>
      <c r="C716" s="28" t="s">
        <v>174</v>
      </c>
      <c r="D716" s="23" t="n">
        <v>3</v>
      </c>
      <c r="E716" s="23" t="n">
        <v>1</v>
      </c>
      <c r="F716" s="28" t="s">
        <v>904</v>
      </c>
      <c r="G716" s="19" t="n">
        <v>0.0263</v>
      </c>
    </row>
    <row r="717" customFormat="false" ht="15" hidden="false" customHeight="false" outlineLevel="0" collapsed="false">
      <c r="A717" s="28" t="s">
        <v>178</v>
      </c>
      <c r="B717" s="28" t="s">
        <v>179</v>
      </c>
      <c r="C717" s="28" t="s">
        <v>174</v>
      </c>
      <c r="D717" s="23" t="n">
        <v>3</v>
      </c>
      <c r="E717" s="23" t="n">
        <v>1</v>
      </c>
      <c r="F717" s="28" t="s">
        <v>551</v>
      </c>
      <c r="G717" s="19" t="n">
        <v>0.0575</v>
      </c>
    </row>
    <row r="718" customFormat="false" ht="15" hidden="false" customHeight="false" outlineLevel="0" collapsed="false">
      <c r="A718" s="28" t="s">
        <v>178</v>
      </c>
      <c r="B718" s="28" t="s">
        <v>179</v>
      </c>
      <c r="C718" s="28" t="s">
        <v>174</v>
      </c>
      <c r="D718" s="23" t="n">
        <v>3</v>
      </c>
      <c r="E718" s="23" t="n">
        <v>1</v>
      </c>
      <c r="F718" s="28" t="s">
        <v>451</v>
      </c>
      <c r="G718" s="19" t="n">
        <v>0.0261</v>
      </c>
    </row>
    <row r="719" customFormat="false" ht="15" hidden="false" customHeight="false" outlineLevel="0" collapsed="false">
      <c r="A719" s="28" t="s">
        <v>178</v>
      </c>
      <c r="B719" s="28" t="s">
        <v>179</v>
      </c>
      <c r="C719" s="28" t="s">
        <v>174</v>
      </c>
      <c r="D719" s="23" t="n">
        <v>3</v>
      </c>
      <c r="E719" s="23" t="n">
        <v>1</v>
      </c>
      <c r="F719" s="28" t="s">
        <v>905</v>
      </c>
      <c r="G719" s="19" t="n">
        <v>0.0287</v>
      </c>
    </row>
    <row r="720" customFormat="false" ht="15" hidden="false" customHeight="false" outlineLevel="0" collapsed="false">
      <c r="A720" s="28" t="s">
        <v>178</v>
      </c>
      <c r="B720" s="28" t="s">
        <v>179</v>
      </c>
      <c r="C720" s="28" t="s">
        <v>174</v>
      </c>
      <c r="D720" s="23" t="n">
        <v>3</v>
      </c>
      <c r="E720" s="23" t="n">
        <v>1</v>
      </c>
      <c r="F720" s="28" t="s">
        <v>906</v>
      </c>
      <c r="G720" s="19" t="n">
        <v>0.0301</v>
      </c>
    </row>
    <row r="721" customFormat="false" ht="15" hidden="false" customHeight="false" outlineLevel="0" collapsed="false">
      <c r="A721" s="28" t="s">
        <v>178</v>
      </c>
      <c r="B721" s="28" t="s">
        <v>179</v>
      </c>
      <c r="C721" s="28" t="s">
        <v>174</v>
      </c>
      <c r="D721" s="23" t="n">
        <v>3</v>
      </c>
      <c r="E721" s="23" t="n">
        <v>1</v>
      </c>
      <c r="F721" s="28" t="s">
        <v>907</v>
      </c>
      <c r="G721" s="19" t="n">
        <v>0.0298</v>
      </c>
    </row>
    <row r="722" customFormat="false" ht="15" hidden="false" customHeight="false" outlineLevel="0" collapsed="false">
      <c r="A722" s="28" t="s">
        <v>178</v>
      </c>
      <c r="B722" s="28" t="s">
        <v>179</v>
      </c>
      <c r="C722" s="28" t="s">
        <v>174</v>
      </c>
      <c r="D722" s="23" t="n">
        <v>3</v>
      </c>
      <c r="E722" s="23" t="n">
        <v>1</v>
      </c>
      <c r="F722" s="28" t="s">
        <v>908</v>
      </c>
      <c r="G722" s="19" t="n">
        <v>0.0314</v>
      </c>
    </row>
    <row r="723" customFormat="false" ht="15" hidden="false" customHeight="false" outlineLevel="0" collapsed="false">
      <c r="A723" s="28" t="s">
        <v>178</v>
      </c>
      <c r="B723" s="28" t="s">
        <v>179</v>
      </c>
      <c r="C723" s="28" t="s">
        <v>174</v>
      </c>
      <c r="D723" s="23" t="n">
        <v>3</v>
      </c>
      <c r="E723" s="23" t="n">
        <v>1</v>
      </c>
      <c r="F723" s="28" t="s">
        <v>909</v>
      </c>
      <c r="G723" s="19" t="n">
        <v>0.0315</v>
      </c>
    </row>
    <row r="724" customFormat="false" ht="15" hidden="false" customHeight="false" outlineLevel="0" collapsed="false">
      <c r="A724" s="28" t="s">
        <v>178</v>
      </c>
      <c r="B724" s="28" t="s">
        <v>179</v>
      </c>
      <c r="C724" s="28" t="s">
        <v>174</v>
      </c>
      <c r="D724" s="23" t="n">
        <v>3</v>
      </c>
      <c r="E724" s="23" t="n">
        <v>1</v>
      </c>
      <c r="F724" s="28" t="s">
        <v>910</v>
      </c>
      <c r="G724" s="19" t="n">
        <v>0.0319</v>
      </c>
    </row>
    <row r="725" customFormat="false" ht="15" hidden="false" customHeight="false" outlineLevel="0" collapsed="false">
      <c r="A725" s="28" t="s">
        <v>178</v>
      </c>
      <c r="B725" s="28" t="s">
        <v>179</v>
      </c>
      <c r="C725" s="28" t="s">
        <v>174</v>
      </c>
      <c r="D725" s="23" t="n">
        <v>3</v>
      </c>
      <c r="E725" s="23" t="n">
        <v>1</v>
      </c>
      <c r="F725" s="28" t="s">
        <v>911</v>
      </c>
      <c r="G725" s="19" t="n">
        <v>0.033</v>
      </c>
    </row>
    <row r="726" customFormat="false" ht="15" hidden="false" customHeight="false" outlineLevel="0" collapsed="false">
      <c r="A726" s="28" t="s">
        <v>178</v>
      </c>
      <c r="B726" s="28" t="s">
        <v>179</v>
      </c>
      <c r="C726" s="28" t="s">
        <v>174</v>
      </c>
      <c r="D726" s="23" t="n">
        <v>3</v>
      </c>
      <c r="E726" s="23" t="n">
        <v>1</v>
      </c>
      <c r="F726" s="28" t="s">
        <v>912</v>
      </c>
      <c r="G726" s="19" t="n">
        <v>0.0344</v>
      </c>
    </row>
    <row r="727" customFormat="false" ht="15" hidden="false" customHeight="false" outlineLevel="0" collapsed="false">
      <c r="A727" s="28" t="s">
        <v>178</v>
      </c>
      <c r="B727" s="28" t="s">
        <v>179</v>
      </c>
      <c r="C727" s="28" t="s">
        <v>174</v>
      </c>
      <c r="D727" s="23" t="n">
        <v>3</v>
      </c>
      <c r="E727" s="23" t="n">
        <v>1</v>
      </c>
      <c r="F727" s="28" t="s">
        <v>913</v>
      </c>
      <c r="G727" s="19" t="n">
        <v>0.0393</v>
      </c>
    </row>
    <row r="728" customFormat="false" ht="15" hidden="false" customHeight="false" outlineLevel="0" collapsed="false">
      <c r="A728" s="28" t="s">
        <v>178</v>
      </c>
      <c r="B728" s="28" t="s">
        <v>179</v>
      </c>
      <c r="C728" s="28" t="s">
        <v>174</v>
      </c>
      <c r="D728" s="23" t="n">
        <v>3</v>
      </c>
      <c r="E728" s="23" t="n">
        <v>1</v>
      </c>
      <c r="F728" s="28" t="s">
        <v>914</v>
      </c>
      <c r="G728" s="19" t="n">
        <v>0.0391</v>
      </c>
    </row>
    <row r="729" customFormat="false" ht="15" hidden="false" customHeight="false" outlineLevel="0" collapsed="false">
      <c r="A729" s="28" t="s">
        <v>178</v>
      </c>
      <c r="B729" s="28" t="s">
        <v>179</v>
      </c>
      <c r="C729" s="28" t="s">
        <v>174</v>
      </c>
      <c r="D729" s="23" t="n">
        <v>3</v>
      </c>
      <c r="E729" s="23" t="n">
        <v>1</v>
      </c>
      <c r="F729" s="28" t="s">
        <v>915</v>
      </c>
      <c r="G729" s="19" t="n">
        <v>0.0549</v>
      </c>
    </row>
    <row r="730" customFormat="false" ht="15" hidden="false" customHeight="false" outlineLevel="0" collapsed="false">
      <c r="A730" s="28" t="s">
        <v>178</v>
      </c>
      <c r="B730" s="28" t="s">
        <v>179</v>
      </c>
      <c r="C730" s="28" t="s">
        <v>174</v>
      </c>
      <c r="D730" s="23" t="n">
        <v>3</v>
      </c>
      <c r="E730" s="23" t="n">
        <v>2</v>
      </c>
      <c r="F730" s="28" t="s">
        <v>904</v>
      </c>
      <c r="G730" s="19" t="n">
        <v>0.0263</v>
      </c>
    </row>
    <row r="731" customFormat="false" ht="15" hidden="false" customHeight="false" outlineLevel="0" collapsed="false">
      <c r="A731" s="28" t="s">
        <v>178</v>
      </c>
      <c r="B731" s="28" t="s">
        <v>179</v>
      </c>
      <c r="C731" s="28" t="s">
        <v>174</v>
      </c>
      <c r="D731" s="23" t="n">
        <v>3</v>
      </c>
      <c r="E731" s="23" t="n">
        <v>2</v>
      </c>
      <c r="F731" s="28" t="s">
        <v>551</v>
      </c>
      <c r="G731" s="19" t="n">
        <v>0.0575</v>
      </c>
    </row>
    <row r="732" customFormat="false" ht="15" hidden="false" customHeight="false" outlineLevel="0" collapsed="false">
      <c r="A732" s="28" t="s">
        <v>178</v>
      </c>
      <c r="B732" s="28" t="s">
        <v>179</v>
      </c>
      <c r="C732" s="28" t="s">
        <v>174</v>
      </c>
      <c r="D732" s="23" t="n">
        <v>3</v>
      </c>
      <c r="E732" s="23" t="n">
        <v>2</v>
      </c>
      <c r="F732" s="28" t="s">
        <v>451</v>
      </c>
      <c r="G732" s="19" t="n">
        <v>0.0261</v>
      </c>
    </row>
    <row r="733" customFormat="false" ht="15" hidden="false" customHeight="false" outlineLevel="0" collapsed="false">
      <c r="A733" s="28" t="s">
        <v>178</v>
      </c>
      <c r="B733" s="28" t="s">
        <v>179</v>
      </c>
      <c r="C733" s="28" t="s">
        <v>174</v>
      </c>
      <c r="D733" s="23" t="n">
        <v>3</v>
      </c>
      <c r="E733" s="23" t="n">
        <v>2</v>
      </c>
      <c r="F733" s="28" t="s">
        <v>905</v>
      </c>
      <c r="G733" s="19" t="n">
        <v>0.0287</v>
      </c>
    </row>
    <row r="734" customFormat="false" ht="15" hidden="false" customHeight="false" outlineLevel="0" collapsed="false">
      <c r="A734" s="28" t="s">
        <v>178</v>
      </c>
      <c r="B734" s="28" t="s">
        <v>179</v>
      </c>
      <c r="C734" s="28" t="s">
        <v>174</v>
      </c>
      <c r="D734" s="23" t="n">
        <v>3</v>
      </c>
      <c r="E734" s="23" t="n">
        <v>2</v>
      </c>
      <c r="F734" s="28" t="s">
        <v>906</v>
      </c>
      <c r="G734" s="19" t="n">
        <v>0.0301</v>
      </c>
    </row>
    <row r="735" customFormat="false" ht="15" hidden="false" customHeight="false" outlineLevel="0" collapsed="false">
      <c r="A735" s="28" t="s">
        <v>178</v>
      </c>
      <c r="B735" s="28" t="s">
        <v>179</v>
      </c>
      <c r="C735" s="28" t="s">
        <v>174</v>
      </c>
      <c r="D735" s="23" t="n">
        <v>3</v>
      </c>
      <c r="E735" s="23" t="n">
        <v>2</v>
      </c>
      <c r="F735" s="28" t="s">
        <v>907</v>
      </c>
      <c r="G735" s="19" t="n">
        <v>0.0298</v>
      </c>
    </row>
    <row r="736" customFormat="false" ht="15" hidden="false" customHeight="false" outlineLevel="0" collapsed="false">
      <c r="A736" s="28" t="s">
        <v>178</v>
      </c>
      <c r="B736" s="28" t="s">
        <v>179</v>
      </c>
      <c r="C736" s="28" t="s">
        <v>174</v>
      </c>
      <c r="D736" s="23" t="n">
        <v>3</v>
      </c>
      <c r="E736" s="23" t="n">
        <v>2</v>
      </c>
      <c r="F736" s="28" t="s">
        <v>908</v>
      </c>
      <c r="G736" s="19" t="n">
        <v>0.0314</v>
      </c>
    </row>
    <row r="737" customFormat="false" ht="15" hidden="false" customHeight="false" outlineLevel="0" collapsed="false">
      <c r="A737" s="28" t="s">
        <v>178</v>
      </c>
      <c r="B737" s="28" t="s">
        <v>179</v>
      </c>
      <c r="C737" s="28" t="s">
        <v>174</v>
      </c>
      <c r="D737" s="23" t="n">
        <v>3</v>
      </c>
      <c r="E737" s="23" t="n">
        <v>2</v>
      </c>
      <c r="F737" s="28" t="s">
        <v>909</v>
      </c>
      <c r="G737" s="19" t="n">
        <v>0.0315</v>
      </c>
    </row>
    <row r="738" customFormat="false" ht="15" hidden="false" customHeight="false" outlineLevel="0" collapsed="false">
      <c r="A738" s="28" t="s">
        <v>178</v>
      </c>
      <c r="B738" s="28" t="s">
        <v>179</v>
      </c>
      <c r="C738" s="28" t="s">
        <v>174</v>
      </c>
      <c r="D738" s="23" t="n">
        <v>3</v>
      </c>
      <c r="E738" s="23" t="n">
        <v>2</v>
      </c>
      <c r="F738" s="28" t="s">
        <v>910</v>
      </c>
      <c r="G738" s="19" t="n">
        <v>0.0319</v>
      </c>
    </row>
    <row r="739" customFormat="false" ht="15" hidden="false" customHeight="false" outlineLevel="0" collapsed="false">
      <c r="A739" s="28" t="s">
        <v>178</v>
      </c>
      <c r="B739" s="28" t="s">
        <v>179</v>
      </c>
      <c r="C739" s="28" t="s">
        <v>174</v>
      </c>
      <c r="D739" s="23" t="n">
        <v>3</v>
      </c>
      <c r="E739" s="23" t="n">
        <v>2</v>
      </c>
      <c r="F739" s="28" t="s">
        <v>911</v>
      </c>
      <c r="G739" s="19" t="n">
        <v>0.033</v>
      </c>
    </row>
    <row r="740" customFormat="false" ht="15" hidden="false" customHeight="false" outlineLevel="0" collapsed="false">
      <c r="A740" s="28" t="s">
        <v>178</v>
      </c>
      <c r="B740" s="28" t="s">
        <v>179</v>
      </c>
      <c r="C740" s="28" t="s">
        <v>174</v>
      </c>
      <c r="D740" s="23" t="n">
        <v>3</v>
      </c>
      <c r="E740" s="23" t="n">
        <v>2</v>
      </c>
      <c r="F740" s="28" t="s">
        <v>912</v>
      </c>
      <c r="G740" s="19" t="n">
        <v>0.0344</v>
      </c>
    </row>
    <row r="741" customFormat="false" ht="15" hidden="false" customHeight="false" outlineLevel="0" collapsed="false">
      <c r="A741" s="28" t="s">
        <v>178</v>
      </c>
      <c r="B741" s="28" t="s">
        <v>179</v>
      </c>
      <c r="C741" s="28" t="s">
        <v>174</v>
      </c>
      <c r="D741" s="23" t="n">
        <v>3</v>
      </c>
      <c r="E741" s="23" t="n">
        <v>2</v>
      </c>
      <c r="F741" s="28" t="s">
        <v>913</v>
      </c>
      <c r="G741" s="19" t="n">
        <v>0.0393</v>
      </c>
    </row>
    <row r="742" customFormat="false" ht="15" hidden="false" customHeight="false" outlineLevel="0" collapsed="false">
      <c r="A742" s="28" t="s">
        <v>178</v>
      </c>
      <c r="B742" s="28" t="s">
        <v>179</v>
      </c>
      <c r="C742" s="28" t="s">
        <v>174</v>
      </c>
      <c r="D742" s="23" t="n">
        <v>3</v>
      </c>
      <c r="E742" s="23" t="n">
        <v>2</v>
      </c>
      <c r="F742" s="28" t="s">
        <v>914</v>
      </c>
      <c r="G742" s="19" t="n">
        <v>0.0391</v>
      </c>
    </row>
    <row r="743" customFormat="false" ht="15" hidden="false" customHeight="false" outlineLevel="0" collapsed="false">
      <c r="A743" s="28" t="s">
        <v>178</v>
      </c>
      <c r="B743" s="28" t="s">
        <v>179</v>
      </c>
      <c r="C743" s="28" t="s">
        <v>174</v>
      </c>
      <c r="D743" s="23" t="n">
        <v>3</v>
      </c>
      <c r="E743" s="23" t="n">
        <v>2</v>
      </c>
      <c r="F743" s="28" t="s">
        <v>915</v>
      </c>
      <c r="G743" s="19" t="n">
        <v>0.0549</v>
      </c>
    </row>
    <row r="744" customFormat="false" ht="15" hidden="false" customHeight="false" outlineLevel="0" collapsed="false">
      <c r="A744" s="28" t="s">
        <v>178</v>
      </c>
      <c r="B744" s="28" t="s">
        <v>179</v>
      </c>
      <c r="C744" s="28" t="s">
        <v>174</v>
      </c>
      <c r="D744" s="23" t="n">
        <v>3</v>
      </c>
      <c r="E744" s="23" t="n">
        <v>3</v>
      </c>
      <c r="F744" s="28" t="s">
        <v>904</v>
      </c>
      <c r="G744" s="19" t="n">
        <v>0.0263</v>
      </c>
    </row>
    <row r="745" customFormat="false" ht="15" hidden="false" customHeight="false" outlineLevel="0" collapsed="false">
      <c r="A745" s="28" t="s">
        <v>178</v>
      </c>
      <c r="B745" s="28" t="s">
        <v>179</v>
      </c>
      <c r="C745" s="28" t="s">
        <v>174</v>
      </c>
      <c r="D745" s="23" t="n">
        <v>3</v>
      </c>
      <c r="E745" s="23" t="n">
        <v>3</v>
      </c>
      <c r="F745" s="28" t="s">
        <v>551</v>
      </c>
      <c r="G745" s="19" t="n">
        <v>0.0575</v>
      </c>
    </row>
    <row r="746" customFormat="false" ht="15" hidden="false" customHeight="false" outlineLevel="0" collapsed="false">
      <c r="A746" s="28" t="s">
        <v>178</v>
      </c>
      <c r="B746" s="28" t="s">
        <v>179</v>
      </c>
      <c r="C746" s="28" t="s">
        <v>174</v>
      </c>
      <c r="D746" s="23" t="n">
        <v>3</v>
      </c>
      <c r="E746" s="23" t="n">
        <v>3</v>
      </c>
      <c r="F746" s="28" t="s">
        <v>451</v>
      </c>
      <c r="G746" s="19" t="n">
        <v>0.0261</v>
      </c>
    </row>
    <row r="747" customFormat="false" ht="15" hidden="false" customHeight="false" outlineLevel="0" collapsed="false">
      <c r="A747" s="28" t="s">
        <v>178</v>
      </c>
      <c r="B747" s="28" t="s">
        <v>179</v>
      </c>
      <c r="C747" s="28" t="s">
        <v>174</v>
      </c>
      <c r="D747" s="23" t="n">
        <v>3</v>
      </c>
      <c r="E747" s="23" t="n">
        <v>3</v>
      </c>
      <c r="F747" s="28" t="s">
        <v>905</v>
      </c>
      <c r="G747" s="19" t="n">
        <v>0.0287</v>
      </c>
    </row>
    <row r="748" customFormat="false" ht="15" hidden="false" customHeight="false" outlineLevel="0" collapsed="false">
      <c r="A748" s="28" t="s">
        <v>178</v>
      </c>
      <c r="B748" s="28" t="s">
        <v>179</v>
      </c>
      <c r="C748" s="28" t="s">
        <v>174</v>
      </c>
      <c r="D748" s="23" t="n">
        <v>3</v>
      </c>
      <c r="E748" s="23" t="n">
        <v>3</v>
      </c>
      <c r="F748" s="28" t="s">
        <v>906</v>
      </c>
      <c r="G748" s="19" t="n">
        <v>0.0301</v>
      </c>
    </row>
    <row r="749" customFormat="false" ht="15" hidden="false" customHeight="false" outlineLevel="0" collapsed="false">
      <c r="A749" s="28" t="s">
        <v>178</v>
      </c>
      <c r="B749" s="28" t="s">
        <v>179</v>
      </c>
      <c r="C749" s="28" t="s">
        <v>174</v>
      </c>
      <c r="D749" s="23" t="n">
        <v>3</v>
      </c>
      <c r="E749" s="23" t="n">
        <v>3</v>
      </c>
      <c r="F749" s="28" t="s">
        <v>907</v>
      </c>
      <c r="G749" s="19" t="n">
        <v>0.0298</v>
      </c>
    </row>
    <row r="750" customFormat="false" ht="15" hidden="false" customHeight="false" outlineLevel="0" collapsed="false">
      <c r="A750" s="28" t="s">
        <v>178</v>
      </c>
      <c r="B750" s="28" t="s">
        <v>179</v>
      </c>
      <c r="C750" s="28" t="s">
        <v>174</v>
      </c>
      <c r="D750" s="23" t="n">
        <v>3</v>
      </c>
      <c r="E750" s="23" t="n">
        <v>3</v>
      </c>
      <c r="F750" s="28" t="s">
        <v>908</v>
      </c>
      <c r="G750" s="19" t="n">
        <v>0.0314</v>
      </c>
    </row>
    <row r="751" customFormat="false" ht="15" hidden="false" customHeight="false" outlineLevel="0" collapsed="false">
      <c r="A751" s="28" t="s">
        <v>178</v>
      </c>
      <c r="B751" s="28" t="s">
        <v>179</v>
      </c>
      <c r="C751" s="28" t="s">
        <v>174</v>
      </c>
      <c r="D751" s="23" t="n">
        <v>3</v>
      </c>
      <c r="E751" s="23" t="n">
        <v>3</v>
      </c>
      <c r="F751" s="28" t="s">
        <v>909</v>
      </c>
      <c r="G751" s="19" t="n">
        <v>0.0315</v>
      </c>
    </row>
    <row r="752" customFormat="false" ht="15" hidden="false" customHeight="false" outlineLevel="0" collapsed="false">
      <c r="A752" s="28" t="s">
        <v>178</v>
      </c>
      <c r="B752" s="28" t="s">
        <v>179</v>
      </c>
      <c r="C752" s="28" t="s">
        <v>174</v>
      </c>
      <c r="D752" s="23" t="n">
        <v>3</v>
      </c>
      <c r="E752" s="23" t="n">
        <v>3</v>
      </c>
      <c r="F752" s="28" t="s">
        <v>910</v>
      </c>
      <c r="G752" s="19" t="n">
        <v>0.0319</v>
      </c>
    </row>
    <row r="753" customFormat="false" ht="15" hidden="false" customHeight="false" outlineLevel="0" collapsed="false">
      <c r="A753" s="28" t="s">
        <v>178</v>
      </c>
      <c r="B753" s="28" t="s">
        <v>179</v>
      </c>
      <c r="C753" s="28" t="s">
        <v>174</v>
      </c>
      <c r="D753" s="23" t="n">
        <v>3</v>
      </c>
      <c r="E753" s="23" t="n">
        <v>3</v>
      </c>
      <c r="F753" s="28" t="s">
        <v>911</v>
      </c>
      <c r="G753" s="19" t="n">
        <v>0.033</v>
      </c>
    </row>
    <row r="754" customFormat="false" ht="15" hidden="false" customHeight="false" outlineLevel="0" collapsed="false">
      <c r="A754" s="28" t="s">
        <v>178</v>
      </c>
      <c r="B754" s="28" t="s">
        <v>179</v>
      </c>
      <c r="C754" s="28" t="s">
        <v>174</v>
      </c>
      <c r="D754" s="23" t="n">
        <v>3</v>
      </c>
      <c r="E754" s="23" t="n">
        <v>3</v>
      </c>
      <c r="F754" s="28" t="s">
        <v>912</v>
      </c>
      <c r="G754" s="19" t="n">
        <v>0.0344</v>
      </c>
    </row>
    <row r="755" customFormat="false" ht="15" hidden="false" customHeight="false" outlineLevel="0" collapsed="false">
      <c r="A755" s="28" t="s">
        <v>178</v>
      </c>
      <c r="B755" s="28" t="s">
        <v>179</v>
      </c>
      <c r="C755" s="28" t="s">
        <v>174</v>
      </c>
      <c r="D755" s="23" t="n">
        <v>3</v>
      </c>
      <c r="E755" s="23" t="n">
        <v>3</v>
      </c>
      <c r="F755" s="28" t="s">
        <v>913</v>
      </c>
      <c r="G755" s="19" t="n">
        <v>0.0393</v>
      </c>
    </row>
    <row r="756" customFormat="false" ht="15" hidden="false" customHeight="false" outlineLevel="0" collapsed="false">
      <c r="A756" s="28" t="s">
        <v>178</v>
      </c>
      <c r="B756" s="28" t="s">
        <v>179</v>
      </c>
      <c r="C756" s="28" t="s">
        <v>174</v>
      </c>
      <c r="D756" s="23" t="n">
        <v>3</v>
      </c>
      <c r="E756" s="23" t="n">
        <v>3</v>
      </c>
      <c r="F756" s="28" t="s">
        <v>914</v>
      </c>
      <c r="G756" s="19" t="n">
        <v>0.0391</v>
      </c>
    </row>
    <row r="757" customFormat="false" ht="15" hidden="false" customHeight="false" outlineLevel="0" collapsed="false">
      <c r="A757" s="28" t="s">
        <v>178</v>
      </c>
      <c r="B757" s="28" t="s">
        <v>179</v>
      </c>
      <c r="C757" s="28" t="s">
        <v>174</v>
      </c>
      <c r="D757" s="23" t="n">
        <v>3</v>
      </c>
      <c r="E757" s="23" t="n">
        <v>3</v>
      </c>
      <c r="F757" s="28" t="s">
        <v>915</v>
      </c>
      <c r="G757" s="19" t="n">
        <v>0.0549</v>
      </c>
    </row>
    <row r="758" customFormat="false" ht="15" hidden="false" customHeight="false" outlineLevel="0" collapsed="false">
      <c r="A758" s="28" t="s">
        <v>178</v>
      </c>
      <c r="B758" s="28" t="s">
        <v>179</v>
      </c>
      <c r="C758" s="28" t="s">
        <v>174</v>
      </c>
      <c r="D758" s="23" t="n">
        <v>3</v>
      </c>
      <c r="E758" s="23" t="n">
        <v>4</v>
      </c>
      <c r="F758" s="28" t="s">
        <v>904</v>
      </c>
      <c r="G758" s="19" t="n">
        <v>0.0263</v>
      </c>
    </row>
    <row r="759" customFormat="false" ht="15" hidden="false" customHeight="false" outlineLevel="0" collapsed="false">
      <c r="A759" s="28" t="s">
        <v>178</v>
      </c>
      <c r="B759" s="28" t="s">
        <v>179</v>
      </c>
      <c r="C759" s="28" t="s">
        <v>174</v>
      </c>
      <c r="D759" s="23" t="n">
        <v>3</v>
      </c>
      <c r="E759" s="23" t="n">
        <v>4</v>
      </c>
      <c r="F759" s="28" t="s">
        <v>551</v>
      </c>
      <c r="G759" s="19" t="n">
        <v>0.0575</v>
      </c>
    </row>
    <row r="760" customFormat="false" ht="15" hidden="false" customHeight="false" outlineLevel="0" collapsed="false">
      <c r="A760" s="28" t="s">
        <v>178</v>
      </c>
      <c r="B760" s="28" t="s">
        <v>179</v>
      </c>
      <c r="C760" s="28" t="s">
        <v>174</v>
      </c>
      <c r="D760" s="23" t="n">
        <v>3</v>
      </c>
      <c r="E760" s="23" t="n">
        <v>4</v>
      </c>
      <c r="F760" s="28" t="s">
        <v>451</v>
      </c>
      <c r="G760" s="19" t="n">
        <v>0.0261</v>
      </c>
    </row>
    <row r="761" customFormat="false" ht="15" hidden="false" customHeight="false" outlineLevel="0" collapsed="false">
      <c r="A761" s="28" t="s">
        <v>178</v>
      </c>
      <c r="B761" s="28" t="s">
        <v>179</v>
      </c>
      <c r="C761" s="28" t="s">
        <v>174</v>
      </c>
      <c r="D761" s="23" t="n">
        <v>3</v>
      </c>
      <c r="E761" s="23" t="n">
        <v>4</v>
      </c>
      <c r="F761" s="28" t="s">
        <v>905</v>
      </c>
      <c r="G761" s="19" t="n">
        <v>0.0287</v>
      </c>
    </row>
    <row r="762" customFormat="false" ht="15" hidden="false" customHeight="false" outlineLevel="0" collapsed="false">
      <c r="A762" s="28" t="s">
        <v>178</v>
      </c>
      <c r="B762" s="28" t="s">
        <v>179</v>
      </c>
      <c r="C762" s="28" t="s">
        <v>174</v>
      </c>
      <c r="D762" s="23" t="n">
        <v>3</v>
      </c>
      <c r="E762" s="23" t="n">
        <v>4</v>
      </c>
      <c r="F762" s="28" t="s">
        <v>906</v>
      </c>
      <c r="G762" s="19" t="n">
        <v>0.0301</v>
      </c>
    </row>
    <row r="763" customFormat="false" ht="15" hidden="false" customHeight="false" outlineLevel="0" collapsed="false">
      <c r="A763" s="28" t="s">
        <v>178</v>
      </c>
      <c r="B763" s="28" t="s">
        <v>179</v>
      </c>
      <c r="C763" s="28" t="s">
        <v>174</v>
      </c>
      <c r="D763" s="23" t="n">
        <v>3</v>
      </c>
      <c r="E763" s="23" t="n">
        <v>4</v>
      </c>
      <c r="F763" s="28" t="s">
        <v>907</v>
      </c>
      <c r="G763" s="19" t="n">
        <v>0.0298</v>
      </c>
    </row>
    <row r="764" customFormat="false" ht="15" hidden="false" customHeight="false" outlineLevel="0" collapsed="false">
      <c r="A764" s="28" t="s">
        <v>178</v>
      </c>
      <c r="B764" s="28" t="s">
        <v>179</v>
      </c>
      <c r="C764" s="28" t="s">
        <v>174</v>
      </c>
      <c r="D764" s="23" t="n">
        <v>3</v>
      </c>
      <c r="E764" s="23" t="n">
        <v>4</v>
      </c>
      <c r="F764" s="28" t="s">
        <v>908</v>
      </c>
      <c r="G764" s="19" t="n">
        <v>0.0314</v>
      </c>
    </row>
    <row r="765" customFormat="false" ht="15" hidden="false" customHeight="false" outlineLevel="0" collapsed="false">
      <c r="A765" s="28" t="s">
        <v>178</v>
      </c>
      <c r="B765" s="28" t="s">
        <v>179</v>
      </c>
      <c r="C765" s="28" t="s">
        <v>174</v>
      </c>
      <c r="D765" s="23" t="n">
        <v>3</v>
      </c>
      <c r="E765" s="23" t="n">
        <v>4</v>
      </c>
      <c r="F765" s="28" t="s">
        <v>909</v>
      </c>
      <c r="G765" s="19" t="n">
        <v>0.0315</v>
      </c>
    </row>
    <row r="766" customFormat="false" ht="15" hidden="false" customHeight="false" outlineLevel="0" collapsed="false">
      <c r="A766" s="28" t="s">
        <v>178</v>
      </c>
      <c r="B766" s="28" t="s">
        <v>179</v>
      </c>
      <c r="C766" s="28" t="s">
        <v>174</v>
      </c>
      <c r="D766" s="23" t="n">
        <v>3</v>
      </c>
      <c r="E766" s="23" t="n">
        <v>4</v>
      </c>
      <c r="F766" s="28" t="s">
        <v>910</v>
      </c>
      <c r="G766" s="19" t="n">
        <v>0.0319</v>
      </c>
    </row>
    <row r="767" customFormat="false" ht="15" hidden="false" customHeight="false" outlineLevel="0" collapsed="false">
      <c r="A767" s="28" t="s">
        <v>178</v>
      </c>
      <c r="B767" s="28" t="s">
        <v>179</v>
      </c>
      <c r="C767" s="28" t="s">
        <v>174</v>
      </c>
      <c r="D767" s="23" t="n">
        <v>3</v>
      </c>
      <c r="E767" s="23" t="n">
        <v>4</v>
      </c>
      <c r="F767" s="28" t="s">
        <v>911</v>
      </c>
      <c r="G767" s="19" t="n">
        <v>0.033</v>
      </c>
    </row>
    <row r="768" customFormat="false" ht="15" hidden="false" customHeight="false" outlineLevel="0" collapsed="false">
      <c r="A768" s="28" t="s">
        <v>178</v>
      </c>
      <c r="B768" s="28" t="s">
        <v>179</v>
      </c>
      <c r="C768" s="28" t="s">
        <v>174</v>
      </c>
      <c r="D768" s="23" t="n">
        <v>3</v>
      </c>
      <c r="E768" s="23" t="n">
        <v>4</v>
      </c>
      <c r="F768" s="28" t="s">
        <v>912</v>
      </c>
      <c r="G768" s="19" t="n">
        <v>0.0344</v>
      </c>
    </row>
    <row r="769" customFormat="false" ht="15" hidden="false" customHeight="false" outlineLevel="0" collapsed="false">
      <c r="A769" s="28" t="s">
        <v>178</v>
      </c>
      <c r="B769" s="28" t="s">
        <v>179</v>
      </c>
      <c r="C769" s="28" t="s">
        <v>174</v>
      </c>
      <c r="D769" s="23" t="n">
        <v>3</v>
      </c>
      <c r="E769" s="23" t="n">
        <v>4</v>
      </c>
      <c r="F769" s="28" t="s">
        <v>913</v>
      </c>
      <c r="G769" s="19" t="n">
        <v>0.0393</v>
      </c>
    </row>
    <row r="770" customFormat="false" ht="15" hidden="false" customHeight="false" outlineLevel="0" collapsed="false">
      <c r="A770" s="28" t="s">
        <v>178</v>
      </c>
      <c r="B770" s="28" t="s">
        <v>179</v>
      </c>
      <c r="C770" s="28" t="s">
        <v>174</v>
      </c>
      <c r="D770" s="23" t="n">
        <v>3</v>
      </c>
      <c r="E770" s="23" t="n">
        <v>4</v>
      </c>
      <c r="F770" s="28" t="s">
        <v>914</v>
      </c>
      <c r="G770" s="19" t="n">
        <v>0.0391</v>
      </c>
    </row>
    <row r="771" customFormat="false" ht="15" hidden="false" customHeight="false" outlineLevel="0" collapsed="false">
      <c r="A771" s="28" t="s">
        <v>178</v>
      </c>
      <c r="B771" s="28" t="s">
        <v>179</v>
      </c>
      <c r="C771" s="28" t="s">
        <v>174</v>
      </c>
      <c r="D771" s="23" t="n">
        <v>3</v>
      </c>
      <c r="E771" s="23" t="n">
        <v>4</v>
      </c>
      <c r="F771" s="28" t="s">
        <v>915</v>
      </c>
      <c r="G771" s="19" t="n">
        <v>0.0549</v>
      </c>
    </row>
    <row r="772" customFormat="false" ht="15" hidden="false" customHeight="false" outlineLevel="0" collapsed="false">
      <c r="A772" s="28" t="s">
        <v>178</v>
      </c>
      <c r="B772" s="28" t="s">
        <v>179</v>
      </c>
      <c r="C772" s="28" t="s">
        <v>174</v>
      </c>
      <c r="D772" s="23" t="n">
        <v>3</v>
      </c>
      <c r="E772" s="23" t="n">
        <v>5</v>
      </c>
      <c r="F772" s="28" t="s">
        <v>904</v>
      </c>
      <c r="G772" s="19" t="n">
        <v>0.0263</v>
      </c>
    </row>
    <row r="773" customFormat="false" ht="15" hidden="false" customHeight="false" outlineLevel="0" collapsed="false">
      <c r="A773" s="28" t="s">
        <v>178</v>
      </c>
      <c r="B773" s="28" t="s">
        <v>179</v>
      </c>
      <c r="C773" s="28" t="s">
        <v>174</v>
      </c>
      <c r="D773" s="23" t="n">
        <v>3</v>
      </c>
      <c r="E773" s="23" t="n">
        <v>5</v>
      </c>
      <c r="F773" s="28" t="s">
        <v>551</v>
      </c>
      <c r="G773" s="19" t="n">
        <v>0.0575</v>
      </c>
    </row>
    <row r="774" customFormat="false" ht="15" hidden="false" customHeight="false" outlineLevel="0" collapsed="false">
      <c r="A774" s="28" t="s">
        <v>178</v>
      </c>
      <c r="B774" s="28" t="s">
        <v>179</v>
      </c>
      <c r="C774" s="28" t="s">
        <v>174</v>
      </c>
      <c r="D774" s="23" t="n">
        <v>3</v>
      </c>
      <c r="E774" s="23" t="n">
        <v>5</v>
      </c>
      <c r="F774" s="28" t="s">
        <v>451</v>
      </c>
      <c r="G774" s="19" t="n">
        <v>0.0261</v>
      </c>
    </row>
    <row r="775" customFormat="false" ht="15" hidden="false" customHeight="false" outlineLevel="0" collapsed="false">
      <c r="A775" s="28" t="s">
        <v>178</v>
      </c>
      <c r="B775" s="28" t="s">
        <v>179</v>
      </c>
      <c r="C775" s="28" t="s">
        <v>174</v>
      </c>
      <c r="D775" s="23" t="n">
        <v>3</v>
      </c>
      <c r="E775" s="23" t="n">
        <v>5</v>
      </c>
      <c r="F775" s="28" t="s">
        <v>905</v>
      </c>
      <c r="G775" s="19" t="n">
        <v>0.0287</v>
      </c>
    </row>
    <row r="776" customFormat="false" ht="15" hidden="false" customHeight="false" outlineLevel="0" collapsed="false">
      <c r="A776" s="28" t="s">
        <v>178</v>
      </c>
      <c r="B776" s="28" t="s">
        <v>179</v>
      </c>
      <c r="C776" s="28" t="s">
        <v>174</v>
      </c>
      <c r="D776" s="23" t="n">
        <v>3</v>
      </c>
      <c r="E776" s="23" t="n">
        <v>5</v>
      </c>
      <c r="F776" s="28" t="s">
        <v>906</v>
      </c>
      <c r="G776" s="19" t="n">
        <v>0.0301</v>
      </c>
    </row>
    <row r="777" customFormat="false" ht="15" hidden="false" customHeight="false" outlineLevel="0" collapsed="false">
      <c r="A777" s="28" t="s">
        <v>178</v>
      </c>
      <c r="B777" s="28" t="s">
        <v>179</v>
      </c>
      <c r="C777" s="28" t="s">
        <v>174</v>
      </c>
      <c r="D777" s="23" t="n">
        <v>3</v>
      </c>
      <c r="E777" s="23" t="n">
        <v>5</v>
      </c>
      <c r="F777" s="28" t="s">
        <v>907</v>
      </c>
      <c r="G777" s="19" t="n">
        <v>0.0298</v>
      </c>
    </row>
    <row r="778" customFormat="false" ht="15" hidden="false" customHeight="false" outlineLevel="0" collapsed="false">
      <c r="A778" s="28" t="s">
        <v>178</v>
      </c>
      <c r="B778" s="28" t="s">
        <v>179</v>
      </c>
      <c r="C778" s="28" t="s">
        <v>174</v>
      </c>
      <c r="D778" s="23" t="n">
        <v>3</v>
      </c>
      <c r="E778" s="23" t="n">
        <v>5</v>
      </c>
      <c r="F778" s="28" t="s">
        <v>908</v>
      </c>
      <c r="G778" s="19" t="n">
        <v>0.0314</v>
      </c>
    </row>
    <row r="779" customFormat="false" ht="15" hidden="false" customHeight="false" outlineLevel="0" collapsed="false">
      <c r="A779" s="28" t="s">
        <v>178</v>
      </c>
      <c r="B779" s="28" t="s">
        <v>179</v>
      </c>
      <c r="C779" s="28" t="s">
        <v>174</v>
      </c>
      <c r="D779" s="23" t="n">
        <v>3</v>
      </c>
      <c r="E779" s="23" t="n">
        <v>5</v>
      </c>
      <c r="F779" s="28" t="s">
        <v>909</v>
      </c>
      <c r="G779" s="19" t="n">
        <v>0.0315</v>
      </c>
    </row>
    <row r="780" customFormat="false" ht="15" hidden="false" customHeight="false" outlineLevel="0" collapsed="false">
      <c r="A780" s="28" t="s">
        <v>178</v>
      </c>
      <c r="B780" s="28" t="s">
        <v>179</v>
      </c>
      <c r="C780" s="28" t="s">
        <v>174</v>
      </c>
      <c r="D780" s="23" t="n">
        <v>3</v>
      </c>
      <c r="E780" s="23" t="n">
        <v>5</v>
      </c>
      <c r="F780" s="28" t="s">
        <v>910</v>
      </c>
      <c r="G780" s="19" t="n">
        <v>0.0319</v>
      </c>
    </row>
    <row r="781" customFormat="false" ht="15" hidden="false" customHeight="false" outlineLevel="0" collapsed="false">
      <c r="A781" s="28" t="s">
        <v>178</v>
      </c>
      <c r="B781" s="28" t="s">
        <v>179</v>
      </c>
      <c r="C781" s="28" t="s">
        <v>174</v>
      </c>
      <c r="D781" s="23" t="n">
        <v>3</v>
      </c>
      <c r="E781" s="23" t="n">
        <v>5</v>
      </c>
      <c r="F781" s="28" t="s">
        <v>911</v>
      </c>
      <c r="G781" s="19" t="n">
        <v>0.033</v>
      </c>
    </row>
    <row r="782" customFormat="false" ht="15" hidden="false" customHeight="false" outlineLevel="0" collapsed="false">
      <c r="A782" s="28" t="s">
        <v>178</v>
      </c>
      <c r="B782" s="28" t="s">
        <v>179</v>
      </c>
      <c r="C782" s="28" t="s">
        <v>174</v>
      </c>
      <c r="D782" s="23" t="n">
        <v>3</v>
      </c>
      <c r="E782" s="23" t="n">
        <v>5</v>
      </c>
      <c r="F782" s="28" t="s">
        <v>912</v>
      </c>
      <c r="G782" s="19" t="n">
        <v>0.0344</v>
      </c>
    </row>
    <row r="783" customFormat="false" ht="15" hidden="false" customHeight="false" outlineLevel="0" collapsed="false">
      <c r="A783" s="28" t="s">
        <v>178</v>
      </c>
      <c r="B783" s="28" t="s">
        <v>179</v>
      </c>
      <c r="C783" s="28" t="s">
        <v>174</v>
      </c>
      <c r="D783" s="23" t="n">
        <v>3</v>
      </c>
      <c r="E783" s="23" t="n">
        <v>5</v>
      </c>
      <c r="F783" s="28" t="s">
        <v>913</v>
      </c>
      <c r="G783" s="19" t="n">
        <v>0.0393</v>
      </c>
    </row>
    <row r="784" customFormat="false" ht="15" hidden="false" customHeight="false" outlineLevel="0" collapsed="false">
      <c r="A784" s="28" t="s">
        <v>178</v>
      </c>
      <c r="B784" s="28" t="s">
        <v>179</v>
      </c>
      <c r="C784" s="28" t="s">
        <v>174</v>
      </c>
      <c r="D784" s="23" t="n">
        <v>3</v>
      </c>
      <c r="E784" s="23" t="n">
        <v>5</v>
      </c>
      <c r="F784" s="28" t="s">
        <v>914</v>
      </c>
      <c r="G784" s="19" t="n">
        <v>0.0391</v>
      </c>
    </row>
    <row r="785" customFormat="false" ht="15" hidden="false" customHeight="false" outlineLevel="0" collapsed="false">
      <c r="A785" s="28" t="s">
        <v>178</v>
      </c>
      <c r="B785" s="28" t="s">
        <v>179</v>
      </c>
      <c r="C785" s="28" t="s">
        <v>174</v>
      </c>
      <c r="D785" s="23" t="n">
        <v>3</v>
      </c>
      <c r="E785" s="23" t="n">
        <v>5</v>
      </c>
      <c r="F785" s="28" t="s">
        <v>915</v>
      </c>
      <c r="G785" s="19" t="n">
        <v>0.0549</v>
      </c>
    </row>
    <row r="786" customFormat="false" ht="15" hidden="false" customHeight="false" outlineLevel="0" collapsed="false">
      <c r="A786" s="28" t="s">
        <v>178</v>
      </c>
      <c r="B786" s="28" t="s">
        <v>179</v>
      </c>
      <c r="C786" s="28" t="s">
        <v>174</v>
      </c>
      <c r="D786" s="23" t="n">
        <v>3</v>
      </c>
      <c r="E786" s="23" t="n">
        <v>6</v>
      </c>
      <c r="F786" s="28" t="s">
        <v>904</v>
      </c>
      <c r="G786" s="19" t="n">
        <v>0.0263</v>
      </c>
    </row>
    <row r="787" customFormat="false" ht="15" hidden="false" customHeight="false" outlineLevel="0" collapsed="false">
      <c r="A787" s="28" t="s">
        <v>178</v>
      </c>
      <c r="B787" s="28" t="s">
        <v>179</v>
      </c>
      <c r="C787" s="28" t="s">
        <v>174</v>
      </c>
      <c r="D787" s="23" t="n">
        <v>3</v>
      </c>
      <c r="E787" s="23" t="n">
        <v>6</v>
      </c>
      <c r="F787" s="28" t="s">
        <v>551</v>
      </c>
      <c r="G787" s="19" t="n">
        <v>0.0575</v>
      </c>
    </row>
    <row r="788" customFormat="false" ht="15" hidden="false" customHeight="false" outlineLevel="0" collapsed="false">
      <c r="A788" s="28" t="s">
        <v>178</v>
      </c>
      <c r="B788" s="28" t="s">
        <v>179</v>
      </c>
      <c r="C788" s="28" t="s">
        <v>174</v>
      </c>
      <c r="D788" s="23" t="n">
        <v>3</v>
      </c>
      <c r="E788" s="23" t="n">
        <v>6</v>
      </c>
      <c r="F788" s="28" t="s">
        <v>451</v>
      </c>
      <c r="G788" s="19" t="n">
        <v>0.0261</v>
      </c>
    </row>
    <row r="789" customFormat="false" ht="15" hidden="false" customHeight="false" outlineLevel="0" collapsed="false">
      <c r="A789" s="28" t="s">
        <v>178</v>
      </c>
      <c r="B789" s="28" t="s">
        <v>179</v>
      </c>
      <c r="C789" s="28" t="s">
        <v>174</v>
      </c>
      <c r="D789" s="23" t="n">
        <v>3</v>
      </c>
      <c r="E789" s="23" t="n">
        <v>6</v>
      </c>
      <c r="F789" s="28" t="s">
        <v>905</v>
      </c>
      <c r="G789" s="19" t="n">
        <v>0.0287</v>
      </c>
    </row>
    <row r="790" customFormat="false" ht="15" hidden="false" customHeight="false" outlineLevel="0" collapsed="false">
      <c r="A790" s="28" t="s">
        <v>178</v>
      </c>
      <c r="B790" s="28" t="s">
        <v>179</v>
      </c>
      <c r="C790" s="28" t="s">
        <v>174</v>
      </c>
      <c r="D790" s="23" t="n">
        <v>3</v>
      </c>
      <c r="E790" s="23" t="n">
        <v>6</v>
      </c>
      <c r="F790" s="28" t="s">
        <v>906</v>
      </c>
      <c r="G790" s="19" t="n">
        <v>0.0301</v>
      </c>
    </row>
    <row r="791" customFormat="false" ht="15" hidden="false" customHeight="false" outlineLevel="0" collapsed="false">
      <c r="A791" s="28" t="s">
        <v>178</v>
      </c>
      <c r="B791" s="28" t="s">
        <v>179</v>
      </c>
      <c r="C791" s="28" t="s">
        <v>174</v>
      </c>
      <c r="D791" s="23" t="n">
        <v>3</v>
      </c>
      <c r="E791" s="23" t="n">
        <v>6</v>
      </c>
      <c r="F791" s="28" t="s">
        <v>907</v>
      </c>
      <c r="G791" s="19" t="n">
        <v>0.0298</v>
      </c>
    </row>
    <row r="792" customFormat="false" ht="15" hidden="false" customHeight="false" outlineLevel="0" collapsed="false">
      <c r="A792" s="28" t="s">
        <v>178</v>
      </c>
      <c r="B792" s="28" t="s">
        <v>179</v>
      </c>
      <c r="C792" s="28" t="s">
        <v>174</v>
      </c>
      <c r="D792" s="23" t="n">
        <v>3</v>
      </c>
      <c r="E792" s="23" t="n">
        <v>6</v>
      </c>
      <c r="F792" s="28" t="s">
        <v>908</v>
      </c>
      <c r="G792" s="19" t="n">
        <v>0.0314</v>
      </c>
    </row>
    <row r="793" customFormat="false" ht="15" hidden="false" customHeight="false" outlineLevel="0" collapsed="false">
      <c r="A793" s="28" t="s">
        <v>178</v>
      </c>
      <c r="B793" s="28" t="s">
        <v>179</v>
      </c>
      <c r="C793" s="28" t="s">
        <v>174</v>
      </c>
      <c r="D793" s="23" t="n">
        <v>3</v>
      </c>
      <c r="E793" s="23" t="n">
        <v>6</v>
      </c>
      <c r="F793" s="28" t="s">
        <v>909</v>
      </c>
      <c r="G793" s="19" t="n">
        <v>0.0315</v>
      </c>
    </row>
    <row r="794" customFormat="false" ht="15" hidden="false" customHeight="false" outlineLevel="0" collapsed="false">
      <c r="A794" s="28" t="s">
        <v>178</v>
      </c>
      <c r="B794" s="28" t="s">
        <v>179</v>
      </c>
      <c r="C794" s="28" t="s">
        <v>174</v>
      </c>
      <c r="D794" s="23" t="n">
        <v>3</v>
      </c>
      <c r="E794" s="23" t="n">
        <v>6</v>
      </c>
      <c r="F794" s="28" t="s">
        <v>910</v>
      </c>
      <c r="G794" s="19" t="n">
        <v>0.0319</v>
      </c>
    </row>
    <row r="795" customFormat="false" ht="15" hidden="false" customHeight="false" outlineLevel="0" collapsed="false">
      <c r="A795" s="28" t="s">
        <v>178</v>
      </c>
      <c r="B795" s="28" t="s">
        <v>179</v>
      </c>
      <c r="C795" s="28" t="s">
        <v>174</v>
      </c>
      <c r="D795" s="23" t="n">
        <v>3</v>
      </c>
      <c r="E795" s="23" t="n">
        <v>6</v>
      </c>
      <c r="F795" s="28" t="s">
        <v>911</v>
      </c>
      <c r="G795" s="19" t="n">
        <v>0.033</v>
      </c>
    </row>
    <row r="796" customFormat="false" ht="15" hidden="false" customHeight="false" outlineLevel="0" collapsed="false">
      <c r="A796" s="28" t="s">
        <v>178</v>
      </c>
      <c r="B796" s="28" t="s">
        <v>179</v>
      </c>
      <c r="C796" s="28" t="s">
        <v>174</v>
      </c>
      <c r="D796" s="23" t="n">
        <v>3</v>
      </c>
      <c r="E796" s="23" t="n">
        <v>6</v>
      </c>
      <c r="F796" s="28" t="s">
        <v>912</v>
      </c>
      <c r="G796" s="19" t="n">
        <v>0.0344</v>
      </c>
    </row>
    <row r="797" customFormat="false" ht="15" hidden="false" customHeight="false" outlineLevel="0" collapsed="false">
      <c r="A797" s="28" t="s">
        <v>178</v>
      </c>
      <c r="B797" s="28" t="s">
        <v>179</v>
      </c>
      <c r="C797" s="28" t="s">
        <v>174</v>
      </c>
      <c r="D797" s="23" t="n">
        <v>3</v>
      </c>
      <c r="E797" s="23" t="n">
        <v>6</v>
      </c>
      <c r="F797" s="28" t="s">
        <v>913</v>
      </c>
      <c r="G797" s="19" t="n">
        <v>0.0393</v>
      </c>
    </row>
    <row r="798" customFormat="false" ht="15" hidden="false" customHeight="false" outlineLevel="0" collapsed="false">
      <c r="A798" s="28" t="s">
        <v>178</v>
      </c>
      <c r="B798" s="28" t="s">
        <v>179</v>
      </c>
      <c r="C798" s="28" t="s">
        <v>174</v>
      </c>
      <c r="D798" s="23" t="n">
        <v>3</v>
      </c>
      <c r="E798" s="23" t="n">
        <v>6</v>
      </c>
      <c r="F798" s="28" t="s">
        <v>914</v>
      </c>
      <c r="G798" s="19" t="n">
        <v>0.0391</v>
      </c>
    </row>
    <row r="799" customFormat="false" ht="15" hidden="false" customHeight="false" outlineLevel="0" collapsed="false">
      <c r="A799" s="28" t="s">
        <v>178</v>
      </c>
      <c r="B799" s="28" t="s">
        <v>179</v>
      </c>
      <c r="C799" s="28" t="s">
        <v>174</v>
      </c>
      <c r="D799" s="23" t="n">
        <v>3</v>
      </c>
      <c r="E799" s="23" t="n">
        <v>6</v>
      </c>
      <c r="F799" s="28" t="s">
        <v>915</v>
      </c>
      <c r="G799" s="19" t="n">
        <v>0.0549</v>
      </c>
    </row>
    <row r="800" customFormat="false" ht="15" hidden="false" customHeight="false" outlineLevel="0" collapsed="false">
      <c r="A800" s="28" t="s">
        <v>178</v>
      </c>
      <c r="B800" s="28" t="s">
        <v>179</v>
      </c>
      <c r="C800" s="28" t="s">
        <v>174</v>
      </c>
      <c r="D800" s="23" t="n">
        <v>3</v>
      </c>
      <c r="E800" s="23" t="n">
        <v>7</v>
      </c>
      <c r="F800" s="28" t="s">
        <v>904</v>
      </c>
      <c r="G800" s="19" t="n">
        <v>0.0263</v>
      </c>
    </row>
    <row r="801" customFormat="false" ht="15" hidden="false" customHeight="false" outlineLevel="0" collapsed="false">
      <c r="A801" s="28" t="s">
        <v>178</v>
      </c>
      <c r="B801" s="28" t="s">
        <v>179</v>
      </c>
      <c r="C801" s="28" t="s">
        <v>174</v>
      </c>
      <c r="D801" s="23" t="n">
        <v>3</v>
      </c>
      <c r="E801" s="23" t="n">
        <v>7</v>
      </c>
      <c r="F801" s="28" t="s">
        <v>551</v>
      </c>
      <c r="G801" s="19" t="n">
        <v>0.0575</v>
      </c>
    </row>
    <row r="802" customFormat="false" ht="15" hidden="false" customHeight="false" outlineLevel="0" collapsed="false">
      <c r="A802" s="28" t="s">
        <v>178</v>
      </c>
      <c r="B802" s="28" t="s">
        <v>179</v>
      </c>
      <c r="C802" s="28" t="s">
        <v>174</v>
      </c>
      <c r="D802" s="23" t="n">
        <v>3</v>
      </c>
      <c r="E802" s="23" t="n">
        <v>7</v>
      </c>
      <c r="F802" s="28" t="s">
        <v>451</v>
      </c>
      <c r="G802" s="19" t="n">
        <v>0.0261</v>
      </c>
    </row>
    <row r="803" customFormat="false" ht="15" hidden="false" customHeight="false" outlineLevel="0" collapsed="false">
      <c r="A803" s="28" t="s">
        <v>178</v>
      </c>
      <c r="B803" s="28" t="s">
        <v>179</v>
      </c>
      <c r="C803" s="28" t="s">
        <v>174</v>
      </c>
      <c r="D803" s="23" t="n">
        <v>3</v>
      </c>
      <c r="E803" s="23" t="n">
        <v>7</v>
      </c>
      <c r="F803" s="28" t="s">
        <v>905</v>
      </c>
      <c r="G803" s="19" t="n">
        <v>0.0287</v>
      </c>
    </row>
    <row r="804" customFormat="false" ht="15" hidden="false" customHeight="false" outlineLevel="0" collapsed="false">
      <c r="A804" s="28" t="s">
        <v>178</v>
      </c>
      <c r="B804" s="28" t="s">
        <v>179</v>
      </c>
      <c r="C804" s="28" t="s">
        <v>174</v>
      </c>
      <c r="D804" s="23" t="n">
        <v>3</v>
      </c>
      <c r="E804" s="23" t="n">
        <v>7</v>
      </c>
      <c r="F804" s="28" t="s">
        <v>906</v>
      </c>
      <c r="G804" s="19" t="n">
        <v>0.0301</v>
      </c>
    </row>
    <row r="805" customFormat="false" ht="15" hidden="false" customHeight="false" outlineLevel="0" collapsed="false">
      <c r="A805" s="28" t="s">
        <v>178</v>
      </c>
      <c r="B805" s="28" t="s">
        <v>179</v>
      </c>
      <c r="C805" s="28" t="s">
        <v>174</v>
      </c>
      <c r="D805" s="23" t="n">
        <v>3</v>
      </c>
      <c r="E805" s="23" t="n">
        <v>7</v>
      </c>
      <c r="F805" s="28" t="s">
        <v>907</v>
      </c>
      <c r="G805" s="19" t="n">
        <v>0.0298</v>
      </c>
    </row>
    <row r="806" customFormat="false" ht="15" hidden="false" customHeight="false" outlineLevel="0" collapsed="false">
      <c r="A806" s="28" t="s">
        <v>178</v>
      </c>
      <c r="B806" s="28" t="s">
        <v>179</v>
      </c>
      <c r="C806" s="28" t="s">
        <v>174</v>
      </c>
      <c r="D806" s="23" t="n">
        <v>3</v>
      </c>
      <c r="E806" s="23" t="n">
        <v>7</v>
      </c>
      <c r="F806" s="28" t="s">
        <v>908</v>
      </c>
      <c r="G806" s="19" t="n">
        <v>0.0314</v>
      </c>
    </row>
    <row r="807" customFormat="false" ht="15" hidden="false" customHeight="false" outlineLevel="0" collapsed="false">
      <c r="A807" s="28" t="s">
        <v>178</v>
      </c>
      <c r="B807" s="28" t="s">
        <v>179</v>
      </c>
      <c r="C807" s="28" t="s">
        <v>174</v>
      </c>
      <c r="D807" s="23" t="n">
        <v>3</v>
      </c>
      <c r="E807" s="23" t="n">
        <v>7</v>
      </c>
      <c r="F807" s="28" t="s">
        <v>909</v>
      </c>
      <c r="G807" s="19" t="n">
        <v>0.0315</v>
      </c>
    </row>
    <row r="808" customFormat="false" ht="15" hidden="false" customHeight="false" outlineLevel="0" collapsed="false">
      <c r="A808" s="28" t="s">
        <v>178</v>
      </c>
      <c r="B808" s="28" t="s">
        <v>179</v>
      </c>
      <c r="C808" s="28" t="s">
        <v>174</v>
      </c>
      <c r="D808" s="23" t="n">
        <v>3</v>
      </c>
      <c r="E808" s="23" t="n">
        <v>7</v>
      </c>
      <c r="F808" s="28" t="s">
        <v>910</v>
      </c>
      <c r="G808" s="19" t="n">
        <v>0.0319</v>
      </c>
    </row>
    <row r="809" customFormat="false" ht="15" hidden="false" customHeight="false" outlineLevel="0" collapsed="false">
      <c r="A809" s="28" t="s">
        <v>178</v>
      </c>
      <c r="B809" s="28" t="s">
        <v>179</v>
      </c>
      <c r="C809" s="28" t="s">
        <v>174</v>
      </c>
      <c r="D809" s="23" t="n">
        <v>3</v>
      </c>
      <c r="E809" s="23" t="n">
        <v>7</v>
      </c>
      <c r="F809" s="28" t="s">
        <v>911</v>
      </c>
      <c r="G809" s="19" t="n">
        <v>0.033</v>
      </c>
    </row>
    <row r="810" customFormat="false" ht="15" hidden="false" customHeight="false" outlineLevel="0" collapsed="false">
      <c r="A810" s="28" t="s">
        <v>178</v>
      </c>
      <c r="B810" s="28" t="s">
        <v>179</v>
      </c>
      <c r="C810" s="28" t="s">
        <v>174</v>
      </c>
      <c r="D810" s="23" t="n">
        <v>3</v>
      </c>
      <c r="E810" s="23" t="n">
        <v>7</v>
      </c>
      <c r="F810" s="28" t="s">
        <v>912</v>
      </c>
      <c r="G810" s="19" t="n">
        <v>0.0344</v>
      </c>
    </row>
    <row r="811" customFormat="false" ht="15" hidden="false" customHeight="false" outlineLevel="0" collapsed="false">
      <c r="A811" s="28" t="s">
        <v>178</v>
      </c>
      <c r="B811" s="28" t="s">
        <v>179</v>
      </c>
      <c r="C811" s="28" t="s">
        <v>174</v>
      </c>
      <c r="D811" s="23" t="n">
        <v>3</v>
      </c>
      <c r="E811" s="23" t="n">
        <v>7</v>
      </c>
      <c r="F811" s="28" t="s">
        <v>913</v>
      </c>
      <c r="G811" s="19" t="n">
        <v>0.0393</v>
      </c>
    </row>
    <row r="812" customFormat="false" ht="15" hidden="false" customHeight="false" outlineLevel="0" collapsed="false">
      <c r="A812" s="28" t="s">
        <v>178</v>
      </c>
      <c r="B812" s="28" t="s">
        <v>179</v>
      </c>
      <c r="C812" s="28" t="s">
        <v>174</v>
      </c>
      <c r="D812" s="23" t="n">
        <v>3</v>
      </c>
      <c r="E812" s="23" t="n">
        <v>7</v>
      </c>
      <c r="F812" s="28" t="s">
        <v>914</v>
      </c>
      <c r="G812" s="19" t="n">
        <v>0.0391</v>
      </c>
    </row>
    <row r="813" customFormat="false" ht="15" hidden="false" customHeight="false" outlineLevel="0" collapsed="false">
      <c r="A813" s="28" t="s">
        <v>178</v>
      </c>
      <c r="B813" s="28" t="s">
        <v>179</v>
      </c>
      <c r="C813" s="28" t="s">
        <v>174</v>
      </c>
      <c r="D813" s="23" t="n">
        <v>3</v>
      </c>
      <c r="E813" s="23" t="n">
        <v>7</v>
      </c>
      <c r="F813" s="28" t="s">
        <v>915</v>
      </c>
      <c r="G813" s="19" t="n">
        <v>0.0549</v>
      </c>
    </row>
    <row r="814" customFormat="false" ht="15" hidden="false" customHeight="false" outlineLevel="0" collapsed="false">
      <c r="A814" s="28" t="s">
        <v>178</v>
      </c>
      <c r="B814" s="28" t="s">
        <v>179</v>
      </c>
      <c r="C814" s="28" t="s">
        <v>174</v>
      </c>
      <c r="D814" s="23" t="n">
        <v>3</v>
      </c>
      <c r="E814" s="23" t="n">
        <v>8</v>
      </c>
      <c r="F814" s="28" t="s">
        <v>904</v>
      </c>
      <c r="G814" s="19" t="n">
        <v>0.0263</v>
      </c>
    </row>
    <row r="815" customFormat="false" ht="15" hidden="false" customHeight="false" outlineLevel="0" collapsed="false">
      <c r="A815" s="28" t="s">
        <v>178</v>
      </c>
      <c r="B815" s="28" t="s">
        <v>179</v>
      </c>
      <c r="C815" s="28" t="s">
        <v>174</v>
      </c>
      <c r="D815" s="23" t="n">
        <v>3</v>
      </c>
      <c r="E815" s="23" t="n">
        <v>8</v>
      </c>
      <c r="F815" s="28" t="s">
        <v>551</v>
      </c>
      <c r="G815" s="19" t="n">
        <v>0.0575</v>
      </c>
    </row>
    <row r="816" customFormat="false" ht="15" hidden="false" customHeight="false" outlineLevel="0" collapsed="false">
      <c r="A816" s="28" t="s">
        <v>178</v>
      </c>
      <c r="B816" s="28" t="s">
        <v>179</v>
      </c>
      <c r="C816" s="28" t="s">
        <v>174</v>
      </c>
      <c r="D816" s="23" t="n">
        <v>3</v>
      </c>
      <c r="E816" s="23" t="n">
        <v>8</v>
      </c>
      <c r="F816" s="28" t="s">
        <v>451</v>
      </c>
      <c r="G816" s="19" t="n">
        <v>0.0261</v>
      </c>
    </row>
    <row r="817" customFormat="false" ht="15" hidden="false" customHeight="false" outlineLevel="0" collapsed="false">
      <c r="A817" s="28" t="s">
        <v>178</v>
      </c>
      <c r="B817" s="28" t="s">
        <v>179</v>
      </c>
      <c r="C817" s="28" t="s">
        <v>174</v>
      </c>
      <c r="D817" s="23" t="n">
        <v>3</v>
      </c>
      <c r="E817" s="23" t="n">
        <v>8</v>
      </c>
      <c r="F817" s="28" t="s">
        <v>905</v>
      </c>
      <c r="G817" s="19" t="n">
        <v>0.0287</v>
      </c>
    </row>
    <row r="818" customFormat="false" ht="15" hidden="false" customHeight="false" outlineLevel="0" collapsed="false">
      <c r="A818" s="28" t="s">
        <v>178</v>
      </c>
      <c r="B818" s="28" t="s">
        <v>179</v>
      </c>
      <c r="C818" s="28" t="s">
        <v>174</v>
      </c>
      <c r="D818" s="23" t="n">
        <v>3</v>
      </c>
      <c r="E818" s="23" t="n">
        <v>8</v>
      </c>
      <c r="F818" s="28" t="s">
        <v>906</v>
      </c>
      <c r="G818" s="19" t="n">
        <v>0.0301</v>
      </c>
    </row>
    <row r="819" customFormat="false" ht="15" hidden="false" customHeight="false" outlineLevel="0" collapsed="false">
      <c r="A819" s="28" t="s">
        <v>178</v>
      </c>
      <c r="B819" s="28" t="s">
        <v>179</v>
      </c>
      <c r="C819" s="28" t="s">
        <v>174</v>
      </c>
      <c r="D819" s="23" t="n">
        <v>3</v>
      </c>
      <c r="E819" s="23" t="n">
        <v>8</v>
      </c>
      <c r="F819" s="28" t="s">
        <v>907</v>
      </c>
      <c r="G819" s="19" t="n">
        <v>0.0298</v>
      </c>
    </row>
    <row r="820" customFormat="false" ht="15" hidden="false" customHeight="false" outlineLevel="0" collapsed="false">
      <c r="A820" s="28" t="s">
        <v>178</v>
      </c>
      <c r="B820" s="28" t="s">
        <v>179</v>
      </c>
      <c r="C820" s="28" t="s">
        <v>174</v>
      </c>
      <c r="D820" s="23" t="n">
        <v>3</v>
      </c>
      <c r="E820" s="23" t="n">
        <v>8</v>
      </c>
      <c r="F820" s="28" t="s">
        <v>908</v>
      </c>
      <c r="G820" s="19" t="n">
        <v>0.0314</v>
      </c>
    </row>
    <row r="821" customFormat="false" ht="15" hidden="false" customHeight="false" outlineLevel="0" collapsed="false">
      <c r="A821" s="28" t="s">
        <v>178</v>
      </c>
      <c r="B821" s="28" t="s">
        <v>179</v>
      </c>
      <c r="C821" s="28" t="s">
        <v>174</v>
      </c>
      <c r="D821" s="23" t="n">
        <v>3</v>
      </c>
      <c r="E821" s="23" t="n">
        <v>8</v>
      </c>
      <c r="F821" s="28" t="s">
        <v>909</v>
      </c>
      <c r="G821" s="19" t="n">
        <v>0.0315</v>
      </c>
    </row>
    <row r="822" customFormat="false" ht="15" hidden="false" customHeight="false" outlineLevel="0" collapsed="false">
      <c r="A822" s="28" t="s">
        <v>178</v>
      </c>
      <c r="B822" s="28" t="s">
        <v>179</v>
      </c>
      <c r="C822" s="28" t="s">
        <v>174</v>
      </c>
      <c r="D822" s="23" t="n">
        <v>3</v>
      </c>
      <c r="E822" s="23" t="n">
        <v>8</v>
      </c>
      <c r="F822" s="28" t="s">
        <v>910</v>
      </c>
      <c r="G822" s="19" t="n">
        <v>0.0319</v>
      </c>
    </row>
    <row r="823" customFormat="false" ht="15" hidden="false" customHeight="false" outlineLevel="0" collapsed="false">
      <c r="A823" s="28" t="s">
        <v>178</v>
      </c>
      <c r="B823" s="28" t="s">
        <v>179</v>
      </c>
      <c r="C823" s="28" t="s">
        <v>174</v>
      </c>
      <c r="D823" s="23" t="n">
        <v>3</v>
      </c>
      <c r="E823" s="23" t="n">
        <v>8</v>
      </c>
      <c r="F823" s="28" t="s">
        <v>911</v>
      </c>
      <c r="G823" s="19" t="n">
        <v>0.033</v>
      </c>
    </row>
    <row r="824" customFormat="false" ht="15" hidden="false" customHeight="false" outlineLevel="0" collapsed="false">
      <c r="A824" s="28" t="s">
        <v>178</v>
      </c>
      <c r="B824" s="28" t="s">
        <v>179</v>
      </c>
      <c r="C824" s="28" t="s">
        <v>174</v>
      </c>
      <c r="D824" s="23" t="n">
        <v>3</v>
      </c>
      <c r="E824" s="23" t="n">
        <v>8</v>
      </c>
      <c r="F824" s="28" t="s">
        <v>912</v>
      </c>
      <c r="G824" s="19" t="n">
        <v>0.0344</v>
      </c>
    </row>
    <row r="825" customFormat="false" ht="15" hidden="false" customHeight="false" outlineLevel="0" collapsed="false">
      <c r="A825" s="28" t="s">
        <v>178</v>
      </c>
      <c r="B825" s="28" t="s">
        <v>179</v>
      </c>
      <c r="C825" s="28" t="s">
        <v>174</v>
      </c>
      <c r="D825" s="23" t="n">
        <v>3</v>
      </c>
      <c r="E825" s="23" t="n">
        <v>8</v>
      </c>
      <c r="F825" s="28" t="s">
        <v>913</v>
      </c>
      <c r="G825" s="19" t="n">
        <v>0.0393</v>
      </c>
    </row>
    <row r="826" customFormat="false" ht="15" hidden="false" customHeight="false" outlineLevel="0" collapsed="false">
      <c r="A826" s="28" t="s">
        <v>178</v>
      </c>
      <c r="B826" s="28" t="s">
        <v>179</v>
      </c>
      <c r="C826" s="28" t="s">
        <v>174</v>
      </c>
      <c r="D826" s="23" t="n">
        <v>3</v>
      </c>
      <c r="E826" s="23" t="n">
        <v>8</v>
      </c>
      <c r="F826" s="28" t="s">
        <v>914</v>
      </c>
      <c r="G826" s="19" t="n">
        <v>0.0391</v>
      </c>
    </row>
    <row r="827" customFormat="false" ht="15" hidden="false" customHeight="false" outlineLevel="0" collapsed="false">
      <c r="A827" s="28" t="s">
        <v>178</v>
      </c>
      <c r="B827" s="28" t="s">
        <v>179</v>
      </c>
      <c r="C827" s="28" t="s">
        <v>174</v>
      </c>
      <c r="D827" s="23" t="n">
        <v>3</v>
      </c>
      <c r="E827" s="23" t="n">
        <v>8</v>
      </c>
      <c r="F827" s="28" t="s">
        <v>915</v>
      </c>
      <c r="G827" s="19" t="n">
        <v>0.0549</v>
      </c>
    </row>
    <row r="828" customFormat="false" ht="15" hidden="false" customHeight="false" outlineLevel="0" collapsed="false">
      <c r="A828" s="28" t="s">
        <v>178</v>
      </c>
      <c r="B828" s="28" t="s">
        <v>179</v>
      </c>
      <c r="C828" s="28" t="s">
        <v>174</v>
      </c>
      <c r="D828" s="23" t="n">
        <v>3</v>
      </c>
      <c r="E828" s="23" t="n">
        <v>9</v>
      </c>
      <c r="F828" s="28" t="s">
        <v>904</v>
      </c>
      <c r="G828" s="19" t="n">
        <v>0.0263</v>
      </c>
    </row>
    <row r="829" customFormat="false" ht="15" hidden="false" customHeight="false" outlineLevel="0" collapsed="false">
      <c r="A829" s="28" t="s">
        <v>178</v>
      </c>
      <c r="B829" s="28" t="s">
        <v>179</v>
      </c>
      <c r="C829" s="28" t="s">
        <v>174</v>
      </c>
      <c r="D829" s="23" t="n">
        <v>3</v>
      </c>
      <c r="E829" s="23" t="n">
        <v>9</v>
      </c>
      <c r="F829" s="28" t="s">
        <v>551</v>
      </c>
      <c r="G829" s="19" t="n">
        <v>0.0575</v>
      </c>
    </row>
    <row r="830" customFormat="false" ht="15" hidden="false" customHeight="false" outlineLevel="0" collapsed="false">
      <c r="A830" s="28" t="s">
        <v>178</v>
      </c>
      <c r="B830" s="28" t="s">
        <v>179</v>
      </c>
      <c r="C830" s="28" t="s">
        <v>174</v>
      </c>
      <c r="D830" s="23" t="n">
        <v>3</v>
      </c>
      <c r="E830" s="23" t="n">
        <v>9</v>
      </c>
      <c r="F830" s="28" t="s">
        <v>451</v>
      </c>
      <c r="G830" s="19" t="n">
        <v>0.0261</v>
      </c>
    </row>
    <row r="831" customFormat="false" ht="15" hidden="false" customHeight="false" outlineLevel="0" collapsed="false">
      <c r="A831" s="28" t="s">
        <v>178</v>
      </c>
      <c r="B831" s="28" t="s">
        <v>179</v>
      </c>
      <c r="C831" s="28" t="s">
        <v>174</v>
      </c>
      <c r="D831" s="23" t="n">
        <v>3</v>
      </c>
      <c r="E831" s="23" t="n">
        <v>9</v>
      </c>
      <c r="F831" s="28" t="s">
        <v>905</v>
      </c>
      <c r="G831" s="19" t="n">
        <v>0.0287</v>
      </c>
    </row>
    <row r="832" customFormat="false" ht="15" hidden="false" customHeight="false" outlineLevel="0" collapsed="false">
      <c r="A832" s="28" t="s">
        <v>178</v>
      </c>
      <c r="B832" s="28" t="s">
        <v>179</v>
      </c>
      <c r="C832" s="28" t="s">
        <v>174</v>
      </c>
      <c r="D832" s="23" t="n">
        <v>3</v>
      </c>
      <c r="E832" s="23" t="n">
        <v>9</v>
      </c>
      <c r="F832" s="28" t="s">
        <v>906</v>
      </c>
      <c r="G832" s="19" t="n">
        <v>0.0301</v>
      </c>
    </row>
    <row r="833" customFormat="false" ht="15" hidden="false" customHeight="false" outlineLevel="0" collapsed="false">
      <c r="A833" s="28" t="s">
        <v>178</v>
      </c>
      <c r="B833" s="28" t="s">
        <v>179</v>
      </c>
      <c r="C833" s="28" t="s">
        <v>174</v>
      </c>
      <c r="D833" s="23" t="n">
        <v>3</v>
      </c>
      <c r="E833" s="23" t="n">
        <v>9</v>
      </c>
      <c r="F833" s="28" t="s">
        <v>907</v>
      </c>
      <c r="G833" s="19" t="n">
        <v>0.0298</v>
      </c>
    </row>
    <row r="834" customFormat="false" ht="15" hidden="false" customHeight="false" outlineLevel="0" collapsed="false">
      <c r="A834" s="28" t="s">
        <v>178</v>
      </c>
      <c r="B834" s="28" t="s">
        <v>179</v>
      </c>
      <c r="C834" s="28" t="s">
        <v>174</v>
      </c>
      <c r="D834" s="23" t="n">
        <v>3</v>
      </c>
      <c r="E834" s="23" t="n">
        <v>9</v>
      </c>
      <c r="F834" s="28" t="s">
        <v>908</v>
      </c>
      <c r="G834" s="19" t="n">
        <v>0.0314</v>
      </c>
    </row>
    <row r="835" customFormat="false" ht="15" hidden="false" customHeight="false" outlineLevel="0" collapsed="false">
      <c r="A835" s="28" t="s">
        <v>178</v>
      </c>
      <c r="B835" s="28" t="s">
        <v>179</v>
      </c>
      <c r="C835" s="28" t="s">
        <v>174</v>
      </c>
      <c r="D835" s="23" t="n">
        <v>3</v>
      </c>
      <c r="E835" s="23" t="n">
        <v>9</v>
      </c>
      <c r="F835" s="28" t="s">
        <v>909</v>
      </c>
      <c r="G835" s="19" t="n">
        <v>0.0315</v>
      </c>
    </row>
    <row r="836" customFormat="false" ht="15" hidden="false" customHeight="false" outlineLevel="0" collapsed="false">
      <c r="A836" s="28" t="s">
        <v>178</v>
      </c>
      <c r="B836" s="28" t="s">
        <v>179</v>
      </c>
      <c r="C836" s="28" t="s">
        <v>174</v>
      </c>
      <c r="D836" s="23" t="n">
        <v>3</v>
      </c>
      <c r="E836" s="23" t="n">
        <v>9</v>
      </c>
      <c r="F836" s="28" t="s">
        <v>910</v>
      </c>
      <c r="G836" s="19" t="n">
        <v>0.0319</v>
      </c>
    </row>
    <row r="837" customFormat="false" ht="15" hidden="false" customHeight="false" outlineLevel="0" collapsed="false">
      <c r="A837" s="28" t="s">
        <v>178</v>
      </c>
      <c r="B837" s="28" t="s">
        <v>179</v>
      </c>
      <c r="C837" s="28" t="s">
        <v>174</v>
      </c>
      <c r="D837" s="23" t="n">
        <v>3</v>
      </c>
      <c r="E837" s="23" t="n">
        <v>9</v>
      </c>
      <c r="F837" s="28" t="s">
        <v>911</v>
      </c>
      <c r="G837" s="19" t="n">
        <v>0.033</v>
      </c>
    </row>
    <row r="838" customFormat="false" ht="15" hidden="false" customHeight="false" outlineLevel="0" collapsed="false">
      <c r="A838" s="28" t="s">
        <v>178</v>
      </c>
      <c r="B838" s="28" t="s">
        <v>179</v>
      </c>
      <c r="C838" s="28" t="s">
        <v>174</v>
      </c>
      <c r="D838" s="23" t="n">
        <v>3</v>
      </c>
      <c r="E838" s="23" t="n">
        <v>9</v>
      </c>
      <c r="F838" s="28" t="s">
        <v>912</v>
      </c>
      <c r="G838" s="19" t="n">
        <v>0.0344</v>
      </c>
    </row>
    <row r="839" customFormat="false" ht="15" hidden="false" customHeight="false" outlineLevel="0" collapsed="false">
      <c r="A839" s="28" t="s">
        <v>178</v>
      </c>
      <c r="B839" s="28" t="s">
        <v>179</v>
      </c>
      <c r="C839" s="28" t="s">
        <v>174</v>
      </c>
      <c r="D839" s="23" t="n">
        <v>3</v>
      </c>
      <c r="E839" s="23" t="n">
        <v>9</v>
      </c>
      <c r="F839" s="28" t="s">
        <v>913</v>
      </c>
      <c r="G839" s="19" t="n">
        <v>0.0393</v>
      </c>
    </row>
    <row r="840" customFormat="false" ht="15" hidden="false" customHeight="false" outlineLevel="0" collapsed="false">
      <c r="A840" s="28" t="s">
        <v>178</v>
      </c>
      <c r="B840" s="28" t="s">
        <v>179</v>
      </c>
      <c r="C840" s="28" t="s">
        <v>174</v>
      </c>
      <c r="D840" s="23" t="n">
        <v>3</v>
      </c>
      <c r="E840" s="23" t="n">
        <v>9</v>
      </c>
      <c r="F840" s="28" t="s">
        <v>914</v>
      </c>
      <c r="G840" s="19" t="n">
        <v>0.0391</v>
      </c>
    </row>
    <row r="841" customFormat="false" ht="15" hidden="false" customHeight="false" outlineLevel="0" collapsed="false">
      <c r="A841" s="28" t="s">
        <v>178</v>
      </c>
      <c r="B841" s="28" t="s">
        <v>179</v>
      </c>
      <c r="C841" s="28" t="s">
        <v>174</v>
      </c>
      <c r="D841" s="23" t="n">
        <v>3</v>
      </c>
      <c r="E841" s="23" t="n">
        <v>9</v>
      </c>
      <c r="F841" s="28" t="s">
        <v>915</v>
      </c>
      <c r="G841" s="19" t="n">
        <v>0.0549</v>
      </c>
    </row>
    <row r="842" customFormat="false" ht="15" hidden="false" customHeight="false" outlineLevel="0" collapsed="false">
      <c r="A842" s="28" t="s">
        <v>178</v>
      </c>
      <c r="B842" s="28" t="s">
        <v>179</v>
      </c>
      <c r="C842" s="28" t="s">
        <v>174</v>
      </c>
      <c r="D842" s="23" t="n">
        <v>3</v>
      </c>
      <c r="E842" s="23" t="n">
        <v>10</v>
      </c>
      <c r="F842" s="28" t="s">
        <v>904</v>
      </c>
      <c r="G842" s="19" t="n">
        <v>0.0263</v>
      </c>
    </row>
    <row r="843" customFormat="false" ht="15" hidden="false" customHeight="false" outlineLevel="0" collapsed="false">
      <c r="A843" s="28" t="s">
        <v>178</v>
      </c>
      <c r="B843" s="28" t="s">
        <v>179</v>
      </c>
      <c r="C843" s="28" t="s">
        <v>174</v>
      </c>
      <c r="D843" s="23" t="n">
        <v>3</v>
      </c>
      <c r="E843" s="23" t="n">
        <v>10</v>
      </c>
      <c r="F843" s="28" t="s">
        <v>551</v>
      </c>
      <c r="G843" s="19" t="n">
        <v>0.0575</v>
      </c>
    </row>
    <row r="844" customFormat="false" ht="15" hidden="false" customHeight="false" outlineLevel="0" collapsed="false">
      <c r="A844" s="28" t="s">
        <v>178</v>
      </c>
      <c r="B844" s="28" t="s">
        <v>179</v>
      </c>
      <c r="C844" s="28" t="s">
        <v>174</v>
      </c>
      <c r="D844" s="23" t="n">
        <v>3</v>
      </c>
      <c r="E844" s="23" t="n">
        <v>10</v>
      </c>
      <c r="F844" s="28" t="s">
        <v>451</v>
      </c>
      <c r="G844" s="19" t="n">
        <v>0.0261</v>
      </c>
    </row>
    <row r="845" customFormat="false" ht="15" hidden="false" customHeight="false" outlineLevel="0" collapsed="false">
      <c r="A845" s="28" t="s">
        <v>178</v>
      </c>
      <c r="B845" s="28" t="s">
        <v>179</v>
      </c>
      <c r="C845" s="28" t="s">
        <v>174</v>
      </c>
      <c r="D845" s="23" t="n">
        <v>3</v>
      </c>
      <c r="E845" s="23" t="n">
        <v>10</v>
      </c>
      <c r="F845" s="28" t="s">
        <v>905</v>
      </c>
      <c r="G845" s="19" t="n">
        <v>0.0287</v>
      </c>
    </row>
    <row r="846" customFormat="false" ht="15" hidden="false" customHeight="false" outlineLevel="0" collapsed="false">
      <c r="A846" s="28" t="s">
        <v>178</v>
      </c>
      <c r="B846" s="28" t="s">
        <v>179</v>
      </c>
      <c r="C846" s="28" t="s">
        <v>174</v>
      </c>
      <c r="D846" s="23" t="n">
        <v>3</v>
      </c>
      <c r="E846" s="23" t="n">
        <v>10</v>
      </c>
      <c r="F846" s="28" t="s">
        <v>906</v>
      </c>
      <c r="G846" s="19" t="n">
        <v>0.0301</v>
      </c>
    </row>
    <row r="847" customFormat="false" ht="15" hidden="false" customHeight="false" outlineLevel="0" collapsed="false">
      <c r="A847" s="28" t="s">
        <v>178</v>
      </c>
      <c r="B847" s="28" t="s">
        <v>179</v>
      </c>
      <c r="C847" s="28" t="s">
        <v>174</v>
      </c>
      <c r="D847" s="23" t="n">
        <v>3</v>
      </c>
      <c r="E847" s="23" t="n">
        <v>10</v>
      </c>
      <c r="F847" s="28" t="s">
        <v>907</v>
      </c>
      <c r="G847" s="19" t="n">
        <v>0.0298</v>
      </c>
    </row>
    <row r="848" customFormat="false" ht="15" hidden="false" customHeight="false" outlineLevel="0" collapsed="false">
      <c r="A848" s="28" t="s">
        <v>178</v>
      </c>
      <c r="B848" s="28" t="s">
        <v>179</v>
      </c>
      <c r="C848" s="28" t="s">
        <v>174</v>
      </c>
      <c r="D848" s="23" t="n">
        <v>3</v>
      </c>
      <c r="E848" s="23" t="n">
        <v>10</v>
      </c>
      <c r="F848" s="28" t="s">
        <v>908</v>
      </c>
      <c r="G848" s="19" t="n">
        <v>0.0314</v>
      </c>
    </row>
    <row r="849" customFormat="false" ht="15" hidden="false" customHeight="false" outlineLevel="0" collapsed="false">
      <c r="A849" s="28" t="s">
        <v>178</v>
      </c>
      <c r="B849" s="28" t="s">
        <v>179</v>
      </c>
      <c r="C849" s="28" t="s">
        <v>174</v>
      </c>
      <c r="D849" s="23" t="n">
        <v>3</v>
      </c>
      <c r="E849" s="23" t="n">
        <v>10</v>
      </c>
      <c r="F849" s="28" t="s">
        <v>909</v>
      </c>
      <c r="G849" s="19" t="n">
        <v>0.0315</v>
      </c>
    </row>
    <row r="850" customFormat="false" ht="15" hidden="false" customHeight="false" outlineLevel="0" collapsed="false">
      <c r="A850" s="28" t="s">
        <v>178</v>
      </c>
      <c r="B850" s="28" t="s">
        <v>179</v>
      </c>
      <c r="C850" s="28" t="s">
        <v>174</v>
      </c>
      <c r="D850" s="23" t="n">
        <v>3</v>
      </c>
      <c r="E850" s="23" t="n">
        <v>10</v>
      </c>
      <c r="F850" s="28" t="s">
        <v>910</v>
      </c>
      <c r="G850" s="19" t="n">
        <v>0.0319</v>
      </c>
    </row>
    <row r="851" customFormat="false" ht="15" hidden="false" customHeight="false" outlineLevel="0" collapsed="false">
      <c r="A851" s="28" t="s">
        <v>178</v>
      </c>
      <c r="B851" s="28" t="s">
        <v>179</v>
      </c>
      <c r="C851" s="28" t="s">
        <v>174</v>
      </c>
      <c r="D851" s="23" t="n">
        <v>3</v>
      </c>
      <c r="E851" s="23" t="n">
        <v>10</v>
      </c>
      <c r="F851" s="28" t="s">
        <v>911</v>
      </c>
      <c r="G851" s="19" t="n">
        <v>0.033</v>
      </c>
    </row>
    <row r="852" customFormat="false" ht="15" hidden="false" customHeight="false" outlineLevel="0" collapsed="false">
      <c r="A852" s="28" t="s">
        <v>178</v>
      </c>
      <c r="B852" s="28" t="s">
        <v>179</v>
      </c>
      <c r="C852" s="28" t="s">
        <v>174</v>
      </c>
      <c r="D852" s="23" t="n">
        <v>3</v>
      </c>
      <c r="E852" s="23" t="n">
        <v>10</v>
      </c>
      <c r="F852" s="28" t="s">
        <v>912</v>
      </c>
      <c r="G852" s="19" t="n">
        <v>0.0344</v>
      </c>
    </row>
    <row r="853" customFormat="false" ht="15" hidden="false" customHeight="false" outlineLevel="0" collapsed="false">
      <c r="A853" s="28" t="s">
        <v>178</v>
      </c>
      <c r="B853" s="28" t="s">
        <v>179</v>
      </c>
      <c r="C853" s="28" t="s">
        <v>174</v>
      </c>
      <c r="D853" s="23" t="n">
        <v>3</v>
      </c>
      <c r="E853" s="23" t="n">
        <v>10</v>
      </c>
      <c r="F853" s="28" t="s">
        <v>913</v>
      </c>
      <c r="G853" s="19" t="n">
        <v>0.0393</v>
      </c>
    </row>
    <row r="854" customFormat="false" ht="15" hidden="false" customHeight="false" outlineLevel="0" collapsed="false">
      <c r="A854" s="28" t="s">
        <v>178</v>
      </c>
      <c r="B854" s="28" t="s">
        <v>179</v>
      </c>
      <c r="C854" s="28" t="s">
        <v>174</v>
      </c>
      <c r="D854" s="23" t="n">
        <v>3</v>
      </c>
      <c r="E854" s="23" t="n">
        <v>10</v>
      </c>
      <c r="F854" s="28" t="s">
        <v>914</v>
      </c>
      <c r="G854" s="19" t="n">
        <v>0.0391</v>
      </c>
    </row>
    <row r="855" customFormat="false" ht="15" hidden="false" customHeight="false" outlineLevel="0" collapsed="false">
      <c r="A855" s="28" t="s">
        <v>178</v>
      </c>
      <c r="B855" s="28" t="s">
        <v>179</v>
      </c>
      <c r="C855" s="28" t="s">
        <v>174</v>
      </c>
      <c r="D855" s="23" t="n">
        <v>3</v>
      </c>
      <c r="E855" s="23" t="n">
        <v>10</v>
      </c>
      <c r="F855" s="28" t="s">
        <v>915</v>
      </c>
      <c r="G855" s="19" t="n">
        <v>0.0549</v>
      </c>
    </row>
    <row r="856" customFormat="false" ht="15" hidden="false" customHeight="false" outlineLevel="0" collapsed="false">
      <c r="A856" s="28" t="s">
        <v>178</v>
      </c>
      <c r="B856" s="28" t="s">
        <v>179</v>
      </c>
      <c r="C856" s="28" t="s">
        <v>174</v>
      </c>
      <c r="D856" s="23" t="n">
        <v>3</v>
      </c>
      <c r="E856" s="23" t="n">
        <v>11</v>
      </c>
      <c r="F856" s="28" t="s">
        <v>904</v>
      </c>
      <c r="G856" s="19" t="n">
        <v>0.0263</v>
      </c>
    </row>
    <row r="857" customFormat="false" ht="15" hidden="false" customHeight="false" outlineLevel="0" collapsed="false">
      <c r="A857" s="28" t="s">
        <v>178</v>
      </c>
      <c r="B857" s="28" t="s">
        <v>179</v>
      </c>
      <c r="C857" s="28" t="s">
        <v>174</v>
      </c>
      <c r="D857" s="23" t="n">
        <v>3</v>
      </c>
      <c r="E857" s="23" t="n">
        <v>11</v>
      </c>
      <c r="F857" s="28" t="s">
        <v>551</v>
      </c>
      <c r="G857" s="19" t="n">
        <v>0.0575</v>
      </c>
    </row>
    <row r="858" customFormat="false" ht="15" hidden="false" customHeight="false" outlineLevel="0" collapsed="false">
      <c r="A858" s="28" t="s">
        <v>178</v>
      </c>
      <c r="B858" s="28" t="s">
        <v>179</v>
      </c>
      <c r="C858" s="28" t="s">
        <v>174</v>
      </c>
      <c r="D858" s="23" t="n">
        <v>3</v>
      </c>
      <c r="E858" s="23" t="n">
        <v>11</v>
      </c>
      <c r="F858" s="28" t="s">
        <v>451</v>
      </c>
      <c r="G858" s="19" t="n">
        <v>0.0261</v>
      </c>
    </row>
    <row r="859" customFormat="false" ht="15" hidden="false" customHeight="false" outlineLevel="0" collapsed="false">
      <c r="A859" s="28" t="s">
        <v>178</v>
      </c>
      <c r="B859" s="28" t="s">
        <v>179</v>
      </c>
      <c r="C859" s="28" t="s">
        <v>174</v>
      </c>
      <c r="D859" s="23" t="n">
        <v>3</v>
      </c>
      <c r="E859" s="23" t="n">
        <v>11</v>
      </c>
      <c r="F859" s="28" t="s">
        <v>905</v>
      </c>
      <c r="G859" s="19" t="n">
        <v>0.0287</v>
      </c>
    </row>
    <row r="860" customFormat="false" ht="15" hidden="false" customHeight="false" outlineLevel="0" collapsed="false">
      <c r="A860" s="28" t="s">
        <v>178</v>
      </c>
      <c r="B860" s="28" t="s">
        <v>179</v>
      </c>
      <c r="C860" s="28" t="s">
        <v>174</v>
      </c>
      <c r="D860" s="23" t="n">
        <v>3</v>
      </c>
      <c r="E860" s="23" t="n">
        <v>11</v>
      </c>
      <c r="F860" s="28" t="s">
        <v>906</v>
      </c>
      <c r="G860" s="19" t="n">
        <v>0.0301</v>
      </c>
    </row>
    <row r="861" customFormat="false" ht="15" hidden="false" customHeight="false" outlineLevel="0" collapsed="false">
      <c r="A861" s="28" t="s">
        <v>178</v>
      </c>
      <c r="B861" s="28" t="s">
        <v>179</v>
      </c>
      <c r="C861" s="28" t="s">
        <v>174</v>
      </c>
      <c r="D861" s="23" t="n">
        <v>3</v>
      </c>
      <c r="E861" s="23" t="n">
        <v>11</v>
      </c>
      <c r="F861" s="28" t="s">
        <v>907</v>
      </c>
      <c r="G861" s="19" t="n">
        <v>0.0298</v>
      </c>
    </row>
    <row r="862" customFormat="false" ht="15" hidden="false" customHeight="false" outlineLevel="0" collapsed="false">
      <c r="A862" s="28" t="s">
        <v>178</v>
      </c>
      <c r="B862" s="28" t="s">
        <v>179</v>
      </c>
      <c r="C862" s="28" t="s">
        <v>174</v>
      </c>
      <c r="D862" s="23" t="n">
        <v>3</v>
      </c>
      <c r="E862" s="23" t="n">
        <v>11</v>
      </c>
      <c r="F862" s="28" t="s">
        <v>908</v>
      </c>
      <c r="G862" s="19" t="n">
        <v>0.0314</v>
      </c>
    </row>
    <row r="863" customFormat="false" ht="15" hidden="false" customHeight="false" outlineLevel="0" collapsed="false">
      <c r="A863" s="28" t="s">
        <v>178</v>
      </c>
      <c r="B863" s="28" t="s">
        <v>179</v>
      </c>
      <c r="C863" s="28" t="s">
        <v>174</v>
      </c>
      <c r="D863" s="23" t="n">
        <v>3</v>
      </c>
      <c r="E863" s="23" t="n">
        <v>11</v>
      </c>
      <c r="F863" s="28" t="s">
        <v>909</v>
      </c>
      <c r="G863" s="19" t="n">
        <v>0.0315</v>
      </c>
    </row>
    <row r="864" customFormat="false" ht="15" hidden="false" customHeight="false" outlineLevel="0" collapsed="false">
      <c r="A864" s="28" t="s">
        <v>178</v>
      </c>
      <c r="B864" s="28" t="s">
        <v>179</v>
      </c>
      <c r="C864" s="28" t="s">
        <v>174</v>
      </c>
      <c r="D864" s="23" t="n">
        <v>3</v>
      </c>
      <c r="E864" s="23" t="n">
        <v>11</v>
      </c>
      <c r="F864" s="28" t="s">
        <v>910</v>
      </c>
      <c r="G864" s="19" t="n">
        <v>0.0319</v>
      </c>
    </row>
    <row r="865" customFormat="false" ht="15" hidden="false" customHeight="false" outlineLevel="0" collapsed="false">
      <c r="A865" s="28" t="s">
        <v>178</v>
      </c>
      <c r="B865" s="28" t="s">
        <v>179</v>
      </c>
      <c r="C865" s="28" t="s">
        <v>174</v>
      </c>
      <c r="D865" s="23" t="n">
        <v>3</v>
      </c>
      <c r="E865" s="23" t="n">
        <v>11</v>
      </c>
      <c r="F865" s="28" t="s">
        <v>911</v>
      </c>
      <c r="G865" s="19" t="n">
        <v>0.033</v>
      </c>
    </row>
    <row r="866" customFormat="false" ht="15" hidden="false" customHeight="false" outlineLevel="0" collapsed="false">
      <c r="A866" s="28" t="s">
        <v>178</v>
      </c>
      <c r="B866" s="28" t="s">
        <v>179</v>
      </c>
      <c r="C866" s="28" t="s">
        <v>174</v>
      </c>
      <c r="D866" s="23" t="n">
        <v>3</v>
      </c>
      <c r="E866" s="23" t="n">
        <v>11</v>
      </c>
      <c r="F866" s="28" t="s">
        <v>912</v>
      </c>
      <c r="G866" s="19" t="n">
        <v>0.0344</v>
      </c>
    </row>
    <row r="867" customFormat="false" ht="15" hidden="false" customHeight="false" outlineLevel="0" collapsed="false">
      <c r="A867" s="28" t="s">
        <v>178</v>
      </c>
      <c r="B867" s="28" t="s">
        <v>179</v>
      </c>
      <c r="C867" s="28" t="s">
        <v>174</v>
      </c>
      <c r="D867" s="23" t="n">
        <v>3</v>
      </c>
      <c r="E867" s="23" t="n">
        <v>11</v>
      </c>
      <c r="F867" s="28" t="s">
        <v>913</v>
      </c>
      <c r="G867" s="19" t="n">
        <v>0.0393</v>
      </c>
    </row>
    <row r="868" customFormat="false" ht="15" hidden="false" customHeight="false" outlineLevel="0" collapsed="false">
      <c r="A868" s="28" t="s">
        <v>178</v>
      </c>
      <c r="B868" s="28" t="s">
        <v>179</v>
      </c>
      <c r="C868" s="28" t="s">
        <v>174</v>
      </c>
      <c r="D868" s="23" t="n">
        <v>3</v>
      </c>
      <c r="E868" s="23" t="n">
        <v>11</v>
      </c>
      <c r="F868" s="28" t="s">
        <v>914</v>
      </c>
      <c r="G868" s="19" t="n">
        <v>0.0391</v>
      </c>
    </row>
    <row r="869" customFormat="false" ht="15" hidden="false" customHeight="false" outlineLevel="0" collapsed="false">
      <c r="A869" s="28" t="s">
        <v>178</v>
      </c>
      <c r="B869" s="28" t="s">
        <v>179</v>
      </c>
      <c r="C869" s="28" t="s">
        <v>174</v>
      </c>
      <c r="D869" s="23" t="n">
        <v>3</v>
      </c>
      <c r="E869" s="23" t="n">
        <v>11</v>
      </c>
      <c r="F869" s="28" t="s">
        <v>915</v>
      </c>
      <c r="G869" s="19" t="n">
        <v>0.0549</v>
      </c>
    </row>
    <row r="870" customFormat="false" ht="15" hidden="false" customHeight="false" outlineLevel="0" collapsed="false">
      <c r="A870" s="28" t="s">
        <v>178</v>
      </c>
      <c r="B870" s="28" t="s">
        <v>179</v>
      </c>
      <c r="C870" s="28" t="s">
        <v>174</v>
      </c>
      <c r="D870" s="23" t="n">
        <v>3</v>
      </c>
      <c r="E870" s="23" t="n">
        <v>12</v>
      </c>
      <c r="F870" s="28" t="s">
        <v>904</v>
      </c>
      <c r="G870" s="19" t="n">
        <v>0.0263</v>
      </c>
    </row>
    <row r="871" customFormat="false" ht="15" hidden="false" customHeight="false" outlineLevel="0" collapsed="false">
      <c r="A871" s="28" t="s">
        <v>178</v>
      </c>
      <c r="B871" s="28" t="s">
        <v>179</v>
      </c>
      <c r="C871" s="28" t="s">
        <v>174</v>
      </c>
      <c r="D871" s="23" t="n">
        <v>3</v>
      </c>
      <c r="E871" s="23" t="n">
        <v>12</v>
      </c>
      <c r="F871" s="28" t="s">
        <v>551</v>
      </c>
      <c r="G871" s="19" t="n">
        <v>0.0575</v>
      </c>
    </row>
    <row r="872" customFormat="false" ht="15" hidden="false" customHeight="false" outlineLevel="0" collapsed="false">
      <c r="A872" s="28" t="s">
        <v>178</v>
      </c>
      <c r="B872" s="28" t="s">
        <v>179</v>
      </c>
      <c r="C872" s="28" t="s">
        <v>174</v>
      </c>
      <c r="D872" s="23" t="n">
        <v>3</v>
      </c>
      <c r="E872" s="23" t="n">
        <v>12</v>
      </c>
      <c r="F872" s="28" t="s">
        <v>451</v>
      </c>
      <c r="G872" s="19" t="n">
        <v>0.0261</v>
      </c>
    </row>
    <row r="873" customFormat="false" ht="15" hidden="false" customHeight="false" outlineLevel="0" collapsed="false">
      <c r="A873" s="28" t="s">
        <v>178</v>
      </c>
      <c r="B873" s="28" t="s">
        <v>179</v>
      </c>
      <c r="C873" s="28" t="s">
        <v>174</v>
      </c>
      <c r="D873" s="23" t="n">
        <v>3</v>
      </c>
      <c r="E873" s="23" t="n">
        <v>12</v>
      </c>
      <c r="F873" s="28" t="s">
        <v>905</v>
      </c>
      <c r="G873" s="19" t="n">
        <v>0.0287</v>
      </c>
    </row>
    <row r="874" customFormat="false" ht="15" hidden="false" customHeight="false" outlineLevel="0" collapsed="false">
      <c r="A874" s="28" t="s">
        <v>178</v>
      </c>
      <c r="B874" s="28" t="s">
        <v>179</v>
      </c>
      <c r="C874" s="28" t="s">
        <v>174</v>
      </c>
      <c r="D874" s="23" t="n">
        <v>3</v>
      </c>
      <c r="E874" s="23" t="n">
        <v>12</v>
      </c>
      <c r="F874" s="28" t="s">
        <v>906</v>
      </c>
      <c r="G874" s="19" t="n">
        <v>0.0301</v>
      </c>
    </row>
    <row r="875" customFormat="false" ht="15" hidden="false" customHeight="false" outlineLevel="0" collapsed="false">
      <c r="A875" s="28" t="s">
        <v>178</v>
      </c>
      <c r="B875" s="28" t="s">
        <v>179</v>
      </c>
      <c r="C875" s="28" t="s">
        <v>174</v>
      </c>
      <c r="D875" s="23" t="n">
        <v>3</v>
      </c>
      <c r="E875" s="23" t="n">
        <v>12</v>
      </c>
      <c r="F875" s="28" t="s">
        <v>907</v>
      </c>
      <c r="G875" s="19" t="n">
        <v>0.0298</v>
      </c>
    </row>
    <row r="876" customFormat="false" ht="15" hidden="false" customHeight="false" outlineLevel="0" collapsed="false">
      <c r="A876" s="28" t="s">
        <v>178</v>
      </c>
      <c r="B876" s="28" t="s">
        <v>179</v>
      </c>
      <c r="C876" s="28" t="s">
        <v>174</v>
      </c>
      <c r="D876" s="23" t="n">
        <v>3</v>
      </c>
      <c r="E876" s="23" t="n">
        <v>12</v>
      </c>
      <c r="F876" s="28" t="s">
        <v>908</v>
      </c>
      <c r="G876" s="19" t="n">
        <v>0.0314</v>
      </c>
    </row>
    <row r="877" customFormat="false" ht="15" hidden="false" customHeight="false" outlineLevel="0" collapsed="false">
      <c r="A877" s="28" t="s">
        <v>178</v>
      </c>
      <c r="B877" s="28" t="s">
        <v>179</v>
      </c>
      <c r="C877" s="28" t="s">
        <v>174</v>
      </c>
      <c r="D877" s="23" t="n">
        <v>3</v>
      </c>
      <c r="E877" s="23" t="n">
        <v>12</v>
      </c>
      <c r="F877" s="28" t="s">
        <v>909</v>
      </c>
      <c r="G877" s="19" t="n">
        <v>0.0315</v>
      </c>
    </row>
    <row r="878" customFormat="false" ht="15" hidden="false" customHeight="false" outlineLevel="0" collapsed="false">
      <c r="A878" s="28" t="s">
        <v>178</v>
      </c>
      <c r="B878" s="28" t="s">
        <v>179</v>
      </c>
      <c r="C878" s="28" t="s">
        <v>174</v>
      </c>
      <c r="D878" s="23" t="n">
        <v>3</v>
      </c>
      <c r="E878" s="23" t="n">
        <v>12</v>
      </c>
      <c r="F878" s="28" t="s">
        <v>910</v>
      </c>
      <c r="G878" s="19" t="n">
        <v>0.0319</v>
      </c>
    </row>
    <row r="879" customFormat="false" ht="15" hidden="false" customHeight="false" outlineLevel="0" collapsed="false">
      <c r="A879" s="28" t="s">
        <v>178</v>
      </c>
      <c r="B879" s="28" t="s">
        <v>179</v>
      </c>
      <c r="C879" s="28" t="s">
        <v>174</v>
      </c>
      <c r="D879" s="23" t="n">
        <v>3</v>
      </c>
      <c r="E879" s="23" t="n">
        <v>12</v>
      </c>
      <c r="F879" s="28" t="s">
        <v>911</v>
      </c>
      <c r="G879" s="19" t="n">
        <v>0.033</v>
      </c>
    </row>
    <row r="880" customFormat="false" ht="15" hidden="false" customHeight="false" outlineLevel="0" collapsed="false">
      <c r="A880" s="28" t="s">
        <v>178</v>
      </c>
      <c r="B880" s="28" t="s">
        <v>179</v>
      </c>
      <c r="C880" s="28" t="s">
        <v>174</v>
      </c>
      <c r="D880" s="23" t="n">
        <v>3</v>
      </c>
      <c r="E880" s="23" t="n">
        <v>12</v>
      </c>
      <c r="F880" s="28" t="s">
        <v>912</v>
      </c>
      <c r="G880" s="19" t="n">
        <v>0.0344</v>
      </c>
    </row>
    <row r="881" customFormat="false" ht="15" hidden="false" customHeight="false" outlineLevel="0" collapsed="false">
      <c r="A881" s="28" t="s">
        <v>178</v>
      </c>
      <c r="B881" s="28" t="s">
        <v>179</v>
      </c>
      <c r="C881" s="28" t="s">
        <v>174</v>
      </c>
      <c r="D881" s="23" t="n">
        <v>3</v>
      </c>
      <c r="E881" s="23" t="n">
        <v>12</v>
      </c>
      <c r="F881" s="28" t="s">
        <v>913</v>
      </c>
      <c r="G881" s="19" t="n">
        <v>0.0393</v>
      </c>
    </row>
    <row r="882" customFormat="false" ht="15" hidden="false" customHeight="false" outlineLevel="0" collapsed="false">
      <c r="A882" s="28" t="s">
        <v>178</v>
      </c>
      <c r="B882" s="28" t="s">
        <v>179</v>
      </c>
      <c r="C882" s="28" t="s">
        <v>174</v>
      </c>
      <c r="D882" s="23" t="n">
        <v>3</v>
      </c>
      <c r="E882" s="23" t="n">
        <v>12</v>
      </c>
      <c r="F882" s="28" t="s">
        <v>914</v>
      </c>
      <c r="G882" s="19" t="n">
        <v>0.0391</v>
      </c>
    </row>
    <row r="883" customFormat="false" ht="15" hidden="false" customHeight="false" outlineLevel="0" collapsed="false">
      <c r="A883" s="28" t="s">
        <v>178</v>
      </c>
      <c r="B883" s="28" t="s">
        <v>179</v>
      </c>
      <c r="C883" s="28" t="s">
        <v>174</v>
      </c>
      <c r="D883" s="23" t="n">
        <v>3</v>
      </c>
      <c r="E883" s="23" t="n">
        <v>12</v>
      </c>
      <c r="F883" s="28" t="s">
        <v>915</v>
      </c>
      <c r="G883" s="19" t="n">
        <v>0.0549</v>
      </c>
    </row>
    <row r="884" customFormat="false" ht="15" hidden="false" customHeight="false" outlineLevel="0" collapsed="false">
      <c r="A884" s="28" t="s">
        <v>178</v>
      </c>
      <c r="B884" s="28" t="s">
        <v>179</v>
      </c>
      <c r="C884" s="28" t="s">
        <v>174</v>
      </c>
      <c r="D884" s="23" t="n">
        <v>3</v>
      </c>
      <c r="E884" s="23" t="n">
        <v>13</v>
      </c>
      <c r="F884" s="28" t="s">
        <v>904</v>
      </c>
      <c r="G884" s="19" t="n">
        <v>0.0263</v>
      </c>
    </row>
    <row r="885" customFormat="false" ht="15" hidden="false" customHeight="false" outlineLevel="0" collapsed="false">
      <c r="A885" s="28" t="s">
        <v>178</v>
      </c>
      <c r="B885" s="28" t="s">
        <v>179</v>
      </c>
      <c r="C885" s="28" t="s">
        <v>174</v>
      </c>
      <c r="D885" s="23" t="n">
        <v>3</v>
      </c>
      <c r="E885" s="23" t="n">
        <v>13</v>
      </c>
      <c r="F885" s="28" t="s">
        <v>551</v>
      </c>
      <c r="G885" s="19" t="n">
        <v>0.0575</v>
      </c>
    </row>
    <row r="886" customFormat="false" ht="15" hidden="false" customHeight="false" outlineLevel="0" collapsed="false">
      <c r="A886" s="28" t="s">
        <v>178</v>
      </c>
      <c r="B886" s="28" t="s">
        <v>179</v>
      </c>
      <c r="C886" s="28" t="s">
        <v>174</v>
      </c>
      <c r="D886" s="23" t="n">
        <v>3</v>
      </c>
      <c r="E886" s="23" t="n">
        <v>13</v>
      </c>
      <c r="F886" s="28" t="s">
        <v>451</v>
      </c>
      <c r="G886" s="19" t="n">
        <v>0.0261</v>
      </c>
    </row>
    <row r="887" customFormat="false" ht="15" hidden="false" customHeight="false" outlineLevel="0" collapsed="false">
      <c r="A887" s="28" t="s">
        <v>178</v>
      </c>
      <c r="B887" s="28" t="s">
        <v>179</v>
      </c>
      <c r="C887" s="28" t="s">
        <v>174</v>
      </c>
      <c r="D887" s="23" t="n">
        <v>3</v>
      </c>
      <c r="E887" s="23" t="n">
        <v>13</v>
      </c>
      <c r="F887" s="28" t="s">
        <v>905</v>
      </c>
      <c r="G887" s="19" t="n">
        <v>0.0287</v>
      </c>
    </row>
    <row r="888" customFormat="false" ht="15" hidden="false" customHeight="false" outlineLevel="0" collapsed="false">
      <c r="A888" s="28" t="s">
        <v>178</v>
      </c>
      <c r="B888" s="28" t="s">
        <v>179</v>
      </c>
      <c r="C888" s="28" t="s">
        <v>174</v>
      </c>
      <c r="D888" s="23" t="n">
        <v>3</v>
      </c>
      <c r="E888" s="23" t="n">
        <v>13</v>
      </c>
      <c r="F888" s="28" t="s">
        <v>906</v>
      </c>
      <c r="G888" s="19" t="n">
        <v>0.0301</v>
      </c>
    </row>
    <row r="889" customFormat="false" ht="15" hidden="false" customHeight="false" outlineLevel="0" collapsed="false">
      <c r="A889" s="28" t="s">
        <v>178</v>
      </c>
      <c r="B889" s="28" t="s">
        <v>179</v>
      </c>
      <c r="C889" s="28" t="s">
        <v>174</v>
      </c>
      <c r="D889" s="23" t="n">
        <v>3</v>
      </c>
      <c r="E889" s="23" t="n">
        <v>13</v>
      </c>
      <c r="F889" s="28" t="s">
        <v>907</v>
      </c>
      <c r="G889" s="19" t="n">
        <v>0.0298</v>
      </c>
    </row>
    <row r="890" customFormat="false" ht="15" hidden="false" customHeight="false" outlineLevel="0" collapsed="false">
      <c r="A890" s="28" t="s">
        <v>178</v>
      </c>
      <c r="B890" s="28" t="s">
        <v>179</v>
      </c>
      <c r="C890" s="28" t="s">
        <v>174</v>
      </c>
      <c r="D890" s="23" t="n">
        <v>3</v>
      </c>
      <c r="E890" s="23" t="n">
        <v>13</v>
      </c>
      <c r="F890" s="28" t="s">
        <v>908</v>
      </c>
      <c r="G890" s="19" t="n">
        <v>0.0314</v>
      </c>
    </row>
    <row r="891" customFormat="false" ht="15" hidden="false" customHeight="false" outlineLevel="0" collapsed="false">
      <c r="A891" s="28" t="s">
        <v>178</v>
      </c>
      <c r="B891" s="28" t="s">
        <v>179</v>
      </c>
      <c r="C891" s="28" t="s">
        <v>174</v>
      </c>
      <c r="D891" s="23" t="n">
        <v>3</v>
      </c>
      <c r="E891" s="23" t="n">
        <v>13</v>
      </c>
      <c r="F891" s="28" t="s">
        <v>909</v>
      </c>
      <c r="G891" s="19" t="n">
        <v>0.0315</v>
      </c>
    </row>
    <row r="892" customFormat="false" ht="15" hidden="false" customHeight="false" outlineLevel="0" collapsed="false">
      <c r="A892" s="28" t="s">
        <v>178</v>
      </c>
      <c r="B892" s="28" t="s">
        <v>179</v>
      </c>
      <c r="C892" s="28" t="s">
        <v>174</v>
      </c>
      <c r="D892" s="23" t="n">
        <v>3</v>
      </c>
      <c r="E892" s="23" t="n">
        <v>13</v>
      </c>
      <c r="F892" s="28" t="s">
        <v>910</v>
      </c>
      <c r="G892" s="19" t="n">
        <v>0.0319</v>
      </c>
    </row>
    <row r="893" customFormat="false" ht="15" hidden="false" customHeight="false" outlineLevel="0" collapsed="false">
      <c r="A893" s="28" t="s">
        <v>178</v>
      </c>
      <c r="B893" s="28" t="s">
        <v>179</v>
      </c>
      <c r="C893" s="28" t="s">
        <v>174</v>
      </c>
      <c r="D893" s="23" t="n">
        <v>3</v>
      </c>
      <c r="E893" s="23" t="n">
        <v>13</v>
      </c>
      <c r="F893" s="28" t="s">
        <v>911</v>
      </c>
      <c r="G893" s="19" t="n">
        <v>0.033</v>
      </c>
    </row>
    <row r="894" customFormat="false" ht="15" hidden="false" customHeight="false" outlineLevel="0" collapsed="false">
      <c r="A894" s="28" t="s">
        <v>178</v>
      </c>
      <c r="B894" s="28" t="s">
        <v>179</v>
      </c>
      <c r="C894" s="28" t="s">
        <v>174</v>
      </c>
      <c r="D894" s="23" t="n">
        <v>3</v>
      </c>
      <c r="E894" s="23" t="n">
        <v>13</v>
      </c>
      <c r="F894" s="28" t="s">
        <v>912</v>
      </c>
      <c r="G894" s="19" t="n">
        <v>0.0344</v>
      </c>
    </row>
    <row r="895" customFormat="false" ht="15" hidden="false" customHeight="false" outlineLevel="0" collapsed="false">
      <c r="A895" s="28" t="s">
        <v>178</v>
      </c>
      <c r="B895" s="28" t="s">
        <v>179</v>
      </c>
      <c r="C895" s="28" t="s">
        <v>174</v>
      </c>
      <c r="D895" s="23" t="n">
        <v>3</v>
      </c>
      <c r="E895" s="23" t="n">
        <v>13</v>
      </c>
      <c r="F895" s="28" t="s">
        <v>913</v>
      </c>
      <c r="G895" s="19" t="n">
        <v>0.0393</v>
      </c>
    </row>
    <row r="896" customFormat="false" ht="15" hidden="false" customHeight="false" outlineLevel="0" collapsed="false">
      <c r="A896" s="28" t="s">
        <v>178</v>
      </c>
      <c r="B896" s="28" t="s">
        <v>179</v>
      </c>
      <c r="C896" s="28" t="s">
        <v>174</v>
      </c>
      <c r="D896" s="23" t="n">
        <v>3</v>
      </c>
      <c r="E896" s="23" t="n">
        <v>13</v>
      </c>
      <c r="F896" s="28" t="s">
        <v>914</v>
      </c>
      <c r="G896" s="19" t="n">
        <v>0.0391</v>
      </c>
    </row>
    <row r="897" customFormat="false" ht="15" hidden="false" customHeight="false" outlineLevel="0" collapsed="false">
      <c r="A897" s="28" t="s">
        <v>178</v>
      </c>
      <c r="B897" s="28" t="s">
        <v>179</v>
      </c>
      <c r="C897" s="28" t="s">
        <v>174</v>
      </c>
      <c r="D897" s="23" t="n">
        <v>3</v>
      </c>
      <c r="E897" s="23" t="n">
        <v>13</v>
      </c>
      <c r="F897" s="28" t="s">
        <v>915</v>
      </c>
      <c r="G897" s="19" t="n">
        <v>0.0549</v>
      </c>
    </row>
    <row r="898" customFormat="false" ht="15" hidden="false" customHeight="false" outlineLevel="0" collapsed="false">
      <c r="A898" s="28" t="s">
        <v>178</v>
      </c>
      <c r="B898" s="28" t="s">
        <v>179</v>
      </c>
      <c r="C898" s="28" t="s">
        <v>174</v>
      </c>
      <c r="D898" s="23" t="n">
        <v>3</v>
      </c>
      <c r="E898" s="23" t="n">
        <v>14</v>
      </c>
      <c r="F898" s="28" t="s">
        <v>904</v>
      </c>
      <c r="G898" s="19" t="n">
        <v>0.0263</v>
      </c>
    </row>
    <row r="899" customFormat="false" ht="15" hidden="false" customHeight="false" outlineLevel="0" collapsed="false">
      <c r="A899" s="28" t="s">
        <v>178</v>
      </c>
      <c r="B899" s="28" t="s">
        <v>179</v>
      </c>
      <c r="C899" s="28" t="s">
        <v>174</v>
      </c>
      <c r="D899" s="23" t="n">
        <v>3</v>
      </c>
      <c r="E899" s="23" t="n">
        <v>14</v>
      </c>
      <c r="F899" s="28" t="s">
        <v>551</v>
      </c>
      <c r="G899" s="19" t="n">
        <v>0.0575</v>
      </c>
    </row>
    <row r="900" customFormat="false" ht="15" hidden="false" customHeight="false" outlineLevel="0" collapsed="false">
      <c r="A900" s="28" t="s">
        <v>178</v>
      </c>
      <c r="B900" s="28" t="s">
        <v>179</v>
      </c>
      <c r="C900" s="28" t="s">
        <v>174</v>
      </c>
      <c r="D900" s="23" t="n">
        <v>3</v>
      </c>
      <c r="E900" s="23" t="n">
        <v>14</v>
      </c>
      <c r="F900" s="28" t="s">
        <v>451</v>
      </c>
      <c r="G900" s="19" t="n">
        <v>0.0261</v>
      </c>
    </row>
    <row r="901" customFormat="false" ht="15" hidden="false" customHeight="false" outlineLevel="0" collapsed="false">
      <c r="A901" s="28" t="s">
        <v>178</v>
      </c>
      <c r="B901" s="28" t="s">
        <v>179</v>
      </c>
      <c r="C901" s="28" t="s">
        <v>174</v>
      </c>
      <c r="D901" s="23" t="n">
        <v>3</v>
      </c>
      <c r="E901" s="23" t="n">
        <v>14</v>
      </c>
      <c r="F901" s="28" t="s">
        <v>905</v>
      </c>
      <c r="G901" s="19" t="n">
        <v>0.0287</v>
      </c>
    </row>
    <row r="902" customFormat="false" ht="15" hidden="false" customHeight="false" outlineLevel="0" collapsed="false">
      <c r="A902" s="28" t="s">
        <v>178</v>
      </c>
      <c r="B902" s="28" t="s">
        <v>179</v>
      </c>
      <c r="C902" s="28" t="s">
        <v>174</v>
      </c>
      <c r="D902" s="23" t="n">
        <v>3</v>
      </c>
      <c r="E902" s="23" t="n">
        <v>14</v>
      </c>
      <c r="F902" s="28" t="s">
        <v>906</v>
      </c>
      <c r="G902" s="19" t="n">
        <v>0.0301</v>
      </c>
    </row>
    <row r="903" customFormat="false" ht="15" hidden="false" customHeight="false" outlineLevel="0" collapsed="false">
      <c r="A903" s="28" t="s">
        <v>178</v>
      </c>
      <c r="B903" s="28" t="s">
        <v>179</v>
      </c>
      <c r="C903" s="28" t="s">
        <v>174</v>
      </c>
      <c r="D903" s="23" t="n">
        <v>3</v>
      </c>
      <c r="E903" s="23" t="n">
        <v>14</v>
      </c>
      <c r="F903" s="28" t="s">
        <v>907</v>
      </c>
      <c r="G903" s="19" t="n">
        <v>0.0298</v>
      </c>
    </row>
    <row r="904" customFormat="false" ht="15" hidden="false" customHeight="false" outlineLevel="0" collapsed="false">
      <c r="A904" s="28" t="s">
        <v>178</v>
      </c>
      <c r="B904" s="28" t="s">
        <v>179</v>
      </c>
      <c r="C904" s="28" t="s">
        <v>174</v>
      </c>
      <c r="D904" s="23" t="n">
        <v>3</v>
      </c>
      <c r="E904" s="23" t="n">
        <v>14</v>
      </c>
      <c r="F904" s="28" t="s">
        <v>908</v>
      </c>
      <c r="G904" s="19" t="n">
        <v>0.0314</v>
      </c>
    </row>
    <row r="905" customFormat="false" ht="15" hidden="false" customHeight="false" outlineLevel="0" collapsed="false">
      <c r="A905" s="28" t="s">
        <v>178</v>
      </c>
      <c r="B905" s="28" t="s">
        <v>179</v>
      </c>
      <c r="C905" s="28" t="s">
        <v>174</v>
      </c>
      <c r="D905" s="23" t="n">
        <v>3</v>
      </c>
      <c r="E905" s="23" t="n">
        <v>14</v>
      </c>
      <c r="F905" s="28" t="s">
        <v>909</v>
      </c>
      <c r="G905" s="19" t="n">
        <v>0.0315</v>
      </c>
    </row>
    <row r="906" customFormat="false" ht="15" hidden="false" customHeight="false" outlineLevel="0" collapsed="false">
      <c r="A906" s="28" t="s">
        <v>178</v>
      </c>
      <c r="B906" s="28" t="s">
        <v>179</v>
      </c>
      <c r="C906" s="28" t="s">
        <v>174</v>
      </c>
      <c r="D906" s="23" t="n">
        <v>3</v>
      </c>
      <c r="E906" s="23" t="n">
        <v>14</v>
      </c>
      <c r="F906" s="28" t="s">
        <v>910</v>
      </c>
      <c r="G906" s="19" t="n">
        <v>0.0319</v>
      </c>
    </row>
    <row r="907" customFormat="false" ht="15" hidden="false" customHeight="false" outlineLevel="0" collapsed="false">
      <c r="A907" s="28" t="s">
        <v>178</v>
      </c>
      <c r="B907" s="28" t="s">
        <v>179</v>
      </c>
      <c r="C907" s="28" t="s">
        <v>174</v>
      </c>
      <c r="D907" s="23" t="n">
        <v>3</v>
      </c>
      <c r="E907" s="23" t="n">
        <v>14</v>
      </c>
      <c r="F907" s="28" t="s">
        <v>911</v>
      </c>
      <c r="G907" s="19" t="n">
        <v>0.033</v>
      </c>
    </row>
    <row r="908" customFormat="false" ht="15" hidden="false" customHeight="false" outlineLevel="0" collapsed="false">
      <c r="A908" s="28" t="s">
        <v>178</v>
      </c>
      <c r="B908" s="28" t="s">
        <v>179</v>
      </c>
      <c r="C908" s="28" t="s">
        <v>174</v>
      </c>
      <c r="D908" s="23" t="n">
        <v>3</v>
      </c>
      <c r="E908" s="23" t="n">
        <v>14</v>
      </c>
      <c r="F908" s="28" t="s">
        <v>912</v>
      </c>
      <c r="G908" s="19" t="n">
        <v>0.0344</v>
      </c>
    </row>
    <row r="909" customFormat="false" ht="15" hidden="false" customHeight="false" outlineLevel="0" collapsed="false">
      <c r="A909" s="28" t="s">
        <v>178</v>
      </c>
      <c r="B909" s="28" t="s">
        <v>179</v>
      </c>
      <c r="C909" s="28" t="s">
        <v>174</v>
      </c>
      <c r="D909" s="23" t="n">
        <v>3</v>
      </c>
      <c r="E909" s="23" t="n">
        <v>14</v>
      </c>
      <c r="F909" s="28" t="s">
        <v>913</v>
      </c>
      <c r="G909" s="19" t="n">
        <v>0.0393</v>
      </c>
    </row>
    <row r="910" customFormat="false" ht="15" hidden="false" customHeight="false" outlineLevel="0" collapsed="false">
      <c r="A910" s="28" t="s">
        <v>178</v>
      </c>
      <c r="B910" s="28" t="s">
        <v>179</v>
      </c>
      <c r="C910" s="28" t="s">
        <v>174</v>
      </c>
      <c r="D910" s="23" t="n">
        <v>3</v>
      </c>
      <c r="E910" s="23" t="n">
        <v>14</v>
      </c>
      <c r="F910" s="28" t="s">
        <v>914</v>
      </c>
      <c r="G910" s="19" t="n">
        <v>0.0391</v>
      </c>
    </row>
    <row r="911" customFormat="false" ht="15" hidden="false" customHeight="false" outlineLevel="0" collapsed="false">
      <c r="A911" s="28" t="s">
        <v>178</v>
      </c>
      <c r="B911" s="28" t="s">
        <v>179</v>
      </c>
      <c r="C911" s="28" t="s">
        <v>174</v>
      </c>
      <c r="D911" s="23" t="n">
        <v>3</v>
      </c>
      <c r="E911" s="23" t="n">
        <v>14</v>
      </c>
      <c r="F911" s="28" t="s">
        <v>915</v>
      </c>
      <c r="G911" s="19" t="n">
        <v>0.0549</v>
      </c>
    </row>
    <row r="912" customFormat="false" ht="15" hidden="false" customHeight="false" outlineLevel="0" collapsed="false">
      <c r="A912" s="28" t="s">
        <v>178</v>
      </c>
      <c r="B912" s="28" t="s">
        <v>179</v>
      </c>
      <c r="C912" s="28" t="s">
        <v>174</v>
      </c>
      <c r="D912" s="23" t="n">
        <v>3</v>
      </c>
      <c r="E912" s="23" t="n">
        <v>15</v>
      </c>
      <c r="F912" s="28" t="s">
        <v>904</v>
      </c>
      <c r="G912" s="19" t="n">
        <v>0.0263</v>
      </c>
    </row>
    <row r="913" customFormat="false" ht="15" hidden="false" customHeight="false" outlineLevel="0" collapsed="false">
      <c r="A913" s="28" t="s">
        <v>178</v>
      </c>
      <c r="B913" s="28" t="s">
        <v>179</v>
      </c>
      <c r="C913" s="28" t="s">
        <v>174</v>
      </c>
      <c r="D913" s="23" t="n">
        <v>3</v>
      </c>
      <c r="E913" s="23" t="n">
        <v>15</v>
      </c>
      <c r="F913" s="28" t="s">
        <v>551</v>
      </c>
      <c r="G913" s="19" t="n">
        <v>0.0575</v>
      </c>
    </row>
    <row r="914" customFormat="false" ht="15" hidden="false" customHeight="false" outlineLevel="0" collapsed="false">
      <c r="A914" s="28" t="s">
        <v>178</v>
      </c>
      <c r="B914" s="28" t="s">
        <v>179</v>
      </c>
      <c r="C914" s="28" t="s">
        <v>174</v>
      </c>
      <c r="D914" s="23" t="n">
        <v>3</v>
      </c>
      <c r="E914" s="23" t="n">
        <v>15</v>
      </c>
      <c r="F914" s="28" t="s">
        <v>451</v>
      </c>
      <c r="G914" s="19" t="n">
        <v>0.0261</v>
      </c>
    </row>
    <row r="915" customFormat="false" ht="15" hidden="false" customHeight="false" outlineLevel="0" collapsed="false">
      <c r="A915" s="28" t="s">
        <v>178</v>
      </c>
      <c r="B915" s="28" t="s">
        <v>179</v>
      </c>
      <c r="C915" s="28" t="s">
        <v>174</v>
      </c>
      <c r="D915" s="23" t="n">
        <v>3</v>
      </c>
      <c r="E915" s="23" t="n">
        <v>15</v>
      </c>
      <c r="F915" s="28" t="s">
        <v>905</v>
      </c>
      <c r="G915" s="19" t="n">
        <v>0.0287</v>
      </c>
    </row>
    <row r="916" customFormat="false" ht="15" hidden="false" customHeight="false" outlineLevel="0" collapsed="false">
      <c r="A916" s="28" t="s">
        <v>178</v>
      </c>
      <c r="B916" s="28" t="s">
        <v>179</v>
      </c>
      <c r="C916" s="28" t="s">
        <v>174</v>
      </c>
      <c r="D916" s="23" t="n">
        <v>3</v>
      </c>
      <c r="E916" s="23" t="n">
        <v>15</v>
      </c>
      <c r="F916" s="28" t="s">
        <v>906</v>
      </c>
      <c r="G916" s="19" t="n">
        <v>0.0301</v>
      </c>
    </row>
    <row r="917" customFormat="false" ht="15" hidden="false" customHeight="false" outlineLevel="0" collapsed="false">
      <c r="A917" s="28" t="s">
        <v>178</v>
      </c>
      <c r="B917" s="28" t="s">
        <v>179</v>
      </c>
      <c r="C917" s="28" t="s">
        <v>174</v>
      </c>
      <c r="D917" s="23" t="n">
        <v>3</v>
      </c>
      <c r="E917" s="23" t="n">
        <v>15</v>
      </c>
      <c r="F917" s="28" t="s">
        <v>907</v>
      </c>
      <c r="G917" s="19" t="n">
        <v>0.0298</v>
      </c>
    </row>
    <row r="918" customFormat="false" ht="15" hidden="false" customHeight="false" outlineLevel="0" collapsed="false">
      <c r="A918" s="28" t="s">
        <v>178</v>
      </c>
      <c r="B918" s="28" t="s">
        <v>179</v>
      </c>
      <c r="C918" s="28" t="s">
        <v>174</v>
      </c>
      <c r="D918" s="23" t="n">
        <v>3</v>
      </c>
      <c r="E918" s="23" t="n">
        <v>15</v>
      </c>
      <c r="F918" s="28" t="s">
        <v>908</v>
      </c>
      <c r="G918" s="19" t="n">
        <v>0.0314</v>
      </c>
    </row>
    <row r="919" customFormat="false" ht="15" hidden="false" customHeight="false" outlineLevel="0" collapsed="false">
      <c r="A919" s="28" t="s">
        <v>178</v>
      </c>
      <c r="B919" s="28" t="s">
        <v>179</v>
      </c>
      <c r="C919" s="28" t="s">
        <v>174</v>
      </c>
      <c r="D919" s="23" t="n">
        <v>3</v>
      </c>
      <c r="E919" s="23" t="n">
        <v>15</v>
      </c>
      <c r="F919" s="28" t="s">
        <v>909</v>
      </c>
      <c r="G919" s="19" t="n">
        <v>0.0315</v>
      </c>
    </row>
    <row r="920" customFormat="false" ht="15" hidden="false" customHeight="false" outlineLevel="0" collapsed="false">
      <c r="A920" s="28" t="s">
        <v>178</v>
      </c>
      <c r="B920" s="28" t="s">
        <v>179</v>
      </c>
      <c r="C920" s="28" t="s">
        <v>174</v>
      </c>
      <c r="D920" s="23" t="n">
        <v>3</v>
      </c>
      <c r="E920" s="23" t="n">
        <v>15</v>
      </c>
      <c r="F920" s="28" t="s">
        <v>910</v>
      </c>
      <c r="G920" s="19" t="n">
        <v>0.0319</v>
      </c>
    </row>
    <row r="921" customFormat="false" ht="15" hidden="false" customHeight="false" outlineLevel="0" collapsed="false">
      <c r="A921" s="28" t="s">
        <v>178</v>
      </c>
      <c r="B921" s="28" t="s">
        <v>179</v>
      </c>
      <c r="C921" s="28" t="s">
        <v>174</v>
      </c>
      <c r="D921" s="23" t="n">
        <v>3</v>
      </c>
      <c r="E921" s="23" t="n">
        <v>15</v>
      </c>
      <c r="F921" s="28" t="s">
        <v>911</v>
      </c>
      <c r="G921" s="19" t="n">
        <v>0.033</v>
      </c>
    </row>
    <row r="922" customFormat="false" ht="15" hidden="false" customHeight="false" outlineLevel="0" collapsed="false">
      <c r="A922" s="28" t="s">
        <v>178</v>
      </c>
      <c r="B922" s="28" t="s">
        <v>179</v>
      </c>
      <c r="C922" s="28" t="s">
        <v>174</v>
      </c>
      <c r="D922" s="23" t="n">
        <v>3</v>
      </c>
      <c r="E922" s="23" t="n">
        <v>15</v>
      </c>
      <c r="F922" s="28" t="s">
        <v>912</v>
      </c>
      <c r="G922" s="19" t="n">
        <v>0.0344</v>
      </c>
    </row>
    <row r="923" customFormat="false" ht="15" hidden="false" customHeight="false" outlineLevel="0" collapsed="false">
      <c r="A923" s="28" t="s">
        <v>178</v>
      </c>
      <c r="B923" s="28" t="s">
        <v>179</v>
      </c>
      <c r="C923" s="28" t="s">
        <v>174</v>
      </c>
      <c r="D923" s="23" t="n">
        <v>3</v>
      </c>
      <c r="E923" s="23" t="n">
        <v>15</v>
      </c>
      <c r="F923" s="28" t="s">
        <v>913</v>
      </c>
      <c r="G923" s="19" t="n">
        <v>0.0393</v>
      </c>
    </row>
    <row r="924" customFormat="false" ht="15" hidden="false" customHeight="false" outlineLevel="0" collapsed="false">
      <c r="A924" s="28" t="s">
        <v>178</v>
      </c>
      <c r="B924" s="28" t="s">
        <v>179</v>
      </c>
      <c r="C924" s="28" t="s">
        <v>174</v>
      </c>
      <c r="D924" s="23" t="n">
        <v>3</v>
      </c>
      <c r="E924" s="23" t="n">
        <v>15</v>
      </c>
      <c r="F924" s="28" t="s">
        <v>914</v>
      </c>
      <c r="G924" s="19" t="n">
        <v>0.0391</v>
      </c>
    </row>
    <row r="925" customFormat="false" ht="15" hidden="false" customHeight="false" outlineLevel="0" collapsed="false">
      <c r="A925" s="28" t="s">
        <v>178</v>
      </c>
      <c r="B925" s="28" t="s">
        <v>179</v>
      </c>
      <c r="C925" s="28" t="s">
        <v>174</v>
      </c>
      <c r="D925" s="23" t="n">
        <v>3</v>
      </c>
      <c r="E925" s="23" t="n">
        <v>15</v>
      </c>
      <c r="F925" s="28" t="s">
        <v>915</v>
      </c>
      <c r="G925" s="19" t="n">
        <v>0.0549</v>
      </c>
    </row>
    <row r="926" customFormat="false" ht="15" hidden="false" customHeight="false" outlineLevel="0" collapsed="false">
      <c r="A926" s="28" t="s">
        <v>178</v>
      </c>
      <c r="B926" s="28" t="s">
        <v>179</v>
      </c>
      <c r="C926" s="28" t="s">
        <v>174</v>
      </c>
      <c r="D926" s="23" t="n">
        <v>3</v>
      </c>
      <c r="E926" s="23" t="n">
        <v>16</v>
      </c>
      <c r="F926" s="28" t="s">
        <v>904</v>
      </c>
      <c r="G926" s="19" t="n">
        <v>0.0263</v>
      </c>
    </row>
    <row r="927" customFormat="false" ht="15" hidden="false" customHeight="false" outlineLevel="0" collapsed="false">
      <c r="A927" s="28" t="s">
        <v>178</v>
      </c>
      <c r="B927" s="28" t="s">
        <v>179</v>
      </c>
      <c r="C927" s="28" t="s">
        <v>174</v>
      </c>
      <c r="D927" s="23" t="n">
        <v>3</v>
      </c>
      <c r="E927" s="23" t="n">
        <v>16</v>
      </c>
      <c r="F927" s="28" t="s">
        <v>551</v>
      </c>
      <c r="G927" s="19" t="n">
        <v>0.0575</v>
      </c>
    </row>
    <row r="928" customFormat="false" ht="15" hidden="false" customHeight="false" outlineLevel="0" collapsed="false">
      <c r="A928" s="28" t="s">
        <v>178</v>
      </c>
      <c r="B928" s="28" t="s">
        <v>179</v>
      </c>
      <c r="C928" s="28" t="s">
        <v>174</v>
      </c>
      <c r="D928" s="23" t="n">
        <v>3</v>
      </c>
      <c r="E928" s="23" t="n">
        <v>16</v>
      </c>
      <c r="F928" s="28" t="s">
        <v>451</v>
      </c>
      <c r="G928" s="19" t="n">
        <v>0.0261</v>
      </c>
    </row>
    <row r="929" customFormat="false" ht="15" hidden="false" customHeight="false" outlineLevel="0" collapsed="false">
      <c r="A929" s="28" t="s">
        <v>178</v>
      </c>
      <c r="B929" s="28" t="s">
        <v>179</v>
      </c>
      <c r="C929" s="28" t="s">
        <v>174</v>
      </c>
      <c r="D929" s="23" t="n">
        <v>3</v>
      </c>
      <c r="E929" s="23" t="n">
        <v>16</v>
      </c>
      <c r="F929" s="28" t="s">
        <v>905</v>
      </c>
      <c r="G929" s="19" t="n">
        <v>0.0287</v>
      </c>
    </row>
    <row r="930" customFormat="false" ht="15" hidden="false" customHeight="false" outlineLevel="0" collapsed="false">
      <c r="A930" s="28" t="s">
        <v>178</v>
      </c>
      <c r="B930" s="28" t="s">
        <v>179</v>
      </c>
      <c r="C930" s="28" t="s">
        <v>174</v>
      </c>
      <c r="D930" s="23" t="n">
        <v>3</v>
      </c>
      <c r="E930" s="23" t="n">
        <v>16</v>
      </c>
      <c r="F930" s="28" t="s">
        <v>906</v>
      </c>
      <c r="G930" s="19" t="n">
        <v>0.0301</v>
      </c>
    </row>
    <row r="931" customFormat="false" ht="15" hidden="false" customHeight="false" outlineLevel="0" collapsed="false">
      <c r="A931" s="28" t="s">
        <v>178</v>
      </c>
      <c r="B931" s="28" t="s">
        <v>179</v>
      </c>
      <c r="C931" s="28" t="s">
        <v>174</v>
      </c>
      <c r="D931" s="23" t="n">
        <v>3</v>
      </c>
      <c r="E931" s="23" t="n">
        <v>16</v>
      </c>
      <c r="F931" s="28" t="s">
        <v>907</v>
      </c>
      <c r="G931" s="19" t="n">
        <v>0.0298</v>
      </c>
    </row>
    <row r="932" customFormat="false" ht="15" hidden="false" customHeight="false" outlineLevel="0" collapsed="false">
      <c r="A932" s="28" t="s">
        <v>178</v>
      </c>
      <c r="B932" s="28" t="s">
        <v>179</v>
      </c>
      <c r="C932" s="28" t="s">
        <v>174</v>
      </c>
      <c r="D932" s="23" t="n">
        <v>3</v>
      </c>
      <c r="E932" s="23" t="n">
        <v>16</v>
      </c>
      <c r="F932" s="28" t="s">
        <v>908</v>
      </c>
      <c r="G932" s="19" t="n">
        <v>0.0314</v>
      </c>
    </row>
    <row r="933" customFormat="false" ht="15" hidden="false" customHeight="false" outlineLevel="0" collapsed="false">
      <c r="A933" s="28" t="s">
        <v>178</v>
      </c>
      <c r="B933" s="28" t="s">
        <v>179</v>
      </c>
      <c r="C933" s="28" t="s">
        <v>174</v>
      </c>
      <c r="D933" s="23" t="n">
        <v>3</v>
      </c>
      <c r="E933" s="23" t="n">
        <v>16</v>
      </c>
      <c r="F933" s="28" t="s">
        <v>909</v>
      </c>
      <c r="G933" s="19" t="n">
        <v>0.0315</v>
      </c>
    </row>
    <row r="934" customFormat="false" ht="15" hidden="false" customHeight="false" outlineLevel="0" collapsed="false">
      <c r="A934" s="28" t="s">
        <v>178</v>
      </c>
      <c r="B934" s="28" t="s">
        <v>179</v>
      </c>
      <c r="C934" s="28" t="s">
        <v>174</v>
      </c>
      <c r="D934" s="23" t="n">
        <v>3</v>
      </c>
      <c r="E934" s="23" t="n">
        <v>16</v>
      </c>
      <c r="F934" s="28" t="s">
        <v>910</v>
      </c>
      <c r="G934" s="19" t="n">
        <v>0.0319</v>
      </c>
    </row>
    <row r="935" customFormat="false" ht="15" hidden="false" customHeight="false" outlineLevel="0" collapsed="false">
      <c r="A935" s="28" t="s">
        <v>178</v>
      </c>
      <c r="B935" s="28" t="s">
        <v>179</v>
      </c>
      <c r="C935" s="28" t="s">
        <v>174</v>
      </c>
      <c r="D935" s="23" t="n">
        <v>3</v>
      </c>
      <c r="E935" s="23" t="n">
        <v>16</v>
      </c>
      <c r="F935" s="28" t="s">
        <v>911</v>
      </c>
      <c r="G935" s="19" t="n">
        <v>0.033</v>
      </c>
    </row>
    <row r="936" customFormat="false" ht="15" hidden="false" customHeight="false" outlineLevel="0" collapsed="false">
      <c r="A936" s="28" t="s">
        <v>178</v>
      </c>
      <c r="B936" s="28" t="s">
        <v>179</v>
      </c>
      <c r="C936" s="28" t="s">
        <v>174</v>
      </c>
      <c r="D936" s="23" t="n">
        <v>3</v>
      </c>
      <c r="E936" s="23" t="n">
        <v>16</v>
      </c>
      <c r="F936" s="28" t="s">
        <v>912</v>
      </c>
      <c r="G936" s="19" t="n">
        <v>0.0344</v>
      </c>
    </row>
    <row r="937" customFormat="false" ht="15" hidden="false" customHeight="false" outlineLevel="0" collapsed="false">
      <c r="A937" s="28" t="s">
        <v>178</v>
      </c>
      <c r="B937" s="28" t="s">
        <v>179</v>
      </c>
      <c r="C937" s="28" t="s">
        <v>174</v>
      </c>
      <c r="D937" s="23" t="n">
        <v>3</v>
      </c>
      <c r="E937" s="23" t="n">
        <v>16</v>
      </c>
      <c r="F937" s="28" t="s">
        <v>913</v>
      </c>
      <c r="G937" s="19" t="n">
        <v>0.0393</v>
      </c>
    </row>
    <row r="938" customFormat="false" ht="15" hidden="false" customHeight="false" outlineLevel="0" collapsed="false">
      <c r="A938" s="28" t="s">
        <v>178</v>
      </c>
      <c r="B938" s="28" t="s">
        <v>179</v>
      </c>
      <c r="C938" s="28" t="s">
        <v>174</v>
      </c>
      <c r="D938" s="23" t="n">
        <v>3</v>
      </c>
      <c r="E938" s="23" t="n">
        <v>16</v>
      </c>
      <c r="F938" s="28" t="s">
        <v>914</v>
      </c>
      <c r="G938" s="19" t="n">
        <v>0.0391</v>
      </c>
    </row>
    <row r="939" customFormat="false" ht="15" hidden="false" customHeight="false" outlineLevel="0" collapsed="false">
      <c r="A939" s="28" t="s">
        <v>178</v>
      </c>
      <c r="B939" s="28" t="s">
        <v>179</v>
      </c>
      <c r="C939" s="28" t="s">
        <v>174</v>
      </c>
      <c r="D939" s="23" t="n">
        <v>3</v>
      </c>
      <c r="E939" s="23" t="n">
        <v>16</v>
      </c>
      <c r="F939" s="28" t="s">
        <v>915</v>
      </c>
      <c r="G939" s="19" t="n">
        <v>0.0549</v>
      </c>
    </row>
    <row r="940" customFormat="false" ht="15" hidden="false" customHeight="false" outlineLevel="0" collapsed="false">
      <c r="A940" s="28" t="s">
        <v>178</v>
      </c>
      <c r="B940" s="28" t="s">
        <v>179</v>
      </c>
      <c r="C940" s="28" t="s">
        <v>174</v>
      </c>
      <c r="D940" s="23" t="n">
        <v>3</v>
      </c>
      <c r="E940" s="23" t="n">
        <v>17</v>
      </c>
      <c r="F940" s="28" t="s">
        <v>904</v>
      </c>
      <c r="G940" s="19" t="n">
        <v>0.0263</v>
      </c>
    </row>
    <row r="941" customFormat="false" ht="15" hidden="false" customHeight="false" outlineLevel="0" collapsed="false">
      <c r="A941" s="28" t="s">
        <v>178</v>
      </c>
      <c r="B941" s="28" t="s">
        <v>179</v>
      </c>
      <c r="C941" s="28" t="s">
        <v>174</v>
      </c>
      <c r="D941" s="23" t="n">
        <v>3</v>
      </c>
      <c r="E941" s="23" t="n">
        <v>17</v>
      </c>
      <c r="F941" s="28" t="s">
        <v>551</v>
      </c>
      <c r="G941" s="19" t="n">
        <v>0.0575</v>
      </c>
    </row>
    <row r="942" customFormat="false" ht="15" hidden="false" customHeight="false" outlineLevel="0" collapsed="false">
      <c r="A942" s="28" t="s">
        <v>178</v>
      </c>
      <c r="B942" s="28" t="s">
        <v>179</v>
      </c>
      <c r="C942" s="28" t="s">
        <v>174</v>
      </c>
      <c r="D942" s="23" t="n">
        <v>3</v>
      </c>
      <c r="E942" s="23" t="n">
        <v>17</v>
      </c>
      <c r="F942" s="28" t="s">
        <v>451</v>
      </c>
      <c r="G942" s="19" t="n">
        <v>0.0261</v>
      </c>
    </row>
    <row r="943" customFormat="false" ht="15" hidden="false" customHeight="false" outlineLevel="0" collapsed="false">
      <c r="A943" s="28" t="s">
        <v>178</v>
      </c>
      <c r="B943" s="28" t="s">
        <v>179</v>
      </c>
      <c r="C943" s="28" t="s">
        <v>174</v>
      </c>
      <c r="D943" s="23" t="n">
        <v>3</v>
      </c>
      <c r="E943" s="23" t="n">
        <v>17</v>
      </c>
      <c r="F943" s="28" t="s">
        <v>905</v>
      </c>
      <c r="G943" s="19" t="n">
        <v>0.0287</v>
      </c>
    </row>
    <row r="944" customFormat="false" ht="15" hidden="false" customHeight="false" outlineLevel="0" collapsed="false">
      <c r="A944" s="28" t="s">
        <v>178</v>
      </c>
      <c r="B944" s="28" t="s">
        <v>179</v>
      </c>
      <c r="C944" s="28" t="s">
        <v>174</v>
      </c>
      <c r="D944" s="23" t="n">
        <v>3</v>
      </c>
      <c r="E944" s="23" t="n">
        <v>17</v>
      </c>
      <c r="F944" s="28" t="s">
        <v>906</v>
      </c>
      <c r="G944" s="19" t="n">
        <v>0.0301</v>
      </c>
    </row>
    <row r="945" customFormat="false" ht="15" hidden="false" customHeight="false" outlineLevel="0" collapsed="false">
      <c r="A945" s="28" t="s">
        <v>178</v>
      </c>
      <c r="B945" s="28" t="s">
        <v>179</v>
      </c>
      <c r="C945" s="28" t="s">
        <v>174</v>
      </c>
      <c r="D945" s="23" t="n">
        <v>3</v>
      </c>
      <c r="E945" s="23" t="n">
        <v>17</v>
      </c>
      <c r="F945" s="28" t="s">
        <v>907</v>
      </c>
      <c r="G945" s="19" t="n">
        <v>0.0298</v>
      </c>
    </row>
    <row r="946" customFormat="false" ht="15" hidden="false" customHeight="false" outlineLevel="0" collapsed="false">
      <c r="A946" s="28" t="s">
        <v>178</v>
      </c>
      <c r="B946" s="28" t="s">
        <v>179</v>
      </c>
      <c r="C946" s="28" t="s">
        <v>174</v>
      </c>
      <c r="D946" s="23" t="n">
        <v>3</v>
      </c>
      <c r="E946" s="23" t="n">
        <v>17</v>
      </c>
      <c r="F946" s="28" t="s">
        <v>908</v>
      </c>
      <c r="G946" s="19" t="n">
        <v>0.0314</v>
      </c>
    </row>
    <row r="947" customFormat="false" ht="15" hidden="false" customHeight="false" outlineLevel="0" collapsed="false">
      <c r="A947" s="28" t="s">
        <v>178</v>
      </c>
      <c r="B947" s="28" t="s">
        <v>179</v>
      </c>
      <c r="C947" s="28" t="s">
        <v>174</v>
      </c>
      <c r="D947" s="23" t="n">
        <v>3</v>
      </c>
      <c r="E947" s="23" t="n">
        <v>17</v>
      </c>
      <c r="F947" s="28" t="s">
        <v>909</v>
      </c>
      <c r="G947" s="19" t="n">
        <v>0.0315</v>
      </c>
    </row>
    <row r="948" customFormat="false" ht="15" hidden="false" customHeight="false" outlineLevel="0" collapsed="false">
      <c r="A948" s="28" t="s">
        <v>178</v>
      </c>
      <c r="B948" s="28" t="s">
        <v>179</v>
      </c>
      <c r="C948" s="28" t="s">
        <v>174</v>
      </c>
      <c r="D948" s="23" t="n">
        <v>3</v>
      </c>
      <c r="E948" s="23" t="n">
        <v>17</v>
      </c>
      <c r="F948" s="28" t="s">
        <v>910</v>
      </c>
      <c r="G948" s="19" t="n">
        <v>0.0319</v>
      </c>
    </row>
    <row r="949" customFormat="false" ht="15" hidden="false" customHeight="false" outlineLevel="0" collapsed="false">
      <c r="A949" s="28" t="s">
        <v>178</v>
      </c>
      <c r="B949" s="28" t="s">
        <v>179</v>
      </c>
      <c r="C949" s="28" t="s">
        <v>174</v>
      </c>
      <c r="D949" s="23" t="n">
        <v>3</v>
      </c>
      <c r="E949" s="23" t="n">
        <v>17</v>
      </c>
      <c r="F949" s="28" t="s">
        <v>911</v>
      </c>
      <c r="G949" s="19" t="n">
        <v>0.033</v>
      </c>
    </row>
    <row r="950" customFormat="false" ht="15" hidden="false" customHeight="false" outlineLevel="0" collapsed="false">
      <c r="A950" s="28" t="s">
        <v>178</v>
      </c>
      <c r="B950" s="28" t="s">
        <v>179</v>
      </c>
      <c r="C950" s="28" t="s">
        <v>174</v>
      </c>
      <c r="D950" s="23" t="n">
        <v>3</v>
      </c>
      <c r="E950" s="23" t="n">
        <v>17</v>
      </c>
      <c r="F950" s="28" t="s">
        <v>912</v>
      </c>
      <c r="G950" s="19" t="n">
        <v>0.0344</v>
      </c>
    </row>
    <row r="951" customFormat="false" ht="15" hidden="false" customHeight="false" outlineLevel="0" collapsed="false">
      <c r="A951" s="28" t="s">
        <v>178</v>
      </c>
      <c r="B951" s="28" t="s">
        <v>179</v>
      </c>
      <c r="C951" s="28" t="s">
        <v>174</v>
      </c>
      <c r="D951" s="23" t="n">
        <v>3</v>
      </c>
      <c r="E951" s="23" t="n">
        <v>17</v>
      </c>
      <c r="F951" s="28" t="s">
        <v>913</v>
      </c>
      <c r="G951" s="19" t="n">
        <v>0.0393</v>
      </c>
    </row>
    <row r="952" customFormat="false" ht="15" hidden="false" customHeight="false" outlineLevel="0" collapsed="false">
      <c r="A952" s="28" t="s">
        <v>178</v>
      </c>
      <c r="B952" s="28" t="s">
        <v>179</v>
      </c>
      <c r="C952" s="28" t="s">
        <v>174</v>
      </c>
      <c r="D952" s="23" t="n">
        <v>3</v>
      </c>
      <c r="E952" s="23" t="n">
        <v>17</v>
      </c>
      <c r="F952" s="28" t="s">
        <v>914</v>
      </c>
      <c r="G952" s="19" t="n">
        <v>0.0391</v>
      </c>
    </row>
    <row r="953" customFormat="false" ht="15" hidden="false" customHeight="false" outlineLevel="0" collapsed="false">
      <c r="A953" s="28" t="s">
        <v>178</v>
      </c>
      <c r="B953" s="28" t="s">
        <v>179</v>
      </c>
      <c r="C953" s="28" t="s">
        <v>174</v>
      </c>
      <c r="D953" s="23" t="n">
        <v>3</v>
      </c>
      <c r="E953" s="23" t="n">
        <v>17</v>
      </c>
      <c r="F953" s="28" t="s">
        <v>915</v>
      </c>
      <c r="G953" s="19" t="n">
        <v>0.0549</v>
      </c>
    </row>
    <row r="954" customFormat="false" ht="15" hidden="false" customHeight="false" outlineLevel="0" collapsed="false">
      <c r="A954" s="28" t="s">
        <v>178</v>
      </c>
      <c r="B954" s="28" t="s">
        <v>179</v>
      </c>
      <c r="C954" s="28" t="s">
        <v>174</v>
      </c>
      <c r="D954" s="23" t="n">
        <v>3</v>
      </c>
      <c r="E954" s="23" t="n">
        <v>18</v>
      </c>
      <c r="F954" s="28" t="s">
        <v>904</v>
      </c>
      <c r="G954" s="19" t="n">
        <v>0.0263</v>
      </c>
    </row>
    <row r="955" customFormat="false" ht="15" hidden="false" customHeight="false" outlineLevel="0" collapsed="false">
      <c r="A955" s="28" t="s">
        <v>178</v>
      </c>
      <c r="B955" s="28" t="s">
        <v>179</v>
      </c>
      <c r="C955" s="28" t="s">
        <v>174</v>
      </c>
      <c r="D955" s="23" t="n">
        <v>3</v>
      </c>
      <c r="E955" s="23" t="n">
        <v>18</v>
      </c>
      <c r="F955" s="28" t="s">
        <v>551</v>
      </c>
      <c r="G955" s="19" t="n">
        <v>0.0575</v>
      </c>
    </row>
    <row r="956" customFormat="false" ht="15" hidden="false" customHeight="false" outlineLevel="0" collapsed="false">
      <c r="A956" s="28" t="s">
        <v>178</v>
      </c>
      <c r="B956" s="28" t="s">
        <v>179</v>
      </c>
      <c r="C956" s="28" t="s">
        <v>174</v>
      </c>
      <c r="D956" s="23" t="n">
        <v>3</v>
      </c>
      <c r="E956" s="23" t="n">
        <v>18</v>
      </c>
      <c r="F956" s="28" t="s">
        <v>451</v>
      </c>
      <c r="G956" s="19" t="n">
        <v>0.0261</v>
      </c>
    </row>
    <row r="957" customFormat="false" ht="15" hidden="false" customHeight="false" outlineLevel="0" collapsed="false">
      <c r="A957" s="28" t="s">
        <v>178</v>
      </c>
      <c r="B957" s="28" t="s">
        <v>179</v>
      </c>
      <c r="C957" s="28" t="s">
        <v>174</v>
      </c>
      <c r="D957" s="23" t="n">
        <v>3</v>
      </c>
      <c r="E957" s="23" t="n">
        <v>18</v>
      </c>
      <c r="F957" s="28" t="s">
        <v>905</v>
      </c>
      <c r="G957" s="19" t="n">
        <v>0.0287</v>
      </c>
    </row>
    <row r="958" customFormat="false" ht="15" hidden="false" customHeight="false" outlineLevel="0" collapsed="false">
      <c r="A958" s="28" t="s">
        <v>178</v>
      </c>
      <c r="B958" s="28" t="s">
        <v>179</v>
      </c>
      <c r="C958" s="28" t="s">
        <v>174</v>
      </c>
      <c r="D958" s="23" t="n">
        <v>3</v>
      </c>
      <c r="E958" s="23" t="n">
        <v>18</v>
      </c>
      <c r="F958" s="28" t="s">
        <v>906</v>
      </c>
      <c r="G958" s="19" t="n">
        <v>0.0301</v>
      </c>
    </row>
    <row r="959" customFormat="false" ht="15" hidden="false" customHeight="false" outlineLevel="0" collapsed="false">
      <c r="A959" s="28" t="s">
        <v>178</v>
      </c>
      <c r="B959" s="28" t="s">
        <v>179</v>
      </c>
      <c r="C959" s="28" t="s">
        <v>174</v>
      </c>
      <c r="D959" s="23" t="n">
        <v>3</v>
      </c>
      <c r="E959" s="23" t="n">
        <v>18</v>
      </c>
      <c r="F959" s="28" t="s">
        <v>907</v>
      </c>
      <c r="G959" s="19" t="n">
        <v>0.0298</v>
      </c>
    </row>
    <row r="960" customFormat="false" ht="15" hidden="false" customHeight="false" outlineLevel="0" collapsed="false">
      <c r="A960" s="28" t="s">
        <v>178</v>
      </c>
      <c r="B960" s="28" t="s">
        <v>179</v>
      </c>
      <c r="C960" s="28" t="s">
        <v>174</v>
      </c>
      <c r="D960" s="23" t="n">
        <v>3</v>
      </c>
      <c r="E960" s="23" t="n">
        <v>18</v>
      </c>
      <c r="F960" s="28" t="s">
        <v>908</v>
      </c>
      <c r="G960" s="19" t="n">
        <v>0.0314</v>
      </c>
    </row>
    <row r="961" customFormat="false" ht="15" hidden="false" customHeight="false" outlineLevel="0" collapsed="false">
      <c r="A961" s="28" t="s">
        <v>178</v>
      </c>
      <c r="B961" s="28" t="s">
        <v>179</v>
      </c>
      <c r="C961" s="28" t="s">
        <v>174</v>
      </c>
      <c r="D961" s="23" t="n">
        <v>3</v>
      </c>
      <c r="E961" s="23" t="n">
        <v>18</v>
      </c>
      <c r="F961" s="28" t="s">
        <v>909</v>
      </c>
      <c r="G961" s="19" t="n">
        <v>0.0315</v>
      </c>
    </row>
    <row r="962" customFormat="false" ht="15" hidden="false" customHeight="false" outlineLevel="0" collapsed="false">
      <c r="A962" s="28" t="s">
        <v>178</v>
      </c>
      <c r="B962" s="28" t="s">
        <v>179</v>
      </c>
      <c r="C962" s="28" t="s">
        <v>174</v>
      </c>
      <c r="D962" s="23" t="n">
        <v>3</v>
      </c>
      <c r="E962" s="23" t="n">
        <v>18</v>
      </c>
      <c r="F962" s="28" t="s">
        <v>910</v>
      </c>
      <c r="G962" s="19" t="n">
        <v>0.0319</v>
      </c>
    </row>
    <row r="963" customFormat="false" ht="15" hidden="false" customHeight="false" outlineLevel="0" collapsed="false">
      <c r="A963" s="28" t="s">
        <v>178</v>
      </c>
      <c r="B963" s="28" t="s">
        <v>179</v>
      </c>
      <c r="C963" s="28" t="s">
        <v>174</v>
      </c>
      <c r="D963" s="23" t="n">
        <v>3</v>
      </c>
      <c r="E963" s="23" t="n">
        <v>18</v>
      </c>
      <c r="F963" s="28" t="s">
        <v>911</v>
      </c>
      <c r="G963" s="19" t="n">
        <v>0.033</v>
      </c>
    </row>
    <row r="964" customFormat="false" ht="15" hidden="false" customHeight="false" outlineLevel="0" collapsed="false">
      <c r="A964" s="28" t="s">
        <v>178</v>
      </c>
      <c r="B964" s="28" t="s">
        <v>179</v>
      </c>
      <c r="C964" s="28" t="s">
        <v>174</v>
      </c>
      <c r="D964" s="23" t="n">
        <v>3</v>
      </c>
      <c r="E964" s="23" t="n">
        <v>18</v>
      </c>
      <c r="F964" s="28" t="s">
        <v>912</v>
      </c>
      <c r="G964" s="19" t="n">
        <v>0.0344</v>
      </c>
    </row>
    <row r="965" customFormat="false" ht="15" hidden="false" customHeight="false" outlineLevel="0" collapsed="false">
      <c r="A965" s="28" t="s">
        <v>178</v>
      </c>
      <c r="B965" s="28" t="s">
        <v>179</v>
      </c>
      <c r="C965" s="28" t="s">
        <v>174</v>
      </c>
      <c r="D965" s="23" t="n">
        <v>3</v>
      </c>
      <c r="E965" s="23" t="n">
        <v>18</v>
      </c>
      <c r="F965" s="28" t="s">
        <v>913</v>
      </c>
      <c r="G965" s="19" t="n">
        <v>0.0393</v>
      </c>
    </row>
    <row r="966" customFormat="false" ht="15" hidden="false" customHeight="false" outlineLevel="0" collapsed="false">
      <c r="A966" s="28" t="s">
        <v>178</v>
      </c>
      <c r="B966" s="28" t="s">
        <v>179</v>
      </c>
      <c r="C966" s="28" t="s">
        <v>174</v>
      </c>
      <c r="D966" s="23" t="n">
        <v>3</v>
      </c>
      <c r="E966" s="23" t="n">
        <v>18</v>
      </c>
      <c r="F966" s="28" t="s">
        <v>914</v>
      </c>
      <c r="G966" s="19" t="n">
        <v>0.0391</v>
      </c>
    </row>
    <row r="967" customFormat="false" ht="15" hidden="false" customHeight="false" outlineLevel="0" collapsed="false">
      <c r="A967" s="28" t="s">
        <v>178</v>
      </c>
      <c r="B967" s="28" t="s">
        <v>179</v>
      </c>
      <c r="C967" s="28" t="s">
        <v>174</v>
      </c>
      <c r="D967" s="23" t="n">
        <v>3</v>
      </c>
      <c r="E967" s="23" t="n">
        <v>18</v>
      </c>
      <c r="F967" s="28" t="s">
        <v>915</v>
      </c>
      <c r="G967" s="19" t="n">
        <v>0.0549</v>
      </c>
    </row>
    <row r="968" customFormat="false" ht="15" hidden="false" customHeight="false" outlineLevel="0" collapsed="false">
      <c r="A968" s="28" t="s">
        <v>178</v>
      </c>
      <c r="B968" s="28" t="s">
        <v>179</v>
      </c>
      <c r="C968" s="28" t="s">
        <v>174</v>
      </c>
      <c r="D968" s="23" t="n">
        <v>3</v>
      </c>
      <c r="E968" s="23" t="n">
        <v>19</v>
      </c>
      <c r="F968" s="28" t="s">
        <v>904</v>
      </c>
      <c r="G968" s="19" t="n">
        <v>0.0263</v>
      </c>
    </row>
    <row r="969" customFormat="false" ht="15" hidden="false" customHeight="false" outlineLevel="0" collapsed="false">
      <c r="A969" s="28" t="s">
        <v>178</v>
      </c>
      <c r="B969" s="28" t="s">
        <v>179</v>
      </c>
      <c r="C969" s="28" t="s">
        <v>174</v>
      </c>
      <c r="D969" s="23" t="n">
        <v>3</v>
      </c>
      <c r="E969" s="23" t="n">
        <v>19</v>
      </c>
      <c r="F969" s="28" t="s">
        <v>551</v>
      </c>
      <c r="G969" s="19" t="n">
        <v>0.0575</v>
      </c>
    </row>
    <row r="970" customFormat="false" ht="15" hidden="false" customHeight="false" outlineLevel="0" collapsed="false">
      <c r="A970" s="28" t="s">
        <v>178</v>
      </c>
      <c r="B970" s="28" t="s">
        <v>179</v>
      </c>
      <c r="C970" s="28" t="s">
        <v>174</v>
      </c>
      <c r="D970" s="23" t="n">
        <v>3</v>
      </c>
      <c r="E970" s="23" t="n">
        <v>19</v>
      </c>
      <c r="F970" s="28" t="s">
        <v>451</v>
      </c>
      <c r="G970" s="19" t="n">
        <v>0.0261</v>
      </c>
    </row>
    <row r="971" customFormat="false" ht="15" hidden="false" customHeight="false" outlineLevel="0" collapsed="false">
      <c r="A971" s="28" t="s">
        <v>178</v>
      </c>
      <c r="B971" s="28" t="s">
        <v>179</v>
      </c>
      <c r="C971" s="28" t="s">
        <v>174</v>
      </c>
      <c r="D971" s="23" t="n">
        <v>3</v>
      </c>
      <c r="E971" s="23" t="n">
        <v>19</v>
      </c>
      <c r="F971" s="28" t="s">
        <v>905</v>
      </c>
      <c r="G971" s="19" t="n">
        <v>0.0287</v>
      </c>
    </row>
    <row r="972" customFormat="false" ht="15" hidden="false" customHeight="false" outlineLevel="0" collapsed="false">
      <c r="A972" s="28" t="s">
        <v>178</v>
      </c>
      <c r="B972" s="28" t="s">
        <v>179</v>
      </c>
      <c r="C972" s="28" t="s">
        <v>174</v>
      </c>
      <c r="D972" s="23" t="n">
        <v>3</v>
      </c>
      <c r="E972" s="23" t="n">
        <v>19</v>
      </c>
      <c r="F972" s="28" t="s">
        <v>906</v>
      </c>
      <c r="G972" s="19" t="n">
        <v>0.0301</v>
      </c>
    </row>
    <row r="973" customFormat="false" ht="15" hidden="false" customHeight="false" outlineLevel="0" collapsed="false">
      <c r="A973" s="28" t="s">
        <v>178</v>
      </c>
      <c r="B973" s="28" t="s">
        <v>179</v>
      </c>
      <c r="C973" s="28" t="s">
        <v>174</v>
      </c>
      <c r="D973" s="23" t="n">
        <v>3</v>
      </c>
      <c r="E973" s="23" t="n">
        <v>19</v>
      </c>
      <c r="F973" s="28" t="s">
        <v>907</v>
      </c>
      <c r="G973" s="19" t="n">
        <v>0.0298</v>
      </c>
    </row>
    <row r="974" customFormat="false" ht="15" hidden="false" customHeight="false" outlineLevel="0" collapsed="false">
      <c r="A974" s="28" t="s">
        <v>178</v>
      </c>
      <c r="B974" s="28" t="s">
        <v>179</v>
      </c>
      <c r="C974" s="28" t="s">
        <v>174</v>
      </c>
      <c r="D974" s="23" t="n">
        <v>3</v>
      </c>
      <c r="E974" s="23" t="n">
        <v>19</v>
      </c>
      <c r="F974" s="28" t="s">
        <v>908</v>
      </c>
      <c r="G974" s="19" t="n">
        <v>0.0314</v>
      </c>
    </row>
    <row r="975" customFormat="false" ht="15" hidden="false" customHeight="false" outlineLevel="0" collapsed="false">
      <c r="A975" s="28" t="s">
        <v>178</v>
      </c>
      <c r="B975" s="28" t="s">
        <v>179</v>
      </c>
      <c r="C975" s="28" t="s">
        <v>174</v>
      </c>
      <c r="D975" s="23" t="n">
        <v>3</v>
      </c>
      <c r="E975" s="23" t="n">
        <v>19</v>
      </c>
      <c r="F975" s="28" t="s">
        <v>909</v>
      </c>
      <c r="G975" s="19" t="n">
        <v>0.0315</v>
      </c>
    </row>
    <row r="976" customFormat="false" ht="15" hidden="false" customHeight="false" outlineLevel="0" collapsed="false">
      <c r="A976" s="28" t="s">
        <v>178</v>
      </c>
      <c r="B976" s="28" t="s">
        <v>179</v>
      </c>
      <c r="C976" s="28" t="s">
        <v>174</v>
      </c>
      <c r="D976" s="23" t="n">
        <v>3</v>
      </c>
      <c r="E976" s="23" t="n">
        <v>19</v>
      </c>
      <c r="F976" s="28" t="s">
        <v>910</v>
      </c>
      <c r="G976" s="19" t="n">
        <v>0.0319</v>
      </c>
    </row>
    <row r="977" customFormat="false" ht="15" hidden="false" customHeight="false" outlineLevel="0" collapsed="false">
      <c r="A977" s="28" t="s">
        <v>178</v>
      </c>
      <c r="B977" s="28" t="s">
        <v>179</v>
      </c>
      <c r="C977" s="28" t="s">
        <v>174</v>
      </c>
      <c r="D977" s="23" t="n">
        <v>3</v>
      </c>
      <c r="E977" s="23" t="n">
        <v>19</v>
      </c>
      <c r="F977" s="28" t="s">
        <v>911</v>
      </c>
      <c r="G977" s="19" t="n">
        <v>0.033</v>
      </c>
    </row>
    <row r="978" customFormat="false" ht="15" hidden="false" customHeight="false" outlineLevel="0" collapsed="false">
      <c r="A978" s="28" t="s">
        <v>178</v>
      </c>
      <c r="B978" s="28" t="s">
        <v>179</v>
      </c>
      <c r="C978" s="28" t="s">
        <v>174</v>
      </c>
      <c r="D978" s="23" t="n">
        <v>3</v>
      </c>
      <c r="E978" s="23" t="n">
        <v>19</v>
      </c>
      <c r="F978" s="28" t="s">
        <v>912</v>
      </c>
      <c r="G978" s="19" t="n">
        <v>0.0344</v>
      </c>
    </row>
    <row r="979" customFormat="false" ht="15" hidden="false" customHeight="false" outlineLevel="0" collapsed="false">
      <c r="A979" s="28" t="s">
        <v>178</v>
      </c>
      <c r="B979" s="28" t="s">
        <v>179</v>
      </c>
      <c r="C979" s="28" t="s">
        <v>174</v>
      </c>
      <c r="D979" s="23" t="n">
        <v>3</v>
      </c>
      <c r="E979" s="23" t="n">
        <v>19</v>
      </c>
      <c r="F979" s="28" t="s">
        <v>913</v>
      </c>
      <c r="G979" s="19" t="n">
        <v>0.0393</v>
      </c>
    </row>
    <row r="980" customFormat="false" ht="15" hidden="false" customHeight="false" outlineLevel="0" collapsed="false">
      <c r="A980" s="28" t="s">
        <v>178</v>
      </c>
      <c r="B980" s="28" t="s">
        <v>179</v>
      </c>
      <c r="C980" s="28" t="s">
        <v>174</v>
      </c>
      <c r="D980" s="23" t="n">
        <v>3</v>
      </c>
      <c r="E980" s="23" t="n">
        <v>19</v>
      </c>
      <c r="F980" s="28" t="s">
        <v>914</v>
      </c>
      <c r="G980" s="19" t="n">
        <v>0.0391</v>
      </c>
    </row>
    <row r="981" customFormat="false" ht="15" hidden="false" customHeight="false" outlineLevel="0" collapsed="false">
      <c r="A981" s="28" t="s">
        <v>178</v>
      </c>
      <c r="B981" s="28" t="s">
        <v>179</v>
      </c>
      <c r="C981" s="28" t="s">
        <v>174</v>
      </c>
      <c r="D981" s="23" t="n">
        <v>3</v>
      </c>
      <c r="E981" s="23" t="n">
        <v>19</v>
      </c>
      <c r="F981" s="28" t="s">
        <v>915</v>
      </c>
      <c r="G981" s="19" t="n">
        <v>0.0549</v>
      </c>
    </row>
    <row r="982" customFormat="false" ht="15" hidden="false" customHeight="false" outlineLevel="0" collapsed="false">
      <c r="A982" s="28" t="s">
        <v>178</v>
      </c>
      <c r="B982" s="28" t="s">
        <v>179</v>
      </c>
      <c r="C982" s="28" t="s">
        <v>174</v>
      </c>
      <c r="D982" s="23" t="n">
        <v>3</v>
      </c>
      <c r="E982" s="23" t="n">
        <v>20</v>
      </c>
      <c r="F982" s="28" t="s">
        <v>904</v>
      </c>
      <c r="G982" s="19" t="n">
        <v>0.0263</v>
      </c>
    </row>
    <row r="983" customFormat="false" ht="15" hidden="false" customHeight="false" outlineLevel="0" collapsed="false">
      <c r="A983" s="28" t="s">
        <v>178</v>
      </c>
      <c r="B983" s="28" t="s">
        <v>179</v>
      </c>
      <c r="C983" s="28" t="s">
        <v>174</v>
      </c>
      <c r="D983" s="23" t="n">
        <v>3</v>
      </c>
      <c r="E983" s="23" t="n">
        <v>20</v>
      </c>
      <c r="F983" s="28" t="s">
        <v>551</v>
      </c>
      <c r="G983" s="19" t="n">
        <v>0.0575</v>
      </c>
    </row>
    <row r="984" customFormat="false" ht="15" hidden="false" customHeight="false" outlineLevel="0" collapsed="false">
      <c r="A984" s="28" t="s">
        <v>178</v>
      </c>
      <c r="B984" s="28" t="s">
        <v>179</v>
      </c>
      <c r="C984" s="28" t="s">
        <v>174</v>
      </c>
      <c r="D984" s="23" t="n">
        <v>3</v>
      </c>
      <c r="E984" s="23" t="n">
        <v>20</v>
      </c>
      <c r="F984" s="28" t="s">
        <v>451</v>
      </c>
      <c r="G984" s="19" t="n">
        <v>0.0261</v>
      </c>
    </row>
    <row r="985" customFormat="false" ht="15" hidden="false" customHeight="false" outlineLevel="0" collapsed="false">
      <c r="A985" s="28" t="s">
        <v>178</v>
      </c>
      <c r="B985" s="28" t="s">
        <v>179</v>
      </c>
      <c r="C985" s="28" t="s">
        <v>174</v>
      </c>
      <c r="D985" s="23" t="n">
        <v>3</v>
      </c>
      <c r="E985" s="23" t="n">
        <v>20</v>
      </c>
      <c r="F985" s="28" t="s">
        <v>905</v>
      </c>
      <c r="G985" s="19" t="n">
        <v>0.0287</v>
      </c>
    </row>
    <row r="986" customFormat="false" ht="15" hidden="false" customHeight="false" outlineLevel="0" collapsed="false">
      <c r="A986" s="28" t="s">
        <v>178</v>
      </c>
      <c r="B986" s="28" t="s">
        <v>179</v>
      </c>
      <c r="C986" s="28" t="s">
        <v>174</v>
      </c>
      <c r="D986" s="23" t="n">
        <v>3</v>
      </c>
      <c r="E986" s="23" t="n">
        <v>20</v>
      </c>
      <c r="F986" s="28" t="s">
        <v>906</v>
      </c>
      <c r="G986" s="19" t="n">
        <v>0.0301</v>
      </c>
    </row>
    <row r="987" customFormat="false" ht="15" hidden="false" customHeight="false" outlineLevel="0" collapsed="false">
      <c r="A987" s="28" t="s">
        <v>178</v>
      </c>
      <c r="B987" s="28" t="s">
        <v>179</v>
      </c>
      <c r="C987" s="28" t="s">
        <v>174</v>
      </c>
      <c r="D987" s="23" t="n">
        <v>3</v>
      </c>
      <c r="E987" s="23" t="n">
        <v>20</v>
      </c>
      <c r="F987" s="28" t="s">
        <v>907</v>
      </c>
      <c r="G987" s="19" t="n">
        <v>0.0298</v>
      </c>
    </row>
    <row r="988" customFormat="false" ht="15" hidden="false" customHeight="false" outlineLevel="0" collapsed="false">
      <c r="A988" s="28" t="s">
        <v>178</v>
      </c>
      <c r="B988" s="28" t="s">
        <v>179</v>
      </c>
      <c r="C988" s="28" t="s">
        <v>174</v>
      </c>
      <c r="D988" s="23" t="n">
        <v>3</v>
      </c>
      <c r="E988" s="23" t="n">
        <v>20</v>
      </c>
      <c r="F988" s="28" t="s">
        <v>908</v>
      </c>
      <c r="G988" s="19" t="n">
        <v>0.0314</v>
      </c>
    </row>
    <row r="989" customFormat="false" ht="15" hidden="false" customHeight="false" outlineLevel="0" collapsed="false">
      <c r="A989" s="28" t="s">
        <v>178</v>
      </c>
      <c r="B989" s="28" t="s">
        <v>179</v>
      </c>
      <c r="C989" s="28" t="s">
        <v>174</v>
      </c>
      <c r="D989" s="23" t="n">
        <v>3</v>
      </c>
      <c r="E989" s="23" t="n">
        <v>20</v>
      </c>
      <c r="F989" s="28" t="s">
        <v>909</v>
      </c>
      <c r="G989" s="19" t="n">
        <v>0.0315</v>
      </c>
    </row>
    <row r="990" customFormat="false" ht="15" hidden="false" customHeight="false" outlineLevel="0" collapsed="false">
      <c r="A990" s="28" t="s">
        <v>178</v>
      </c>
      <c r="B990" s="28" t="s">
        <v>179</v>
      </c>
      <c r="C990" s="28" t="s">
        <v>174</v>
      </c>
      <c r="D990" s="23" t="n">
        <v>3</v>
      </c>
      <c r="E990" s="23" t="n">
        <v>20</v>
      </c>
      <c r="F990" s="28" t="s">
        <v>910</v>
      </c>
      <c r="G990" s="19" t="n">
        <v>0.0319</v>
      </c>
    </row>
    <row r="991" customFormat="false" ht="15" hidden="false" customHeight="false" outlineLevel="0" collapsed="false">
      <c r="A991" s="28" t="s">
        <v>178</v>
      </c>
      <c r="B991" s="28" t="s">
        <v>179</v>
      </c>
      <c r="C991" s="28" t="s">
        <v>174</v>
      </c>
      <c r="D991" s="23" t="n">
        <v>3</v>
      </c>
      <c r="E991" s="23" t="n">
        <v>20</v>
      </c>
      <c r="F991" s="28" t="s">
        <v>911</v>
      </c>
      <c r="G991" s="19" t="n">
        <v>0.033</v>
      </c>
    </row>
    <row r="992" customFormat="false" ht="15" hidden="false" customHeight="false" outlineLevel="0" collapsed="false">
      <c r="A992" s="28" t="s">
        <v>178</v>
      </c>
      <c r="B992" s="28" t="s">
        <v>179</v>
      </c>
      <c r="C992" s="28" t="s">
        <v>174</v>
      </c>
      <c r="D992" s="23" t="n">
        <v>3</v>
      </c>
      <c r="E992" s="23" t="n">
        <v>20</v>
      </c>
      <c r="F992" s="28" t="s">
        <v>912</v>
      </c>
      <c r="G992" s="19" t="n">
        <v>0.0344</v>
      </c>
    </row>
    <row r="993" customFormat="false" ht="15" hidden="false" customHeight="false" outlineLevel="0" collapsed="false">
      <c r="A993" s="28" t="s">
        <v>178</v>
      </c>
      <c r="B993" s="28" t="s">
        <v>179</v>
      </c>
      <c r="C993" s="28" t="s">
        <v>174</v>
      </c>
      <c r="D993" s="23" t="n">
        <v>3</v>
      </c>
      <c r="E993" s="23" t="n">
        <v>20</v>
      </c>
      <c r="F993" s="28" t="s">
        <v>913</v>
      </c>
      <c r="G993" s="19" t="n">
        <v>0.0393</v>
      </c>
    </row>
    <row r="994" customFormat="false" ht="15" hidden="false" customHeight="false" outlineLevel="0" collapsed="false">
      <c r="A994" s="28" t="s">
        <v>178</v>
      </c>
      <c r="B994" s="28" t="s">
        <v>179</v>
      </c>
      <c r="C994" s="28" t="s">
        <v>174</v>
      </c>
      <c r="D994" s="23" t="n">
        <v>3</v>
      </c>
      <c r="E994" s="23" t="n">
        <v>20</v>
      </c>
      <c r="F994" s="28" t="s">
        <v>914</v>
      </c>
      <c r="G994" s="19" t="n">
        <v>0.0391</v>
      </c>
    </row>
    <row r="995" customFormat="false" ht="15" hidden="false" customHeight="false" outlineLevel="0" collapsed="false">
      <c r="A995" s="28" t="s">
        <v>178</v>
      </c>
      <c r="B995" s="28" t="s">
        <v>179</v>
      </c>
      <c r="C995" s="28" t="s">
        <v>174</v>
      </c>
      <c r="D995" s="23" t="n">
        <v>3</v>
      </c>
      <c r="E995" s="23" t="n">
        <v>20</v>
      </c>
      <c r="F995" s="28" t="s">
        <v>915</v>
      </c>
      <c r="G995" s="19" t="n">
        <v>0.0549</v>
      </c>
    </row>
    <row r="996" customFormat="false" ht="15" hidden="false" customHeight="false" outlineLevel="0" collapsed="false">
      <c r="A996" s="28" t="s">
        <v>178</v>
      </c>
      <c r="B996" s="28" t="s">
        <v>179</v>
      </c>
      <c r="C996" s="28" t="s">
        <v>174</v>
      </c>
      <c r="D996" s="23" t="n">
        <v>3</v>
      </c>
      <c r="E996" s="23" t="n">
        <v>21</v>
      </c>
      <c r="F996" s="28" t="s">
        <v>904</v>
      </c>
      <c r="G996" s="19" t="n">
        <v>0.0263</v>
      </c>
    </row>
    <row r="997" customFormat="false" ht="15" hidden="false" customHeight="false" outlineLevel="0" collapsed="false">
      <c r="A997" s="28" t="s">
        <v>178</v>
      </c>
      <c r="B997" s="28" t="s">
        <v>179</v>
      </c>
      <c r="C997" s="28" t="s">
        <v>174</v>
      </c>
      <c r="D997" s="23" t="n">
        <v>3</v>
      </c>
      <c r="E997" s="23" t="n">
        <v>21</v>
      </c>
      <c r="F997" s="28" t="s">
        <v>551</v>
      </c>
      <c r="G997" s="19" t="n">
        <v>0.0575</v>
      </c>
    </row>
    <row r="998" customFormat="false" ht="15" hidden="false" customHeight="false" outlineLevel="0" collapsed="false">
      <c r="A998" s="28" t="s">
        <v>178</v>
      </c>
      <c r="B998" s="28" t="s">
        <v>179</v>
      </c>
      <c r="C998" s="28" t="s">
        <v>174</v>
      </c>
      <c r="D998" s="23" t="n">
        <v>3</v>
      </c>
      <c r="E998" s="23" t="n">
        <v>21</v>
      </c>
      <c r="F998" s="28" t="s">
        <v>451</v>
      </c>
      <c r="G998" s="19" t="n">
        <v>0.0261</v>
      </c>
    </row>
    <row r="999" customFormat="false" ht="15" hidden="false" customHeight="false" outlineLevel="0" collapsed="false">
      <c r="A999" s="28" t="s">
        <v>178</v>
      </c>
      <c r="B999" s="28" t="s">
        <v>179</v>
      </c>
      <c r="C999" s="28" t="s">
        <v>174</v>
      </c>
      <c r="D999" s="23" t="n">
        <v>3</v>
      </c>
      <c r="E999" s="23" t="n">
        <v>21</v>
      </c>
      <c r="F999" s="28" t="s">
        <v>905</v>
      </c>
      <c r="G999" s="19" t="n">
        <v>0.0287</v>
      </c>
    </row>
    <row r="1000" customFormat="false" ht="15" hidden="false" customHeight="false" outlineLevel="0" collapsed="false">
      <c r="A1000" s="28" t="s">
        <v>178</v>
      </c>
      <c r="B1000" s="28" t="s">
        <v>179</v>
      </c>
      <c r="C1000" s="28" t="s">
        <v>174</v>
      </c>
      <c r="D1000" s="23" t="n">
        <v>3</v>
      </c>
      <c r="E1000" s="23" t="n">
        <v>21</v>
      </c>
      <c r="F1000" s="28" t="s">
        <v>906</v>
      </c>
      <c r="G1000" s="19" t="n">
        <v>0.0301</v>
      </c>
    </row>
    <row r="1001" customFormat="false" ht="15" hidden="false" customHeight="false" outlineLevel="0" collapsed="false">
      <c r="A1001" s="28" t="s">
        <v>178</v>
      </c>
      <c r="B1001" s="28" t="s">
        <v>179</v>
      </c>
      <c r="C1001" s="28" t="s">
        <v>174</v>
      </c>
      <c r="D1001" s="23" t="n">
        <v>3</v>
      </c>
      <c r="E1001" s="23" t="n">
        <v>21</v>
      </c>
      <c r="F1001" s="28" t="s">
        <v>907</v>
      </c>
      <c r="G1001" s="19" t="n">
        <v>0.0298</v>
      </c>
    </row>
    <row r="1002" customFormat="false" ht="15" hidden="false" customHeight="false" outlineLevel="0" collapsed="false">
      <c r="A1002" s="28" t="s">
        <v>178</v>
      </c>
      <c r="B1002" s="28" t="s">
        <v>179</v>
      </c>
      <c r="C1002" s="28" t="s">
        <v>174</v>
      </c>
      <c r="D1002" s="23" t="n">
        <v>3</v>
      </c>
      <c r="E1002" s="23" t="n">
        <v>21</v>
      </c>
      <c r="F1002" s="28" t="s">
        <v>908</v>
      </c>
      <c r="G1002" s="19" t="n">
        <v>0.0314</v>
      </c>
    </row>
    <row r="1003" customFormat="false" ht="15" hidden="false" customHeight="false" outlineLevel="0" collapsed="false">
      <c r="A1003" s="28" t="s">
        <v>178</v>
      </c>
      <c r="B1003" s="28" t="s">
        <v>179</v>
      </c>
      <c r="C1003" s="28" t="s">
        <v>174</v>
      </c>
      <c r="D1003" s="23" t="n">
        <v>3</v>
      </c>
      <c r="E1003" s="23" t="n">
        <v>21</v>
      </c>
      <c r="F1003" s="28" t="s">
        <v>909</v>
      </c>
      <c r="G1003" s="19" t="n">
        <v>0.0315</v>
      </c>
    </row>
    <row r="1004" customFormat="false" ht="15" hidden="false" customHeight="false" outlineLevel="0" collapsed="false">
      <c r="A1004" s="28" t="s">
        <v>178</v>
      </c>
      <c r="B1004" s="28" t="s">
        <v>179</v>
      </c>
      <c r="C1004" s="28" t="s">
        <v>174</v>
      </c>
      <c r="D1004" s="23" t="n">
        <v>3</v>
      </c>
      <c r="E1004" s="23" t="n">
        <v>21</v>
      </c>
      <c r="F1004" s="28" t="s">
        <v>910</v>
      </c>
      <c r="G1004" s="19" t="n">
        <v>0.0319</v>
      </c>
    </row>
    <row r="1005" customFormat="false" ht="15" hidden="false" customHeight="false" outlineLevel="0" collapsed="false">
      <c r="A1005" s="28" t="s">
        <v>178</v>
      </c>
      <c r="B1005" s="28" t="s">
        <v>179</v>
      </c>
      <c r="C1005" s="28" t="s">
        <v>174</v>
      </c>
      <c r="D1005" s="23" t="n">
        <v>3</v>
      </c>
      <c r="E1005" s="23" t="n">
        <v>21</v>
      </c>
      <c r="F1005" s="28" t="s">
        <v>911</v>
      </c>
      <c r="G1005" s="19" t="n">
        <v>0.033</v>
      </c>
    </row>
    <row r="1006" customFormat="false" ht="15" hidden="false" customHeight="false" outlineLevel="0" collapsed="false">
      <c r="A1006" s="28" t="s">
        <v>178</v>
      </c>
      <c r="B1006" s="28" t="s">
        <v>179</v>
      </c>
      <c r="C1006" s="28" t="s">
        <v>174</v>
      </c>
      <c r="D1006" s="23" t="n">
        <v>3</v>
      </c>
      <c r="E1006" s="23" t="n">
        <v>21</v>
      </c>
      <c r="F1006" s="28" t="s">
        <v>912</v>
      </c>
      <c r="G1006" s="19" t="n">
        <v>0.0344</v>
      </c>
    </row>
    <row r="1007" customFormat="false" ht="15" hidden="false" customHeight="false" outlineLevel="0" collapsed="false">
      <c r="A1007" s="28" t="s">
        <v>178</v>
      </c>
      <c r="B1007" s="28" t="s">
        <v>179</v>
      </c>
      <c r="C1007" s="28" t="s">
        <v>174</v>
      </c>
      <c r="D1007" s="23" t="n">
        <v>3</v>
      </c>
      <c r="E1007" s="23" t="n">
        <v>21</v>
      </c>
      <c r="F1007" s="28" t="s">
        <v>913</v>
      </c>
      <c r="G1007" s="19" t="n">
        <v>0.0393</v>
      </c>
    </row>
    <row r="1008" customFormat="false" ht="15" hidden="false" customHeight="false" outlineLevel="0" collapsed="false">
      <c r="A1008" s="28" t="s">
        <v>178</v>
      </c>
      <c r="B1008" s="28" t="s">
        <v>179</v>
      </c>
      <c r="C1008" s="28" t="s">
        <v>174</v>
      </c>
      <c r="D1008" s="23" t="n">
        <v>3</v>
      </c>
      <c r="E1008" s="23" t="n">
        <v>21</v>
      </c>
      <c r="F1008" s="28" t="s">
        <v>914</v>
      </c>
      <c r="G1008" s="19" t="n">
        <v>0.0391</v>
      </c>
    </row>
    <row r="1009" customFormat="false" ht="15" hidden="false" customHeight="false" outlineLevel="0" collapsed="false">
      <c r="A1009" s="28" t="s">
        <v>178</v>
      </c>
      <c r="B1009" s="28" t="s">
        <v>179</v>
      </c>
      <c r="C1009" s="28" t="s">
        <v>174</v>
      </c>
      <c r="D1009" s="23" t="n">
        <v>3</v>
      </c>
      <c r="E1009" s="23" t="n">
        <v>21</v>
      </c>
      <c r="F1009" s="28" t="s">
        <v>915</v>
      </c>
      <c r="G1009" s="19" t="n">
        <v>0.0549</v>
      </c>
    </row>
    <row r="1010" customFormat="false" ht="15" hidden="false" customHeight="false" outlineLevel="0" collapsed="false">
      <c r="A1010" s="28" t="s">
        <v>178</v>
      </c>
      <c r="B1010" s="28" t="s">
        <v>179</v>
      </c>
      <c r="C1010" s="28" t="s">
        <v>174</v>
      </c>
      <c r="D1010" s="23" t="n">
        <v>3</v>
      </c>
      <c r="E1010" s="23" t="n">
        <v>22</v>
      </c>
      <c r="F1010" s="28" t="s">
        <v>904</v>
      </c>
      <c r="G1010" s="19" t="n">
        <v>0.0263</v>
      </c>
    </row>
    <row r="1011" customFormat="false" ht="15" hidden="false" customHeight="false" outlineLevel="0" collapsed="false">
      <c r="A1011" s="28" t="s">
        <v>178</v>
      </c>
      <c r="B1011" s="28" t="s">
        <v>179</v>
      </c>
      <c r="C1011" s="28" t="s">
        <v>174</v>
      </c>
      <c r="D1011" s="23" t="n">
        <v>3</v>
      </c>
      <c r="E1011" s="23" t="n">
        <v>22</v>
      </c>
      <c r="F1011" s="28" t="s">
        <v>551</v>
      </c>
      <c r="G1011" s="19" t="n">
        <v>0.0575</v>
      </c>
    </row>
    <row r="1012" customFormat="false" ht="15" hidden="false" customHeight="false" outlineLevel="0" collapsed="false">
      <c r="A1012" s="28" t="s">
        <v>178</v>
      </c>
      <c r="B1012" s="28" t="s">
        <v>179</v>
      </c>
      <c r="C1012" s="28" t="s">
        <v>174</v>
      </c>
      <c r="D1012" s="23" t="n">
        <v>3</v>
      </c>
      <c r="E1012" s="23" t="n">
        <v>22</v>
      </c>
      <c r="F1012" s="28" t="s">
        <v>451</v>
      </c>
      <c r="G1012" s="19" t="n">
        <v>0.0261</v>
      </c>
    </row>
    <row r="1013" customFormat="false" ht="15" hidden="false" customHeight="false" outlineLevel="0" collapsed="false">
      <c r="A1013" s="28" t="s">
        <v>178</v>
      </c>
      <c r="B1013" s="28" t="s">
        <v>179</v>
      </c>
      <c r="C1013" s="28" t="s">
        <v>174</v>
      </c>
      <c r="D1013" s="23" t="n">
        <v>3</v>
      </c>
      <c r="E1013" s="23" t="n">
        <v>22</v>
      </c>
      <c r="F1013" s="28" t="s">
        <v>905</v>
      </c>
      <c r="G1013" s="19" t="n">
        <v>0.0287</v>
      </c>
    </row>
    <row r="1014" customFormat="false" ht="15" hidden="false" customHeight="false" outlineLevel="0" collapsed="false">
      <c r="A1014" s="28" t="s">
        <v>178</v>
      </c>
      <c r="B1014" s="28" t="s">
        <v>179</v>
      </c>
      <c r="C1014" s="28" t="s">
        <v>174</v>
      </c>
      <c r="D1014" s="23" t="n">
        <v>3</v>
      </c>
      <c r="E1014" s="23" t="n">
        <v>22</v>
      </c>
      <c r="F1014" s="28" t="s">
        <v>906</v>
      </c>
      <c r="G1014" s="19" t="n">
        <v>0.0301</v>
      </c>
    </row>
    <row r="1015" customFormat="false" ht="15" hidden="false" customHeight="false" outlineLevel="0" collapsed="false">
      <c r="A1015" s="28" t="s">
        <v>178</v>
      </c>
      <c r="B1015" s="28" t="s">
        <v>179</v>
      </c>
      <c r="C1015" s="28" t="s">
        <v>174</v>
      </c>
      <c r="D1015" s="23" t="n">
        <v>3</v>
      </c>
      <c r="E1015" s="23" t="n">
        <v>22</v>
      </c>
      <c r="F1015" s="28" t="s">
        <v>907</v>
      </c>
      <c r="G1015" s="19" t="n">
        <v>0.0298</v>
      </c>
    </row>
    <row r="1016" customFormat="false" ht="15" hidden="false" customHeight="false" outlineLevel="0" collapsed="false">
      <c r="A1016" s="28" t="s">
        <v>178</v>
      </c>
      <c r="B1016" s="28" t="s">
        <v>179</v>
      </c>
      <c r="C1016" s="28" t="s">
        <v>174</v>
      </c>
      <c r="D1016" s="23" t="n">
        <v>3</v>
      </c>
      <c r="E1016" s="23" t="n">
        <v>22</v>
      </c>
      <c r="F1016" s="28" t="s">
        <v>908</v>
      </c>
      <c r="G1016" s="19" t="n">
        <v>0.0314</v>
      </c>
    </row>
    <row r="1017" customFormat="false" ht="15" hidden="false" customHeight="false" outlineLevel="0" collapsed="false">
      <c r="A1017" s="28" t="s">
        <v>178</v>
      </c>
      <c r="B1017" s="28" t="s">
        <v>179</v>
      </c>
      <c r="C1017" s="28" t="s">
        <v>174</v>
      </c>
      <c r="D1017" s="23" t="n">
        <v>3</v>
      </c>
      <c r="E1017" s="23" t="n">
        <v>22</v>
      </c>
      <c r="F1017" s="28" t="s">
        <v>909</v>
      </c>
      <c r="G1017" s="19" t="n">
        <v>0.0315</v>
      </c>
    </row>
    <row r="1018" customFormat="false" ht="15" hidden="false" customHeight="false" outlineLevel="0" collapsed="false">
      <c r="A1018" s="28" t="s">
        <v>178</v>
      </c>
      <c r="B1018" s="28" t="s">
        <v>179</v>
      </c>
      <c r="C1018" s="28" t="s">
        <v>174</v>
      </c>
      <c r="D1018" s="23" t="n">
        <v>3</v>
      </c>
      <c r="E1018" s="23" t="n">
        <v>22</v>
      </c>
      <c r="F1018" s="28" t="s">
        <v>910</v>
      </c>
      <c r="G1018" s="19" t="n">
        <v>0.0319</v>
      </c>
    </row>
    <row r="1019" customFormat="false" ht="15" hidden="false" customHeight="false" outlineLevel="0" collapsed="false">
      <c r="A1019" s="28" t="s">
        <v>178</v>
      </c>
      <c r="B1019" s="28" t="s">
        <v>179</v>
      </c>
      <c r="C1019" s="28" t="s">
        <v>174</v>
      </c>
      <c r="D1019" s="23" t="n">
        <v>3</v>
      </c>
      <c r="E1019" s="23" t="n">
        <v>22</v>
      </c>
      <c r="F1019" s="28" t="s">
        <v>911</v>
      </c>
      <c r="G1019" s="19" t="n">
        <v>0.033</v>
      </c>
    </row>
    <row r="1020" customFormat="false" ht="15" hidden="false" customHeight="false" outlineLevel="0" collapsed="false">
      <c r="A1020" s="28" t="s">
        <v>178</v>
      </c>
      <c r="B1020" s="28" t="s">
        <v>179</v>
      </c>
      <c r="C1020" s="28" t="s">
        <v>174</v>
      </c>
      <c r="D1020" s="23" t="n">
        <v>3</v>
      </c>
      <c r="E1020" s="23" t="n">
        <v>22</v>
      </c>
      <c r="F1020" s="28" t="s">
        <v>912</v>
      </c>
      <c r="G1020" s="19" t="n">
        <v>0.0344</v>
      </c>
    </row>
    <row r="1021" customFormat="false" ht="15" hidden="false" customHeight="false" outlineLevel="0" collapsed="false">
      <c r="A1021" s="28" t="s">
        <v>178</v>
      </c>
      <c r="B1021" s="28" t="s">
        <v>179</v>
      </c>
      <c r="C1021" s="28" t="s">
        <v>174</v>
      </c>
      <c r="D1021" s="23" t="n">
        <v>3</v>
      </c>
      <c r="E1021" s="23" t="n">
        <v>22</v>
      </c>
      <c r="F1021" s="28" t="s">
        <v>913</v>
      </c>
      <c r="G1021" s="19" t="n">
        <v>0.0393</v>
      </c>
    </row>
    <row r="1022" customFormat="false" ht="15" hidden="false" customHeight="false" outlineLevel="0" collapsed="false">
      <c r="A1022" s="28" t="s">
        <v>178</v>
      </c>
      <c r="B1022" s="28" t="s">
        <v>179</v>
      </c>
      <c r="C1022" s="28" t="s">
        <v>174</v>
      </c>
      <c r="D1022" s="23" t="n">
        <v>3</v>
      </c>
      <c r="E1022" s="23" t="n">
        <v>22</v>
      </c>
      <c r="F1022" s="28" t="s">
        <v>914</v>
      </c>
      <c r="G1022" s="19" t="n">
        <v>0.0391</v>
      </c>
    </row>
    <row r="1023" customFormat="false" ht="15" hidden="false" customHeight="false" outlineLevel="0" collapsed="false">
      <c r="A1023" s="28" t="s">
        <v>178</v>
      </c>
      <c r="B1023" s="28" t="s">
        <v>179</v>
      </c>
      <c r="C1023" s="28" t="s">
        <v>174</v>
      </c>
      <c r="D1023" s="23" t="n">
        <v>3</v>
      </c>
      <c r="E1023" s="23" t="n">
        <v>22</v>
      </c>
      <c r="F1023" s="28" t="s">
        <v>915</v>
      </c>
      <c r="G1023" s="19" t="n">
        <v>0.0549</v>
      </c>
    </row>
    <row r="1024" customFormat="false" ht="15" hidden="false" customHeight="false" outlineLevel="0" collapsed="false">
      <c r="A1024" s="28" t="s">
        <v>178</v>
      </c>
      <c r="B1024" s="28" t="s">
        <v>179</v>
      </c>
      <c r="C1024" s="28" t="s">
        <v>174</v>
      </c>
      <c r="D1024" s="23" t="n">
        <v>3</v>
      </c>
      <c r="E1024" s="23" t="n">
        <v>23</v>
      </c>
      <c r="F1024" s="28" t="s">
        <v>904</v>
      </c>
      <c r="G1024" s="19" t="n">
        <v>0.0263</v>
      </c>
    </row>
    <row r="1025" customFormat="false" ht="15" hidden="false" customHeight="false" outlineLevel="0" collapsed="false">
      <c r="A1025" s="28" t="s">
        <v>178</v>
      </c>
      <c r="B1025" s="28" t="s">
        <v>179</v>
      </c>
      <c r="C1025" s="28" t="s">
        <v>174</v>
      </c>
      <c r="D1025" s="23" t="n">
        <v>3</v>
      </c>
      <c r="E1025" s="23" t="n">
        <v>23</v>
      </c>
      <c r="F1025" s="28" t="s">
        <v>551</v>
      </c>
      <c r="G1025" s="19" t="n">
        <v>0.0575</v>
      </c>
    </row>
    <row r="1026" customFormat="false" ht="15" hidden="false" customHeight="false" outlineLevel="0" collapsed="false">
      <c r="A1026" s="28" t="s">
        <v>178</v>
      </c>
      <c r="B1026" s="28" t="s">
        <v>179</v>
      </c>
      <c r="C1026" s="28" t="s">
        <v>174</v>
      </c>
      <c r="D1026" s="23" t="n">
        <v>3</v>
      </c>
      <c r="E1026" s="23" t="n">
        <v>23</v>
      </c>
      <c r="F1026" s="28" t="s">
        <v>451</v>
      </c>
      <c r="G1026" s="19" t="n">
        <v>0.0261</v>
      </c>
    </row>
    <row r="1027" customFormat="false" ht="15" hidden="false" customHeight="false" outlineLevel="0" collapsed="false">
      <c r="A1027" s="28" t="s">
        <v>178</v>
      </c>
      <c r="B1027" s="28" t="s">
        <v>179</v>
      </c>
      <c r="C1027" s="28" t="s">
        <v>174</v>
      </c>
      <c r="D1027" s="23" t="n">
        <v>3</v>
      </c>
      <c r="E1027" s="23" t="n">
        <v>23</v>
      </c>
      <c r="F1027" s="28" t="s">
        <v>905</v>
      </c>
      <c r="G1027" s="19" t="n">
        <v>0.0287</v>
      </c>
    </row>
    <row r="1028" customFormat="false" ht="15" hidden="false" customHeight="false" outlineLevel="0" collapsed="false">
      <c r="A1028" s="28" t="s">
        <v>178</v>
      </c>
      <c r="B1028" s="28" t="s">
        <v>179</v>
      </c>
      <c r="C1028" s="28" t="s">
        <v>174</v>
      </c>
      <c r="D1028" s="23" t="n">
        <v>3</v>
      </c>
      <c r="E1028" s="23" t="n">
        <v>23</v>
      </c>
      <c r="F1028" s="28" t="s">
        <v>906</v>
      </c>
      <c r="G1028" s="19" t="n">
        <v>0.0301</v>
      </c>
    </row>
    <row r="1029" customFormat="false" ht="15" hidden="false" customHeight="false" outlineLevel="0" collapsed="false">
      <c r="A1029" s="28" t="s">
        <v>178</v>
      </c>
      <c r="B1029" s="28" t="s">
        <v>179</v>
      </c>
      <c r="C1029" s="28" t="s">
        <v>174</v>
      </c>
      <c r="D1029" s="23" t="n">
        <v>3</v>
      </c>
      <c r="E1029" s="23" t="n">
        <v>23</v>
      </c>
      <c r="F1029" s="28" t="s">
        <v>907</v>
      </c>
      <c r="G1029" s="19" t="n">
        <v>0.0298</v>
      </c>
    </row>
    <row r="1030" customFormat="false" ht="15" hidden="false" customHeight="false" outlineLevel="0" collapsed="false">
      <c r="A1030" s="28" t="s">
        <v>178</v>
      </c>
      <c r="B1030" s="28" t="s">
        <v>179</v>
      </c>
      <c r="C1030" s="28" t="s">
        <v>174</v>
      </c>
      <c r="D1030" s="23" t="n">
        <v>3</v>
      </c>
      <c r="E1030" s="23" t="n">
        <v>23</v>
      </c>
      <c r="F1030" s="28" t="s">
        <v>908</v>
      </c>
      <c r="G1030" s="19" t="n">
        <v>0.0314</v>
      </c>
    </row>
    <row r="1031" customFormat="false" ht="15" hidden="false" customHeight="false" outlineLevel="0" collapsed="false">
      <c r="A1031" s="28" t="s">
        <v>178</v>
      </c>
      <c r="B1031" s="28" t="s">
        <v>179</v>
      </c>
      <c r="C1031" s="28" t="s">
        <v>174</v>
      </c>
      <c r="D1031" s="23" t="n">
        <v>3</v>
      </c>
      <c r="E1031" s="23" t="n">
        <v>23</v>
      </c>
      <c r="F1031" s="28" t="s">
        <v>909</v>
      </c>
      <c r="G1031" s="19" t="n">
        <v>0.0315</v>
      </c>
    </row>
    <row r="1032" customFormat="false" ht="15" hidden="false" customHeight="false" outlineLevel="0" collapsed="false">
      <c r="A1032" s="28" t="s">
        <v>178</v>
      </c>
      <c r="B1032" s="28" t="s">
        <v>179</v>
      </c>
      <c r="C1032" s="28" t="s">
        <v>174</v>
      </c>
      <c r="D1032" s="23" t="n">
        <v>3</v>
      </c>
      <c r="E1032" s="23" t="n">
        <v>23</v>
      </c>
      <c r="F1032" s="28" t="s">
        <v>910</v>
      </c>
      <c r="G1032" s="19" t="n">
        <v>0.0319</v>
      </c>
    </row>
    <row r="1033" customFormat="false" ht="15" hidden="false" customHeight="false" outlineLevel="0" collapsed="false">
      <c r="A1033" s="28" t="s">
        <v>178</v>
      </c>
      <c r="B1033" s="28" t="s">
        <v>179</v>
      </c>
      <c r="C1033" s="28" t="s">
        <v>174</v>
      </c>
      <c r="D1033" s="23" t="n">
        <v>3</v>
      </c>
      <c r="E1033" s="23" t="n">
        <v>23</v>
      </c>
      <c r="F1033" s="28" t="s">
        <v>911</v>
      </c>
      <c r="G1033" s="19" t="n">
        <v>0.033</v>
      </c>
    </row>
    <row r="1034" customFormat="false" ht="15" hidden="false" customHeight="false" outlineLevel="0" collapsed="false">
      <c r="A1034" s="28" t="s">
        <v>178</v>
      </c>
      <c r="B1034" s="28" t="s">
        <v>179</v>
      </c>
      <c r="C1034" s="28" t="s">
        <v>174</v>
      </c>
      <c r="D1034" s="23" t="n">
        <v>3</v>
      </c>
      <c r="E1034" s="23" t="n">
        <v>23</v>
      </c>
      <c r="F1034" s="28" t="s">
        <v>912</v>
      </c>
      <c r="G1034" s="19" t="n">
        <v>0.0344</v>
      </c>
    </row>
    <row r="1035" customFormat="false" ht="15" hidden="false" customHeight="false" outlineLevel="0" collapsed="false">
      <c r="A1035" s="28" t="s">
        <v>178</v>
      </c>
      <c r="B1035" s="28" t="s">
        <v>179</v>
      </c>
      <c r="C1035" s="28" t="s">
        <v>174</v>
      </c>
      <c r="D1035" s="23" t="n">
        <v>3</v>
      </c>
      <c r="E1035" s="23" t="n">
        <v>23</v>
      </c>
      <c r="F1035" s="28" t="s">
        <v>913</v>
      </c>
      <c r="G1035" s="19" t="n">
        <v>0.0393</v>
      </c>
    </row>
    <row r="1036" customFormat="false" ht="15" hidden="false" customHeight="false" outlineLevel="0" collapsed="false">
      <c r="A1036" s="28" t="s">
        <v>178</v>
      </c>
      <c r="B1036" s="28" t="s">
        <v>179</v>
      </c>
      <c r="C1036" s="28" t="s">
        <v>174</v>
      </c>
      <c r="D1036" s="23" t="n">
        <v>3</v>
      </c>
      <c r="E1036" s="23" t="n">
        <v>23</v>
      </c>
      <c r="F1036" s="28" t="s">
        <v>914</v>
      </c>
      <c r="G1036" s="19" t="n">
        <v>0.0391</v>
      </c>
    </row>
    <row r="1037" customFormat="false" ht="15" hidden="false" customHeight="false" outlineLevel="0" collapsed="false">
      <c r="A1037" s="28" t="s">
        <v>178</v>
      </c>
      <c r="B1037" s="28" t="s">
        <v>179</v>
      </c>
      <c r="C1037" s="28" t="s">
        <v>174</v>
      </c>
      <c r="D1037" s="23" t="n">
        <v>3</v>
      </c>
      <c r="E1037" s="23" t="n">
        <v>23</v>
      </c>
      <c r="F1037" s="28" t="s">
        <v>915</v>
      </c>
      <c r="G1037" s="19" t="n">
        <v>0.0549</v>
      </c>
    </row>
    <row r="1038" customFormat="false" ht="15" hidden="false" customHeight="false" outlineLevel="0" collapsed="false">
      <c r="A1038" s="28" t="s">
        <v>178</v>
      </c>
      <c r="B1038" s="28" t="s">
        <v>179</v>
      </c>
      <c r="C1038" s="28" t="s">
        <v>174</v>
      </c>
      <c r="D1038" s="23" t="n">
        <v>3</v>
      </c>
      <c r="E1038" s="23" t="n">
        <v>24</v>
      </c>
      <c r="F1038" s="28" t="s">
        <v>904</v>
      </c>
      <c r="G1038" s="19" t="n">
        <v>0.0263</v>
      </c>
    </row>
    <row r="1039" customFormat="false" ht="15" hidden="false" customHeight="false" outlineLevel="0" collapsed="false">
      <c r="A1039" s="28" t="s">
        <v>178</v>
      </c>
      <c r="B1039" s="28" t="s">
        <v>179</v>
      </c>
      <c r="C1039" s="28" t="s">
        <v>174</v>
      </c>
      <c r="D1039" s="23" t="n">
        <v>3</v>
      </c>
      <c r="E1039" s="23" t="n">
        <v>24</v>
      </c>
      <c r="F1039" s="28" t="s">
        <v>551</v>
      </c>
      <c r="G1039" s="19" t="n">
        <v>0.0575</v>
      </c>
    </row>
    <row r="1040" customFormat="false" ht="15" hidden="false" customHeight="false" outlineLevel="0" collapsed="false">
      <c r="A1040" s="28" t="s">
        <v>178</v>
      </c>
      <c r="B1040" s="28" t="s">
        <v>179</v>
      </c>
      <c r="C1040" s="28" t="s">
        <v>174</v>
      </c>
      <c r="D1040" s="23" t="n">
        <v>3</v>
      </c>
      <c r="E1040" s="23" t="n">
        <v>24</v>
      </c>
      <c r="F1040" s="28" t="s">
        <v>451</v>
      </c>
      <c r="G1040" s="19" t="n">
        <v>0.0261</v>
      </c>
    </row>
    <row r="1041" customFormat="false" ht="15" hidden="false" customHeight="false" outlineLevel="0" collapsed="false">
      <c r="A1041" s="28" t="s">
        <v>178</v>
      </c>
      <c r="B1041" s="28" t="s">
        <v>179</v>
      </c>
      <c r="C1041" s="28" t="s">
        <v>174</v>
      </c>
      <c r="D1041" s="23" t="n">
        <v>3</v>
      </c>
      <c r="E1041" s="23" t="n">
        <v>24</v>
      </c>
      <c r="F1041" s="28" t="s">
        <v>905</v>
      </c>
      <c r="G1041" s="19" t="n">
        <v>0.0287</v>
      </c>
    </row>
    <row r="1042" customFormat="false" ht="15" hidden="false" customHeight="false" outlineLevel="0" collapsed="false">
      <c r="A1042" s="28" t="s">
        <v>178</v>
      </c>
      <c r="B1042" s="28" t="s">
        <v>179</v>
      </c>
      <c r="C1042" s="28" t="s">
        <v>174</v>
      </c>
      <c r="D1042" s="23" t="n">
        <v>3</v>
      </c>
      <c r="E1042" s="23" t="n">
        <v>24</v>
      </c>
      <c r="F1042" s="28" t="s">
        <v>906</v>
      </c>
      <c r="G1042" s="19" t="n">
        <v>0.0301</v>
      </c>
    </row>
    <row r="1043" customFormat="false" ht="15" hidden="false" customHeight="false" outlineLevel="0" collapsed="false">
      <c r="A1043" s="28" t="s">
        <v>178</v>
      </c>
      <c r="B1043" s="28" t="s">
        <v>179</v>
      </c>
      <c r="C1043" s="28" t="s">
        <v>174</v>
      </c>
      <c r="D1043" s="23" t="n">
        <v>3</v>
      </c>
      <c r="E1043" s="23" t="n">
        <v>24</v>
      </c>
      <c r="F1043" s="28" t="s">
        <v>907</v>
      </c>
      <c r="G1043" s="19" t="n">
        <v>0.0298</v>
      </c>
    </row>
    <row r="1044" customFormat="false" ht="15" hidden="false" customHeight="false" outlineLevel="0" collapsed="false">
      <c r="A1044" s="28" t="s">
        <v>178</v>
      </c>
      <c r="B1044" s="28" t="s">
        <v>179</v>
      </c>
      <c r="C1044" s="28" t="s">
        <v>174</v>
      </c>
      <c r="D1044" s="23" t="n">
        <v>3</v>
      </c>
      <c r="E1044" s="23" t="n">
        <v>24</v>
      </c>
      <c r="F1044" s="28" t="s">
        <v>908</v>
      </c>
      <c r="G1044" s="19" t="n">
        <v>0.0314</v>
      </c>
    </row>
    <row r="1045" customFormat="false" ht="15" hidden="false" customHeight="false" outlineLevel="0" collapsed="false">
      <c r="A1045" s="28" t="s">
        <v>178</v>
      </c>
      <c r="B1045" s="28" t="s">
        <v>179</v>
      </c>
      <c r="C1045" s="28" t="s">
        <v>174</v>
      </c>
      <c r="D1045" s="23" t="n">
        <v>3</v>
      </c>
      <c r="E1045" s="23" t="n">
        <v>24</v>
      </c>
      <c r="F1045" s="28" t="s">
        <v>909</v>
      </c>
      <c r="G1045" s="19" t="n">
        <v>0.0315</v>
      </c>
    </row>
    <row r="1046" customFormat="false" ht="15" hidden="false" customHeight="false" outlineLevel="0" collapsed="false">
      <c r="A1046" s="28" t="s">
        <v>178</v>
      </c>
      <c r="B1046" s="28" t="s">
        <v>179</v>
      </c>
      <c r="C1046" s="28" t="s">
        <v>174</v>
      </c>
      <c r="D1046" s="23" t="n">
        <v>3</v>
      </c>
      <c r="E1046" s="23" t="n">
        <v>24</v>
      </c>
      <c r="F1046" s="28" t="s">
        <v>910</v>
      </c>
      <c r="G1046" s="19" t="n">
        <v>0.0319</v>
      </c>
    </row>
    <row r="1047" customFormat="false" ht="15" hidden="false" customHeight="false" outlineLevel="0" collapsed="false">
      <c r="A1047" s="28" t="s">
        <v>178</v>
      </c>
      <c r="B1047" s="28" t="s">
        <v>179</v>
      </c>
      <c r="C1047" s="28" t="s">
        <v>174</v>
      </c>
      <c r="D1047" s="23" t="n">
        <v>3</v>
      </c>
      <c r="E1047" s="23" t="n">
        <v>24</v>
      </c>
      <c r="F1047" s="28" t="s">
        <v>911</v>
      </c>
      <c r="G1047" s="19" t="n">
        <v>0.033</v>
      </c>
    </row>
    <row r="1048" customFormat="false" ht="15" hidden="false" customHeight="false" outlineLevel="0" collapsed="false">
      <c r="A1048" s="28" t="s">
        <v>178</v>
      </c>
      <c r="B1048" s="28" t="s">
        <v>179</v>
      </c>
      <c r="C1048" s="28" t="s">
        <v>174</v>
      </c>
      <c r="D1048" s="23" t="n">
        <v>3</v>
      </c>
      <c r="E1048" s="23" t="n">
        <v>24</v>
      </c>
      <c r="F1048" s="28" t="s">
        <v>912</v>
      </c>
      <c r="G1048" s="19" t="n">
        <v>0.0344</v>
      </c>
    </row>
    <row r="1049" customFormat="false" ht="15" hidden="false" customHeight="false" outlineLevel="0" collapsed="false">
      <c r="A1049" s="28" t="s">
        <v>178</v>
      </c>
      <c r="B1049" s="28" t="s">
        <v>179</v>
      </c>
      <c r="C1049" s="28" t="s">
        <v>174</v>
      </c>
      <c r="D1049" s="23" t="n">
        <v>3</v>
      </c>
      <c r="E1049" s="23" t="n">
        <v>24</v>
      </c>
      <c r="F1049" s="28" t="s">
        <v>913</v>
      </c>
      <c r="G1049" s="19" t="n">
        <v>0.0393</v>
      </c>
    </row>
    <row r="1050" customFormat="false" ht="15" hidden="false" customHeight="false" outlineLevel="0" collapsed="false">
      <c r="A1050" s="28" t="s">
        <v>178</v>
      </c>
      <c r="B1050" s="28" t="s">
        <v>179</v>
      </c>
      <c r="C1050" s="28" t="s">
        <v>174</v>
      </c>
      <c r="D1050" s="23" t="n">
        <v>3</v>
      </c>
      <c r="E1050" s="23" t="n">
        <v>24</v>
      </c>
      <c r="F1050" s="28" t="s">
        <v>914</v>
      </c>
      <c r="G1050" s="19" t="n">
        <v>0.0391</v>
      </c>
    </row>
    <row r="1051" customFormat="false" ht="15" hidden="false" customHeight="false" outlineLevel="0" collapsed="false">
      <c r="A1051" s="28" t="s">
        <v>178</v>
      </c>
      <c r="B1051" s="28" t="s">
        <v>179</v>
      </c>
      <c r="C1051" s="28" t="s">
        <v>174</v>
      </c>
      <c r="D1051" s="23" t="n">
        <v>3</v>
      </c>
      <c r="E1051" s="23" t="n">
        <v>24</v>
      </c>
      <c r="F1051" s="28" t="s">
        <v>915</v>
      </c>
      <c r="G1051" s="19" t="n">
        <v>0.0549</v>
      </c>
    </row>
    <row r="1052" customFormat="false" ht="15" hidden="false" customHeight="false" outlineLevel="0" collapsed="false">
      <c r="A1052" s="28" t="s">
        <v>180</v>
      </c>
      <c r="B1052" s="28" t="s">
        <v>181</v>
      </c>
      <c r="C1052" s="28" t="s">
        <v>174</v>
      </c>
      <c r="D1052" s="23" t="n">
        <v>4</v>
      </c>
      <c r="E1052" s="23" t="n">
        <v>0</v>
      </c>
      <c r="F1052" s="28" t="s">
        <v>904</v>
      </c>
      <c r="G1052" s="19" t="n">
        <v>0.0363</v>
      </c>
    </row>
    <row r="1053" customFormat="false" ht="15" hidden="false" customHeight="false" outlineLevel="0" collapsed="false">
      <c r="A1053" s="28" t="s">
        <v>180</v>
      </c>
      <c r="B1053" s="28" t="s">
        <v>181</v>
      </c>
      <c r="C1053" s="28" t="s">
        <v>174</v>
      </c>
      <c r="D1053" s="23" t="n">
        <v>4</v>
      </c>
      <c r="E1053" s="23" t="n">
        <v>0</v>
      </c>
      <c r="F1053" s="28" t="s">
        <v>551</v>
      </c>
      <c r="G1053" s="19" t="n">
        <v>0.0675</v>
      </c>
    </row>
    <row r="1054" customFormat="false" ht="15" hidden="false" customHeight="false" outlineLevel="0" collapsed="false">
      <c r="A1054" s="28" t="s">
        <v>180</v>
      </c>
      <c r="B1054" s="28" t="s">
        <v>181</v>
      </c>
      <c r="C1054" s="28" t="s">
        <v>174</v>
      </c>
      <c r="D1054" s="23" t="n">
        <v>4</v>
      </c>
      <c r="E1054" s="23" t="n">
        <v>0</v>
      </c>
      <c r="F1054" s="28" t="s">
        <v>451</v>
      </c>
      <c r="G1054" s="19" t="n">
        <v>0.0361</v>
      </c>
    </row>
    <row r="1055" customFormat="false" ht="15" hidden="false" customHeight="false" outlineLevel="0" collapsed="false">
      <c r="A1055" s="28" t="s">
        <v>180</v>
      </c>
      <c r="B1055" s="28" t="s">
        <v>181</v>
      </c>
      <c r="C1055" s="28" t="s">
        <v>174</v>
      </c>
      <c r="D1055" s="23" t="n">
        <v>4</v>
      </c>
      <c r="E1055" s="23" t="n">
        <v>0</v>
      </c>
      <c r="F1055" s="28" t="s">
        <v>905</v>
      </c>
      <c r="G1055" s="19" t="n">
        <v>0.0387</v>
      </c>
    </row>
    <row r="1056" customFormat="false" ht="15" hidden="false" customHeight="false" outlineLevel="0" collapsed="false">
      <c r="A1056" s="28" t="s">
        <v>180</v>
      </c>
      <c r="B1056" s="28" t="s">
        <v>181</v>
      </c>
      <c r="C1056" s="28" t="s">
        <v>174</v>
      </c>
      <c r="D1056" s="23" t="n">
        <v>4</v>
      </c>
      <c r="E1056" s="23" t="n">
        <v>0</v>
      </c>
      <c r="F1056" s="28" t="s">
        <v>906</v>
      </c>
      <c r="G1056" s="19" t="n">
        <v>0.0401</v>
      </c>
    </row>
    <row r="1057" customFormat="false" ht="15" hidden="false" customHeight="false" outlineLevel="0" collapsed="false">
      <c r="A1057" s="28" t="s">
        <v>180</v>
      </c>
      <c r="B1057" s="28" t="s">
        <v>181</v>
      </c>
      <c r="C1057" s="28" t="s">
        <v>174</v>
      </c>
      <c r="D1057" s="23" t="n">
        <v>4</v>
      </c>
      <c r="E1057" s="23" t="n">
        <v>0</v>
      </c>
      <c r="F1057" s="28" t="s">
        <v>907</v>
      </c>
      <c r="G1057" s="19" t="n">
        <v>0.0398</v>
      </c>
    </row>
    <row r="1058" customFormat="false" ht="15" hidden="false" customHeight="false" outlineLevel="0" collapsed="false">
      <c r="A1058" s="28" t="s">
        <v>180</v>
      </c>
      <c r="B1058" s="28" t="s">
        <v>181</v>
      </c>
      <c r="C1058" s="28" t="s">
        <v>174</v>
      </c>
      <c r="D1058" s="23" t="n">
        <v>4</v>
      </c>
      <c r="E1058" s="23" t="n">
        <v>0</v>
      </c>
      <c r="F1058" s="28" t="s">
        <v>908</v>
      </c>
      <c r="G1058" s="19" t="n">
        <v>0.0414</v>
      </c>
    </row>
    <row r="1059" customFormat="false" ht="15" hidden="false" customHeight="false" outlineLevel="0" collapsed="false">
      <c r="A1059" s="28" t="s">
        <v>180</v>
      </c>
      <c r="B1059" s="28" t="s">
        <v>181</v>
      </c>
      <c r="C1059" s="28" t="s">
        <v>174</v>
      </c>
      <c r="D1059" s="23" t="n">
        <v>4</v>
      </c>
      <c r="E1059" s="23" t="n">
        <v>0</v>
      </c>
      <c r="F1059" s="28" t="s">
        <v>909</v>
      </c>
      <c r="G1059" s="19" t="n">
        <v>0.0415</v>
      </c>
    </row>
    <row r="1060" customFormat="false" ht="15" hidden="false" customHeight="false" outlineLevel="0" collapsed="false">
      <c r="A1060" s="28" t="s">
        <v>180</v>
      </c>
      <c r="B1060" s="28" t="s">
        <v>181</v>
      </c>
      <c r="C1060" s="28" t="s">
        <v>174</v>
      </c>
      <c r="D1060" s="23" t="n">
        <v>4</v>
      </c>
      <c r="E1060" s="23" t="n">
        <v>0</v>
      </c>
      <c r="F1060" s="28" t="s">
        <v>910</v>
      </c>
      <c r="G1060" s="19" t="n">
        <v>0.0419</v>
      </c>
    </row>
    <row r="1061" customFormat="false" ht="15" hidden="false" customHeight="false" outlineLevel="0" collapsed="false">
      <c r="A1061" s="28" t="s">
        <v>180</v>
      </c>
      <c r="B1061" s="28" t="s">
        <v>181</v>
      </c>
      <c r="C1061" s="28" t="s">
        <v>174</v>
      </c>
      <c r="D1061" s="23" t="n">
        <v>4</v>
      </c>
      <c r="E1061" s="23" t="n">
        <v>0</v>
      </c>
      <c r="F1061" s="28" t="s">
        <v>911</v>
      </c>
      <c r="G1061" s="19" t="n">
        <v>0.043</v>
      </c>
    </row>
    <row r="1062" customFormat="false" ht="15" hidden="false" customHeight="false" outlineLevel="0" collapsed="false">
      <c r="A1062" s="28" t="s">
        <v>180</v>
      </c>
      <c r="B1062" s="28" t="s">
        <v>181</v>
      </c>
      <c r="C1062" s="28" t="s">
        <v>174</v>
      </c>
      <c r="D1062" s="23" t="n">
        <v>4</v>
      </c>
      <c r="E1062" s="23" t="n">
        <v>0</v>
      </c>
      <c r="F1062" s="28" t="s">
        <v>912</v>
      </c>
      <c r="G1062" s="19" t="n">
        <v>0.0444</v>
      </c>
    </row>
    <row r="1063" customFormat="false" ht="15" hidden="false" customHeight="false" outlineLevel="0" collapsed="false">
      <c r="A1063" s="28" t="s">
        <v>180</v>
      </c>
      <c r="B1063" s="28" t="s">
        <v>181</v>
      </c>
      <c r="C1063" s="28" t="s">
        <v>174</v>
      </c>
      <c r="D1063" s="23" t="n">
        <v>4</v>
      </c>
      <c r="E1063" s="23" t="n">
        <v>0</v>
      </c>
      <c r="F1063" s="28" t="s">
        <v>913</v>
      </c>
      <c r="G1063" s="19" t="n">
        <v>0.0493</v>
      </c>
    </row>
    <row r="1064" customFormat="false" ht="15" hidden="false" customHeight="false" outlineLevel="0" collapsed="false">
      <c r="A1064" s="28" t="s">
        <v>180</v>
      </c>
      <c r="B1064" s="28" t="s">
        <v>181</v>
      </c>
      <c r="C1064" s="28" t="s">
        <v>174</v>
      </c>
      <c r="D1064" s="23" t="n">
        <v>4</v>
      </c>
      <c r="E1064" s="23" t="n">
        <v>0</v>
      </c>
      <c r="F1064" s="28" t="s">
        <v>914</v>
      </c>
      <c r="G1064" s="19" t="n">
        <v>0.0491</v>
      </c>
    </row>
    <row r="1065" customFormat="false" ht="15" hidden="false" customHeight="false" outlineLevel="0" collapsed="false">
      <c r="A1065" s="28" t="s">
        <v>180</v>
      </c>
      <c r="B1065" s="28" t="s">
        <v>181</v>
      </c>
      <c r="C1065" s="28" t="s">
        <v>174</v>
      </c>
      <c r="D1065" s="23" t="n">
        <v>4</v>
      </c>
      <c r="E1065" s="23" t="n">
        <v>0</v>
      </c>
      <c r="F1065" s="28" t="s">
        <v>915</v>
      </c>
      <c r="G1065" s="19" t="n">
        <v>0.0649</v>
      </c>
    </row>
    <row r="1066" customFormat="false" ht="15" hidden="false" customHeight="false" outlineLevel="0" collapsed="false">
      <c r="A1066" s="28" t="s">
        <v>180</v>
      </c>
      <c r="B1066" s="28" t="s">
        <v>181</v>
      </c>
      <c r="C1066" s="28" t="s">
        <v>174</v>
      </c>
      <c r="D1066" s="23" t="n">
        <v>4</v>
      </c>
      <c r="E1066" s="23" t="n">
        <v>1</v>
      </c>
      <c r="F1066" s="28" t="s">
        <v>904</v>
      </c>
      <c r="G1066" s="19" t="n">
        <v>0.0363</v>
      </c>
    </row>
    <row r="1067" customFormat="false" ht="15" hidden="false" customHeight="false" outlineLevel="0" collapsed="false">
      <c r="A1067" s="28" t="s">
        <v>180</v>
      </c>
      <c r="B1067" s="28" t="s">
        <v>181</v>
      </c>
      <c r="C1067" s="28" t="s">
        <v>174</v>
      </c>
      <c r="D1067" s="23" t="n">
        <v>4</v>
      </c>
      <c r="E1067" s="23" t="n">
        <v>1</v>
      </c>
      <c r="F1067" s="28" t="s">
        <v>551</v>
      </c>
      <c r="G1067" s="19" t="n">
        <v>0.0675</v>
      </c>
    </row>
    <row r="1068" customFormat="false" ht="15" hidden="false" customHeight="false" outlineLevel="0" collapsed="false">
      <c r="A1068" s="28" t="s">
        <v>180</v>
      </c>
      <c r="B1068" s="28" t="s">
        <v>181</v>
      </c>
      <c r="C1068" s="28" t="s">
        <v>174</v>
      </c>
      <c r="D1068" s="23" t="n">
        <v>4</v>
      </c>
      <c r="E1068" s="23" t="n">
        <v>1</v>
      </c>
      <c r="F1068" s="28" t="s">
        <v>451</v>
      </c>
      <c r="G1068" s="19" t="n">
        <v>0.0361</v>
      </c>
    </row>
    <row r="1069" customFormat="false" ht="15" hidden="false" customHeight="false" outlineLevel="0" collapsed="false">
      <c r="A1069" s="28" t="s">
        <v>180</v>
      </c>
      <c r="B1069" s="28" t="s">
        <v>181</v>
      </c>
      <c r="C1069" s="28" t="s">
        <v>174</v>
      </c>
      <c r="D1069" s="23" t="n">
        <v>4</v>
      </c>
      <c r="E1069" s="23" t="n">
        <v>1</v>
      </c>
      <c r="F1069" s="28" t="s">
        <v>905</v>
      </c>
      <c r="G1069" s="19" t="n">
        <v>0.0387</v>
      </c>
    </row>
    <row r="1070" customFormat="false" ht="15" hidden="false" customHeight="false" outlineLevel="0" collapsed="false">
      <c r="A1070" s="28" t="s">
        <v>180</v>
      </c>
      <c r="B1070" s="28" t="s">
        <v>181</v>
      </c>
      <c r="C1070" s="28" t="s">
        <v>174</v>
      </c>
      <c r="D1070" s="23" t="n">
        <v>4</v>
      </c>
      <c r="E1070" s="23" t="n">
        <v>1</v>
      </c>
      <c r="F1070" s="28" t="s">
        <v>906</v>
      </c>
      <c r="G1070" s="19" t="n">
        <v>0.0401</v>
      </c>
    </row>
    <row r="1071" customFormat="false" ht="15" hidden="false" customHeight="false" outlineLevel="0" collapsed="false">
      <c r="A1071" s="28" t="s">
        <v>180</v>
      </c>
      <c r="B1071" s="28" t="s">
        <v>181</v>
      </c>
      <c r="C1071" s="28" t="s">
        <v>174</v>
      </c>
      <c r="D1071" s="23" t="n">
        <v>4</v>
      </c>
      <c r="E1071" s="23" t="n">
        <v>1</v>
      </c>
      <c r="F1071" s="28" t="s">
        <v>907</v>
      </c>
      <c r="G1071" s="19" t="n">
        <v>0.0398</v>
      </c>
    </row>
    <row r="1072" customFormat="false" ht="15" hidden="false" customHeight="false" outlineLevel="0" collapsed="false">
      <c r="A1072" s="28" t="s">
        <v>180</v>
      </c>
      <c r="B1072" s="28" t="s">
        <v>181</v>
      </c>
      <c r="C1072" s="28" t="s">
        <v>174</v>
      </c>
      <c r="D1072" s="23" t="n">
        <v>4</v>
      </c>
      <c r="E1072" s="23" t="n">
        <v>1</v>
      </c>
      <c r="F1072" s="28" t="s">
        <v>908</v>
      </c>
      <c r="G1072" s="19" t="n">
        <v>0.0414</v>
      </c>
    </row>
    <row r="1073" customFormat="false" ht="15" hidden="false" customHeight="false" outlineLevel="0" collapsed="false">
      <c r="A1073" s="28" t="s">
        <v>180</v>
      </c>
      <c r="B1073" s="28" t="s">
        <v>181</v>
      </c>
      <c r="C1073" s="28" t="s">
        <v>174</v>
      </c>
      <c r="D1073" s="23" t="n">
        <v>4</v>
      </c>
      <c r="E1073" s="23" t="n">
        <v>1</v>
      </c>
      <c r="F1073" s="28" t="s">
        <v>909</v>
      </c>
      <c r="G1073" s="19" t="n">
        <v>0.0415</v>
      </c>
    </row>
    <row r="1074" customFormat="false" ht="15" hidden="false" customHeight="false" outlineLevel="0" collapsed="false">
      <c r="A1074" s="28" t="s">
        <v>180</v>
      </c>
      <c r="B1074" s="28" t="s">
        <v>181</v>
      </c>
      <c r="C1074" s="28" t="s">
        <v>174</v>
      </c>
      <c r="D1074" s="23" t="n">
        <v>4</v>
      </c>
      <c r="E1074" s="23" t="n">
        <v>1</v>
      </c>
      <c r="F1074" s="28" t="s">
        <v>910</v>
      </c>
      <c r="G1074" s="19" t="n">
        <v>0.0419</v>
      </c>
    </row>
    <row r="1075" customFormat="false" ht="15" hidden="false" customHeight="false" outlineLevel="0" collapsed="false">
      <c r="A1075" s="28" t="s">
        <v>180</v>
      </c>
      <c r="B1075" s="28" t="s">
        <v>181</v>
      </c>
      <c r="C1075" s="28" t="s">
        <v>174</v>
      </c>
      <c r="D1075" s="23" t="n">
        <v>4</v>
      </c>
      <c r="E1075" s="23" t="n">
        <v>1</v>
      </c>
      <c r="F1075" s="28" t="s">
        <v>911</v>
      </c>
      <c r="G1075" s="19" t="n">
        <v>0.043</v>
      </c>
    </row>
    <row r="1076" customFormat="false" ht="15" hidden="false" customHeight="false" outlineLevel="0" collapsed="false">
      <c r="A1076" s="28" t="s">
        <v>180</v>
      </c>
      <c r="B1076" s="28" t="s">
        <v>181</v>
      </c>
      <c r="C1076" s="28" t="s">
        <v>174</v>
      </c>
      <c r="D1076" s="23" t="n">
        <v>4</v>
      </c>
      <c r="E1076" s="23" t="n">
        <v>1</v>
      </c>
      <c r="F1076" s="28" t="s">
        <v>912</v>
      </c>
      <c r="G1076" s="19" t="n">
        <v>0.0444</v>
      </c>
    </row>
    <row r="1077" customFormat="false" ht="15" hidden="false" customHeight="false" outlineLevel="0" collapsed="false">
      <c r="A1077" s="28" t="s">
        <v>180</v>
      </c>
      <c r="B1077" s="28" t="s">
        <v>181</v>
      </c>
      <c r="C1077" s="28" t="s">
        <v>174</v>
      </c>
      <c r="D1077" s="23" t="n">
        <v>4</v>
      </c>
      <c r="E1077" s="23" t="n">
        <v>1</v>
      </c>
      <c r="F1077" s="28" t="s">
        <v>913</v>
      </c>
      <c r="G1077" s="19" t="n">
        <v>0.0493</v>
      </c>
    </row>
    <row r="1078" customFormat="false" ht="15" hidden="false" customHeight="false" outlineLevel="0" collapsed="false">
      <c r="A1078" s="28" t="s">
        <v>180</v>
      </c>
      <c r="B1078" s="28" t="s">
        <v>181</v>
      </c>
      <c r="C1078" s="28" t="s">
        <v>174</v>
      </c>
      <c r="D1078" s="23" t="n">
        <v>4</v>
      </c>
      <c r="E1078" s="23" t="n">
        <v>1</v>
      </c>
      <c r="F1078" s="28" t="s">
        <v>914</v>
      </c>
      <c r="G1078" s="19" t="n">
        <v>0.0491</v>
      </c>
    </row>
    <row r="1079" customFormat="false" ht="15" hidden="false" customHeight="false" outlineLevel="0" collapsed="false">
      <c r="A1079" s="28" t="s">
        <v>180</v>
      </c>
      <c r="B1079" s="28" t="s">
        <v>181</v>
      </c>
      <c r="C1079" s="28" t="s">
        <v>174</v>
      </c>
      <c r="D1079" s="23" t="n">
        <v>4</v>
      </c>
      <c r="E1079" s="23" t="n">
        <v>1</v>
      </c>
      <c r="F1079" s="28" t="s">
        <v>915</v>
      </c>
      <c r="G1079" s="19" t="n">
        <v>0.0649</v>
      </c>
    </row>
    <row r="1080" customFormat="false" ht="15" hidden="false" customHeight="false" outlineLevel="0" collapsed="false">
      <c r="A1080" s="28" t="s">
        <v>180</v>
      </c>
      <c r="B1080" s="28" t="s">
        <v>181</v>
      </c>
      <c r="C1080" s="28" t="s">
        <v>174</v>
      </c>
      <c r="D1080" s="23" t="n">
        <v>4</v>
      </c>
      <c r="E1080" s="23" t="n">
        <v>2</v>
      </c>
      <c r="F1080" s="28" t="s">
        <v>904</v>
      </c>
      <c r="G1080" s="19" t="n">
        <v>0.0363</v>
      </c>
    </row>
    <row r="1081" customFormat="false" ht="15" hidden="false" customHeight="false" outlineLevel="0" collapsed="false">
      <c r="A1081" s="28" t="s">
        <v>180</v>
      </c>
      <c r="B1081" s="28" t="s">
        <v>181</v>
      </c>
      <c r="C1081" s="28" t="s">
        <v>174</v>
      </c>
      <c r="D1081" s="23" t="n">
        <v>4</v>
      </c>
      <c r="E1081" s="23" t="n">
        <v>2</v>
      </c>
      <c r="F1081" s="28" t="s">
        <v>551</v>
      </c>
      <c r="G1081" s="19" t="n">
        <v>0.0675</v>
      </c>
    </row>
    <row r="1082" customFormat="false" ht="15" hidden="false" customHeight="false" outlineLevel="0" collapsed="false">
      <c r="A1082" s="28" t="s">
        <v>180</v>
      </c>
      <c r="B1082" s="28" t="s">
        <v>181</v>
      </c>
      <c r="C1082" s="28" t="s">
        <v>174</v>
      </c>
      <c r="D1082" s="23" t="n">
        <v>4</v>
      </c>
      <c r="E1082" s="23" t="n">
        <v>2</v>
      </c>
      <c r="F1082" s="28" t="s">
        <v>451</v>
      </c>
      <c r="G1082" s="19" t="n">
        <v>0.0361</v>
      </c>
    </row>
    <row r="1083" customFormat="false" ht="15" hidden="false" customHeight="false" outlineLevel="0" collapsed="false">
      <c r="A1083" s="28" t="s">
        <v>180</v>
      </c>
      <c r="B1083" s="28" t="s">
        <v>181</v>
      </c>
      <c r="C1083" s="28" t="s">
        <v>174</v>
      </c>
      <c r="D1083" s="23" t="n">
        <v>4</v>
      </c>
      <c r="E1083" s="23" t="n">
        <v>2</v>
      </c>
      <c r="F1083" s="28" t="s">
        <v>905</v>
      </c>
      <c r="G1083" s="19" t="n">
        <v>0.0387</v>
      </c>
    </row>
    <row r="1084" customFormat="false" ht="15" hidden="false" customHeight="false" outlineLevel="0" collapsed="false">
      <c r="A1084" s="28" t="s">
        <v>180</v>
      </c>
      <c r="B1084" s="28" t="s">
        <v>181</v>
      </c>
      <c r="C1084" s="28" t="s">
        <v>174</v>
      </c>
      <c r="D1084" s="23" t="n">
        <v>4</v>
      </c>
      <c r="E1084" s="23" t="n">
        <v>2</v>
      </c>
      <c r="F1084" s="28" t="s">
        <v>906</v>
      </c>
      <c r="G1084" s="19" t="n">
        <v>0.0401</v>
      </c>
    </row>
    <row r="1085" customFormat="false" ht="15" hidden="false" customHeight="false" outlineLevel="0" collapsed="false">
      <c r="A1085" s="28" t="s">
        <v>180</v>
      </c>
      <c r="B1085" s="28" t="s">
        <v>181</v>
      </c>
      <c r="C1085" s="28" t="s">
        <v>174</v>
      </c>
      <c r="D1085" s="23" t="n">
        <v>4</v>
      </c>
      <c r="E1085" s="23" t="n">
        <v>2</v>
      </c>
      <c r="F1085" s="28" t="s">
        <v>907</v>
      </c>
      <c r="G1085" s="19" t="n">
        <v>0.0398</v>
      </c>
    </row>
    <row r="1086" customFormat="false" ht="15" hidden="false" customHeight="false" outlineLevel="0" collapsed="false">
      <c r="A1086" s="28" t="s">
        <v>180</v>
      </c>
      <c r="B1086" s="28" t="s">
        <v>181</v>
      </c>
      <c r="C1086" s="28" t="s">
        <v>174</v>
      </c>
      <c r="D1086" s="23" t="n">
        <v>4</v>
      </c>
      <c r="E1086" s="23" t="n">
        <v>2</v>
      </c>
      <c r="F1086" s="28" t="s">
        <v>908</v>
      </c>
      <c r="G1086" s="19" t="n">
        <v>0.0414</v>
      </c>
    </row>
    <row r="1087" customFormat="false" ht="15" hidden="false" customHeight="false" outlineLevel="0" collapsed="false">
      <c r="A1087" s="28" t="s">
        <v>180</v>
      </c>
      <c r="B1087" s="28" t="s">
        <v>181</v>
      </c>
      <c r="C1087" s="28" t="s">
        <v>174</v>
      </c>
      <c r="D1087" s="23" t="n">
        <v>4</v>
      </c>
      <c r="E1087" s="23" t="n">
        <v>2</v>
      </c>
      <c r="F1087" s="28" t="s">
        <v>909</v>
      </c>
      <c r="G1087" s="19" t="n">
        <v>0.0415</v>
      </c>
    </row>
    <row r="1088" customFormat="false" ht="15" hidden="false" customHeight="false" outlineLevel="0" collapsed="false">
      <c r="A1088" s="28" t="s">
        <v>180</v>
      </c>
      <c r="B1088" s="28" t="s">
        <v>181</v>
      </c>
      <c r="C1088" s="28" t="s">
        <v>174</v>
      </c>
      <c r="D1088" s="23" t="n">
        <v>4</v>
      </c>
      <c r="E1088" s="23" t="n">
        <v>2</v>
      </c>
      <c r="F1088" s="28" t="s">
        <v>910</v>
      </c>
      <c r="G1088" s="19" t="n">
        <v>0.0419</v>
      </c>
    </row>
    <row r="1089" customFormat="false" ht="15" hidden="false" customHeight="false" outlineLevel="0" collapsed="false">
      <c r="A1089" s="28" t="s">
        <v>180</v>
      </c>
      <c r="B1089" s="28" t="s">
        <v>181</v>
      </c>
      <c r="C1089" s="28" t="s">
        <v>174</v>
      </c>
      <c r="D1089" s="23" t="n">
        <v>4</v>
      </c>
      <c r="E1089" s="23" t="n">
        <v>2</v>
      </c>
      <c r="F1089" s="28" t="s">
        <v>911</v>
      </c>
      <c r="G1089" s="19" t="n">
        <v>0.043</v>
      </c>
    </row>
    <row r="1090" customFormat="false" ht="15" hidden="false" customHeight="false" outlineLevel="0" collapsed="false">
      <c r="A1090" s="28" t="s">
        <v>180</v>
      </c>
      <c r="B1090" s="28" t="s">
        <v>181</v>
      </c>
      <c r="C1090" s="28" t="s">
        <v>174</v>
      </c>
      <c r="D1090" s="23" t="n">
        <v>4</v>
      </c>
      <c r="E1090" s="23" t="n">
        <v>2</v>
      </c>
      <c r="F1090" s="28" t="s">
        <v>912</v>
      </c>
      <c r="G1090" s="19" t="n">
        <v>0.0444</v>
      </c>
    </row>
    <row r="1091" customFormat="false" ht="15" hidden="false" customHeight="false" outlineLevel="0" collapsed="false">
      <c r="A1091" s="28" t="s">
        <v>180</v>
      </c>
      <c r="B1091" s="28" t="s">
        <v>181</v>
      </c>
      <c r="C1091" s="28" t="s">
        <v>174</v>
      </c>
      <c r="D1091" s="23" t="n">
        <v>4</v>
      </c>
      <c r="E1091" s="23" t="n">
        <v>2</v>
      </c>
      <c r="F1091" s="28" t="s">
        <v>913</v>
      </c>
      <c r="G1091" s="19" t="n">
        <v>0.0493</v>
      </c>
    </row>
    <row r="1092" customFormat="false" ht="15" hidden="false" customHeight="false" outlineLevel="0" collapsed="false">
      <c r="A1092" s="28" t="s">
        <v>180</v>
      </c>
      <c r="B1092" s="28" t="s">
        <v>181</v>
      </c>
      <c r="C1092" s="28" t="s">
        <v>174</v>
      </c>
      <c r="D1092" s="23" t="n">
        <v>4</v>
      </c>
      <c r="E1092" s="23" t="n">
        <v>2</v>
      </c>
      <c r="F1092" s="28" t="s">
        <v>914</v>
      </c>
      <c r="G1092" s="19" t="n">
        <v>0.0491</v>
      </c>
    </row>
    <row r="1093" customFormat="false" ht="15" hidden="false" customHeight="false" outlineLevel="0" collapsed="false">
      <c r="A1093" s="28" t="s">
        <v>180</v>
      </c>
      <c r="B1093" s="28" t="s">
        <v>181</v>
      </c>
      <c r="C1093" s="28" t="s">
        <v>174</v>
      </c>
      <c r="D1093" s="23" t="n">
        <v>4</v>
      </c>
      <c r="E1093" s="23" t="n">
        <v>2</v>
      </c>
      <c r="F1093" s="28" t="s">
        <v>915</v>
      </c>
      <c r="G1093" s="19" t="n">
        <v>0.0649</v>
      </c>
    </row>
    <row r="1094" customFormat="false" ht="15" hidden="false" customHeight="false" outlineLevel="0" collapsed="false">
      <c r="A1094" s="28" t="s">
        <v>180</v>
      </c>
      <c r="B1094" s="28" t="s">
        <v>181</v>
      </c>
      <c r="C1094" s="28" t="s">
        <v>174</v>
      </c>
      <c r="D1094" s="23" t="n">
        <v>4</v>
      </c>
      <c r="E1094" s="23" t="n">
        <v>3</v>
      </c>
      <c r="F1094" s="28" t="s">
        <v>904</v>
      </c>
      <c r="G1094" s="19" t="n">
        <v>0.0363</v>
      </c>
    </row>
    <row r="1095" customFormat="false" ht="15" hidden="false" customHeight="false" outlineLevel="0" collapsed="false">
      <c r="A1095" s="28" t="s">
        <v>180</v>
      </c>
      <c r="B1095" s="28" t="s">
        <v>181</v>
      </c>
      <c r="C1095" s="28" t="s">
        <v>174</v>
      </c>
      <c r="D1095" s="23" t="n">
        <v>4</v>
      </c>
      <c r="E1095" s="23" t="n">
        <v>3</v>
      </c>
      <c r="F1095" s="28" t="s">
        <v>551</v>
      </c>
      <c r="G1095" s="19" t="n">
        <v>0.0675</v>
      </c>
    </row>
    <row r="1096" customFormat="false" ht="15" hidden="false" customHeight="false" outlineLevel="0" collapsed="false">
      <c r="A1096" s="28" t="s">
        <v>180</v>
      </c>
      <c r="B1096" s="28" t="s">
        <v>181</v>
      </c>
      <c r="C1096" s="28" t="s">
        <v>174</v>
      </c>
      <c r="D1096" s="23" t="n">
        <v>4</v>
      </c>
      <c r="E1096" s="23" t="n">
        <v>3</v>
      </c>
      <c r="F1096" s="28" t="s">
        <v>451</v>
      </c>
      <c r="G1096" s="19" t="n">
        <v>0.0361</v>
      </c>
    </row>
    <row r="1097" customFormat="false" ht="15" hidden="false" customHeight="false" outlineLevel="0" collapsed="false">
      <c r="A1097" s="28" t="s">
        <v>180</v>
      </c>
      <c r="B1097" s="28" t="s">
        <v>181</v>
      </c>
      <c r="C1097" s="28" t="s">
        <v>174</v>
      </c>
      <c r="D1097" s="23" t="n">
        <v>4</v>
      </c>
      <c r="E1097" s="23" t="n">
        <v>3</v>
      </c>
      <c r="F1097" s="28" t="s">
        <v>905</v>
      </c>
      <c r="G1097" s="19" t="n">
        <v>0.0387</v>
      </c>
    </row>
    <row r="1098" customFormat="false" ht="15" hidden="false" customHeight="false" outlineLevel="0" collapsed="false">
      <c r="A1098" s="28" t="s">
        <v>180</v>
      </c>
      <c r="B1098" s="28" t="s">
        <v>181</v>
      </c>
      <c r="C1098" s="28" t="s">
        <v>174</v>
      </c>
      <c r="D1098" s="23" t="n">
        <v>4</v>
      </c>
      <c r="E1098" s="23" t="n">
        <v>3</v>
      </c>
      <c r="F1098" s="28" t="s">
        <v>906</v>
      </c>
      <c r="G1098" s="19" t="n">
        <v>0.0401</v>
      </c>
    </row>
    <row r="1099" customFormat="false" ht="15" hidden="false" customHeight="false" outlineLevel="0" collapsed="false">
      <c r="A1099" s="28" t="s">
        <v>180</v>
      </c>
      <c r="B1099" s="28" t="s">
        <v>181</v>
      </c>
      <c r="C1099" s="28" t="s">
        <v>174</v>
      </c>
      <c r="D1099" s="23" t="n">
        <v>4</v>
      </c>
      <c r="E1099" s="23" t="n">
        <v>3</v>
      </c>
      <c r="F1099" s="28" t="s">
        <v>907</v>
      </c>
      <c r="G1099" s="19" t="n">
        <v>0.0398</v>
      </c>
    </row>
    <row r="1100" customFormat="false" ht="15" hidden="false" customHeight="false" outlineLevel="0" collapsed="false">
      <c r="A1100" s="28" t="s">
        <v>180</v>
      </c>
      <c r="B1100" s="28" t="s">
        <v>181</v>
      </c>
      <c r="C1100" s="28" t="s">
        <v>174</v>
      </c>
      <c r="D1100" s="23" t="n">
        <v>4</v>
      </c>
      <c r="E1100" s="23" t="n">
        <v>3</v>
      </c>
      <c r="F1100" s="28" t="s">
        <v>908</v>
      </c>
      <c r="G1100" s="19" t="n">
        <v>0.0414</v>
      </c>
    </row>
    <row r="1101" customFormat="false" ht="15" hidden="false" customHeight="false" outlineLevel="0" collapsed="false">
      <c r="A1101" s="28" t="s">
        <v>180</v>
      </c>
      <c r="B1101" s="28" t="s">
        <v>181</v>
      </c>
      <c r="C1101" s="28" t="s">
        <v>174</v>
      </c>
      <c r="D1101" s="23" t="n">
        <v>4</v>
      </c>
      <c r="E1101" s="23" t="n">
        <v>3</v>
      </c>
      <c r="F1101" s="28" t="s">
        <v>909</v>
      </c>
      <c r="G1101" s="19" t="n">
        <v>0.0415</v>
      </c>
    </row>
    <row r="1102" customFormat="false" ht="15" hidden="false" customHeight="false" outlineLevel="0" collapsed="false">
      <c r="A1102" s="28" t="s">
        <v>180</v>
      </c>
      <c r="B1102" s="28" t="s">
        <v>181</v>
      </c>
      <c r="C1102" s="28" t="s">
        <v>174</v>
      </c>
      <c r="D1102" s="23" t="n">
        <v>4</v>
      </c>
      <c r="E1102" s="23" t="n">
        <v>3</v>
      </c>
      <c r="F1102" s="28" t="s">
        <v>910</v>
      </c>
      <c r="G1102" s="19" t="n">
        <v>0.0419</v>
      </c>
    </row>
    <row r="1103" customFormat="false" ht="15" hidden="false" customHeight="false" outlineLevel="0" collapsed="false">
      <c r="A1103" s="28" t="s">
        <v>180</v>
      </c>
      <c r="B1103" s="28" t="s">
        <v>181</v>
      </c>
      <c r="C1103" s="28" t="s">
        <v>174</v>
      </c>
      <c r="D1103" s="23" t="n">
        <v>4</v>
      </c>
      <c r="E1103" s="23" t="n">
        <v>3</v>
      </c>
      <c r="F1103" s="28" t="s">
        <v>911</v>
      </c>
      <c r="G1103" s="19" t="n">
        <v>0.043</v>
      </c>
    </row>
    <row r="1104" customFormat="false" ht="15" hidden="false" customHeight="false" outlineLevel="0" collapsed="false">
      <c r="A1104" s="28" t="s">
        <v>180</v>
      </c>
      <c r="B1104" s="28" t="s">
        <v>181</v>
      </c>
      <c r="C1104" s="28" t="s">
        <v>174</v>
      </c>
      <c r="D1104" s="23" t="n">
        <v>4</v>
      </c>
      <c r="E1104" s="23" t="n">
        <v>3</v>
      </c>
      <c r="F1104" s="28" t="s">
        <v>912</v>
      </c>
      <c r="G1104" s="19" t="n">
        <v>0.0444</v>
      </c>
    </row>
    <row r="1105" customFormat="false" ht="15" hidden="false" customHeight="false" outlineLevel="0" collapsed="false">
      <c r="A1105" s="28" t="s">
        <v>180</v>
      </c>
      <c r="B1105" s="28" t="s">
        <v>181</v>
      </c>
      <c r="C1105" s="28" t="s">
        <v>174</v>
      </c>
      <c r="D1105" s="23" t="n">
        <v>4</v>
      </c>
      <c r="E1105" s="23" t="n">
        <v>3</v>
      </c>
      <c r="F1105" s="28" t="s">
        <v>913</v>
      </c>
      <c r="G1105" s="19" t="n">
        <v>0.0493</v>
      </c>
    </row>
    <row r="1106" customFormat="false" ht="15" hidden="false" customHeight="false" outlineLevel="0" collapsed="false">
      <c r="A1106" s="28" t="s">
        <v>180</v>
      </c>
      <c r="B1106" s="28" t="s">
        <v>181</v>
      </c>
      <c r="C1106" s="28" t="s">
        <v>174</v>
      </c>
      <c r="D1106" s="23" t="n">
        <v>4</v>
      </c>
      <c r="E1106" s="23" t="n">
        <v>3</v>
      </c>
      <c r="F1106" s="28" t="s">
        <v>914</v>
      </c>
      <c r="G1106" s="19" t="n">
        <v>0.0491</v>
      </c>
    </row>
    <row r="1107" customFormat="false" ht="15" hidden="false" customHeight="false" outlineLevel="0" collapsed="false">
      <c r="A1107" s="28" t="s">
        <v>180</v>
      </c>
      <c r="B1107" s="28" t="s">
        <v>181</v>
      </c>
      <c r="C1107" s="28" t="s">
        <v>174</v>
      </c>
      <c r="D1107" s="23" t="n">
        <v>4</v>
      </c>
      <c r="E1107" s="23" t="n">
        <v>3</v>
      </c>
      <c r="F1107" s="28" t="s">
        <v>915</v>
      </c>
      <c r="G1107" s="19" t="n">
        <v>0.0649</v>
      </c>
    </row>
    <row r="1108" customFormat="false" ht="15" hidden="false" customHeight="false" outlineLevel="0" collapsed="false">
      <c r="A1108" s="28" t="s">
        <v>180</v>
      </c>
      <c r="B1108" s="28" t="s">
        <v>181</v>
      </c>
      <c r="C1108" s="28" t="s">
        <v>174</v>
      </c>
      <c r="D1108" s="23" t="n">
        <v>4</v>
      </c>
      <c r="E1108" s="23" t="n">
        <v>4</v>
      </c>
      <c r="F1108" s="28" t="s">
        <v>904</v>
      </c>
      <c r="G1108" s="19" t="n">
        <v>0.0363</v>
      </c>
    </row>
    <row r="1109" customFormat="false" ht="15" hidden="false" customHeight="false" outlineLevel="0" collapsed="false">
      <c r="A1109" s="28" t="s">
        <v>180</v>
      </c>
      <c r="B1109" s="28" t="s">
        <v>181</v>
      </c>
      <c r="C1109" s="28" t="s">
        <v>174</v>
      </c>
      <c r="D1109" s="23" t="n">
        <v>4</v>
      </c>
      <c r="E1109" s="23" t="n">
        <v>4</v>
      </c>
      <c r="F1109" s="28" t="s">
        <v>551</v>
      </c>
      <c r="G1109" s="19" t="n">
        <v>0.0675</v>
      </c>
    </row>
    <row r="1110" customFormat="false" ht="15" hidden="false" customHeight="false" outlineLevel="0" collapsed="false">
      <c r="A1110" s="28" t="s">
        <v>180</v>
      </c>
      <c r="B1110" s="28" t="s">
        <v>181</v>
      </c>
      <c r="C1110" s="28" t="s">
        <v>174</v>
      </c>
      <c r="D1110" s="23" t="n">
        <v>4</v>
      </c>
      <c r="E1110" s="23" t="n">
        <v>4</v>
      </c>
      <c r="F1110" s="28" t="s">
        <v>451</v>
      </c>
      <c r="G1110" s="19" t="n">
        <v>0.0361</v>
      </c>
    </row>
    <row r="1111" customFormat="false" ht="15" hidden="false" customHeight="false" outlineLevel="0" collapsed="false">
      <c r="A1111" s="28" t="s">
        <v>180</v>
      </c>
      <c r="B1111" s="28" t="s">
        <v>181</v>
      </c>
      <c r="C1111" s="28" t="s">
        <v>174</v>
      </c>
      <c r="D1111" s="23" t="n">
        <v>4</v>
      </c>
      <c r="E1111" s="23" t="n">
        <v>4</v>
      </c>
      <c r="F1111" s="28" t="s">
        <v>905</v>
      </c>
      <c r="G1111" s="19" t="n">
        <v>0.0387</v>
      </c>
    </row>
    <row r="1112" customFormat="false" ht="15" hidden="false" customHeight="false" outlineLevel="0" collapsed="false">
      <c r="A1112" s="28" t="s">
        <v>180</v>
      </c>
      <c r="B1112" s="28" t="s">
        <v>181</v>
      </c>
      <c r="C1112" s="28" t="s">
        <v>174</v>
      </c>
      <c r="D1112" s="23" t="n">
        <v>4</v>
      </c>
      <c r="E1112" s="23" t="n">
        <v>4</v>
      </c>
      <c r="F1112" s="28" t="s">
        <v>906</v>
      </c>
      <c r="G1112" s="19" t="n">
        <v>0.0401</v>
      </c>
    </row>
    <row r="1113" customFormat="false" ht="15" hidden="false" customHeight="false" outlineLevel="0" collapsed="false">
      <c r="A1113" s="28" t="s">
        <v>180</v>
      </c>
      <c r="B1113" s="28" t="s">
        <v>181</v>
      </c>
      <c r="C1113" s="28" t="s">
        <v>174</v>
      </c>
      <c r="D1113" s="23" t="n">
        <v>4</v>
      </c>
      <c r="E1113" s="23" t="n">
        <v>4</v>
      </c>
      <c r="F1113" s="28" t="s">
        <v>907</v>
      </c>
      <c r="G1113" s="19" t="n">
        <v>0.0398</v>
      </c>
    </row>
    <row r="1114" customFormat="false" ht="15" hidden="false" customHeight="false" outlineLevel="0" collapsed="false">
      <c r="A1114" s="28" t="s">
        <v>180</v>
      </c>
      <c r="B1114" s="28" t="s">
        <v>181</v>
      </c>
      <c r="C1114" s="28" t="s">
        <v>174</v>
      </c>
      <c r="D1114" s="23" t="n">
        <v>4</v>
      </c>
      <c r="E1114" s="23" t="n">
        <v>4</v>
      </c>
      <c r="F1114" s="28" t="s">
        <v>908</v>
      </c>
      <c r="G1114" s="19" t="n">
        <v>0.0414</v>
      </c>
    </row>
    <row r="1115" customFormat="false" ht="15" hidden="false" customHeight="false" outlineLevel="0" collapsed="false">
      <c r="A1115" s="28" t="s">
        <v>180</v>
      </c>
      <c r="B1115" s="28" t="s">
        <v>181</v>
      </c>
      <c r="C1115" s="28" t="s">
        <v>174</v>
      </c>
      <c r="D1115" s="23" t="n">
        <v>4</v>
      </c>
      <c r="E1115" s="23" t="n">
        <v>4</v>
      </c>
      <c r="F1115" s="28" t="s">
        <v>909</v>
      </c>
      <c r="G1115" s="19" t="n">
        <v>0.0415</v>
      </c>
    </row>
    <row r="1116" customFormat="false" ht="15" hidden="false" customHeight="false" outlineLevel="0" collapsed="false">
      <c r="A1116" s="28" t="s">
        <v>180</v>
      </c>
      <c r="B1116" s="28" t="s">
        <v>181</v>
      </c>
      <c r="C1116" s="28" t="s">
        <v>174</v>
      </c>
      <c r="D1116" s="23" t="n">
        <v>4</v>
      </c>
      <c r="E1116" s="23" t="n">
        <v>4</v>
      </c>
      <c r="F1116" s="28" t="s">
        <v>910</v>
      </c>
      <c r="G1116" s="19" t="n">
        <v>0.0419</v>
      </c>
    </row>
    <row r="1117" customFormat="false" ht="15" hidden="false" customHeight="false" outlineLevel="0" collapsed="false">
      <c r="A1117" s="28" t="s">
        <v>180</v>
      </c>
      <c r="B1117" s="28" t="s">
        <v>181</v>
      </c>
      <c r="C1117" s="28" t="s">
        <v>174</v>
      </c>
      <c r="D1117" s="23" t="n">
        <v>4</v>
      </c>
      <c r="E1117" s="23" t="n">
        <v>4</v>
      </c>
      <c r="F1117" s="28" t="s">
        <v>911</v>
      </c>
      <c r="G1117" s="19" t="n">
        <v>0.043</v>
      </c>
    </row>
    <row r="1118" customFormat="false" ht="15" hidden="false" customHeight="false" outlineLevel="0" collapsed="false">
      <c r="A1118" s="28" t="s">
        <v>180</v>
      </c>
      <c r="B1118" s="28" t="s">
        <v>181</v>
      </c>
      <c r="C1118" s="28" t="s">
        <v>174</v>
      </c>
      <c r="D1118" s="23" t="n">
        <v>4</v>
      </c>
      <c r="E1118" s="23" t="n">
        <v>4</v>
      </c>
      <c r="F1118" s="28" t="s">
        <v>912</v>
      </c>
      <c r="G1118" s="19" t="n">
        <v>0.0444</v>
      </c>
    </row>
    <row r="1119" customFormat="false" ht="15" hidden="false" customHeight="false" outlineLevel="0" collapsed="false">
      <c r="A1119" s="28" t="s">
        <v>180</v>
      </c>
      <c r="B1119" s="28" t="s">
        <v>181</v>
      </c>
      <c r="C1119" s="28" t="s">
        <v>174</v>
      </c>
      <c r="D1119" s="23" t="n">
        <v>4</v>
      </c>
      <c r="E1119" s="23" t="n">
        <v>4</v>
      </c>
      <c r="F1119" s="28" t="s">
        <v>913</v>
      </c>
      <c r="G1119" s="19" t="n">
        <v>0.0493</v>
      </c>
    </row>
    <row r="1120" customFormat="false" ht="15" hidden="false" customHeight="false" outlineLevel="0" collapsed="false">
      <c r="A1120" s="28" t="s">
        <v>180</v>
      </c>
      <c r="B1120" s="28" t="s">
        <v>181</v>
      </c>
      <c r="C1120" s="28" t="s">
        <v>174</v>
      </c>
      <c r="D1120" s="23" t="n">
        <v>4</v>
      </c>
      <c r="E1120" s="23" t="n">
        <v>4</v>
      </c>
      <c r="F1120" s="28" t="s">
        <v>914</v>
      </c>
      <c r="G1120" s="19" t="n">
        <v>0.0491</v>
      </c>
    </row>
    <row r="1121" customFormat="false" ht="15" hidden="false" customHeight="false" outlineLevel="0" collapsed="false">
      <c r="A1121" s="28" t="s">
        <v>180</v>
      </c>
      <c r="B1121" s="28" t="s">
        <v>181</v>
      </c>
      <c r="C1121" s="28" t="s">
        <v>174</v>
      </c>
      <c r="D1121" s="23" t="n">
        <v>4</v>
      </c>
      <c r="E1121" s="23" t="n">
        <v>4</v>
      </c>
      <c r="F1121" s="28" t="s">
        <v>915</v>
      </c>
      <c r="G1121" s="19" t="n">
        <v>0.0649</v>
      </c>
    </row>
    <row r="1122" customFormat="false" ht="15" hidden="false" customHeight="false" outlineLevel="0" collapsed="false">
      <c r="A1122" s="28" t="s">
        <v>180</v>
      </c>
      <c r="B1122" s="28" t="s">
        <v>181</v>
      </c>
      <c r="C1122" s="28" t="s">
        <v>174</v>
      </c>
      <c r="D1122" s="23" t="n">
        <v>4</v>
      </c>
      <c r="E1122" s="23" t="n">
        <v>5</v>
      </c>
      <c r="F1122" s="28" t="s">
        <v>904</v>
      </c>
      <c r="G1122" s="19" t="n">
        <v>0.0363</v>
      </c>
    </row>
    <row r="1123" customFormat="false" ht="15" hidden="false" customHeight="false" outlineLevel="0" collapsed="false">
      <c r="A1123" s="28" t="s">
        <v>180</v>
      </c>
      <c r="B1123" s="28" t="s">
        <v>181</v>
      </c>
      <c r="C1123" s="28" t="s">
        <v>174</v>
      </c>
      <c r="D1123" s="23" t="n">
        <v>4</v>
      </c>
      <c r="E1123" s="23" t="n">
        <v>5</v>
      </c>
      <c r="F1123" s="28" t="s">
        <v>551</v>
      </c>
      <c r="G1123" s="19" t="n">
        <v>0.0675</v>
      </c>
    </row>
    <row r="1124" customFormat="false" ht="15" hidden="false" customHeight="false" outlineLevel="0" collapsed="false">
      <c r="A1124" s="28" t="s">
        <v>180</v>
      </c>
      <c r="B1124" s="28" t="s">
        <v>181</v>
      </c>
      <c r="C1124" s="28" t="s">
        <v>174</v>
      </c>
      <c r="D1124" s="23" t="n">
        <v>4</v>
      </c>
      <c r="E1124" s="23" t="n">
        <v>5</v>
      </c>
      <c r="F1124" s="28" t="s">
        <v>451</v>
      </c>
      <c r="G1124" s="19" t="n">
        <v>0.0361</v>
      </c>
    </row>
    <row r="1125" customFormat="false" ht="15" hidden="false" customHeight="false" outlineLevel="0" collapsed="false">
      <c r="A1125" s="28" t="s">
        <v>180</v>
      </c>
      <c r="B1125" s="28" t="s">
        <v>181</v>
      </c>
      <c r="C1125" s="28" t="s">
        <v>174</v>
      </c>
      <c r="D1125" s="23" t="n">
        <v>4</v>
      </c>
      <c r="E1125" s="23" t="n">
        <v>5</v>
      </c>
      <c r="F1125" s="28" t="s">
        <v>905</v>
      </c>
      <c r="G1125" s="19" t="n">
        <v>0.0387</v>
      </c>
    </row>
    <row r="1126" customFormat="false" ht="15" hidden="false" customHeight="false" outlineLevel="0" collapsed="false">
      <c r="A1126" s="28" t="s">
        <v>180</v>
      </c>
      <c r="B1126" s="28" t="s">
        <v>181</v>
      </c>
      <c r="C1126" s="28" t="s">
        <v>174</v>
      </c>
      <c r="D1126" s="23" t="n">
        <v>4</v>
      </c>
      <c r="E1126" s="23" t="n">
        <v>5</v>
      </c>
      <c r="F1126" s="28" t="s">
        <v>906</v>
      </c>
      <c r="G1126" s="19" t="n">
        <v>0.0401</v>
      </c>
    </row>
    <row r="1127" customFormat="false" ht="15" hidden="false" customHeight="false" outlineLevel="0" collapsed="false">
      <c r="A1127" s="28" t="s">
        <v>180</v>
      </c>
      <c r="B1127" s="28" t="s">
        <v>181</v>
      </c>
      <c r="C1127" s="28" t="s">
        <v>174</v>
      </c>
      <c r="D1127" s="23" t="n">
        <v>4</v>
      </c>
      <c r="E1127" s="23" t="n">
        <v>5</v>
      </c>
      <c r="F1127" s="28" t="s">
        <v>907</v>
      </c>
      <c r="G1127" s="19" t="n">
        <v>0.0398</v>
      </c>
    </row>
    <row r="1128" customFormat="false" ht="15" hidden="false" customHeight="false" outlineLevel="0" collapsed="false">
      <c r="A1128" s="28" t="s">
        <v>180</v>
      </c>
      <c r="B1128" s="28" t="s">
        <v>181</v>
      </c>
      <c r="C1128" s="28" t="s">
        <v>174</v>
      </c>
      <c r="D1128" s="23" t="n">
        <v>4</v>
      </c>
      <c r="E1128" s="23" t="n">
        <v>5</v>
      </c>
      <c r="F1128" s="28" t="s">
        <v>908</v>
      </c>
      <c r="G1128" s="19" t="n">
        <v>0.0414</v>
      </c>
    </row>
    <row r="1129" customFormat="false" ht="15" hidden="false" customHeight="false" outlineLevel="0" collapsed="false">
      <c r="A1129" s="28" t="s">
        <v>180</v>
      </c>
      <c r="B1129" s="28" t="s">
        <v>181</v>
      </c>
      <c r="C1129" s="28" t="s">
        <v>174</v>
      </c>
      <c r="D1129" s="23" t="n">
        <v>4</v>
      </c>
      <c r="E1129" s="23" t="n">
        <v>5</v>
      </c>
      <c r="F1129" s="28" t="s">
        <v>909</v>
      </c>
      <c r="G1129" s="19" t="n">
        <v>0.0415</v>
      </c>
    </row>
    <row r="1130" customFormat="false" ht="15" hidden="false" customHeight="false" outlineLevel="0" collapsed="false">
      <c r="A1130" s="28" t="s">
        <v>180</v>
      </c>
      <c r="B1130" s="28" t="s">
        <v>181</v>
      </c>
      <c r="C1130" s="28" t="s">
        <v>174</v>
      </c>
      <c r="D1130" s="23" t="n">
        <v>4</v>
      </c>
      <c r="E1130" s="23" t="n">
        <v>5</v>
      </c>
      <c r="F1130" s="28" t="s">
        <v>910</v>
      </c>
      <c r="G1130" s="19" t="n">
        <v>0.0419</v>
      </c>
    </row>
    <row r="1131" customFormat="false" ht="15" hidden="false" customHeight="false" outlineLevel="0" collapsed="false">
      <c r="A1131" s="28" t="s">
        <v>180</v>
      </c>
      <c r="B1131" s="28" t="s">
        <v>181</v>
      </c>
      <c r="C1131" s="28" t="s">
        <v>174</v>
      </c>
      <c r="D1131" s="23" t="n">
        <v>4</v>
      </c>
      <c r="E1131" s="23" t="n">
        <v>5</v>
      </c>
      <c r="F1131" s="28" t="s">
        <v>911</v>
      </c>
      <c r="G1131" s="19" t="n">
        <v>0.043</v>
      </c>
    </row>
    <row r="1132" customFormat="false" ht="15" hidden="false" customHeight="false" outlineLevel="0" collapsed="false">
      <c r="A1132" s="28" t="s">
        <v>180</v>
      </c>
      <c r="B1132" s="28" t="s">
        <v>181</v>
      </c>
      <c r="C1132" s="28" t="s">
        <v>174</v>
      </c>
      <c r="D1132" s="23" t="n">
        <v>4</v>
      </c>
      <c r="E1132" s="23" t="n">
        <v>5</v>
      </c>
      <c r="F1132" s="28" t="s">
        <v>912</v>
      </c>
      <c r="G1132" s="19" t="n">
        <v>0.0444</v>
      </c>
    </row>
    <row r="1133" customFormat="false" ht="15" hidden="false" customHeight="false" outlineLevel="0" collapsed="false">
      <c r="A1133" s="28" t="s">
        <v>180</v>
      </c>
      <c r="B1133" s="28" t="s">
        <v>181</v>
      </c>
      <c r="C1133" s="28" t="s">
        <v>174</v>
      </c>
      <c r="D1133" s="23" t="n">
        <v>4</v>
      </c>
      <c r="E1133" s="23" t="n">
        <v>5</v>
      </c>
      <c r="F1133" s="28" t="s">
        <v>913</v>
      </c>
      <c r="G1133" s="19" t="n">
        <v>0.0493</v>
      </c>
    </row>
    <row r="1134" customFormat="false" ht="15" hidden="false" customHeight="false" outlineLevel="0" collapsed="false">
      <c r="A1134" s="28" t="s">
        <v>180</v>
      </c>
      <c r="B1134" s="28" t="s">
        <v>181</v>
      </c>
      <c r="C1134" s="28" t="s">
        <v>174</v>
      </c>
      <c r="D1134" s="23" t="n">
        <v>4</v>
      </c>
      <c r="E1134" s="23" t="n">
        <v>5</v>
      </c>
      <c r="F1134" s="28" t="s">
        <v>914</v>
      </c>
      <c r="G1134" s="19" t="n">
        <v>0.0491</v>
      </c>
    </row>
    <row r="1135" customFormat="false" ht="15" hidden="false" customHeight="false" outlineLevel="0" collapsed="false">
      <c r="A1135" s="28" t="s">
        <v>180</v>
      </c>
      <c r="B1135" s="28" t="s">
        <v>181</v>
      </c>
      <c r="C1135" s="28" t="s">
        <v>174</v>
      </c>
      <c r="D1135" s="23" t="n">
        <v>4</v>
      </c>
      <c r="E1135" s="23" t="n">
        <v>5</v>
      </c>
      <c r="F1135" s="28" t="s">
        <v>915</v>
      </c>
      <c r="G1135" s="19" t="n">
        <v>0.0649</v>
      </c>
    </row>
    <row r="1136" customFormat="false" ht="15" hidden="false" customHeight="false" outlineLevel="0" collapsed="false">
      <c r="A1136" s="28" t="s">
        <v>180</v>
      </c>
      <c r="B1136" s="28" t="s">
        <v>181</v>
      </c>
      <c r="C1136" s="28" t="s">
        <v>174</v>
      </c>
      <c r="D1136" s="23" t="n">
        <v>4</v>
      </c>
      <c r="E1136" s="23" t="n">
        <v>6</v>
      </c>
      <c r="F1136" s="28" t="s">
        <v>904</v>
      </c>
      <c r="G1136" s="19" t="n">
        <v>0.0363</v>
      </c>
    </row>
    <row r="1137" customFormat="false" ht="15" hidden="false" customHeight="false" outlineLevel="0" collapsed="false">
      <c r="A1137" s="28" t="s">
        <v>180</v>
      </c>
      <c r="B1137" s="28" t="s">
        <v>181</v>
      </c>
      <c r="C1137" s="28" t="s">
        <v>174</v>
      </c>
      <c r="D1137" s="23" t="n">
        <v>4</v>
      </c>
      <c r="E1137" s="23" t="n">
        <v>6</v>
      </c>
      <c r="F1137" s="28" t="s">
        <v>551</v>
      </c>
      <c r="G1137" s="19" t="n">
        <v>0.0675</v>
      </c>
    </row>
    <row r="1138" customFormat="false" ht="15" hidden="false" customHeight="false" outlineLevel="0" collapsed="false">
      <c r="A1138" s="28" t="s">
        <v>180</v>
      </c>
      <c r="B1138" s="28" t="s">
        <v>181</v>
      </c>
      <c r="C1138" s="28" t="s">
        <v>174</v>
      </c>
      <c r="D1138" s="23" t="n">
        <v>4</v>
      </c>
      <c r="E1138" s="23" t="n">
        <v>6</v>
      </c>
      <c r="F1138" s="28" t="s">
        <v>451</v>
      </c>
      <c r="G1138" s="19" t="n">
        <v>0.0361</v>
      </c>
    </row>
    <row r="1139" customFormat="false" ht="15" hidden="false" customHeight="false" outlineLevel="0" collapsed="false">
      <c r="A1139" s="28" t="s">
        <v>180</v>
      </c>
      <c r="B1139" s="28" t="s">
        <v>181</v>
      </c>
      <c r="C1139" s="28" t="s">
        <v>174</v>
      </c>
      <c r="D1139" s="23" t="n">
        <v>4</v>
      </c>
      <c r="E1139" s="23" t="n">
        <v>6</v>
      </c>
      <c r="F1139" s="28" t="s">
        <v>905</v>
      </c>
      <c r="G1139" s="19" t="n">
        <v>0.0387</v>
      </c>
    </row>
    <row r="1140" customFormat="false" ht="15" hidden="false" customHeight="false" outlineLevel="0" collapsed="false">
      <c r="A1140" s="28" t="s">
        <v>180</v>
      </c>
      <c r="B1140" s="28" t="s">
        <v>181</v>
      </c>
      <c r="C1140" s="28" t="s">
        <v>174</v>
      </c>
      <c r="D1140" s="23" t="n">
        <v>4</v>
      </c>
      <c r="E1140" s="23" t="n">
        <v>6</v>
      </c>
      <c r="F1140" s="28" t="s">
        <v>906</v>
      </c>
      <c r="G1140" s="19" t="n">
        <v>0.0401</v>
      </c>
    </row>
    <row r="1141" customFormat="false" ht="15" hidden="false" customHeight="false" outlineLevel="0" collapsed="false">
      <c r="A1141" s="28" t="s">
        <v>180</v>
      </c>
      <c r="B1141" s="28" t="s">
        <v>181</v>
      </c>
      <c r="C1141" s="28" t="s">
        <v>174</v>
      </c>
      <c r="D1141" s="23" t="n">
        <v>4</v>
      </c>
      <c r="E1141" s="23" t="n">
        <v>6</v>
      </c>
      <c r="F1141" s="28" t="s">
        <v>907</v>
      </c>
      <c r="G1141" s="19" t="n">
        <v>0.0398</v>
      </c>
    </row>
    <row r="1142" customFormat="false" ht="15" hidden="false" customHeight="false" outlineLevel="0" collapsed="false">
      <c r="A1142" s="28" t="s">
        <v>180</v>
      </c>
      <c r="B1142" s="28" t="s">
        <v>181</v>
      </c>
      <c r="C1142" s="28" t="s">
        <v>174</v>
      </c>
      <c r="D1142" s="23" t="n">
        <v>4</v>
      </c>
      <c r="E1142" s="23" t="n">
        <v>6</v>
      </c>
      <c r="F1142" s="28" t="s">
        <v>908</v>
      </c>
      <c r="G1142" s="19" t="n">
        <v>0.0414</v>
      </c>
    </row>
    <row r="1143" customFormat="false" ht="15" hidden="false" customHeight="false" outlineLevel="0" collapsed="false">
      <c r="A1143" s="28" t="s">
        <v>180</v>
      </c>
      <c r="B1143" s="28" t="s">
        <v>181</v>
      </c>
      <c r="C1143" s="28" t="s">
        <v>174</v>
      </c>
      <c r="D1143" s="23" t="n">
        <v>4</v>
      </c>
      <c r="E1143" s="23" t="n">
        <v>6</v>
      </c>
      <c r="F1143" s="28" t="s">
        <v>909</v>
      </c>
      <c r="G1143" s="19" t="n">
        <v>0.0415</v>
      </c>
    </row>
    <row r="1144" customFormat="false" ht="15" hidden="false" customHeight="false" outlineLevel="0" collapsed="false">
      <c r="A1144" s="28" t="s">
        <v>180</v>
      </c>
      <c r="B1144" s="28" t="s">
        <v>181</v>
      </c>
      <c r="C1144" s="28" t="s">
        <v>174</v>
      </c>
      <c r="D1144" s="23" t="n">
        <v>4</v>
      </c>
      <c r="E1144" s="23" t="n">
        <v>6</v>
      </c>
      <c r="F1144" s="28" t="s">
        <v>910</v>
      </c>
      <c r="G1144" s="19" t="n">
        <v>0.0419</v>
      </c>
    </row>
    <row r="1145" customFormat="false" ht="15" hidden="false" customHeight="false" outlineLevel="0" collapsed="false">
      <c r="A1145" s="28" t="s">
        <v>180</v>
      </c>
      <c r="B1145" s="28" t="s">
        <v>181</v>
      </c>
      <c r="C1145" s="28" t="s">
        <v>174</v>
      </c>
      <c r="D1145" s="23" t="n">
        <v>4</v>
      </c>
      <c r="E1145" s="23" t="n">
        <v>6</v>
      </c>
      <c r="F1145" s="28" t="s">
        <v>911</v>
      </c>
      <c r="G1145" s="19" t="n">
        <v>0.043</v>
      </c>
    </row>
    <row r="1146" customFormat="false" ht="15" hidden="false" customHeight="false" outlineLevel="0" collapsed="false">
      <c r="A1146" s="28" t="s">
        <v>180</v>
      </c>
      <c r="B1146" s="28" t="s">
        <v>181</v>
      </c>
      <c r="C1146" s="28" t="s">
        <v>174</v>
      </c>
      <c r="D1146" s="23" t="n">
        <v>4</v>
      </c>
      <c r="E1146" s="23" t="n">
        <v>6</v>
      </c>
      <c r="F1146" s="28" t="s">
        <v>912</v>
      </c>
      <c r="G1146" s="19" t="n">
        <v>0.0444</v>
      </c>
    </row>
    <row r="1147" customFormat="false" ht="15" hidden="false" customHeight="false" outlineLevel="0" collapsed="false">
      <c r="A1147" s="28" t="s">
        <v>180</v>
      </c>
      <c r="B1147" s="28" t="s">
        <v>181</v>
      </c>
      <c r="C1147" s="28" t="s">
        <v>174</v>
      </c>
      <c r="D1147" s="23" t="n">
        <v>4</v>
      </c>
      <c r="E1147" s="23" t="n">
        <v>6</v>
      </c>
      <c r="F1147" s="28" t="s">
        <v>913</v>
      </c>
      <c r="G1147" s="19" t="n">
        <v>0.0493</v>
      </c>
    </row>
    <row r="1148" customFormat="false" ht="15" hidden="false" customHeight="false" outlineLevel="0" collapsed="false">
      <c r="A1148" s="28" t="s">
        <v>180</v>
      </c>
      <c r="B1148" s="28" t="s">
        <v>181</v>
      </c>
      <c r="C1148" s="28" t="s">
        <v>174</v>
      </c>
      <c r="D1148" s="23" t="n">
        <v>4</v>
      </c>
      <c r="E1148" s="23" t="n">
        <v>6</v>
      </c>
      <c r="F1148" s="28" t="s">
        <v>914</v>
      </c>
      <c r="G1148" s="19" t="n">
        <v>0.0491</v>
      </c>
    </row>
    <row r="1149" customFormat="false" ht="15" hidden="false" customHeight="false" outlineLevel="0" collapsed="false">
      <c r="A1149" s="28" t="s">
        <v>180</v>
      </c>
      <c r="B1149" s="28" t="s">
        <v>181</v>
      </c>
      <c r="C1149" s="28" t="s">
        <v>174</v>
      </c>
      <c r="D1149" s="23" t="n">
        <v>4</v>
      </c>
      <c r="E1149" s="23" t="n">
        <v>6</v>
      </c>
      <c r="F1149" s="28" t="s">
        <v>915</v>
      </c>
      <c r="G1149" s="19" t="n">
        <v>0.0649</v>
      </c>
    </row>
    <row r="1150" customFormat="false" ht="15" hidden="false" customHeight="false" outlineLevel="0" collapsed="false">
      <c r="A1150" s="28" t="s">
        <v>180</v>
      </c>
      <c r="B1150" s="28" t="s">
        <v>181</v>
      </c>
      <c r="C1150" s="28" t="s">
        <v>174</v>
      </c>
      <c r="D1150" s="23" t="n">
        <v>4</v>
      </c>
      <c r="E1150" s="23" t="n">
        <v>7</v>
      </c>
      <c r="F1150" s="28" t="s">
        <v>904</v>
      </c>
      <c r="G1150" s="19" t="n">
        <v>0.0363</v>
      </c>
    </row>
    <row r="1151" customFormat="false" ht="15" hidden="false" customHeight="false" outlineLevel="0" collapsed="false">
      <c r="A1151" s="28" t="s">
        <v>180</v>
      </c>
      <c r="B1151" s="28" t="s">
        <v>181</v>
      </c>
      <c r="C1151" s="28" t="s">
        <v>174</v>
      </c>
      <c r="D1151" s="23" t="n">
        <v>4</v>
      </c>
      <c r="E1151" s="23" t="n">
        <v>7</v>
      </c>
      <c r="F1151" s="28" t="s">
        <v>551</v>
      </c>
      <c r="G1151" s="19" t="n">
        <v>0.0675</v>
      </c>
    </row>
    <row r="1152" customFormat="false" ht="15" hidden="false" customHeight="false" outlineLevel="0" collapsed="false">
      <c r="A1152" s="28" t="s">
        <v>180</v>
      </c>
      <c r="B1152" s="28" t="s">
        <v>181</v>
      </c>
      <c r="C1152" s="28" t="s">
        <v>174</v>
      </c>
      <c r="D1152" s="23" t="n">
        <v>4</v>
      </c>
      <c r="E1152" s="23" t="n">
        <v>7</v>
      </c>
      <c r="F1152" s="28" t="s">
        <v>451</v>
      </c>
      <c r="G1152" s="19" t="n">
        <v>0.0361</v>
      </c>
    </row>
    <row r="1153" customFormat="false" ht="15" hidden="false" customHeight="false" outlineLevel="0" collapsed="false">
      <c r="A1153" s="28" t="s">
        <v>180</v>
      </c>
      <c r="B1153" s="28" t="s">
        <v>181</v>
      </c>
      <c r="C1153" s="28" t="s">
        <v>174</v>
      </c>
      <c r="D1153" s="23" t="n">
        <v>4</v>
      </c>
      <c r="E1153" s="23" t="n">
        <v>7</v>
      </c>
      <c r="F1153" s="28" t="s">
        <v>905</v>
      </c>
      <c r="G1153" s="19" t="n">
        <v>0.0387</v>
      </c>
    </row>
    <row r="1154" customFormat="false" ht="15" hidden="false" customHeight="false" outlineLevel="0" collapsed="false">
      <c r="A1154" s="28" t="s">
        <v>180</v>
      </c>
      <c r="B1154" s="28" t="s">
        <v>181</v>
      </c>
      <c r="C1154" s="28" t="s">
        <v>174</v>
      </c>
      <c r="D1154" s="23" t="n">
        <v>4</v>
      </c>
      <c r="E1154" s="23" t="n">
        <v>7</v>
      </c>
      <c r="F1154" s="28" t="s">
        <v>906</v>
      </c>
      <c r="G1154" s="19" t="n">
        <v>0.0401</v>
      </c>
    </row>
    <row r="1155" customFormat="false" ht="15" hidden="false" customHeight="false" outlineLevel="0" collapsed="false">
      <c r="A1155" s="28" t="s">
        <v>180</v>
      </c>
      <c r="B1155" s="28" t="s">
        <v>181</v>
      </c>
      <c r="C1155" s="28" t="s">
        <v>174</v>
      </c>
      <c r="D1155" s="23" t="n">
        <v>4</v>
      </c>
      <c r="E1155" s="23" t="n">
        <v>7</v>
      </c>
      <c r="F1155" s="28" t="s">
        <v>907</v>
      </c>
      <c r="G1155" s="19" t="n">
        <v>0.0398</v>
      </c>
    </row>
    <row r="1156" customFormat="false" ht="15" hidden="false" customHeight="false" outlineLevel="0" collapsed="false">
      <c r="A1156" s="28" t="s">
        <v>180</v>
      </c>
      <c r="B1156" s="28" t="s">
        <v>181</v>
      </c>
      <c r="C1156" s="28" t="s">
        <v>174</v>
      </c>
      <c r="D1156" s="23" t="n">
        <v>4</v>
      </c>
      <c r="E1156" s="23" t="n">
        <v>7</v>
      </c>
      <c r="F1156" s="28" t="s">
        <v>908</v>
      </c>
      <c r="G1156" s="19" t="n">
        <v>0.0414</v>
      </c>
    </row>
    <row r="1157" customFormat="false" ht="15" hidden="false" customHeight="false" outlineLevel="0" collapsed="false">
      <c r="A1157" s="28" t="s">
        <v>180</v>
      </c>
      <c r="B1157" s="28" t="s">
        <v>181</v>
      </c>
      <c r="C1157" s="28" t="s">
        <v>174</v>
      </c>
      <c r="D1157" s="23" t="n">
        <v>4</v>
      </c>
      <c r="E1157" s="23" t="n">
        <v>7</v>
      </c>
      <c r="F1157" s="28" t="s">
        <v>909</v>
      </c>
      <c r="G1157" s="19" t="n">
        <v>0.0415</v>
      </c>
    </row>
    <row r="1158" customFormat="false" ht="15" hidden="false" customHeight="false" outlineLevel="0" collapsed="false">
      <c r="A1158" s="28" t="s">
        <v>180</v>
      </c>
      <c r="B1158" s="28" t="s">
        <v>181</v>
      </c>
      <c r="C1158" s="28" t="s">
        <v>174</v>
      </c>
      <c r="D1158" s="23" t="n">
        <v>4</v>
      </c>
      <c r="E1158" s="23" t="n">
        <v>7</v>
      </c>
      <c r="F1158" s="28" t="s">
        <v>910</v>
      </c>
      <c r="G1158" s="19" t="n">
        <v>0.0419</v>
      </c>
    </row>
    <row r="1159" customFormat="false" ht="15" hidden="false" customHeight="false" outlineLevel="0" collapsed="false">
      <c r="A1159" s="28" t="s">
        <v>180</v>
      </c>
      <c r="B1159" s="28" t="s">
        <v>181</v>
      </c>
      <c r="C1159" s="28" t="s">
        <v>174</v>
      </c>
      <c r="D1159" s="23" t="n">
        <v>4</v>
      </c>
      <c r="E1159" s="23" t="n">
        <v>7</v>
      </c>
      <c r="F1159" s="28" t="s">
        <v>911</v>
      </c>
      <c r="G1159" s="19" t="n">
        <v>0.043</v>
      </c>
    </row>
    <row r="1160" customFormat="false" ht="15" hidden="false" customHeight="false" outlineLevel="0" collapsed="false">
      <c r="A1160" s="28" t="s">
        <v>180</v>
      </c>
      <c r="B1160" s="28" t="s">
        <v>181</v>
      </c>
      <c r="C1160" s="28" t="s">
        <v>174</v>
      </c>
      <c r="D1160" s="23" t="n">
        <v>4</v>
      </c>
      <c r="E1160" s="23" t="n">
        <v>7</v>
      </c>
      <c r="F1160" s="28" t="s">
        <v>912</v>
      </c>
      <c r="G1160" s="19" t="n">
        <v>0.0444</v>
      </c>
    </row>
    <row r="1161" customFormat="false" ht="15" hidden="false" customHeight="false" outlineLevel="0" collapsed="false">
      <c r="A1161" s="28" t="s">
        <v>180</v>
      </c>
      <c r="B1161" s="28" t="s">
        <v>181</v>
      </c>
      <c r="C1161" s="28" t="s">
        <v>174</v>
      </c>
      <c r="D1161" s="23" t="n">
        <v>4</v>
      </c>
      <c r="E1161" s="23" t="n">
        <v>7</v>
      </c>
      <c r="F1161" s="28" t="s">
        <v>913</v>
      </c>
      <c r="G1161" s="19" t="n">
        <v>0.0493</v>
      </c>
    </row>
    <row r="1162" customFormat="false" ht="15" hidden="false" customHeight="false" outlineLevel="0" collapsed="false">
      <c r="A1162" s="28" t="s">
        <v>180</v>
      </c>
      <c r="B1162" s="28" t="s">
        <v>181</v>
      </c>
      <c r="C1162" s="28" t="s">
        <v>174</v>
      </c>
      <c r="D1162" s="23" t="n">
        <v>4</v>
      </c>
      <c r="E1162" s="23" t="n">
        <v>7</v>
      </c>
      <c r="F1162" s="28" t="s">
        <v>914</v>
      </c>
      <c r="G1162" s="19" t="n">
        <v>0.0491</v>
      </c>
    </row>
    <row r="1163" customFormat="false" ht="15" hidden="false" customHeight="false" outlineLevel="0" collapsed="false">
      <c r="A1163" s="28" t="s">
        <v>180</v>
      </c>
      <c r="B1163" s="28" t="s">
        <v>181</v>
      </c>
      <c r="C1163" s="28" t="s">
        <v>174</v>
      </c>
      <c r="D1163" s="23" t="n">
        <v>4</v>
      </c>
      <c r="E1163" s="23" t="n">
        <v>7</v>
      </c>
      <c r="F1163" s="28" t="s">
        <v>915</v>
      </c>
      <c r="G1163" s="19" t="n">
        <v>0.0649</v>
      </c>
    </row>
    <row r="1164" customFormat="false" ht="15" hidden="false" customHeight="false" outlineLevel="0" collapsed="false">
      <c r="A1164" s="28" t="s">
        <v>180</v>
      </c>
      <c r="B1164" s="28" t="s">
        <v>181</v>
      </c>
      <c r="C1164" s="28" t="s">
        <v>174</v>
      </c>
      <c r="D1164" s="23" t="n">
        <v>4</v>
      </c>
      <c r="E1164" s="23" t="n">
        <v>8</v>
      </c>
      <c r="F1164" s="28" t="s">
        <v>904</v>
      </c>
      <c r="G1164" s="19" t="n">
        <v>0.0363</v>
      </c>
    </row>
    <row r="1165" customFormat="false" ht="15" hidden="false" customHeight="false" outlineLevel="0" collapsed="false">
      <c r="A1165" s="28" t="s">
        <v>180</v>
      </c>
      <c r="B1165" s="28" t="s">
        <v>181</v>
      </c>
      <c r="C1165" s="28" t="s">
        <v>174</v>
      </c>
      <c r="D1165" s="23" t="n">
        <v>4</v>
      </c>
      <c r="E1165" s="23" t="n">
        <v>8</v>
      </c>
      <c r="F1165" s="28" t="s">
        <v>551</v>
      </c>
      <c r="G1165" s="19" t="n">
        <v>0.0675</v>
      </c>
    </row>
    <row r="1166" customFormat="false" ht="15" hidden="false" customHeight="false" outlineLevel="0" collapsed="false">
      <c r="A1166" s="28" t="s">
        <v>180</v>
      </c>
      <c r="B1166" s="28" t="s">
        <v>181</v>
      </c>
      <c r="C1166" s="28" t="s">
        <v>174</v>
      </c>
      <c r="D1166" s="23" t="n">
        <v>4</v>
      </c>
      <c r="E1166" s="23" t="n">
        <v>8</v>
      </c>
      <c r="F1166" s="28" t="s">
        <v>451</v>
      </c>
      <c r="G1166" s="19" t="n">
        <v>0.0361</v>
      </c>
    </row>
    <row r="1167" customFormat="false" ht="15" hidden="false" customHeight="false" outlineLevel="0" collapsed="false">
      <c r="A1167" s="28" t="s">
        <v>180</v>
      </c>
      <c r="B1167" s="28" t="s">
        <v>181</v>
      </c>
      <c r="C1167" s="28" t="s">
        <v>174</v>
      </c>
      <c r="D1167" s="23" t="n">
        <v>4</v>
      </c>
      <c r="E1167" s="23" t="n">
        <v>8</v>
      </c>
      <c r="F1167" s="28" t="s">
        <v>905</v>
      </c>
      <c r="G1167" s="19" t="n">
        <v>0.0387</v>
      </c>
    </row>
    <row r="1168" customFormat="false" ht="15" hidden="false" customHeight="false" outlineLevel="0" collapsed="false">
      <c r="A1168" s="28" t="s">
        <v>180</v>
      </c>
      <c r="B1168" s="28" t="s">
        <v>181</v>
      </c>
      <c r="C1168" s="28" t="s">
        <v>174</v>
      </c>
      <c r="D1168" s="23" t="n">
        <v>4</v>
      </c>
      <c r="E1168" s="23" t="n">
        <v>8</v>
      </c>
      <c r="F1168" s="28" t="s">
        <v>906</v>
      </c>
      <c r="G1168" s="19" t="n">
        <v>0.0401</v>
      </c>
    </row>
    <row r="1169" customFormat="false" ht="15" hidden="false" customHeight="false" outlineLevel="0" collapsed="false">
      <c r="A1169" s="28" t="s">
        <v>180</v>
      </c>
      <c r="B1169" s="28" t="s">
        <v>181</v>
      </c>
      <c r="C1169" s="28" t="s">
        <v>174</v>
      </c>
      <c r="D1169" s="23" t="n">
        <v>4</v>
      </c>
      <c r="E1169" s="23" t="n">
        <v>8</v>
      </c>
      <c r="F1169" s="28" t="s">
        <v>907</v>
      </c>
      <c r="G1169" s="19" t="n">
        <v>0.0398</v>
      </c>
    </row>
    <row r="1170" customFormat="false" ht="15" hidden="false" customHeight="false" outlineLevel="0" collapsed="false">
      <c r="A1170" s="28" t="s">
        <v>180</v>
      </c>
      <c r="B1170" s="28" t="s">
        <v>181</v>
      </c>
      <c r="C1170" s="28" t="s">
        <v>174</v>
      </c>
      <c r="D1170" s="23" t="n">
        <v>4</v>
      </c>
      <c r="E1170" s="23" t="n">
        <v>8</v>
      </c>
      <c r="F1170" s="28" t="s">
        <v>908</v>
      </c>
      <c r="G1170" s="19" t="n">
        <v>0.0414</v>
      </c>
    </row>
    <row r="1171" customFormat="false" ht="15" hidden="false" customHeight="false" outlineLevel="0" collapsed="false">
      <c r="A1171" s="28" t="s">
        <v>180</v>
      </c>
      <c r="B1171" s="28" t="s">
        <v>181</v>
      </c>
      <c r="C1171" s="28" t="s">
        <v>174</v>
      </c>
      <c r="D1171" s="23" t="n">
        <v>4</v>
      </c>
      <c r="E1171" s="23" t="n">
        <v>8</v>
      </c>
      <c r="F1171" s="28" t="s">
        <v>909</v>
      </c>
      <c r="G1171" s="19" t="n">
        <v>0.0415</v>
      </c>
    </row>
    <row r="1172" customFormat="false" ht="15" hidden="false" customHeight="false" outlineLevel="0" collapsed="false">
      <c r="A1172" s="28" t="s">
        <v>180</v>
      </c>
      <c r="B1172" s="28" t="s">
        <v>181</v>
      </c>
      <c r="C1172" s="28" t="s">
        <v>174</v>
      </c>
      <c r="D1172" s="23" t="n">
        <v>4</v>
      </c>
      <c r="E1172" s="23" t="n">
        <v>8</v>
      </c>
      <c r="F1172" s="28" t="s">
        <v>910</v>
      </c>
      <c r="G1172" s="19" t="n">
        <v>0.0419</v>
      </c>
    </row>
    <row r="1173" customFormat="false" ht="15" hidden="false" customHeight="false" outlineLevel="0" collapsed="false">
      <c r="A1173" s="28" t="s">
        <v>180</v>
      </c>
      <c r="B1173" s="28" t="s">
        <v>181</v>
      </c>
      <c r="C1173" s="28" t="s">
        <v>174</v>
      </c>
      <c r="D1173" s="23" t="n">
        <v>4</v>
      </c>
      <c r="E1173" s="23" t="n">
        <v>8</v>
      </c>
      <c r="F1173" s="28" t="s">
        <v>911</v>
      </c>
      <c r="G1173" s="19" t="n">
        <v>0.043</v>
      </c>
    </row>
    <row r="1174" customFormat="false" ht="15" hidden="false" customHeight="false" outlineLevel="0" collapsed="false">
      <c r="A1174" s="28" t="s">
        <v>180</v>
      </c>
      <c r="B1174" s="28" t="s">
        <v>181</v>
      </c>
      <c r="C1174" s="28" t="s">
        <v>174</v>
      </c>
      <c r="D1174" s="23" t="n">
        <v>4</v>
      </c>
      <c r="E1174" s="23" t="n">
        <v>8</v>
      </c>
      <c r="F1174" s="28" t="s">
        <v>912</v>
      </c>
      <c r="G1174" s="19" t="n">
        <v>0.0444</v>
      </c>
    </row>
    <row r="1175" customFormat="false" ht="15" hidden="false" customHeight="false" outlineLevel="0" collapsed="false">
      <c r="A1175" s="28" t="s">
        <v>180</v>
      </c>
      <c r="B1175" s="28" t="s">
        <v>181</v>
      </c>
      <c r="C1175" s="28" t="s">
        <v>174</v>
      </c>
      <c r="D1175" s="23" t="n">
        <v>4</v>
      </c>
      <c r="E1175" s="23" t="n">
        <v>8</v>
      </c>
      <c r="F1175" s="28" t="s">
        <v>913</v>
      </c>
      <c r="G1175" s="19" t="n">
        <v>0.0493</v>
      </c>
    </row>
    <row r="1176" customFormat="false" ht="15" hidden="false" customHeight="false" outlineLevel="0" collapsed="false">
      <c r="A1176" s="28" t="s">
        <v>180</v>
      </c>
      <c r="B1176" s="28" t="s">
        <v>181</v>
      </c>
      <c r="C1176" s="28" t="s">
        <v>174</v>
      </c>
      <c r="D1176" s="23" t="n">
        <v>4</v>
      </c>
      <c r="E1176" s="23" t="n">
        <v>8</v>
      </c>
      <c r="F1176" s="28" t="s">
        <v>914</v>
      </c>
      <c r="G1176" s="19" t="n">
        <v>0.0491</v>
      </c>
    </row>
    <row r="1177" customFormat="false" ht="15" hidden="false" customHeight="false" outlineLevel="0" collapsed="false">
      <c r="A1177" s="28" t="s">
        <v>180</v>
      </c>
      <c r="B1177" s="28" t="s">
        <v>181</v>
      </c>
      <c r="C1177" s="28" t="s">
        <v>174</v>
      </c>
      <c r="D1177" s="23" t="n">
        <v>4</v>
      </c>
      <c r="E1177" s="23" t="n">
        <v>8</v>
      </c>
      <c r="F1177" s="28" t="s">
        <v>915</v>
      </c>
      <c r="G1177" s="19" t="n">
        <v>0.0649</v>
      </c>
    </row>
    <row r="1178" customFormat="false" ht="15" hidden="false" customHeight="false" outlineLevel="0" collapsed="false">
      <c r="A1178" s="28" t="s">
        <v>180</v>
      </c>
      <c r="B1178" s="28" t="s">
        <v>181</v>
      </c>
      <c r="C1178" s="28" t="s">
        <v>174</v>
      </c>
      <c r="D1178" s="23" t="n">
        <v>4</v>
      </c>
      <c r="E1178" s="23" t="n">
        <v>9</v>
      </c>
      <c r="F1178" s="28" t="s">
        <v>904</v>
      </c>
      <c r="G1178" s="19" t="n">
        <v>0.0363</v>
      </c>
    </row>
    <row r="1179" customFormat="false" ht="15" hidden="false" customHeight="false" outlineLevel="0" collapsed="false">
      <c r="A1179" s="28" t="s">
        <v>180</v>
      </c>
      <c r="B1179" s="28" t="s">
        <v>181</v>
      </c>
      <c r="C1179" s="28" t="s">
        <v>174</v>
      </c>
      <c r="D1179" s="23" t="n">
        <v>4</v>
      </c>
      <c r="E1179" s="23" t="n">
        <v>9</v>
      </c>
      <c r="F1179" s="28" t="s">
        <v>551</v>
      </c>
      <c r="G1179" s="19" t="n">
        <v>0.0675</v>
      </c>
    </row>
    <row r="1180" customFormat="false" ht="15" hidden="false" customHeight="false" outlineLevel="0" collapsed="false">
      <c r="A1180" s="28" t="s">
        <v>180</v>
      </c>
      <c r="B1180" s="28" t="s">
        <v>181</v>
      </c>
      <c r="C1180" s="28" t="s">
        <v>174</v>
      </c>
      <c r="D1180" s="23" t="n">
        <v>4</v>
      </c>
      <c r="E1180" s="23" t="n">
        <v>9</v>
      </c>
      <c r="F1180" s="28" t="s">
        <v>451</v>
      </c>
      <c r="G1180" s="19" t="n">
        <v>0.0361</v>
      </c>
    </row>
    <row r="1181" customFormat="false" ht="15" hidden="false" customHeight="false" outlineLevel="0" collapsed="false">
      <c r="A1181" s="28" t="s">
        <v>180</v>
      </c>
      <c r="B1181" s="28" t="s">
        <v>181</v>
      </c>
      <c r="C1181" s="28" t="s">
        <v>174</v>
      </c>
      <c r="D1181" s="23" t="n">
        <v>4</v>
      </c>
      <c r="E1181" s="23" t="n">
        <v>9</v>
      </c>
      <c r="F1181" s="28" t="s">
        <v>905</v>
      </c>
      <c r="G1181" s="19" t="n">
        <v>0.0387</v>
      </c>
    </row>
    <row r="1182" customFormat="false" ht="15" hidden="false" customHeight="false" outlineLevel="0" collapsed="false">
      <c r="A1182" s="28" t="s">
        <v>180</v>
      </c>
      <c r="B1182" s="28" t="s">
        <v>181</v>
      </c>
      <c r="C1182" s="28" t="s">
        <v>174</v>
      </c>
      <c r="D1182" s="23" t="n">
        <v>4</v>
      </c>
      <c r="E1182" s="23" t="n">
        <v>9</v>
      </c>
      <c r="F1182" s="28" t="s">
        <v>906</v>
      </c>
      <c r="G1182" s="19" t="n">
        <v>0.0401</v>
      </c>
    </row>
    <row r="1183" customFormat="false" ht="15" hidden="false" customHeight="false" outlineLevel="0" collapsed="false">
      <c r="A1183" s="28" t="s">
        <v>180</v>
      </c>
      <c r="B1183" s="28" t="s">
        <v>181</v>
      </c>
      <c r="C1183" s="28" t="s">
        <v>174</v>
      </c>
      <c r="D1183" s="23" t="n">
        <v>4</v>
      </c>
      <c r="E1183" s="23" t="n">
        <v>9</v>
      </c>
      <c r="F1183" s="28" t="s">
        <v>907</v>
      </c>
      <c r="G1183" s="19" t="n">
        <v>0.0398</v>
      </c>
    </row>
    <row r="1184" customFormat="false" ht="15" hidden="false" customHeight="false" outlineLevel="0" collapsed="false">
      <c r="A1184" s="28" t="s">
        <v>180</v>
      </c>
      <c r="B1184" s="28" t="s">
        <v>181</v>
      </c>
      <c r="C1184" s="28" t="s">
        <v>174</v>
      </c>
      <c r="D1184" s="23" t="n">
        <v>4</v>
      </c>
      <c r="E1184" s="23" t="n">
        <v>9</v>
      </c>
      <c r="F1184" s="28" t="s">
        <v>908</v>
      </c>
      <c r="G1184" s="19" t="n">
        <v>0.0414</v>
      </c>
    </row>
    <row r="1185" customFormat="false" ht="15" hidden="false" customHeight="false" outlineLevel="0" collapsed="false">
      <c r="A1185" s="28" t="s">
        <v>180</v>
      </c>
      <c r="B1185" s="28" t="s">
        <v>181</v>
      </c>
      <c r="C1185" s="28" t="s">
        <v>174</v>
      </c>
      <c r="D1185" s="23" t="n">
        <v>4</v>
      </c>
      <c r="E1185" s="23" t="n">
        <v>9</v>
      </c>
      <c r="F1185" s="28" t="s">
        <v>909</v>
      </c>
      <c r="G1185" s="19" t="n">
        <v>0.0415</v>
      </c>
    </row>
    <row r="1186" customFormat="false" ht="15" hidden="false" customHeight="false" outlineLevel="0" collapsed="false">
      <c r="A1186" s="28" t="s">
        <v>180</v>
      </c>
      <c r="B1186" s="28" t="s">
        <v>181</v>
      </c>
      <c r="C1186" s="28" t="s">
        <v>174</v>
      </c>
      <c r="D1186" s="23" t="n">
        <v>4</v>
      </c>
      <c r="E1186" s="23" t="n">
        <v>9</v>
      </c>
      <c r="F1186" s="28" t="s">
        <v>910</v>
      </c>
      <c r="G1186" s="19" t="n">
        <v>0.0419</v>
      </c>
    </row>
    <row r="1187" customFormat="false" ht="15" hidden="false" customHeight="false" outlineLevel="0" collapsed="false">
      <c r="A1187" s="28" t="s">
        <v>180</v>
      </c>
      <c r="B1187" s="28" t="s">
        <v>181</v>
      </c>
      <c r="C1187" s="28" t="s">
        <v>174</v>
      </c>
      <c r="D1187" s="23" t="n">
        <v>4</v>
      </c>
      <c r="E1187" s="23" t="n">
        <v>9</v>
      </c>
      <c r="F1187" s="28" t="s">
        <v>911</v>
      </c>
      <c r="G1187" s="19" t="n">
        <v>0.043</v>
      </c>
    </row>
    <row r="1188" customFormat="false" ht="15" hidden="false" customHeight="false" outlineLevel="0" collapsed="false">
      <c r="A1188" s="28" t="s">
        <v>180</v>
      </c>
      <c r="B1188" s="28" t="s">
        <v>181</v>
      </c>
      <c r="C1188" s="28" t="s">
        <v>174</v>
      </c>
      <c r="D1188" s="23" t="n">
        <v>4</v>
      </c>
      <c r="E1188" s="23" t="n">
        <v>9</v>
      </c>
      <c r="F1188" s="28" t="s">
        <v>912</v>
      </c>
      <c r="G1188" s="19" t="n">
        <v>0.0444</v>
      </c>
    </row>
    <row r="1189" customFormat="false" ht="15" hidden="false" customHeight="false" outlineLevel="0" collapsed="false">
      <c r="A1189" s="28" t="s">
        <v>180</v>
      </c>
      <c r="B1189" s="28" t="s">
        <v>181</v>
      </c>
      <c r="C1189" s="28" t="s">
        <v>174</v>
      </c>
      <c r="D1189" s="23" t="n">
        <v>4</v>
      </c>
      <c r="E1189" s="23" t="n">
        <v>9</v>
      </c>
      <c r="F1189" s="28" t="s">
        <v>913</v>
      </c>
      <c r="G1189" s="19" t="n">
        <v>0.0493</v>
      </c>
    </row>
    <row r="1190" customFormat="false" ht="15" hidden="false" customHeight="false" outlineLevel="0" collapsed="false">
      <c r="A1190" s="28" t="s">
        <v>180</v>
      </c>
      <c r="B1190" s="28" t="s">
        <v>181</v>
      </c>
      <c r="C1190" s="28" t="s">
        <v>174</v>
      </c>
      <c r="D1190" s="23" t="n">
        <v>4</v>
      </c>
      <c r="E1190" s="23" t="n">
        <v>9</v>
      </c>
      <c r="F1190" s="28" t="s">
        <v>914</v>
      </c>
      <c r="G1190" s="19" t="n">
        <v>0.0491</v>
      </c>
    </row>
    <row r="1191" customFormat="false" ht="15" hidden="false" customHeight="false" outlineLevel="0" collapsed="false">
      <c r="A1191" s="28" t="s">
        <v>180</v>
      </c>
      <c r="B1191" s="28" t="s">
        <v>181</v>
      </c>
      <c r="C1191" s="28" t="s">
        <v>174</v>
      </c>
      <c r="D1191" s="23" t="n">
        <v>4</v>
      </c>
      <c r="E1191" s="23" t="n">
        <v>9</v>
      </c>
      <c r="F1191" s="28" t="s">
        <v>915</v>
      </c>
      <c r="G1191" s="19" t="n">
        <v>0.0649</v>
      </c>
    </row>
    <row r="1192" customFormat="false" ht="15" hidden="false" customHeight="false" outlineLevel="0" collapsed="false">
      <c r="A1192" s="28" t="s">
        <v>180</v>
      </c>
      <c r="B1192" s="28" t="s">
        <v>181</v>
      </c>
      <c r="C1192" s="28" t="s">
        <v>174</v>
      </c>
      <c r="D1192" s="23" t="n">
        <v>4</v>
      </c>
      <c r="E1192" s="23" t="n">
        <v>10</v>
      </c>
      <c r="F1192" s="28" t="s">
        <v>904</v>
      </c>
      <c r="G1192" s="19" t="n">
        <v>0.0363</v>
      </c>
    </row>
    <row r="1193" customFormat="false" ht="15" hidden="false" customHeight="false" outlineLevel="0" collapsed="false">
      <c r="A1193" s="28" t="s">
        <v>180</v>
      </c>
      <c r="B1193" s="28" t="s">
        <v>181</v>
      </c>
      <c r="C1193" s="28" t="s">
        <v>174</v>
      </c>
      <c r="D1193" s="23" t="n">
        <v>4</v>
      </c>
      <c r="E1193" s="23" t="n">
        <v>10</v>
      </c>
      <c r="F1193" s="28" t="s">
        <v>551</v>
      </c>
      <c r="G1193" s="19" t="n">
        <v>0.0675</v>
      </c>
    </row>
    <row r="1194" customFormat="false" ht="15" hidden="false" customHeight="false" outlineLevel="0" collapsed="false">
      <c r="A1194" s="28" t="s">
        <v>180</v>
      </c>
      <c r="B1194" s="28" t="s">
        <v>181</v>
      </c>
      <c r="C1194" s="28" t="s">
        <v>174</v>
      </c>
      <c r="D1194" s="23" t="n">
        <v>4</v>
      </c>
      <c r="E1194" s="23" t="n">
        <v>10</v>
      </c>
      <c r="F1194" s="28" t="s">
        <v>451</v>
      </c>
      <c r="G1194" s="19" t="n">
        <v>0.0361</v>
      </c>
    </row>
    <row r="1195" customFormat="false" ht="15" hidden="false" customHeight="false" outlineLevel="0" collapsed="false">
      <c r="A1195" s="28" t="s">
        <v>180</v>
      </c>
      <c r="B1195" s="28" t="s">
        <v>181</v>
      </c>
      <c r="C1195" s="28" t="s">
        <v>174</v>
      </c>
      <c r="D1195" s="23" t="n">
        <v>4</v>
      </c>
      <c r="E1195" s="23" t="n">
        <v>10</v>
      </c>
      <c r="F1195" s="28" t="s">
        <v>905</v>
      </c>
      <c r="G1195" s="19" t="n">
        <v>0.0387</v>
      </c>
    </row>
    <row r="1196" customFormat="false" ht="15" hidden="false" customHeight="false" outlineLevel="0" collapsed="false">
      <c r="A1196" s="28" t="s">
        <v>180</v>
      </c>
      <c r="B1196" s="28" t="s">
        <v>181</v>
      </c>
      <c r="C1196" s="28" t="s">
        <v>174</v>
      </c>
      <c r="D1196" s="23" t="n">
        <v>4</v>
      </c>
      <c r="E1196" s="23" t="n">
        <v>10</v>
      </c>
      <c r="F1196" s="28" t="s">
        <v>906</v>
      </c>
      <c r="G1196" s="19" t="n">
        <v>0.0401</v>
      </c>
    </row>
    <row r="1197" customFormat="false" ht="15" hidden="false" customHeight="false" outlineLevel="0" collapsed="false">
      <c r="A1197" s="28" t="s">
        <v>180</v>
      </c>
      <c r="B1197" s="28" t="s">
        <v>181</v>
      </c>
      <c r="C1197" s="28" t="s">
        <v>174</v>
      </c>
      <c r="D1197" s="23" t="n">
        <v>4</v>
      </c>
      <c r="E1197" s="23" t="n">
        <v>10</v>
      </c>
      <c r="F1197" s="28" t="s">
        <v>907</v>
      </c>
      <c r="G1197" s="19" t="n">
        <v>0.0398</v>
      </c>
    </row>
    <row r="1198" customFormat="false" ht="15" hidden="false" customHeight="false" outlineLevel="0" collapsed="false">
      <c r="A1198" s="28" t="s">
        <v>180</v>
      </c>
      <c r="B1198" s="28" t="s">
        <v>181</v>
      </c>
      <c r="C1198" s="28" t="s">
        <v>174</v>
      </c>
      <c r="D1198" s="23" t="n">
        <v>4</v>
      </c>
      <c r="E1198" s="23" t="n">
        <v>10</v>
      </c>
      <c r="F1198" s="28" t="s">
        <v>908</v>
      </c>
      <c r="G1198" s="19" t="n">
        <v>0.0414</v>
      </c>
    </row>
    <row r="1199" customFormat="false" ht="15" hidden="false" customHeight="false" outlineLevel="0" collapsed="false">
      <c r="A1199" s="28" t="s">
        <v>180</v>
      </c>
      <c r="B1199" s="28" t="s">
        <v>181</v>
      </c>
      <c r="C1199" s="28" t="s">
        <v>174</v>
      </c>
      <c r="D1199" s="23" t="n">
        <v>4</v>
      </c>
      <c r="E1199" s="23" t="n">
        <v>10</v>
      </c>
      <c r="F1199" s="28" t="s">
        <v>909</v>
      </c>
      <c r="G1199" s="19" t="n">
        <v>0.0415</v>
      </c>
    </row>
    <row r="1200" customFormat="false" ht="15" hidden="false" customHeight="false" outlineLevel="0" collapsed="false">
      <c r="A1200" s="28" t="s">
        <v>180</v>
      </c>
      <c r="B1200" s="28" t="s">
        <v>181</v>
      </c>
      <c r="C1200" s="28" t="s">
        <v>174</v>
      </c>
      <c r="D1200" s="23" t="n">
        <v>4</v>
      </c>
      <c r="E1200" s="23" t="n">
        <v>10</v>
      </c>
      <c r="F1200" s="28" t="s">
        <v>910</v>
      </c>
      <c r="G1200" s="19" t="n">
        <v>0.0419</v>
      </c>
    </row>
    <row r="1201" customFormat="false" ht="15" hidden="false" customHeight="false" outlineLevel="0" collapsed="false">
      <c r="A1201" s="28" t="s">
        <v>180</v>
      </c>
      <c r="B1201" s="28" t="s">
        <v>181</v>
      </c>
      <c r="C1201" s="28" t="s">
        <v>174</v>
      </c>
      <c r="D1201" s="23" t="n">
        <v>4</v>
      </c>
      <c r="E1201" s="23" t="n">
        <v>10</v>
      </c>
      <c r="F1201" s="28" t="s">
        <v>911</v>
      </c>
      <c r="G1201" s="19" t="n">
        <v>0.043</v>
      </c>
    </row>
    <row r="1202" customFormat="false" ht="15" hidden="false" customHeight="false" outlineLevel="0" collapsed="false">
      <c r="A1202" s="28" t="s">
        <v>180</v>
      </c>
      <c r="B1202" s="28" t="s">
        <v>181</v>
      </c>
      <c r="C1202" s="28" t="s">
        <v>174</v>
      </c>
      <c r="D1202" s="23" t="n">
        <v>4</v>
      </c>
      <c r="E1202" s="23" t="n">
        <v>10</v>
      </c>
      <c r="F1202" s="28" t="s">
        <v>912</v>
      </c>
      <c r="G1202" s="19" t="n">
        <v>0.0444</v>
      </c>
    </row>
    <row r="1203" customFormat="false" ht="15" hidden="false" customHeight="false" outlineLevel="0" collapsed="false">
      <c r="A1203" s="28" t="s">
        <v>180</v>
      </c>
      <c r="B1203" s="28" t="s">
        <v>181</v>
      </c>
      <c r="C1203" s="28" t="s">
        <v>174</v>
      </c>
      <c r="D1203" s="23" t="n">
        <v>4</v>
      </c>
      <c r="E1203" s="23" t="n">
        <v>10</v>
      </c>
      <c r="F1203" s="28" t="s">
        <v>913</v>
      </c>
      <c r="G1203" s="19" t="n">
        <v>0.0493</v>
      </c>
    </row>
    <row r="1204" customFormat="false" ht="15" hidden="false" customHeight="false" outlineLevel="0" collapsed="false">
      <c r="A1204" s="28" t="s">
        <v>180</v>
      </c>
      <c r="B1204" s="28" t="s">
        <v>181</v>
      </c>
      <c r="C1204" s="28" t="s">
        <v>174</v>
      </c>
      <c r="D1204" s="23" t="n">
        <v>4</v>
      </c>
      <c r="E1204" s="23" t="n">
        <v>10</v>
      </c>
      <c r="F1204" s="28" t="s">
        <v>914</v>
      </c>
      <c r="G1204" s="19" t="n">
        <v>0.0491</v>
      </c>
    </row>
    <row r="1205" customFormat="false" ht="15" hidden="false" customHeight="false" outlineLevel="0" collapsed="false">
      <c r="A1205" s="28" t="s">
        <v>180</v>
      </c>
      <c r="B1205" s="28" t="s">
        <v>181</v>
      </c>
      <c r="C1205" s="28" t="s">
        <v>174</v>
      </c>
      <c r="D1205" s="23" t="n">
        <v>4</v>
      </c>
      <c r="E1205" s="23" t="n">
        <v>10</v>
      </c>
      <c r="F1205" s="28" t="s">
        <v>915</v>
      </c>
      <c r="G1205" s="19" t="n">
        <v>0.0649</v>
      </c>
    </row>
    <row r="1206" customFormat="false" ht="15" hidden="false" customHeight="false" outlineLevel="0" collapsed="false">
      <c r="A1206" s="28" t="s">
        <v>180</v>
      </c>
      <c r="B1206" s="28" t="s">
        <v>181</v>
      </c>
      <c r="C1206" s="28" t="s">
        <v>174</v>
      </c>
      <c r="D1206" s="23" t="n">
        <v>4</v>
      </c>
      <c r="E1206" s="23" t="n">
        <v>11</v>
      </c>
      <c r="F1206" s="28" t="s">
        <v>904</v>
      </c>
      <c r="G1206" s="19" t="n">
        <v>0.0363</v>
      </c>
    </row>
    <row r="1207" customFormat="false" ht="15" hidden="false" customHeight="false" outlineLevel="0" collapsed="false">
      <c r="A1207" s="28" t="s">
        <v>180</v>
      </c>
      <c r="B1207" s="28" t="s">
        <v>181</v>
      </c>
      <c r="C1207" s="28" t="s">
        <v>174</v>
      </c>
      <c r="D1207" s="23" t="n">
        <v>4</v>
      </c>
      <c r="E1207" s="23" t="n">
        <v>11</v>
      </c>
      <c r="F1207" s="28" t="s">
        <v>551</v>
      </c>
      <c r="G1207" s="19" t="n">
        <v>0.0675</v>
      </c>
    </row>
    <row r="1208" customFormat="false" ht="15" hidden="false" customHeight="false" outlineLevel="0" collapsed="false">
      <c r="A1208" s="28" t="s">
        <v>180</v>
      </c>
      <c r="B1208" s="28" t="s">
        <v>181</v>
      </c>
      <c r="C1208" s="28" t="s">
        <v>174</v>
      </c>
      <c r="D1208" s="23" t="n">
        <v>4</v>
      </c>
      <c r="E1208" s="23" t="n">
        <v>11</v>
      </c>
      <c r="F1208" s="28" t="s">
        <v>451</v>
      </c>
      <c r="G1208" s="19" t="n">
        <v>0.0361</v>
      </c>
    </row>
    <row r="1209" customFormat="false" ht="15" hidden="false" customHeight="false" outlineLevel="0" collapsed="false">
      <c r="A1209" s="28" t="s">
        <v>180</v>
      </c>
      <c r="B1209" s="28" t="s">
        <v>181</v>
      </c>
      <c r="C1209" s="28" t="s">
        <v>174</v>
      </c>
      <c r="D1209" s="23" t="n">
        <v>4</v>
      </c>
      <c r="E1209" s="23" t="n">
        <v>11</v>
      </c>
      <c r="F1209" s="28" t="s">
        <v>905</v>
      </c>
      <c r="G1209" s="19" t="n">
        <v>0.0387</v>
      </c>
    </row>
    <row r="1210" customFormat="false" ht="15" hidden="false" customHeight="false" outlineLevel="0" collapsed="false">
      <c r="A1210" s="28" t="s">
        <v>180</v>
      </c>
      <c r="B1210" s="28" t="s">
        <v>181</v>
      </c>
      <c r="C1210" s="28" t="s">
        <v>174</v>
      </c>
      <c r="D1210" s="23" t="n">
        <v>4</v>
      </c>
      <c r="E1210" s="23" t="n">
        <v>11</v>
      </c>
      <c r="F1210" s="28" t="s">
        <v>906</v>
      </c>
      <c r="G1210" s="19" t="n">
        <v>0.0401</v>
      </c>
    </row>
    <row r="1211" customFormat="false" ht="15" hidden="false" customHeight="false" outlineLevel="0" collapsed="false">
      <c r="A1211" s="28" t="s">
        <v>180</v>
      </c>
      <c r="B1211" s="28" t="s">
        <v>181</v>
      </c>
      <c r="C1211" s="28" t="s">
        <v>174</v>
      </c>
      <c r="D1211" s="23" t="n">
        <v>4</v>
      </c>
      <c r="E1211" s="23" t="n">
        <v>11</v>
      </c>
      <c r="F1211" s="28" t="s">
        <v>907</v>
      </c>
      <c r="G1211" s="19" t="n">
        <v>0.0398</v>
      </c>
    </row>
    <row r="1212" customFormat="false" ht="15" hidden="false" customHeight="false" outlineLevel="0" collapsed="false">
      <c r="A1212" s="28" t="s">
        <v>180</v>
      </c>
      <c r="B1212" s="28" t="s">
        <v>181</v>
      </c>
      <c r="C1212" s="28" t="s">
        <v>174</v>
      </c>
      <c r="D1212" s="23" t="n">
        <v>4</v>
      </c>
      <c r="E1212" s="23" t="n">
        <v>11</v>
      </c>
      <c r="F1212" s="28" t="s">
        <v>908</v>
      </c>
      <c r="G1212" s="19" t="n">
        <v>0.0414</v>
      </c>
    </row>
    <row r="1213" customFormat="false" ht="15" hidden="false" customHeight="false" outlineLevel="0" collapsed="false">
      <c r="A1213" s="28" t="s">
        <v>180</v>
      </c>
      <c r="B1213" s="28" t="s">
        <v>181</v>
      </c>
      <c r="C1213" s="28" t="s">
        <v>174</v>
      </c>
      <c r="D1213" s="23" t="n">
        <v>4</v>
      </c>
      <c r="E1213" s="23" t="n">
        <v>11</v>
      </c>
      <c r="F1213" s="28" t="s">
        <v>909</v>
      </c>
      <c r="G1213" s="19" t="n">
        <v>0.0415</v>
      </c>
    </row>
    <row r="1214" customFormat="false" ht="15" hidden="false" customHeight="false" outlineLevel="0" collapsed="false">
      <c r="A1214" s="28" t="s">
        <v>180</v>
      </c>
      <c r="B1214" s="28" t="s">
        <v>181</v>
      </c>
      <c r="C1214" s="28" t="s">
        <v>174</v>
      </c>
      <c r="D1214" s="23" t="n">
        <v>4</v>
      </c>
      <c r="E1214" s="23" t="n">
        <v>11</v>
      </c>
      <c r="F1214" s="28" t="s">
        <v>910</v>
      </c>
      <c r="G1214" s="19" t="n">
        <v>0.0419</v>
      </c>
    </row>
    <row r="1215" customFormat="false" ht="15" hidden="false" customHeight="false" outlineLevel="0" collapsed="false">
      <c r="A1215" s="28" t="s">
        <v>180</v>
      </c>
      <c r="B1215" s="28" t="s">
        <v>181</v>
      </c>
      <c r="C1215" s="28" t="s">
        <v>174</v>
      </c>
      <c r="D1215" s="23" t="n">
        <v>4</v>
      </c>
      <c r="E1215" s="23" t="n">
        <v>11</v>
      </c>
      <c r="F1215" s="28" t="s">
        <v>911</v>
      </c>
      <c r="G1215" s="19" t="n">
        <v>0.043</v>
      </c>
    </row>
    <row r="1216" customFormat="false" ht="15" hidden="false" customHeight="false" outlineLevel="0" collapsed="false">
      <c r="A1216" s="28" t="s">
        <v>180</v>
      </c>
      <c r="B1216" s="28" t="s">
        <v>181</v>
      </c>
      <c r="C1216" s="28" t="s">
        <v>174</v>
      </c>
      <c r="D1216" s="23" t="n">
        <v>4</v>
      </c>
      <c r="E1216" s="23" t="n">
        <v>11</v>
      </c>
      <c r="F1216" s="28" t="s">
        <v>912</v>
      </c>
      <c r="G1216" s="19" t="n">
        <v>0.0444</v>
      </c>
    </row>
    <row r="1217" customFormat="false" ht="15" hidden="false" customHeight="false" outlineLevel="0" collapsed="false">
      <c r="A1217" s="28" t="s">
        <v>180</v>
      </c>
      <c r="B1217" s="28" t="s">
        <v>181</v>
      </c>
      <c r="C1217" s="28" t="s">
        <v>174</v>
      </c>
      <c r="D1217" s="23" t="n">
        <v>4</v>
      </c>
      <c r="E1217" s="23" t="n">
        <v>11</v>
      </c>
      <c r="F1217" s="28" t="s">
        <v>913</v>
      </c>
      <c r="G1217" s="19" t="n">
        <v>0.0493</v>
      </c>
    </row>
    <row r="1218" customFormat="false" ht="15" hidden="false" customHeight="false" outlineLevel="0" collapsed="false">
      <c r="A1218" s="28" t="s">
        <v>180</v>
      </c>
      <c r="B1218" s="28" t="s">
        <v>181</v>
      </c>
      <c r="C1218" s="28" t="s">
        <v>174</v>
      </c>
      <c r="D1218" s="23" t="n">
        <v>4</v>
      </c>
      <c r="E1218" s="23" t="n">
        <v>11</v>
      </c>
      <c r="F1218" s="28" t="s">
        <v>914</v>
      </c>
      <c r="G1218" s="19" t="n">
        <v>0.0491</v>
      </c>
    </row>
    <row r="1219" customFormat="false" ht="15" hidden="false" customHeight="false" outlineLevel="0" collapsed="false">
      <c r="A1219" s="28" t="s">
        <v>180</v>
      </c>
      <c r="B1219" s="28" t="s">
        <v>181</v>
      </c>
      <c r="C1219" s="28" t="s">
        <v>174</v>
      </c>
      <c r="D1219" s="23" t="n">
        <v>4</v>
      </c>
      <c r="E1219" s="23" t="n">
        <v>11</v>
      </c>
      <c r="F1219" s="28" t="s">
        <v>915</v>
      </c>
      <c r="G1219" s="19" t="n">
        <v>0.0649</v>
      </c>
    </row>
    <row r="1220" customFormat="false" ht="15" hidden="false" customHeight="false" outlineLevel="0" collapsed="false">
      <c r="A1220" s="28" t="s">
        <v>180</v>
      </c>
      <c r="B1220" s="28" t="s">
        <v>181</v>
      </c>
      <c r="C1220" s="28" t="s">
        <v>174</v>
      </c>
      <c r="D1220" s="23" t="n">
        <v>4</v>
      </c>
      <c r="E1220" s="23" t="n">
        <v>12</v>
      </c>
      <c r="F1220" s="28" t="s">
        <v>904</v>
      </c>
      <c r="G1220" s="19" t="n">
        <v>0.0363</v>
      </c>
    </row>
    <row r="1221" customFormat="false" ht="15" hidden="false" customHeight="false" outlineLevel="0" collapsed="false">
      <c r="A1221" s="28" t="s">
        <v>180</v>
      </c>
      <c r="B1221" s="28" t="s">
        <v>181</v>
      </c>
      <c r="C1221" s="28" t="s">
        <v>174</v>
      </c>
      <c r="D1221" s="23" t="n">
        <v>4</v>
      </c>
      <c r="E1221" s="23" t="n">
        <v>12</v>
      </c>
      <c r="F1221" s="28" t="s">
        <v>551</v>
      </c>
      <c r="G1221" s="19" t="n">
        <v>0.0675</v>
      </c>
    </row>
    <row r="1222" customFormat="false" ht="15" hidden="false" customHeight="false" outlineLevel="0" collapsed="false">
      <c r="A1222" s="28" t="s">
        <v>180</v>
      </c>
      <c r="B1222" s="28" t="s">
        <v>181</v>
      </c>
      <c r="C1222" s="28" t="s">
        <v>174</v>
      </c>
      <c r="D1222" s="23" t="n">
        <v>4</v>
      </c>
      <c r="E1222" s="23" t="n">
        <v>12</v>
      </c>
      <c r="F1222" s="28" t="s">
        <v>451</v>
      </c>
      <c r="G1222" s="19" t="n">
        <v>0.0361</v>
      </c>
    </row>
    <row r="1223" customFormat="false" ht="15" hidden="false" customHeight="false" outlineLevel="0" collapsed="false">
      <c r="A1223" s="28" t="s">
        <v>180</v>
      </c>
      <c r="B1223" s="28" t="s">
        <v>181</v>
      </c>
      <c r="C1223" s="28" t="s">
        <v>174</v>
      </c>
      <c r="D1223" s="23" t="n">
        <v>4</v>
      </c>
      <c r="E1223" s="23" t="n">
        <v>12</v>
      </c>
      <c r="F1223" s="28" t="s">
        <v>905</v>
      </c>
      <c r="G1223" s="19" t="n">
        <v>0.0387</v>
      </c>
    </row>
    <row r="1224" customFormat="false" ht="15" hidden="false" customHeight="false" outlineLevel="0" collapsed="false">
      <c r="A1224" s="28" t="s">
        <v>180</v>
      </c>
      <c r="B1224" s="28" t="s">
        <v>181</v>
      </c>
      <c r="C1224" s="28" t="s">
        <v>174</v>
      </c>
      <c r="D1224" s="23" t="n">
        <v>4</v>
      </c>
      <c r="E1224" s="23" t="n">
        <v>12</v>
      </c>
      <c r="F1224" s="28" t="s">
        <v>906</v>
      </c>
      <c r="G1224" s="19" t="n">
        <v>0.0401</v>
      </c>
    </row>
    <row r="1225" customFormat="false" ht="15" hidden="false" customHeight="false" outlineLevel="0" collapsed="false">
      <c r="A1225" s="28" t="s">
        <v>180</v>
      </c>
      <c r="B1225" s="28" t="s">
        <v>181</v>
      </c>
      <c r="C1225" s="28" t="s">
        <v>174</v>
      </c>
      <c r="D1225" s="23" t="n">
        <v>4</v>
      </c>
      <c r="E1225" s="23" t="n">
        <v>12</v>
      </c>
      <c r="F1225" s="28" t="s">
        <v>907</v>
      </c>
      <c r="G1225" s="19" t="n">
        <v>0.0398</v>
      </c>
    </row>
    <row r="1226" customFormat="false" ht="15" hidden="false" customHeight="false" outlineLevel="0" collapsed="false">
      <c r="A1226" s="28" t="s">
        <v>180</v>
      </c>
      <c r="B1226" s="28" t="s">
        <v>181</v>
      </c>
      <c r="C1226" s="28" t="s">
        <v>174</v>
      </c>
      <c r="D1226" s="23" t="n">
        <v>4</v>
      </c>
      <c r="E1226" s="23" t="n">
        <v>12</v>
      </c>
      <c r="F1226" s="28" t="s">
        <v>908</v>
      </c>
      <c r="G1226" s="19" t="n">
        <v>0.0414</v>
      </c>
    </row>
    <row r="1227" customFormat="false" ht="15" hidden="false" customHeight="false" outlineLevel="0" collapsed="false">
      <c r="A1227" s="28" t="s">
        <v>180</v>
      </c>
      <c r="B1227" s="28" t="s">
        <v>181</v>
      </c>
      <c r="C1227" s="28" t="s">
        <v>174</v>
      </c>
      <c r="D1227" s="23" t="n">
        <v>4</v>
      </c>
      <c r="E1227" s="23" t="n">
        <v>12</v>
      </c>
      <c r="F1227" s="28" t="s">
        <v>909</v>
      </c>
      <c r="G1227" s="19" t="n">
        <v>0.0415</v>
      </c>
    </row>
    <row r="1228" customFormat="false" ht="15" hidden="false" customHeight="false" outlineLevel="0" collapsed="false">
      <c r="A1228" s="28" t="s">
        <v>180</v>
      </c>
      <c r="B1228" s="28" t="s">
        <v>181</v>
      </c>
      <c r="C1228" s="28" t="s">
        <v>174</v>
      </c>
      <c r="D1228" s="23" t="n">
        <v>4</v>
      </c>
      <c r="E1228" s="23" t="n">
        <v>12</v>
      </c>
      <c r="F1228" s="28" t="s">
        <v>910</v>
      </c>
      <c r="G1228" s="19" t="n">
        <v>0.0419</v>
      </c>
    </row>
    <row r="1229" customFormat="false" ht="15" hidden="false" customHeight="false" outlineLevel="0" collapsed="false">
      <c r="A1229" s="28" t="s">
        <v>180</v>
      </c>
      <c r="B1229" s="28" t="s">
        <v>181</v>
      </c>
      <c r="C1229" s="28" t="s">
        <v>174</v>
      </c>
      <c r="D1229" s="23" t="n">
        <v>4</v>
      </c>
      <c r="E1229" s="23" t="n">
        <v>12</v>
      </c>
      <c r="F1229" s="28" t="s">
        <v>911</v>
      </c>
      <c r="G1229" s="19" t="n">
        <v>0.043</v>
      </c>
    </row>
    <row r="1230" customFormat="false" ht="15" hidden="false" customHeight="false" outlineLevel="0" collapsed="false">
      <c r="A1230" s="28" t="s">
        <v>180</v>
      </c>
      <c r="B1230" s="28" t="s">
        <v>181</v>
      </c>
      <c r="C1230" s="28" t="s">
        <v>174</v>
      </c>
      <c r="D1230" s="23" t="n">
        <v>4</v>
      </c>
      <c r="E1230" s="23" t="n">
        <v>12</v>
      </c>
      <c r="F1230" s="28" t="s">
        <v>912</v>
      </c>
      <c r="G1230" s="19" t="n">
        <v>0.0444</v>
      </c>
    </row>
    <row r="1231" customFormat="false" ht="15" hidden="false" customHeight="false" outlineLevel="0" collapsed="false">
      <c r="A1231" s="28" t="s">
        <v>180</v>
      </c>
      <c r="B1231" s="28" t="s">
        <v>181</v>
      </c>
      <c r="C1231" s="28" t="s">
        <v>174</v>
      </c>
      <c r="D1231" s="23" t="n">
        <v>4</v>
      </c>
      <c r="E1231" s="23" t="n">
        <v>12</v>
      </c>
      <c r="F1231" s="28" t="s">
        <v>913</v>
      </c>
      <c r="G1231" s="19" t="n">
        <v>0.0493</v>
      </c>
    </row>
    <row r="1232" customFormat="false" ht="15" hidden="false" customHeight="false" outlineLevel="0" collapsed="false">
      <c r="A1232" s="28" t="s">
        <v>180</v>
      </c>
      <c r="B1232" s="28" t="s">
        <v>181</v>
      </c>
      <c r="C1232" s="28" t="s">
        <v>174</v>
      </c>
      <c r="D1232" s="23" t="n">
        <v>4</v>
      </c>
      <c r="E1232" s="23" t="n">
        <v>12</v>
      </c>
      <c r="F1232" s="28" t="s">
        <v>914</v>
      </c>
      <c r="G1232" s="19" t="n">
        <v>0.0491</v>
      </c>
    </row>
    <row r="1233" customFormat="false" ht="15" hidden="false" customHeight="false" outlineLevel="0" collapsed="false">
      <c r="A1233" s="28" t="s">
        <v>180</v>
      </c>
      <c r="B1233" s="28" t="s">
        <v>181</v>
      </c>
      <c r="C1233" s="28" t="s">
        <v>174</v>
      </c>
      <c r="D1233" s="23" t="n">
        <v>4</v>
      </c>
      <c r="E1233" s="23" t="n">
        <v>12</v>
      </c>
      <c r="F1233" s="28" t="s">
        <v>915</v>
      </c>
      <c r="G1233" s="19" t="n">
        <v>0.0649</v>
      </c>
    </row>
    <row r="1234" customFormat="false" ht="15" hidden="false" customHeight="false" outlineLevel="0" collapsed="false">
      <c r="A1234" s="28" t="s">
        <v>180</v>
      </c>
      <c r="B1234" s="28" t="s">
        <v>181</v>
      </c>
      <c r="C1234" s="28" t="s">
        <v>174</v>
      </c>
      <c r="D1234" s="23" t="n">
        <v>4</v>
      </c>
      <c r="E1234" s="23" t="n">
        <v>13</v>
      </c>
      <c r="F1234" s="28" t="s">
        <v>904</v>
      </c>
      <c r="G1234" s="19" t="n">
        <v>0.0363</v>
      </c>
    </row>
    <row r="1235" customFormat="false" ht="15" hidden="false" customHeight="false" outlineLevel="0" collapsed="false">
      <c r="A1235" s="28" t="s">
        <v>180</v>
      </c>
      <c r="B1235" s="28" t="s">
        <v>181</v>
      </c>
      <c r="C1235" s="28" t="s">
        <v>174</v>
      </c>
      <c r="D1235" s="23" t="n">
        <v>4</v>
      </c>
      <c r="E1235" s="23" t="n">
        <v>13</v>
      </c>
      <c r="F1235" s="28" t="s">
        <v>551</v>
      </c>
      <c r="G1235" s="19" t="n">
        <v>0.0675</v>
      </c>
    </row>
    <row r="1236" customFormat="false" ht="15" hidden="false" customHeight="false" outlineLevel="0" collapsed="false">
      <c r="A1236" s="28" t="s">
        <v>180</v>
      </c>
      <c r="B1236" s="28" t="s">
        <v>181</v>
      </c>
      <c r="C1236" s="28" t="s">
        <v>174</v>
      </c>
      <c r="D1236" s="23" t="n">
        <v>4</v>
      </c>
      <c r="E1236" s="23" t="n">
        <v>13</v>
      </c>
      <c r="F1236" s="28" t="s">
        <v>451</v>
      </c>
      <c r="G1236" s="19" t="n">
        <v>0.0361</v>
      </c>
    </row>
    <row r="1237" customFormat="false" ht="15" hidden="false" customHeight="false" outlineLevel="0" collapsed="false">
      <c r="A1237" s="28" t="s">
        <v>180</v>
      </c>
      <c r="B1237" s="28" t="s">
        <v>181</v>
      </c>
      <c r="C1237" s="28" t="s">
        <v>174</v>
      </c>
      <c r="D1237" s="23" t="n">
        <v>4</v>
      </c>
      <c r="E1237" s="23" t="n">
        <v>13</v>
      </c>
      <c r="F1237" s="28" t="s">
        <v>905</v>
      </c>
      <c r="G1237" s="19" t="n">
        <v>0.0387</v>
      </c>
    </row>
    <row r="1238" customFormat="false" ht="15" hidden="false" customHeight="false" outlineLevel="0" collapsed="false">
      <c r="A1238" s="28" t="s">
        <v>180</v>
      </c>
      <c r="B1238" s="28" t="s">
        <v>181</v>
      </c>
      <c r="C1238" s="28" t="s">
        <v>174</v>
      </c>
      <c r="D1238" s="23" t="n">
        <v>4</v>
      </c>
      <c r="E1238" s="23" t="n">
        <v>13</v>
      </c>
      <c r="F1238" s="28" t="s">
        <v>906</v>
      </c>
      <c r="G1238" s="19" t="n">
        <v>0.0401</v>
      </c>
    </row>
    <row r="1239" customFormat="false" ht="15" hidden="false" customHeight="false" outlineLevel="0" collapsed="false">
      <c r="A1239" s="28" t="s">
        <v>180</v>
      </c>
      <c r="B1239" s="28" t="s">
        <v>181</v>
      </c>
      <c r="C1239" s="28" t="s">
        <v>174</v>
      </c>
      <c r="D1239" s="23" t="n">
        <v>4</v>
      </c>
      <c r="E1239" s="23" t="n">
        <v>13</v>
      </c>
      <c r="F1239" s="28" t="s">
        <v>907</v>
      </c>
      <c r="G1239" s="19" t="n">
        <v>0.0398</v>
      </c>
    </row>
    <row r="1240" customFormat="false" ht="15" hidden="false" customHeight="false" outlineLevel="0" collapsed="false">
      <c r="A1240" s="28" t="s">
        <v>180</v>
      </c>
      <c r="B1240" s="28" t="s">
        <v>181</v>
      </c>
      <c r="C1240" s="28" t="s">
        <v>174</v>
      </c>
      <c r="D1240" s="23" t="n">
        <v>4</v>
      </c>
      <c r="E1240" s="23" t="n">
        <v>13</v>
      </c>
      <c r="F1240" s="28" t="s">
        <v>908</v>
      </c>
      <c r="G1240" s="19" t="n">
        <v>0.0414</v>
      </c>
    </row>
    <row r="1241" customFormat="false" ht="15" hidden="false" customHeight="false" outlineLevel="0" collapsed="false">
      <c r="A1241" s="28" t="s">
        <v>180</v>
      </c>
      <c r="B1241" s="28" t="s">
        <v>181</v>
      </c>
      <c r="C1241" s="28" t="s">
        <v>174</v>
      </c>
      <c r="D1241" s="23" t="n">
        <v>4</v>
      </c>
      <c r="E1241" s="23" t="n">
        <v>13</v>
      </c>
      <c r="F1241" s="28" t="s">
        <v>909</v>
      </c>
      <c r="G1241" s="19" t="n">
        <v>0.0415</v>
      </c>
    </row>
    <row r="1242" customFormat="false" ht="15" hidden="false" customHeight="false" outlineLevel="0" collapsed="false">
      <c r="A1242" s="28" t="s">
        <v>180</v>
      </c>
      <c r="B1242" s="28" t="s">
        <v>181</v>
      </c>
      <c r="C1242" s="28" t="s">
        <v>174</v>
      </c>
      <c r="D1242" s="23" t="n">
        <v>4</v>
      </c>
      <c r="E1242" s="23" t="n">
        <v>13</v>
      </c>
      <c r="F1242" s="28" t="s">
        <v>910</v>
      </c>
      <c r="G1242" s="19" t="n">
        <v>0.0419</v>
      </c>
    </row>
    <row r="1243" customFormat="false" ht="15" hidden="false" customHeight="false" outlineLevel="0" collapsed="false">
      <c r="A1243" s="28" t="s">
        <v>180</v>
      </c>
      <c r="B1243" s="28" t="s">
        <v>181</v>
      </c>
      <c r="C1243" s="28" t="s">
        <v>174</v>
      </c>
      <c r="D1243" s="23" t="n">
        <v>4</v>
      </c>
      <c r="E1243" s="23" t="n">
        <v>13</v>
      </c>
      <c r="F1243" s="28" t="s">
        <v>911</v>
      </c>
      <c r="G1243" s="19" t="n">
        <v>0.043</v>
      </c>
    </row>
    <row r="1244" customFormat="false" ht="15" hidden="false" customHeight="false" outlineLevel="0" collapsed="false">
      <c r="A1244" s="28" t="s">
        <v>180</v>
      </c>
      <c r="B1244" s="28" t="s">
        <v>181</v>
      </c>
      <c r="C1244" s="28" t="s">
        <v>174</v>
      </c>
      <c r="D1244" s="23" t="n">
        <v>4</v>
      </c>
      <c r="E1244" s="23" t="n">
        <v>13</v>
      </c>
      <c r="F1244" s="28" t="s">
        <v>912</v>
      </c>
      <c r="G1244" s="19" t="n">
        <v>0.0444</v>
      </c>
    </row>
    <row r="1245" customFormat="false" ht="15" hidden="false" customHeight="false" outlineLevel="0" collapsed="false">
      <c r="A1245" s="28" t="s">
        <v>180</v>
      </c>
      <c r="B1245" s="28" t="s">
        <v>181</v>
      </c>
      <c r="C1245" s="28" t="s">
        <v>174</v>
      </c>
      <c r="D1245" s="23" t="n">
        <v>4</v>
      </c>
      <c r="E1245" s="23" t="n">
        <v>13</v>
      </c>
      <c r="F1245" s="28" t="s">
        <v>913</v>
      </c>
      <c r="G1245" s="19" t="n">
        <v>0.0493</v>
      </c>
    </row>
    <row r="1246" customFormat="false" ht="15" hidden="false" customHeight="false" outlineLevel="0" collapsed="false">
      <c r="A1246" s="28" t="s">
        <v>180</v>
      </c>
      <c r="B1246" s="28" t="s">
        <v>181</v>
      </c>
      <c r="C1246" s="28" t="s">
        <v>174</v>
      </c>
      <c r="D1246" s="23" t="n">
        <v>4</v>
      </c>
      <c r="E1246" s="23" t="n">
        <v>13</v>
      </c>
      <c r="F1246" s="28" t="s">
        <v>914</v>
      </c>
      <c r="G1246" s="19" t="n">
        <v>0.0491</v>
      </c>
    </row>
    <row r="1247" customFormat="false" ht="15" hidden="false" customHeight="false" outlineLevel="0" collapsed="false">
      <c r="A1247" s="28" t="s">
        <v>180</v>
      </c>
      <c r="B1247" s="28" t="s">
        <v>181</v>
      </c>
      <c r="C1247" s="28" t="s">
        <v>174</v>
      </c>
      <c r="D1247" s="23" t="n">
        <v>4</v>
      </c>
      <c r="E1247" s="23" t="n">
        <v>13</v>
      </c>
      <c r="F1247" s="28" t="s">
        <v>915</v>
      </c>
      <c r="G1247" s="19" t="n">
        <v>0.0649</v>
      </c>
    </row>
    <row r="1248" customFormat="false" ht="15" hidden="false" customHeight="false" outlineLevel="0" collapsed="false">
      <c r="A1248" s="28" t="s">
        <v>180</v>
      </c>
      <c r="B1248" s="28" t="s">
        <v>181</v>
      </c>
      <c r="C1248" s="28" t="s">
        <v>174</v>
      </c>
      <c r="D1248" s="23" t="n">
        <v>4</v>
      </c>
      <c r="E1248" s="23" t="n">
        <v>14</v>
      </c>
      <c r="F1248" s="28" t="s">
        <v>904</v>
      </c>
      <c r="G1248" s="19" t="n">
        <v>0.0363</v>
      </c>
    </row>
    <row r="1249" customFormat="false" ht="15" hidden="false" customHeight="false" outlineLevel="0" collapsed="false">
      <c r="A1249" s="28" t="s">
        <v>180</v>
      </c>
      <c r="B1249" s="28" t="s">
        <v>181</v>
      </c>
      <c r="C1249" s="28" t="s">
        <v>174</v>
      </c>
      <c r="D1249" s="23" t="n">
        <v>4</v>
      </c>
      <c r="E1249" s="23" t="n">
        <v>14</v>
      </c>
      <c r="F1249" s="28" t="s">
        <v>551</v>
      </c>
      <c r="G1249" s="19" t="n">
        <v>0.0675</v>
      </c>
    </row>
    <row r="1250" customFormat="false" ht="15" hidden="false" customHeight="false" outlineLevel="0" collapsed="false">
      <c r="A1250" s="28" t="s">
        <v>180</v>
      </c>
      <c r="B1250" s="28" t="s">
        <v>181</v>
      </c>
      <c r="C1250" s="28" t="s">
        <v>174</v>
      </c>
      <c r="D1250" s="23" t="n">
        <v>4</v>
      </c>
      <c r="E1250" s="23" t="n">
        <v>14</v>
      </c>
      <c r="F1250" s="28" t="s">
        <v>451</v>
      </c>
      <c r="G1250" s="19" t="n">
        <v>0.0361</v>
      </c>
    </row>
    <row r="1251" customFormat="false" ht="15" hidden="false" customHeight="false" outlineLevel="0" collapsed="false">
      <c r="A1251" s="28" t="s">
        <v>180</v>
      </c>
      <c r="B1251" s="28" t="s">
        <v>181</v>
      </c>
      <c r="C1251" s="28" t="s">
        <v>174</v>
      </c>
      <c r="D1251" s="23" t="n">
        <v>4</v>
      </c>
      <c r="E1251" s="23" t="n">
        <v>14</v>
      </c>
      <c r="F1251" s="28" t="s">
        <v>905</v>
      </c>
      <c r="G1251" s="19" t="n">
        <v>0.0387</v>
      </c>
    </row>
    <row r="1252" customFormat="false" ht="15" hidden="false" customHeight="false" outlineLevel="0" collapsed="false">
      <c r="A1252" s="28" t="s">
        <v>180</v>
      </c>
      <c r="B1252" s="28" t="s">
        <v>181</v>
      </c>
      <c r="C1252" s="28" t="s">
        <v>174</v>
      </c>
      <c r="D1252" s="23" t="n">
        <v>4</v>
      </c>
      <c r="E1252" s="23" t="n">
        <v>14</v>
      </c>
      <c r="F1252" s="28" t="s">
        <v>906</v>
      </c>
      <c r="G1252" s="19" t="n">
        <v>0.0401</v>
      </c>
    </row>
    <row r="1253" customFormat="false" ht="15" hidden="false" customHeight="false" outlineLevel="0" collapsed="false">
      <c r="A1253" s="28" t="s">
        <v>180</v>
      </c>
      <c r="B1253" s="28" t="s">
        <v>181</v>
      </c>
      <c r="C1253" s="28" t="s">
        <v>174</v>
      </c>
      <c r="D1253" s="23" t="n">
        <v>4</v>
      </c>
      <c r="E1253" s="23" t="n">
        <v>14</v>
      </c>
      <c r="F1253" s="28" t="s">
        <v>907</v>
      </c>
      <c r="G1253" s="19" t="n">
        <v>0.0398</v>
      </c>
    </row>
    <row r="1254" customFormat="false" ht="15" hidden="false" customHeight="false" outlineLevel="0" collapsed="false">
      <c r="A1254" s="28" t="s">
        <v>180</v>
      </c>
      <c r="B1254" s="28" t="s">
        <v>181</v>
      </c>
      <c r="C1254" s="28" t="s">
        <v>174</v>
      </c>
      <c r="D1254" s="23" t="n">
        <v>4</v>
      </c>
      <c r="E1254" s="23" t="n">
        <v>14</v>
      </c>
      <c r="F1254" s="28" t="s">
        <v>908</v>
      </c>
      <c r="G1254" s="19" t="n">
        <v>0.0414</v>
      </c>
    </row>
    <row r="1255" customFormat="false" ht="15" hidden="false" customHeight="false" outlineLevel="0" collapsed="false">
      <c r="A1255" s="28" t="s">
        <v>180</v>
      </c>
      <c r="B1255" s="28" t="s">
        <v>181</v>
      </c>
      <c r="C1255" s="28" t="s">
        <v>174</v>
      </c>
      <c r="D1255" s="23" t="n">
        <v>4</v>
      </c>
      <c r="E1255" s="23" t="n">
        <v>14</v>
      </c>
      <c r="F1255" s="28" t="s">
        <v>909</v>
      </c>
      <c r="G1255" s="19" t="n">
        <v>0.0415</v>
      </c>
    </row>
    <row r="1256" customFormat="false" ht="15" hidden="false" customHeight="false" outlineLevel="0" collapsed="false">
      <c r="A1256" s="28" t="s">
        <v>180</v>
      </c>
      <c r="B1256" s="28" t="s">
        <v>181</v>
      </c>
      <c r="C1256" s="28" t="s">
        <v>174</v>
      </c>
      <c r="D1256" s="23" t="n">
        <v>4</v>
      </c>
      <c r="E1256" s="23" t="n">
        <v>14</v>
      </c>
      <c r="F1256" s="28" t="s">
        <v>910</v>
      </c>
      <c r="G1256" s="19" t="n">
        <v>0.0419</v>
      </c>
    </row>
    <row r="1257" customFormat="false" ht="15" hidden="false" customHeight="false" outlineLevel="0" collapsed="false">
      <c r="A1257" s="28" t="s">
        <v>180</v>
      </c>
      <c r="B1257" s="28" t="s">
        <v>181</v>
      </c>
      <c r="C1257" s="28" t="s">
        <v>174</v>
      </c>
      <c r="D1257" s="23" t="n">
        <v>4</v>
      </c>
      <c r="E1257" s="23" t="n">
        <v>14</v>
      </c>
      <c r="F1257" s="28" t="s">
        <v>911</v>
      </c>
      <c r="G1257" s="19" t="n">
        <v>0.043</v>
      </c>
    </row>
    <row r="1258" customFormat="false" ht="15" hidden="false" customHeight="false" outlineLevel="0" collapsed="false">
      <c r="A1258" s="28" t="s">
        <v>180</v>
      </c>
      <c r="B1258" s="28" t="s">
        <v>181</v>
      </c>
      <c r="C1258" s="28" t="s">
        <v>174</v>
      </c>
      <c r="D1258" s="23" t="n">
        <v>4</v>
      </c>
      <c r="E1258" s="23" t="n">
        <v>14</v>
      </c>
      <c r="F1258" s="28" t="s">
        <v>912</v>
      </c>
      <c r="G1258" s="19" t="n">
        <v>0.0444</v>
      </c>
    </row>
    <row r="1259" customFormat="false" ht="15" hidden="false" customHeight="false" outlineLevel="0" collapsed="false">
      <c r="A1259" s="28" t="s">
        <v>180</v>
      </c>
      <c r="B1259" s="28" t="s">
        <v>181</v>
      </c>
      <c r="C1259" s="28" t="s">
        <v>174</v>
      </c>
      <c r="D1259" s="23" t="n">
        <v>4</v>
      </c>
      <c r="E1259" s="23" t="n">
        <v>14</v>
      </c>
      <c r="F1259" s="28" t="s">
        <v>913</v>
      </c>
      <c r="G1259" s="19" t="n">
        <v>0.0493</v>
      </c>
    </row>
    <row r="1260" customFormat="false" ht="15" hidden="false" customHeight="false" outlineLevel="0" collapsed="false">
      <c r="A1260" s="28" t="s">
        <v>180</v>
      </c>
      <c r="B1260" s="28" t="s">
        <v>181</v>
      </c>
      <c r="C1260" s="28" t="s">
        <v>174</v>
      </c>
      <c r="D1260" s="23" t="n">
        <v>4</v>
      </c>
      <c r="E1260" s="23" t="n">
        <v>14</v>
      </c>
      <c r="F1260" s="28" t="s">
        <v>914</v>
      </c>
      <c r="G1260" s="19" t="n">
        <v>0.0491</v>
      </c>
    </row>
    <row r="1261" customFormat="false" ht="15" hidden="false" customHeight="false" outlineLevel="0" collapsed="false">
      <c r="A1261" s="28" t="s">
        <v>180</v>
      </c>
      <c r="B1261" s="28" t="s">
        <v>181</v>
      </c>
      <c r="C1261" s="28" t="s">
        <v>174</v>
      </c>
      <c r="D1261" s="23" t="n">
        <v>4</v>
      </c>
      <c r="E1261" s="23" t="n">
        <v>14</v>
      </c>
      <c r="F1261" s="28" t="s">
        <v>915</v>
      </c>
      <c r="G1261" s="19" t="n">
        <v>0.0649</v>
      </c>
    </row>
    <row r="1262" customFormat="false" ht="15" hidden="false" customHeight="false" outlineLevel="0" collapsed="false">
      <c r="A1262" s="28" t="s">
        <v>180</v>
      </c>
      <c r="B1262" s="28" t="s">
        <v>181</v>
      </c>
      <c r="C1262" s="28" t="s">
        <v>174</v>
      </c>
      <c r="D1262" s="23" t="n">
        <v>4</v>
      </c>
      <c r="E1262" s="23" t="n">
        <v>15</v>
      </c>
      <c r="F1262" s="28" t="s">
        <v>904</v>
      </c>
      <c r="G1262" s="19" t="n">
        <v>0.0363</v>
      </c>
    </row>
    <row r="1263" customFormat="false" ht="15" hidden="false" customHeight="false" outlineLevel="0" collapsed="false">
      <c r="A1263" s="28" t="s">
        <v>180</v>
      </c>
      <c r="B1263" s="28" t="s">
        <v>181</v>
      </c>
      <c r="C1263" s="28" t="s">
        <v>174</v>
      </c>
      <c r="D1263" s="23" t="n">
        <v>4</v>
      </c>
      <c r="E1263" s="23" t="n">
        <v>15</v>
      </c>
      <c r="F1263" s="28" t="s">
        <v>551</v>
      </c>
      <c r="G1263" s="19" t="n">
        <v>0.0675</v>
      </c>
    </row>
    <row r="1264" customFormat="false" ht="15" hidden="false" customHeight="false" outlineLevel="0" collapsed="false">
      <c r="A1264" s="28" t="s">
        <v>180</v>
      </c>
      <c r="B1264" s="28" t="s">
        <v>181</v>
      </c>
      <c r="C1264" s="28" t="s">
        <v>174</v>
      </c>
      <c r="D1264" s="23" t="n">
        <v>4</v>
      </c>
      <c r="E1264" s="23" t="n">
        <v>15</v>
      </c>
      <c r="F1264" s="28" t="s">
        <v>451</v>
      </c>
      <c r="G1264" s="19" t="n">
        <v>0.0361</v>
      </c>
    </row>
    <row r="1265" customFormat="false" ht="15" hidden="false" customHeight="false" outlineLevel="0" collapsed="false">
      <c r="A1265" s="28" t="s">
        <v>180</v>
      </c>
      <c r="B1265" s="28" t="s">
        <v>181</v>
      </c>
      <c r="C1265" s="28" t="s">
        <v>174</v>
      </c>
      <c r="D1265" s="23" t="n">
        <v>4</v>
      </c>
      <c r="E1265" s="23" t="n">
        <v>15</v>
      </c>
      <c r="F1265" s="28" t="s">
        <v>905</v>
      </c>
      <c r="G1265" s="19" t="n">
        <v>0.0387</v>
      </c>
    </row>
    <row r="1266" customFormat="false" ht="15" hidden="false" customHeight="false" outlineLevel="0" collapsed="false">
      <c r="A1266" s="28" t="s">
        <v>180</v>
      </c>
      <c r="B1266" s="28" t="s">
        <v>181</v>
      </c>
      <c r="C1266" s="28" t="s">
        <v>174</v>
      </c>
      <c r="D1266" s="23" t="n">
        <v>4</v>
      </c>
      <c r="E1266" s="23" t="n">
        <v>15</v>
      </c>
      <c r="F1266" s="28" t="s">
        <v>906</v>
      </c>
      <c r="G1266" s="19" t="n">
        <v>0.0401</v>
      </c>
    </row>
    <row r="1267" customFormat="false" ht="15" hidden="false" customHeight="false" outlineLevel="0" collapsed="false">
      <c r="A1267" s="28" t="s">
        <v>180</v>
      </c>
      <c r="B1267" s="28" t="s">
        <v>181</v>
      </c>
      <c r="C1267" s="28" t="s">
        <v>174</v>
      </c>
      <c r="D1267" s="23" t="n">
        <v>4</v>
      </c>
      <c r="E1267" s="23" t="n">
        <v>15</v>
      </c>
      <c r="F1267" s="28" t="s">
        <v>907</v>
      </c>
      <c r="G1267" s="19" t="n">
        <v>0.0398</v>
      </c>
    </row>
    <row r="1268" customFormat="false" ht="15" hidden="false" customHeight="false" outlineLevel="0" collapsed="false">
      <c r="A1268" s="28" t="s">
        <v>180</v>
      </c>
      <c r="B1268" s="28" t="s">
        <v>181</v>
      </c>
      <c r="C1268" s="28" t="s">
        <v>174</v>
      </c>
      <c r="D1268" s="23" t="n">
        <v>4</v>
      </c>
      <c r="E1268" s="23" t="n">
        <v>15</v>
      </c>
      <c r="F1268" s="28" t="s">
        <v>908</v>
      </c>
      <c r="G1268" s="19" t="n">
        <v>0.0414</v>
      </c>
    </row>
    <row r="1269" customFormat="false" ht="15" hidden="false" customHeight="false" outlineLevel="0" collapsed="false">
      <c r="A1269" s="28" t="s">
        <v>180</v>
      </c>
      <c r="B1269" s="28" t="s">
        <v>181</v>
      </c>
      <c r="C1269" s="28" t="s">
        <v>174</v>
      </c>
      <c r="D1269" s="23" t="n">
        <v>4</v>
      </c>
      <c r="E1269" s="23" t="n">
        <v>15</v>
      </c>
      <c r="F1269" s="28" t="s">
        <v>909</v>
      </c>
      <c r="G1269" s="19" t="n">
        <v>0.0415</v>
      </c>
    </row>
    <row r="1270" customFormat="false" ht="15" hidden="false" customHeight="false" outlineLevel="0" collapsed="false">
      <c r="A1270" s="28" t="s">
        <v>180</v>
      </c>
      <c r="B1270" s="28" t="s">
        <v>181</v>
      </c>
      <c r="C1270" s="28" t="s">
        <v>174</v>
      </c>
      <c r="D1270" s="23" t="n">
        <v>4</v>
      </c>
      <c r="E1270" s="23" t="n">
        <v>15</v>
      </c>
      <c r="F1270" s="28" t="s">
        <v>910</v>
      </c>
      <c r="G1270" s="19" t="n">
        <v>0.0419</v>
      </c>
    </row>
    <row r="1271" customFormat="false" ht="15" hidden="false" customHeight="false" outlineLevel="0" collapsed="false">
      <c r="A1271" s="28" t="s">
        <v>180</v>
      </c>
      <c r="B1271" s="28" t="s">
        <v>181</v>
      </c>
      <c r="C1271" s="28" t="s">
        <v>174</v>
      </c>
      <c r="D1271" s="23" t="n">
        <v>4</v>
      </c>
      <c r="E1271" s="23" t="n">
        <v>15</v>
      </c>
      <c r="F1271" s="28" t="s">
        <v>911</v>
      </c>
      <c r="G1271" s="19" t="n">
        <v>0.043</v>
      </c>
    </row>
    <row r="1272" customFormat="false" ht="15" hidden="false" customHeight="false" outlineLevel="0" collapsed="false">
      <c r="A1272" s="28" t="s">
        <v>180</v>
      </c>
      <c r="B1272" s="28" t="s">
        <v>181</v>
      </c>
      <c r="C1272" s="28" t="s">
        <v>174</v>
      </c>
      <c r="D1272" s="23" t="n">
        <v>4</v>
      </c>
      <c r="E1272" s="23" t="n">
        <v>15</v>
      </c>
      <c r="F1272" s="28" t="s">
        <v>912</v>
      </c>
      <c r="G1272" s="19" t="n">
        <v>0.0444</v>
      </c>
    </row>
    <row r="1273" customFormat="false" ht="15" hidden="false" customHeight="false" outlineLevel="0" collapsed="false">
      <c r="A1273" s="28" t="s">
        <v>180</v>
      </c>
      <c r="B1273" s="28" t="s">
        <v>181</v>
      </c>
      <c r="C1273" s="28" t="s">
        <v>174</v>
      </c>
      <c r="D1273" s="23" t="n">
        <v>4</v>
      </c>
      <c r="E1273" s="23" t="n">
        <v>15</v>
      </c>
      <c r="F1273" s="28" t="s">
        <v>913</v>
      </c>
      <c r="G1273" s="19" t="n">
        <v>0.0493</v>
      </c>
    </row>
    <row r="1274" customFormat="false" ht="15" hidden="false" customHeight="false" outlineLevel="0" collapsed="false">
      <c r="A1274" s="28" t="s">
        <v>180</v>
      </c>
      <c r="B1274" s="28" t="s">
        <v>181</v>
      </c>
      <c r="C1274" s="28" t="s">
        <v>174</v>
      </c>
      <c r="D1274" s="23" t="n">
        <v>4</v>
      </c>
      <c r="E1274" s="23" t="n">
        <v>15</v>
      </c>
      <c r="F1274" s="28" t="s">
        <v>914</v>
      </c>
      <c r="G1274" s="19" t="n">
        <v>0.0491</v>
      </c>
    </row>
    <row r="1275" customFormat="false" ht="15" hidden="false" customHeight="false" outlineLevel="0" collapsed="false">
      <c r="A1275" s="28" t="s">
        <v>180</v>
      </c>
      <c r="B1275" s="28" t="s">
        <v>181</v>
      </c>
      <c r="C1275" s="28" t="s">
        <v>174</v>
      </c>
      <c r="D1275" s="23" t="n">
        <v>4</v>
      </c>
      <c r="E1275" s="23" t="n">
        <v>15</v>
      </c>
      <c r="F1275" s="28" t="s">
        <v>915</v>
      </c>
      <c r="G1275" s="19" t="n">
        <v>0.0649</v>
      </c>
    </row>
    <row r="1276" customFormat="false" ht="15" hidden="false" customHeight="false" outlineLevel="0" collapsed="false">
      <c r="A1276" s="28" t="s">
        <v>180</v>
      </c>
      <c r="B1276" s="28" t="s">
        <v>181</v>
      </c>
      <c r="C1276" s="28" t="s">
        <v>174</v>
      </c>
      <c r="D1276" s="23" t="n">
        <v>4</v>
      </c>
      <c r="E1276" s="23" t="n">
        <v>16</v>
      </c>
      <c r="F1276" s="28" t="s">
        <v>904</v>
      </c>
      <c r="G1276" s="19" t="n">
        <v>0.0363</v>
      </c>
    </row>
    <row r="1277" customFormat="false" ht="15" hidden="false" customHeight="false" outlineLevel="0" collapsed="false">
      <c r="A1277" s="28" t="s">
        <v>180</v>
      </c>
      <c r="B1277" s="28" t="s">
        <v>181</v>
      </c>
      <c r="C1277" s="28" t="s">
        <v>174</v>
      </c>
      <c r="D1277" s="23" t="n">
        <v>4</v>
      </c>
      <c r="E1277" s="23" t="n">
        <v>16</v>
      </c>
      <c r="F1277" s="28" t="s">
        <v>551</v>
      </c>
      <c r="G1277" s="19" t="n">
        <v>0.0675</v>
      </c>
    </row>
    <row r="1278" customFormat="false" ht="15" hidden="false" customHeight="false" outlineLevel="0" collapsed="false">
      <c r="A1278" s="28" t="s">
        <v>180</v>
      </c>
      <c r="B1278" s="28" t="s">
        <v>181</v>
      </c>
      <c r="C1278" s="28" t="s">
        <v>174</v>
      </c>
      <c r="D1278" s="23" t="n">
        <v>4</v>
      </c>
      <c r="E1278" s="23" t="n">
        <v>16</v>
      </c>
      <c r="F1278" s="28" t="s">
        <v>451</v>
      </c>
      <c r="G1278" s="19" t="n">
        <v>0.0361</v>
      </c>
    </row>
    <row r="1279" customFormat="false" ht="15" hidden="false" customHeight="false" outlineLevel="0" collapsed="false">
      <c r="A1279" s="28" t="s">
        <v>180</v>
      </c>
      <c r="B1279" s="28" t="s">
        <v>181</v>
      </c>
      <c r="C1279" s="28" t="s">
        <v>174</v>
      </c>
      <c r="D1279" s="23" t="n">
        <v>4</v>
      </c>
      <c r="E1279" s="23" t="n">
        <v>16</v>
      </c>
      <c r="F1279" s="28" t="s">
        <v>905</v>
      </c>
      <c r="G1279" s="19" t="n">
        <v>0.0387</v>
      </c>
    </row>
    <row r="1280" customFormat="false" ht="15" hidden="false" customHeight="false" outlineLevel="0" collapsed="false">
      <c r="A1280" s="28" t="s">
        <v>180</v>
      </c>
      <c r="B1280" s="28" t="s">
        <v>181</v>
      </c>
      <c r="C1280" s="28" t="s">
        <v>174</v>
      </c>
      <c r="D1280" s="23" t="n">
        <v>4</v>
      </c>
      <c r="E1280" s="23" t="n">
        <v>16</v>
      </c>
      <c r="F1280" s="28" t="s">
        <v>906</v>
      </c>
      <c r="G1280" s="19" t="n">
        <v>0.0401</v>
      </c>
    </row>
    <row r="1281" customFormat="false" ht="15" hidden="false" customHeight="false" outlineLevel="0" collapsed="false">
      <c r="A1281" s="28" t="s">
        <v>180</v>
      </c>
      <c r="B1281" s="28" t="s">
        <v>181</v>
      </c>
      <c r="C1281" s="28" t="s">
        <v>174</v>
      </c>
      <c r="D1281" s="23" t="n">
        <v>4</v>
      </c>
      <c r="E1281" s="23" t="n">
        <v>16</v>
      </c>
      <c r="F1281" s="28" t="s">
        <v>907</v>
      </c>
      <c r="G1281" s="19" t="n">
        <v>0.0398</v>
      </c>
    </row>
    <row r="1282" customFormat="false" ht="15" hidden="false" customHeight="false" outlineLevel="0" collapsed="false">
      <c r="A1282" s="28" t="s">
        <v>180</v>
      </c>
      <c r="B1282" s="28" t="s">
        <v>181</v>
      </c>
      <c r="C1282" s="28" t="s">
        <v>174</v>
      </c>
      <c r="D1282" s="23" t="n">
        <v>4</v>
      </c>
      <c r="E1282" s="23" t="n">
        <v>16</v>
      </c>
      <c r="F1282" s="28" t="s">
        <v>908</v>
      </c>
      <c r="G1282" s="19" t="n">
        <v>0.0414</v>
      </c>
    </row>
    <row r="1283" customFormat="false" ht="15" hidden="false" customHeight="false" outlineLevel="0" collapsed="false">
      <c r="A1283" s="28" t="s">
        <v>180</v>
      </c>
      <c r="B1283" s="28" t="s">
        <v>181</v>
      </c>
      <c r="C1283" s="28" t="s">
        <v>174</v>
      </c>
      <c r="D1283" s="23" t="n">
        <v>4</v>
      </c>
      <c r="E1283" s="23" t="n">
        <v>16</v>
      </c>
      <c r="F1283" s="28" t="s">
        <v>909</v>
      </c>
      <c r="G1283" s="19" t="n">
        <v>0.0415</v>
      </c>
    </row>
    <row r="1284" customFormat="false" ht="15" hidden="false" customHeight="false" outlineLevel="0" collapsed="false">
      <c r="A1284" s="28" t="s">
        <v>180</v>
      </c>
      <c r="B1284" s="28" t="s">
        <v>181</v>
      </c>
      <c r="C1284" s="28" t="s">
        <v>174</v>
      </c>
      <c r="D1284" s="23" t="n">
        <v>4</v>
      </c>
      <c r="E1284" s="23" t="n">
        <v>16</v>
      </c>
      <c r="F1284" s="28" t="s">
        <v>910</v>
      </c>
      <c r="G1284" s="19" t="n">
        <v>0.0419</v>
      </c>
    </row>
    <row r="1285" customFormat="false" ht="15" hidden="false" customHeight="false" outlineLevel="0" collapsed="false">
      <c r="A1285" s="28" t="s">
        <v>180</v>
      </c>
      <c r="B1285" s="28" t="s">
        <v>181</v>
      </c>
      <c r="C1285" s="28" t="s">
        <v>174</v>
      </c>
      <c r="D1285" s="23" t="n">
        <v>4</v>
      </c>
      <c r="E1285" s="23" t="n">
        <v>16</v>
      </c>
      <c r="F1285" s="28" t="s">
        <v>911</v>
      </c>
      <c r="G1285" s="19" t="n">
        <v>0.043</v>
      </c>
    </row>
    <row r="1286" customFormat="false" ht="15" hidden="false" customHeight="false" outlineLevel="0" collapsed="false">
      <c r="A1286" s="28" t="s">
        <v>180</v>
      </c>
      <c r="B1286" s="28" t="s">
        <v>181</v>
      </c>
      <c r="C1286" s="28" t="s">
        <v>174</v>
      </c>
      <c r="D1286" s="23" t="n">
        <v>4</v>
      </c>
      <c r="E1286" s="23" t="n">
        <v>16</v>
      </c>
      <c r="F1286" s="28" t="s">
        <v>912</v>
      </c>
      <c r="G1286" s="19" t="n">
        <v>0.0444</v>
      </c>
    </row>
    <row r="1287" customFormat="false" ht="15" hidden="false" customHeight="false" outlineLevel="0" collapsed="false">
      <c r="A1287" s="28" t="s">
        <v>180</v>
      </c>
      <c r="B1287" s="28" t="s">
        <v>181</v>
      </c>
      <c r="C1287" s="28" t="s">
        <v>174</v>
      </c>
      <c r="D1287" s="23" t="n">
        <v>4</v>
      </c>
      <c r="E1287" s="23" t="n">
        <v>16</v>
      </c>
      <c r="F1287" s="28" t="s">
        <v>913</v>
      </c>
      <c r="G1287" s="19" t="n">
        <v>0.0493</v>
      </c>
    </row>
    <row r="1288" customFormat="false" ht="15" hidden="false" customHeight="false" outlineLevel="0" collapsed="false">
      <c r="A1288" s="28" t="s">
        <v>180</v>
      </c>
      <c r="B1288" s="28" t="s">
        <v>181</v>
      </c>
      <c r="C1288" s="28" t="s">
        <v>174</v>
      </c>
      <c r="D1288" s="23" t="n">
        <v>4</v>
      </c>
      <c r="E1288" s="23" t="n">
        <v>16</v>
      </c>
      <c r="F1288" s="28" t="s">
        <v>914</v>
      </c>
      <c r="G1288" s="19" t="n">
        <v>0.0491</v>
      </c>
    </row>
    <row r="1289" customFormat="false" ht="15" hidden="false" customHeight="false" outlineLevel="0" collapsed="false">
      <c r="A1289" s="28" t="s">
        <v>180</v>
      </c>
      <c r="B1289" s="28" t="s">
        <v>181</v>
      </c>
      <c r="C1289" s="28" t="s">
        <v>174</v>
      </c>
      <c r="D1289" s="23" t="n">
        <v>4</v>
      </c>
      <c r="E1289" s="23" t="n">
        <v>16</v>
      </c>
      <c r="F1289" s="28" t="s">
        <v>915</v>
      </c>
      <c r="G1289" s="19" t="n">
        <v>0.0649</v>
      </c>
    </row>
    <row r="1290" customFormat="false" ht="15" hidden="false" customHeight="false" outlineLevel="0" collapsed="false">
      <c r="A1290" s="28" t="s">
        <v>180</v>
      </c>
      <c r="B1290" s="28" t="s">
        <v>181</v>
      </c>
      <c r="C1290" s="28" t="s">
        <v>174</v>
      </c>
      <c r="D1290" s="23" t="n">
        <v>4</v>
      </c>
      <c r="E1290" s="23" t="n">
        <v>17</v>
      </c>
      <c r="F1290" s="28" t="s">
        <v>904</v>
      </c>
      <c r="G1290" s="19" t="n">
        <v>0.0363</v>
      </c>
    </row>
    <row r="1291" customFormat="false" ht="15" hidden="false" customHeight="false" outlineLevel="0" collapsed="false">
      <c r="A1291" s="28" t="s">
        <v>180</v>
      </c>
      <c r="B1291" s="28" t="s">
        <v>181</v>
      </c>
      <c r="C1291" s="28" t="s">
        <v>174</v>
      </c>
      <c r="D1291" s="23" t="n">
        <v>4</v>
      </c>
      <c r="E1291" s="23" t="n">
        <v>17</v>
      </c>
      <c r="F1291" s="28" t="s">
        <v>551</v>
      </c>
      <c r="G1291" s="19" t="n">
        <v>0.0675</v>
      </c>
    </row>
    <row r="1292" customFormat="false" ht="15" hidden="false" customHeight="false" outlineLevel="0" collapsed="false">
      <c r="A1292" s="28" t="s">
        <v>180</v>
      </c>
      <c r="B1292" s="28" t="s">
        <v>181</v>
      </c>
      <c r="C1292" s="28" t="s">
        <v>174</v>
      </c>
      <c r="D1292" s="23" t="n">
        <v>4</v>
      </c>
      <c r="E1292" s="23" t="n">
        <v>17</v>
      </c>
      <c r="F1292" s="28" t="s">
        <v>451</v>
      </c>
      <c r="G1292" s="19" t="n">
        <v>0.0361</v>
      </c>
    </row>
    <row r="1293" customFormat="false" ht="15" hidden="false" customHeight="false" outlineLevel="0" collapsed="false">
      <c r="A1293" s="28" t="s">
        <v>180</v>
      </c>
      <c r="B1293" s="28" t="s">
        <v>181</v>
      </c>
      <c r="C1293" s="28" t="s">
        <v>174</v>
      </c>
      <c r="D1293" s="23" t="n">
        <v>4</v>
      </c>
      <c r="E1293" s="23" t="n">
        <v>17</v>
      </c>
      <c r="F1293" s="28" t="s">
        <v>905</v>
      </c>
      <c r="G1293" s="19" t="n">
        <v>0.0387</v>
      </c>
    </row>
    <row r="1294" customFormat="false" ht="15" hidden="false" customHeight="false" outlineLevel="0" collapsed="false">
      <c r="A1294" s="28" t="s">
        <v>180</v>
      </c>
      <c r="B1294" s="28" t="s">
        <v>181</v>
      </c>
      <c r="C1294" s="28" t="s">
        <v>174</v>
      </c>
      <c r="D1294" s="23" t="n">
        <v>4</v>
      </c>
      <c r="E1294" s="23" t="n">
        <v>17</v>
      </c>
      <c r="F1294" s="28" t="s">
        <v>906</v>
      </c>
      <c r="G1294" s="19" t="n">
        <v>0.0401</v>
      </c>
    </row>
    <row r="1295" customFormat="false" ht="15" hidden="false" customHeight="false" outlineLevel="0" collapsed="false">
      <c r="A1295" s="28" t="s">
        <v>180</v>
      </c>
      <c r="B1295" s="28" t="s">
        <v>181</v>
      </c>
      <c r="C1295" s="28" t="s">
        <v>174</v>
      </c>
      <c r="D1295" s="23" t="n">
        <v>4</v>
      </c>
      <c r="E1295" s="23" t="n">
        <v>17</v>
      </c>
      <c r="F1295" s="28" t="s">
        <v>907</v>
      </c>
      <c r="G1295" s="19" t="n">
        <v>0.0398</v>
      </c>
    </row>
    <row r="1296" customFormat="false" ht="15" hidden="false" customHeight="false" outlineLevel="0" collapsed="false">
      <c r="A1296" s="28" t="s">
        <v>180</v>
      </c>
      <c r="B1296" s="28" t="s">
        <v>181</v>
      </c>
      <c r="C1296" s="28" t="s">
        <v>174</v>
      </c>
      <c r="D1296" s="23" t="n">
        <v>4</v>
      </c>
      <c r="E1296" s="23" t="n">
        <v>17</v>
      </c>
      <c r="F1296" s="28" t="s">
        <v>908</v>
      </c>
      <c r="G1296" s="19" t="n">
        <v>0.0414</v>
      </c>
    </row>
    <row r="1297" customFormat="false" ht="15" hidden="false" customHeight="false" outlineLevel="0" collapsed="false">
      <c r="A1297" s="28" t="s">
        <v>180</v>
      </c>
      <c r="B1297" s="28" t="s">
        <v>181</v>
      </c>
      <c r="C1297" s="28" t="s">
        <v>174</v>
      </c>
      <c r="D1297" s="23" t="n">
        <v>4</v>
      </c>
      <c r="E1297" s="23" t="n">
        <v>17</v>
      </c>
      <c r="F1297" s="28" t="s">
        <v>909</v>
      </c>
      <c r="G1297" s="19" t="n">
        <v>0.0415</v>
      </c>
    </row>
    <row r="1298" customFormat="false" ht="15" hidden="false" customHeight="false" outlineLevel="0" collapsed="false">
      <c r="A1298" s="28" t="s">
        <v>180</v>
      </c>
      <c r="B1298" s="28" t="s">
        <v>181</v>
      </c>
      <c r="C1298" s="28" t="s">
        <v>174</v>
      </c>
      <c r="D1298" s="23" t="n">
        <v>4</v>
      </c>
      <c r="E1298" s="23" t="n">
        <v>17</v>
      </c>
      <c r="F1298" s="28" t="s">
        <v>910</v>
      </c>
      <c r="G1298" s="19" t="n">
        <v>0.0419</v>
      </c>
    </row>
    <row r="1299" customFormat="false" ht="15" hidden="false" customHeight="false" outlineLevel="0" collapsed="false">
      <c r="A1299" s="28" t="s">
        <v>180</v>
      </c>
      <c r="B1299" s="28" t="s">
        <v>181</v>
      </c>
      <c r="C1299" s="28" t="s">
        <v>174</v>
      </c>
      <c r="D1299" s="23" t="n">
        <v>4</v>
      </c>
      <c r="E1299" s="23" t="n">
        <v>17</v>
      </c>
      <c r="F1299" s="28" t="s">
        <v>911</v>
      </c>
      <c r="G1299" s="19" t="n">
        <v>0.043</v>
      </c>
    </row>
    <row r="1300" customFormat="false" ht="15" hidden="false" customHeight="false" outlineLevel="0" collapsed="false">
      <c r="A1300" s="28" t="s">
        <v>180</v>
      </c>
      <c r="B1300" s="28" t="s">
        <v>181</v>
      </c>
      <c r="C1300" s="28" t="s">
        <v>174</v>
      </c>
      <c r="D1300" s="23" t="n">
        <v>4</v>
      </c>
      <c r="E1300" s="23" t="n">
        <v>17</v>
      </c>
      <c r="F1300" s="28" t="s">
        <v>912</v>
      </c>
      <c r="G1300" s="19" t="n">
        <v>0.0444</v>
      </c>
    </row>
    <row r="1301" customFormat="false" ht="15" hidden="false" customHeight="false" outlineLevel="0" collapsed="false">
      <c r="A1301" s="28" t="s">
        <v>180</v>
      </c>
      <c r="B1301" s="28" t="s">
        <v>181</v>
      </c>
      <c r="C1301" s="28" t="s">
        <v>174</v>
      </c>
      <c r="D1301" s="23" t="n">
        <v>4</v>
      </c>
      <c r="E1301" s="23" t="n">
        <v>17</v>
      </c>
      <c r="F1301" s="28" t="s">
        <v>913</v>
      </c>
      <c r="G1301" s="19" t="n">
        <v>0.0493</v>
      </c>
    </row>
    <row r="1302" customFormat="false" ht="15" hidden="false" customHeight="false" outlineLevel="0" collapsed="false">
      <c r="A1302" s="28" t="s">
        <v>180</v>
      </c>
      <c r="B1302" s="28" t="s">
        <v>181</v>
      </c>
      <c r="C1302" s="28" t="s">
        <v>174</v>
      </c>
      <c r="D1302" s="23" t="n">
        <v>4</v>
      </c>
      <c r="E1302" s="23" t="n">
        <v>17</v>
      </c>
      <c r="F1302" s="28" t="s">
        <v>914</v>
      </c>
      <c r="G1302" s="19" t="n">
        <v>0.0491</v>
      </c>
    </row>
    <row r="1303" customFormat="false" ht="15" hidden="false" customHeight="false" outlineLevel="0" collapsed="false">
      <c r="A1303" s="28" t="s">
        <v>180</v>
      </c>
      <c r="B1303" s="28" t="s">
        <v>181</v>
      </c>
      <c r="C1303" s="28" t="s">
        <v>174</v>
      </c>
      <c r="D1303" s="23" t="n">
        <v>4</v>
      </c>
      <c r="E1303" s="23" t="n">
        <v>17</v>
      </c>
      <c r="F1303" s="28" t="s">
        <v>915</v>
      </c>
      <c r="G1303" s="19" t="n">
        <v>0.0649</v>
      </c>
    </row>
    <row r="1304" customFormat="false" ht="15" hidden="false" customHeight="false" outlineLevel="0" collapsed="false">
      <c r="A1304" s="28" t="s">
        <v>180</v>
      </c>
      <c r="B1304" s="28" t="s">
        <v>181</v>
      </c>
      <c r="C1304" s="28" t="s">
        <v>174</v>
      </c>
      <c r="D1304" s="23" t="n">
        <v>4</v>
      </c>
      <c r="E1304" s="23" t="n">
        <v>18</v>
      </c>
      <c r="F1304" s="28" t="s">
        <v>904</v>
      </c>
      <c r="G1304" s="19" t="n">
        <v>0.0363</v>
      </c>
    </row>
    <row r="1305" customFormat="false" ht="15" hidden="false" customHeight="false" outlineLevel="0" collapsed="false">
      <c r="A1305" s="28" t="s">
        <v>180</v>
      </c>
      <c r="B1305" s="28" t="s">
        <v>181</v>
      </c>
      <c r="C1305" s="28" t="s">
        <v>174</v>
      </c>
      <c r="D1305" s="23" t="n">
        <v>4</v>
      </c>
      <c r="E1305" s="23" t="n">
        <v>18</v>
      </c>
      <c r="F1305" s="28" t="s">
        <v>551</v>
      </c>
      <c r="G1305" s="19" t="n">
        <v>0.0675</v>
      </c>
    </row>
    <row r="1306" customFormat="false" ht="15" hidden="false" customHeight="false" outlineLevel="0" collapsed="false">
      <c r="A1306" s="28" t="s">
        <v>180</v>
      </c>
      <c r="B1306" s="28" t="s">
        <v>181</v>
      </c>
      <c r="C1306" s="28" t="s">
        <v>174</v>
      </c>
      <c r="D1306" s="23" t="n">
        <v>4</v>
      </c>
      <c r="E1306" s="23" t="n">
        <v>18</v>
      </c>
      <c r="F1306" s="28" t="s">
        <v>451</v>
      </c>
      <c r="G1306" s="19" t="n">
        <v>0.0361</v>
      </c>
    </row>
    <row r="1307" customFormat="false" ht="15" hidden="false" customHeight="false" outlineLevel="0" collapsed="false">
      <c r="A1307" s="28" t="s">
        <v>180</v>
      </c>
      <c r="B1307" s="28" t="s">
        <v>181</v>
      </c>
      <c r="C1307" s="28" t="s">
        <v>174</v>
      </c>
      <c r="D1307" s="23" t="n">
        <v>4</v>
      </c>
      <c r="E1307" s="23" t="n">
        <v>18</v>
      </c>
      <c r="F1307" s="28" t="s">
        <v>905</v>
      </c>
      <c r="G1307" s="19" t="n">
        <v>0.0387</v>
      </c>
    </row>
    <row r="1308" customFormat="false" ht="15" hidden="false" customHeight="false" outlineLevel="0" collapsed="false">
      <c r="A1308" s="28" t="s">
        <v>180</v>
      </c>
      <c r="B1308" s="28" t="s">
        <v>181</v>
      </c>
      <c r="C1308" s="28" t="s">
        <v>174</v>
      </c>
      <c r="D1308" s="23" t="n">
        <v>4</v>
      </c>
      <c r="E1308" s="23" t="n">
        <v>18</v>
      </c>
      <c r="F1308" s="28" t="s">
        <v>906</v>
      </c>
      <c r="G1308" s="19" t="n">
        <v>0.0401</v>
      </c>
    </row>
    <row r="1309" customFormat="false" ht="15" hidden="false" customHeight="false" outlineLevel="0" collapsed="false">
      <c r="A1309" s="28" t="s">
        <v>180</v>
      </c>
      <c r="B1309" s="28" t="s">
        <v>181</v>
      </c>
      <c r="C1309" s="28" t="s">
        <v>174</v>
      </c>
      <c r="D1309" s="23" t="n">
        <v>4</v>
      </c>
      <c r="E1309" s="23" t="n">
        <v>18</v>
      </c>
      <c r="F1309" s="28" t="s">
        <v>907</v>
      </c>
      <c r="G1309" s="19" t="n">
        <v>0.0398</v>
      </c>
    </row>
    <row r="1310" customFormat="false" ht="15" hidden="false" customHeight="false" outlineLevel="0" collapsed="false">
      <c r="A1310" s="28" t="s">
        <v>180</v>
      </c>
      <c r="B1310" s="28" t="s">
        <v>181</v>
      </c>
      <c r="C1310" s="28" t="s">
        <v>174</v>
      </c>
      <c r="D1310" s="23" t="n">
        <v>4</v>
      </c>
      <c r="E1310" s="23" t="n">
        <v>18</v>
      </c>
      <c r="F1310" s="28" t="s">
        <v>908</v>
      </c>
      <c r="G1310" s="19" t="n">
        <v>0.0414</v>
      </c>
    </row>
    <row r="1311" customFormat="false" ht="15" hidden="false" customHeight="false" outlineLevel="0" collapsed="false">
      <c r="A1311" s="28" t="s">
        <v>180</v>
      </c>
      <c r="B1311" s="28" t="s">
        <v>181</v>
      </c>
      <c r="C1311" s="28" t="s">
        <v>174</v>
      </c>
      <c r="D1311" s="23" t="n">
        <v>4</v>
      </c>
      <c r="E1311" s="23" t="n">
        <v>18</v>
      </c>
      <c r="F1311" s="28" t="s">
        <v>909</v>
      </c>
      <c r="G1311" s="19" t="n">
        <v>0.0415</v>
      </c>
    </row>
    <row r="1312" customFormat="false" ht="15" hidden="false" customHeight="false" outlineLevel="0" collapsed="false">
      <c r="A1312" s="28" t="s">
        <v>180</v>
      </c>
      <c r="B1312" s="28" t="s">
        <v>181</v>
      </c>
      <c r="C1312" s="28" t="s">
        <v>174</v>
      </c>
      <c r="D1312" s="23" t="n">
        <v>4</v>
      </c>
      <c r="E1312" s="23" t="n">
        <v>18</v>
      </c>
      <c r="F1312" s="28" t="s">
        <v>910</v>
      </c>
      <c r="G1312" s="19" t="n">
        <v>0.0419</v>
      </c>
    </row>
    <row r="1313" customFormat="false" ht="15" hidden="false" customHeight="false" outlineLevel="0" collapsed="false">
      <c r="A1313" s="28" t="s">
        <v>180</v>
      </c>
      <c r="B1313" s="28" t="s">
        <v>181</v>
      </c>
      <c r="C1313" s="28" t="s">
        <v>174</v>
      </c>
      <c r="D1313" s="23" t="n">
        <v>4</v>
      </c>
      <c r="E1313" s="23" t="n">
        <v>18</v>
      </c>
      <c r="F1313" s="28" t="s">
        <v>911</v>
      </c>
      <c r="G1313" s="19" t="n">
        <v>0.043</v>
      </c>
    </row>
    <row r="1314" customFormat="false" ht="15" hidden="false" customHeight="false" outlineLevel="0" collapsed="false">
      <c r="A1314" s="28" t="s">
        <v>180</v>
      </c>
      <c r="B1314" s="28" t="s">
        <v>181</v>
      </c>
      <c r="C1314" s="28" t="s">
        <v>174</v>
      </c>
      <c r="D1314" s="23" t="n">
        <v>4</v>
      </c>
      <c r="E1314" s="23" t="n">
        <v>18</v>
      </c>
      <c r="F1314" s="28" t="s">
        <v>912</v>
      </c>
      <c r="G1314" s="19" t="n">
        <v>0.0444</v>
      </c>
    </row>
    <row r="1315" customFormat="false" ht="15" hidden="false" customHeight="false" outlineLevel="0" collapsed="false">
      <c r="A1315" s="28" t="s">
        <v>180</v>
      </c>
      <c r="B1315" s="28" t="s">
        <v>181</v>
      </c>
      <c r="C1315" s="28" t="s">
        <v>174</v>
      </c>
      <c r="D1315" s="23" t="n">
        <v>4</v>
      </c>
      <c r="E1315" s="23" t="n">
        <v>18</v>
      </c>
      <c r="F1315" s="28" t="s">
        <v>913</v>
      </c>
      <c r="G1315" s="19" t="n">
        <v>0.0493</v>
      </c>
    </row>
    <row r="1316" customFormat="false" ht="15" hidden="false" customHeight="false" outlineLevel="0" collapsed="false">
      <c r="A1316" s="28" t="s">
        <v>180</v>
      </c>
      <c r="B1316" s="28" t="s">
        <v>181</v>
      </c>
      <c r="C1316" s="28" t="s">
        <v>174</v>
      </c>
      <c r="D1316" s="23" t="n">
        <v>4</v>
      </c>
      <c r="E1316" s="23" t="n">
        <v>18</v>
      </c>
      <c r="F1316" s="28" t="s">
        <v>914</v>
      </c>
      <c r="G1316" s="19" t="n">
        <v>0.0491</v>
      </c>
    </row>
    <row r="1317" customFormat="false" ht="15" hidden="false" customHeight="false" outlineLevel="0" collapsed="false">
      <c r="A1317" s="28" t="s">
        <v>180</v>
      </c>
      <c r="B1317" s="28" t="s">
        <v>181</v>
      </c>
      <c r="C1317" s="28" t="s">
        <v>174</v>
      </c>
      <c r="D1317" s="23" t="n">
        <v>4</v>
      </c>
      <c r="E1317" s="23" t="n">
        <v>18</v>
      </c>
      <c r="F1317" s="28" t="s">
        <v>915</v>
      </c>
      <c r="G1317" s="19" t="n">
        <v>0.0649</v>
      </c>
    </row>
    <row r="1318" customFormat="false" ht="15" hidden="false" customHeight="false" outlineLevel="0" collapsed="false">
      <c r="A1318" s="28" t="s">
        <v>180</v>
      </c>
      <c r="B1318" s="28" t="s">
        <v>181</v>
      </c>
      <c r="C1318" s="28" t="s">
        <v>174</v>
      </c>
      <c r="D1318" s="23" t="n">
        <v>4</v>
      </c>
      <c r="E1318" s="23" t="n">
        <v>19</v>
      </c>
      <c r="F1318" s="28" t="s">
        <v>904</v>
      </c>
      <c r="G1318" s="19" t="n">
        <v>0.0363</v>
      </c>
    </row>
    <row r="1319" customFormat="false" ht="15" hidden="false" customHeight="false" outlineLevel="0" collapsed="false">
      <c r="A1319" s="28" t="s">
        <v>180</v>
      </c>
      <c r="B1319" s="28" t="s">
        <v>181</v>
      </c>
      <c r="C1319" s="28" t="s">
        <v>174</v>
      </c>
      <c r="D1319" s="23" t="n">
        <v>4</v>
      </c>
      <c r="E1319" s="23" t="n">
        <v>19</v>
      </c>
      <c r="F1319" s="28" t="s">
        <v>551</v>
      </c>
      <c r="G1319" s="19" t="n">
        <v>0.0675</v>
      </c>
    </row>
    <row r="1320" customFormat="false" ht="15" hidden="false" customHeight="false" outlineLevel="0" collapsed="false">
      <c r="A1320" s="28" t="s">
        <v>180</v>
      </c>
      <c r="B1320" s="28" t="s">
        <v>181</v>
      </c>
      <c r="C1320" s="28" t="s">
        <v>174</v>
      </c>
      <c r="D1320" s="23" t="n">
        <v>4</v>
      </c>
      <c r="E1320" s="23" t="n">
        <v>19</v>
      </c>
      <c r="F1320" s="28" t="s">
        <v>451</v>
      </c>
      <c r="G1320" s="19" t="n">
        <v>0.0361</v>
      </c>
    </row>
    <row r="1321" customFormat="false" ht="15" hidden="false" customHeight="false" outlineLevel="0" collapsed="false">
      <c r="A1321" s="28" t="s">
        <v>180</v>
      </c>
      <c r="B1321" s="28" t="s">
        <v>181</v>
      </c>
      <c r="C1321" s="28" t="s">
        <v>174</v>
      </c>
      <c r="D1321" s="23" t="n">
        <v>4</v>
      </c>
      <c r="E1321" s="23" t="n">
        <v>19</v>
      </c>
      <c r="F1321" s="28" t="s">
        <v>905</v>
      </c>
      <c r="G1321" s="19" t="n">
        <v>0.0387</v>
      </c>
    </row>
    <row r="1322" customFormat="false" ht="15" hidden="false" customHeight="false" outlineLevel="0" collapsed="false">
      <c r="A1322" s="28" t="s">
        <v>180</v>
      </c>
      <c r="B1322" s="28" t="s">
        <v>181</v>
      </c>
      <c r="C1322" s="28" t="s">
        <v>174</v>
      </c>
      <c r="D1322" s="23" t="n">
        <v>4</v>
      </c>
      <c r="E1322" s="23" t="n">
        <v>19</v>
      </c>
      <c r="F1322" s="28" t="s">
        <v>906</v>
      </c>
      <c r="G1322" s="19" t="n">
        <v>0.0401</v>
      </c>
    </row>
    <row r="1323" customFormat="false" ht="15" hidden="false" customHeight="false" outlineLevel="0" collapsed="false">
      <c r="A1323" s="28" t="s">
        <v>180</v>
      </c>
      <c r="B1323" s="28" t="s">
        <v>181</v>
      </c>
      <c r="C1323" s="28" t="s">
        <v>174</v>
      </c>
      <c r="D1323" s="23" t="n">
        <v>4</v>
      </c>
      <c r="E1323" s="23" t="n">
        <v>19</v>
      </c>
      <c r="F1323" s="28" t="s">
        <v>907</v>
      </c>
      <c r="G1323" s="19" t="n">
        <v>0.0398</v>
      </c>
    </row>
    <row r="1324" customFormat="false" ht="15" hidden="false" customHeight="false" outlineLevel="0" collapsed="false">
      <c r="A1324" s="28" t="s">
        <v>180</v>
      </c>
      <c r="B1324" s="28" t="s">
        <v>181</v>
      </c>
      <c r="C1324" s="28" t="s">
        <v>174</v>
      </c>
      <c r="D1324" s="23" t="n">
        <v>4</v>
      </c>
      <c r="E1324" s="23" t="n">
        <v>19</v>
      </c>
      <c r="F1324" s="28" t="s">
        <v>908</v>
      </c>
      <c r="G1324" s="19" t="n">
        <v>0.0414</v>
      </c>
    </row>
    <row r="1325" customFormat="false" ht="15" hidden="false" customHeight="false" outlineLevel="0" collapsed="false">
      <c r="A1325" s="28" t="s">
        <v>180</v>
      </c>
      <c r="B1325" s="28" t="s">
        <v>181</v>
      </c>
      <c r="C1325" s="28" t="s">
        <v>174</v>
      </c>
      <c r="D1325" s="23" t="n">
        <v>4</v>
      </c>
      <c r="E1325" s="23" t="n">
        <v>19</v>
      </c>
      <c r="F1325" s="28" t="s">
        <v>909</v>
      </c>
      <c r="G1325" s="19" t="n">
        <v>0.0415</v>
      </c>
    </row>
    <row r="1326" customFormat="false" ht="15" hidden="false" customHeight="false" outlineLevel="0" collapsed="false">
      <c r="A1326" s="28" t="s">
        <v>180</v>
      </c>
      <c r="B1326" s="28" t="s">
        <v>181</v>
      </c>
      <c r="C1326" s="28" t="s">
        <v>174</v>
      </c>
      <c r="D1326" s="23" t="n">
        <v>4</v>
      </c>
      <c r="E1326" s="23" t="n">
        <v>19</v>
      </c>
      <c r="F1326" s="28" t="s">
        <v>910</v>
      </c>
      <c r="G1326" s="19" t="n">
        <v>0.0419</v>
      </c>
    </row>
    <row r="1327" customFormat="false" ht="15" hidden="false" customHeight="false" outlineLevel="0" collapsed="false">
      <c r="A1327" s="28" t="s">
        <v>180</v>
      </c>
      <c r="B1327" s="28" t="s">
        <v>181</v>
      </c>
      <c r="C1327" s="28" t="s">
        <v>174</v>
      </c>
      <c r="D1327" s="23" t="n">
        <v>4</v>
      </c>
      <c r="E1327" s="23" t="n">
        <v>19</v>
      </c>
      <c r="F1327" s="28" t="s">
        <v>911</v>
      </c>
      <c r="G1327" s="19" t="n">
        <v>0.043</v>
      </c>
    </row>
    <row r="1328" customFormat="false" ht="15" hidden="false" customHeight="false" outlineLevel="0" collapsed="false">
      <c r="A1328" s="28" t="s">
        <v>180</v>
      </c>
      <c r="B1328" s="28" t="s">
        <v>181</v>
      </c>
      <c r="C1328" s="28" t="s">
        <v>174</v>
      </c>
      <c r="D1328" s="23" t="n">
        <v>4</v>
      </c>
      <c r="E1328" s="23" t="n">
        <v>19</v>
      </c>
      <c r="F1328" s="28" t="s">
        <v>912</v>
      </c>
      <c r="G1328" s="19" t="n">
        <v>0.0444</v>
      </c>
    </row>
    <row r="1329" customFormat="false" ht="15" hidden="false" customHeight="false" outlineLevel="0" collapsed="false">
      <c r="A1329" s="28" t="s">
        <v>180</v>
      </c>
      <c r="B1329" s="28" t="s">
        <v>181</v>
      </c>
      <c r="C1329" s="28" t="s">
        <v>174</v>
      </c>
      <c r="D1329" s="23" t="n">
        <v>4</v>
      </c>
      <c r="E1329" s="23" t="n">
        <v>19</v>
      </c>
      <c r="F1329" s="28" t="s">
        <v>913</v>
      </c>
      <c r="G1329" s="19" t="n">
        <v>0.0493</v>
      </c>
    </row>
    <row r="1330" customFormat="false" ht="15" hidden="false" customHeight="false" outlineLevel="0" collapsed="false">
      <c r="A1330" s="28" t="s">
        <v>180</v>
      </c>
      <c r="B1330" s="28" t="s">
        <v>181</v>
      </c>
      <c r="C1330" s="28" t="s">
        <v>174</v>
      </c>
      <c r="D1330" s="23" t="n">
        <v>4</v>
      </c>
      <c r="E1330" s="23" t="n">
        <v>19</v>
      </c>
      <c r="F1330" s="28" t="s">
        <v>914</v>
      </c>
      <c r="G1330" s="19" t="n">
        <v>0.0491</v>
      </c>
    </row>
    <row r="1331" customFormat="false" ht="15" hidden="false" customHeight="false" outlineLevel="0" collapsed="false">
      <c r="A1331" s="28" t="s">
        <v>180</v>
      </c>
      <c r="B1331" s="28" t="s">
        <v>181</v>
      </c>
      <c r="C1331" s="28" t="s">
        <v>174</v>
      </c>
      <c r="D1331" s="23" t="n">
        <v>4</v>
      </c>
      <c r="E1331" s="23" t="n">
        <v>19</v>
      </c>
      <c r="F1331" s="28" t="s">
        <v>915</v>
      </c>
      <c r="G1331" s="19" t="n">
        <v>0.0649</v>
      </c>
    </row>
    <row r="1332" customFormat="false" ht="15" hidden="false" customHeight="false" outlineLevel="0" collapsed="false">
      <c r="A1332" s="28" t="s">
        <v>180</v>
      </c>
      <c r="B1332" s="28" t="s">
        <v>181</v>
      </c>
      <c r="C1332" s="28" t="s">
        <v>174</v>
      </c>
      <c r="D1332" s="23" t="n">
        <v>4</v>
      </c>
      <c r="E1332" s="23" t="n">
        <v>20</v>
      </c>
      <c r="F1332" s="28" t="s">
        <v>904</v>
      </c>
      <c r="G1332" s="19" t="n">
        <v>0.0363</v>
      </c>
    </row>
    <row r="1333" customFormat="false" ht="15" hidden="false" customHeight="false" outlineLevel="0" collapsed="false">
      <c r="A1333" s="28" t="s">
        <v>180</v>
      </c>
      <c r="B1333" s="28" t="s">
        <v>181</v>
      </c>
      <c r="C1333" s="28" t="s">
        <v>174</v>
      </c>
      <c r="D1333" s="23" t="n">
        <v>4</v>
      </c>
      <c r="E1333" s="23" t="n">
        <v>20</v>
      </c>
      <c r="F1333" s="28" t="s">
        <v>551</v>
      </c>
      <c r="G1333" s="19" t="n">
        <v>0.0675</v>
      </c>
    </row>
    <row r="1334" customFormat="false" ht="15" hidden="false" customHeight="false" outlineLevel="0" collapsed="false">
      <c r="A1334" s="28" t="s">
        <v>180</v>
      </c>
      <c r="B1334" s="28" t="s">
        <v>181</v>
      </c>
      <c r="C1334" s="28" t="s">
        <v>174</v>
      </c>
      <c r="D1334" s="23" t="n">
        <v>4</v>
      </c>
      <c r="E1334" s="23" t="n">
        <v>20</v>
      </c>
      <c r="F1334" s="28" t="s">
        <v>451</v>
      </c>
      <c r="G1334" s="19" t="n">
        <v>0.0361</v>
      </c>
    </row>
    <row r="1335" customFormat="false" ht="15" hidden="false" customHeight="false" outlineLevel="0" collapsed="false">
      <c r="A1335" s="28" t="s">
        <v>180</v>
      </c>
      <c r="B1335" s="28" t="s">
        <v>181</v>
      </c>
      <c r="C1335" s="28" t="s">
        <v>174</v>
      </c>
      <c r="D1335" s="23" t="n">
        <v>4</v>
      </c>
      <c r="E1335" s="23" t="n">
        <v>20</v>
      </c>
      <c r="F1335" s="28" t="s">
        <v>905</v>
      </c>
      <c r="G1335" s="19" t="n">
        <v>0.0387</v>
      </c>
    </row>
    <row r="1336" customFormat="false" ht="15" hidden="false" customHeight="false" outlineLevel="0" collapsed="false">
      <c r="A1336" s="28" t="s">
        <v>180</v>
      </c>
      <c r="B1336" s="28" t="s">
        <v>181</v>
      </c>
      <c r="C1336" s="28" t="s">
        <v>174</v>
      </c>
      <c r="D1336" s="23" t="n">
        <v>4</v>
      </c>
      <c r="E1336" s="23" t="n">
        <v>20</v>
      </c>
      <c r="F1336" s="28" t="s">
        <v>906</v>
      </c>
      <c r="G1336" s="19" t="n">
        <v>0.0401</v>
      </c>
    </row>
    <row r="1337" customFormat="false" ht="15" hidden="false" customHeight="false" outlineLevel="0" collapsed="false">
      <c r="A1337" s="28" t="s">
        <v>180</v>
      </c>
      <c r="B1337" s="28" t="s">
        <v>181</v>
      </c>
      <c r="C1337" s="28" t="s">
        <v>174</v>
      </c>
      <c r="D1337" s="23" t="n">
        <v>4</v>
      </c>
      <c r="E1337" s="23" t="n">
        <v>20</v>
      </c>
      <c r="F1337" s="28" t="s">
        <v>907</v>
      </c>
      <c r="G1337" s="19" t="n">
        <v>0.0398</v>
      </c>
    </row>
    <row r="1338" customFormat="false" ht="15" hidden="false" customHeight="false" outlineLevel="0" collapsed="false">
      <c r="A1338" s="28" t="s">
        <v>180</v>
      </c>
      <c r="B1338" s="28" t="s">
        <v>181</v>
      </c>
      <c r="C1338" s="28" t="s">
        <v>174</v>
      </c>
      <c r="D1338" s="23" t="n">
        <v>4</v>
      </c>
      <c r="E1338" s="23" t="n">
        <v>20</v>
      </c>
      <c r="F1338" s="28" t="s">
        <v>908</v>
      </c>
      <c r="G1338" s="19" t="n">
        <v>0.0414</v>
      </c>
    </row>
    <row r="1339" customFormat="false" ht="15" hidden="false" customHeight="false" outlineLevel="0" collapsed="false">
      <c r="A1339" s="28" t="s">
        <v>180</v>
      </c>
      <c r="B1339" s="28" t="s">
        <v>181</v>
      </c>
      <c r="C1339" s="28" t="s">
        <v>174</v>
      </c>
      <c r="D1339" s="23" t="n">
        <v>4</v>
      </c>
      <c r="E1339" s="23" t="n">
        <v>20</v>
      </c>
      <c r="F1339" s="28" t="s">
        <v>909</v>
      </c>
      <c r="G1339" s="19" t="n">
        <v>0.0415</v>
      </c>
    </row>
    <row r="1340" customFormat="false" ht="15" hidden="false" customHeight="false" outlineLevel="0" collapsed="false">
      <c r="A1340" s="28" t="s">
        <v>180</v>
      </c>
      <c r="B1340" s="28" t="s">
        <v>181</v>
      </c>
      <c r="C1340" s="28" t="s">
        <v>174</v>
      </c>
      <c r="D1340" s="23" t="n">
        <v>4</v>
      </c>
      <c r="E1340" s="23" t="n">
        <v>20</v>
      </c>
      <c r="F1340" s="28" t="s">
        <v>910</v>
      </c>
      <c r="G1340" s="19" t="n">
        <v>0.0419</v>
      </c>
    </row>
    <row r="1341" customFormat="false" ht="15" hidden="false" customHeight="false" outlineLevel="0" collapsed="false">
      <c r="A1341" s="28" t="s">
        <v>180</v>
      </c>
      <c r="B1341" s="28" t="s">
        <v>181</v>
      </c>
      <c r="C1341" s="28" t="s">
        <v>174</v>
      </c>
      <c r="D1341" s="23" t="n">
        <v>4</v>
      </c>
      <c r="E1341" s="23" t="n">
        <v>20</v>
      </c>
      <c r="F1341" s="28" t="s">
        <v>911</v>
      </c>
      <c r="G1341" s="19" t="n">
        <v>0.043</v>
      </c>
    </row>
    <row r="1342" customFormat="false" ht="15" hidden="false" customHeight="false" outlineLevel="0" collapsed="false">
      <c r="A1342" s="28" t="s">
        <v>180</v>
      </c>
      <c r="B1342" s="28" t="s">
        <v>181</v>
      </c>
      <c r="C1342" s="28" t="s">
        <v>174</v>
      </c>
      <c r="D1342" s="23" t="n">
        <v>4</v>
      </c>
      <c r="E1342" s="23" t="n">
        <v>20</v>
      </c>
      <c r="F1342" s="28" t="s">
        <v>912</v>
      </c>
      <c r="G1342" s="19" t="n">
        <v>0.0444</v>
      </c>
    </row>
    <row r="1343" customFormat="false" ht="15" hidden="false" customHeight="false" outlineLevel="0" collapsed="false">
      <c r="A1343" s="28" t="s">
        <v>180</v>
      </c>
      <c r="B1343" s="28" t="s">
        <v>181</v>
      </c>
      <c r="C1343" s="28" t="s">
        <v>174</v>
      </c>
      <c r="D1343" s="23" t="n">
        <v>4</v>
      </c>
      <c r="E1343" s="23" t="n">
        <v>20</v>
      </c>
      <c r="F1343" s="28" t="s">
        <v>913</v>
      </c>
      <c r="G1343" s="19" t="n">
        <v>0.0493</v>
      </c>
    </row>
    <row r="1344" customFormat="false" ht="15" hidden="false" customHeight="false" outlineLevel="0" collapsed="false">
      <c r="A1344" s="28" t="s">
        <v>180</v>
      </c>
      <c r="B1344" s="28" t="s">
        <v>181</v>
      </c>
      <c r="C1344" s="28" t="s">
        <v>174</v>
      </c>
      <c r="D1344" s="23" t="n">
        <v>4</v>
      </c>
      <c r="E1344" s="23" t="n">
        <v>20</v>
      </c>
      <c r="F1344" s="28" t="s">
        <v>914</v>
      </c>
      <c r="G1344" s="19" t="n">
        <v>0.0491</v>
      </c>
    </row>
    <row r="1345" customFormat="false" ht="15" hidden="false" customHeight="false" outlineLevel="0" collapsed="false">
      <c r="A1345" s="28" t="s">
        <v>180</v>
      </c>
      <c r="B1345" s="28" t="s">
        <v>181</v>
      </c>
      <c r="C1345" s="28" t="s">
        <v>174</v>
      </c>
      <c r="D1345" s="23" t="n">
        <v>4</v>
      </c>
      <c r="E1345" s="23" t="n">
        <v>20</v>
      </c>
      <c r="F1345" s="28" t="s">
        <v>915</v>
      </c>
      <c r="G1345" s="19" t="n">
        <v>0.0649</v>
      </c>
    </row>
    <row r="1346" customFormat="false" ht="15" hidden="false" customHeight="false" outlineLevel="0" collapsed="false">
      <c r="A1346" s="28" t="s">
        <v>180</v>
      </c>
      <c r="B1346" s="28" t="s">
        <v>181</v>
      </c>
      <c r="C1346" s="28" t="s">
        <v>174</v>
      </c>
      <c r="D1346" s="23" t="n">
        <v>4</v>
      </c>
      <c r="E1346" s="23" t="n">
        <v>21</v>
      </c>
      <c r="F1346" s="28" t="s">
        <v>904</v>
      </c>
      <c r="G1346" s="19" t="n">
        <v>0.0363</v>
      </c>
    </row>
    <row r="1347" customFormat="false" ht="15" hidden="false" customHeight="false" outlineLevel="0" collapsed="false">
      <c r="A1347" s="28" t="s">
        <v>180</v>
      </c>
      <c r="B1347" s="28" t="s">
        <v>181</v>
      </c>
      <c r="C1347" s="28" t="s">
        <v>174</v>
      </c>
      <c r="D1347" s="23" t="n">
        <v>4</v>
      </c>
      <c r="E1347" s="23" t="n">
        <v>21</v>
      </c>
      <c r="F1347" s="28" t="s">
        <v>551</v>
      </c>
      <c r="G1347" s="19" t="n">
        <v>0.0675</v>
      </c>
    </row>
    <row r="1348" customFormat="false" ht="15" hidden="false" customHeight="false" outlineLevel="0" collapsed="false">
      <c r="A1348" s="28" t="s">
        <v>180</v>
      </c>
      <c r="B1348" s="28" t="s">
        <v>181</v>
      </c>
      <c r="C1348" s="28" t="s">
        <v>174</v>
      </c>
      <c r="D1348" s="23" t="n">
        <v>4</v>
      </c>
      <c r="E1348" s="23" t="n">
        <v>21</v>
      </c>
      <c r="F1348" s="28" t="s">
        <v>451</v>
      </c>
      <c r="G1348" s="19" t="n">
        <v>0.0361</v>
      </c>
    </row>
    <row r="1349" customFormat="false" ht="15" hidden="false" customHeight="false" outlineLevel="0" collapsed="false">
      <c r="A1349" s="28" t="s">
        <v>180</v>
      </c>
      <c r="B1349" s="28" t="s">
        <v>181</v>
      </c>
      <c r="C1349" s="28" t="s">
        <v>174</v>
      </c>
      <c r="D1349" s="23" t="n">
        <v>4</v>
      </c>
      <c r="E1349" s="23" t="n">
        <v>21</v>
      </c>
      <c r="F1349" s="28" t="s">
        <v>905</v>
      </c>
      <c r="G1349" s="19" t="n">
        <v>0.0387</v>
      </c>
    </row>
    <row r="1350" customFormat="false" ht="15" hidden="false" customHeight="false" outlineLevel="0" collapsed="false">
      <c r="A1350" s="28" t="s">
        <v>180</v>
      </c>
      <c r="B1350" s="28" t="s">
        <v>181</v>
      </c>
      <c r="C1350" s="28" t="s">
        <v>174</v>
      </c>
      <c r="D1350" s="23" t="n">
        <v>4</v>
      </c>
      <c r="E1350" s="23" t="n">
        <v>21</v>
      </c>
      <c r="F1350" s="28" t="s">
        <v>906</v>
      </c>
      <c r="G1350" s="19" t="n">
        <v>0.0401</v>
      </c>
    </row>
    <row r="1351" customFormat="false" ht="15" hidden="false" customHeight="false" outlineLevel="0" collapsed="false">
      <c r="A1351" s="28" t="s">
        <v>180</v>
      </c>
      <c r="B1351" s="28" t="s">
        <v>181</v>
      </c>
      <c r="C1351" s="28" t="s">
        <v>174</v>
      </c>
      <c r="D1351" s="23" t="n">
        <v>4</v>
      </c>
      <c r="E1351" s="23" t="n">
        <v>21</v>
      </c>
      <c r="F1351" s="28" t="s">
        <v>907</v>
      </c>
      <c r="G1351" s="19" t="n">
        <v>0.0398</v>
      </c>
    </row>
    <row r="1352" customFormat="false" ht="15" hidden="false" customHeight="false" outlineLevel="0" collapsed="false">
      <c r="A1352" s="28" t="s">
        <v>180</v>
      </c>
      <c r="B1352" s="28" t="s">
        <v>181</v>
      </c>
      <c r="C1352" s="28" t="s">
        <v>174</v>
      </c>
      <c r="D1352" s="23" t="n">
        <v>4</v>
      </c>
      <c r="E1352" s="23" t="n">
        <v>21</v>
      </c>
      <c r="F1352" s="28" t="s">
        <v>908</v>
      </c>
      <c r="G1352" s="19" t="n">
        <v>0.0414</v>
      </c>
    </row>
    <row r="1353" customFormat="false" ht="15" hidden="false" customHeight="false" outlineLevel="0" collapsed="false">
      <c r="A1353" s="28" t="s">
        <v>180</v>
      </c>
      <c r="B1353" s="28" t="s">
        <v>181</v>
      </c>
      <c r="C1353" s="28" t="s">
        <v>174</v>
      </c>
      <c r="D1353" s="23" t="n">
        <v>4</v>
      </c>
      <c r="E1353" s="23" t="n">
        <v>21</v>
      </c>
      <c r="F1353" s="28" t="s">
        <v>909</v>
      </c>
      <c r="G1353" s="19" t="n">
        <v>0.0415</v>
      </c>
    </row>
    <row r="1354" customFormat="false" ht="15" hidden="false" customHeight="false" outlineLevel="0" collapsed="false">
      <c r="A1354" s="28" t="s">
        <v>180</v>
      </c>
      <c r="B1354" s="28" t="s">
        <v>181</v>
      </c>
      <c r="C1354" s="28" t="s">
        <v>174</v>
      </c>
      <c r="D1354" s="23" t="n">
        <v>4</v>
      </c>
      <c r="E1354" s="23" t="n">
        <v>21</v>
      </c>
      <c r="F1354" s="28" t="s">
        <v>910</v>
      </c>
      <c r="G1354" s="19" t="n">
        <v>0.0419</v>
      </c>
    </row>
    <row r="1355" customFormat="false" ht="15" hidden="false" customHeight="false" outlineLevel="0" collapsed="false">
      <c r="A1355" s="28" t="s">
        <v>180</v>
      </c>
      <c r="B1355" s="28" t="s">
        <v>181</v>
      </c>
      <c r="C1355" s="28" t="s">
        <v>174</v>
      </c>
      <c r="D1355" s="23" t="n">
        <v>4</v>
      </c>
      <c r="E1355" s="23" t="n">
        <v>21</v>
      </c>
      <c r="F1355" s="28" t="s">
        <v>911</v>
      </c>
      <c r="G1355" s="19" t="n">
        <v>0.043</v>
      </c>
    </row>
    <row r="1356" customFormat="false" ht="15" hidden="false" customHeight="false" outlineLevel="0" collapsed="false">
      <c r="A1356" s="28" t="s">
        <v>180</v>
      </c>
      <c r="B1356" s="28" t="s">
        <v>181</v>
      </c>
      <c r="C1356" s="28" t="s">
        <v>174</v>
      </c>
      <c r="D1356" s="23" t="n">
        <v>4</v>
      </c>
      <c r="E1356" s="23" t="n">
        <v>21</v>
      </c>
      <c r="F1356" s="28" t="s">
        <v>912</v>
      </c>
      <c r="G1356" s="19" t="n">
        <v>0.0444</v>
      </c>
    </row>
    <row r="1357" customFormat="false" ht="15" hidden="false" customHeight="false" outlineLevel="0" collapsed="false">
      <c r="A1357" s="28" t="s">
        <v>180</v>
      </c>
      <c r="B1357" s="28" t="s">
        <v>181</v>
      </c>
      <c r="C1357" s="28" t="s">
        <v>174</v>
      </c>
      <c r="D1357" s="23" t="n">
        <v>4</v>
      </c>
      <c r="E1357" s="23" t="n">
        <v>21</v>
      </c>
      <c r="F1357" s="28" t="s">
        <v>913</v>
      </c>
      <c r="G1357" s="19" t="n">
        <v>0.0493</v>
      </c>
    </row>
    <row r="1358" customFormat="false" ht="15" hidden="false" customHeight="false" outlineLevel="0" collapsed="false">
      <c r="A1358" s="28" t="s">
        <v>180</v>
      </c>
      <c r="B1358" s="28" t="s">
        <v>181</v>
      </c>
      <c r="C1358" s="28" t="s">
        <v>174</v>
      </c>
      <c r="D1358" s="23" t="n">
        <v>4</v>
      </c>
      <c r="E1358" s="23" t="n">
        <v>21</v>
      </c>
      <c r="F1358" s="28" t="s">
        <v>914</v>
      </c>
      <c r="G1358" s="19" t="n">
        <v>0.0491</v>
      </c>
    </row>
    <row r="1359" customFormat="false" ht="15" hidden="false" customHeight="false" outlineLevel="0" collapsed="false">
      <c r="A1359" s="28" t="s">
        <v>180</v>
      </c>
      <c r="B1359" s="28" t="s">
        <v>181</v>
      </c>
      <c r="C1359" s="28" t="s">
        <v>174</v>
      </c>
      <c r="D1359" s="23" t="n">
        <v>4</v>
      </c>
      <c r="E1359" s="23" t="n">
        <v>21</v>
      </c>
      <c r="F1359" s="28" t="s">
        <v>915</v>
      </c>
      <c r="G1359" s="19" t="n">
        <v>0.0649</v>
      </c>
    </row>
    <row r="1360" customFormat="false" ht="15" hidden="false" customHeight="false" outlineLevel="0" collapsed="false">
      <c r="A1360" s="28" t="s">
        <v>180</v>
      </c>
      <c r="B1360" s="28" t="s">
        <v>181</v>
      </c>
      <c r="C1360" s="28" t="s">
        <v>174</v>
      </c>
      <c r="D1360" s="23" t="n">
        <v>4</v>
      </c>
      <c r="E1360" s="23" t="n">
        <v>22</v>
      </c>
      <c r="F1360" s="28" t="s">
        <v>904</v>
      </c>
      <c r="G1360" s="19" t="n">
        <v>0.0363</v>
      </c>
    </row>
    <row r="1361" customFormat="false" ht="15" hidden="false" customHeight="false" outlineLevel="0" collapsed="false">
      <c r="A1361" s="28" t="s">
        <v>180</v>
      </c>
      <c r="B1361" s="28" t="s">
        <v>181</v>
      </c>
      <c r="C1361" s="28" t="s">
        <v>174</v>
      </c>
      <c r="D1361" s="23" t="n">
        <v>4</v>
      </c>
      <c r="E1361" s="23" t="n">
        <v>22</v>
      </c>
      <c r="F1361" s="28" t="s">
        <v>551</v>
      </c>
      <c r="G1361" s="19" t="n">
        <v>0.0675</v>
      </c>
    </row>
    <row r="1362" customFormat="false" ht="15" hidden="false" customHeight="false" outlineLevel="0" collapsed="false">
      <c r="A1362" s="28" t="s">
        <v>180</v>
      </c>
      <c r="B1362" s="28" t="s">
        <v>181</v>
      </c>
      <c r="C1362" s="28" t="s">
        <v>174</v>
      </c>
      <c r="D1362" s="23" t="n">
        <v>4</v>
      </c>
      <c r="E1362" s="23" t="n">
        <v>22</v>
      </c>
      <c r="F1362" s="28" t="s">
        <v>451</v>
      </c>
      <c r="G1362" s="19" t="n">
        <v>0.0361</v>
      </c>
    </row>
    <row r="1363" customFormat="false" ht="15" hidden="false" customHeight="false" outlineLevel="0" collapsed="false">
      <c r="A1363" s="28" t="s">
        <v>180</v>
      </c>
      <c r="B1363" s="28" t="s">
        <v>181</v>
      </c>
      <c r="C1363" s="28" t="s">
        <v>174</v>
      </c>
      <c r="D1363" s="23" t="n">
        <v>4</v>
      </c>
      <c r="E1363" s="23" t="n">
        <v>22</v>
      </c>
      <c r="F1363" s="28" t="s">
        <v>905</v>
      </c>
      <c r="G1363" s="19" t="n">
        <v>0.0387</v>
      </c>
    </row>
    <row r="1364" customFormat="false" ht="15" hidden="false" customHeight="false" outlineLevel="0" collapsed="false">
      <c r="A1364" s="28" t="s">
        <v>180</v>
      </c>
      <c r="B1364" s="28" t="s">
        <v>181</v>
      </c>
      <c r="C1364" s="28" t="s">
        <v>174</v>
      </c>
      <c r="D1364" s="23" t="n">
        <v>4</v>
      </c>
      <c r="E1364" s="23" t="n">
        <v>22</v>
      </c>
      <c r="F1364" s="28" t="s">
        <v>906</v>
      </c>
      <c r="G1364" s="19" t="n">
        <v>0.0401</v>
      </c>
    </row>
    <row r="1365" customFormat="false" ht="15" hidden="false" customHeight="false" outlineLevel="0" collapsed="false">
      <c r="A1365" s="28" t="s">
        <v>180</v>
      </c>
      <c r="B1365" s="28" t="s">
        <v>181</v>
      </c>
      <c r="C1365" s="28" t="s">
        <v>174</v>
      </c>
      <c r="D1365" s="23" t="n">
        <v>4</v>
      </c>
      <c r="E1365" s="23" t="n">
        <v>22</v>
      </c>
      <c r="F1365" s="28" t="s">
        <v>907</v>
      </c>
      <c r="G1365" s="19" t="n">
        <v>0.0398</v>
      </c>
    </row>
    <row r="1366" customFormat="false" ht="15" hidden="false" customHeight="false" outlineLevel="0" collapsed="false">
      <c r="A1366" s="28" t="s">
        <v>180</v>
      </c>
      <c r="B1366" s="28" t="s">
        <v>181</v>
      </c>
      <c r="C1366" s="28" t="s">
        <v>174</v>
      </c>
      <c r="D1366" s="23" t="n">
        <v>4</v>
      </c>
      <c r="E1366" s="23" t="n">
        <v>22</v>
      </c>
      <c r="F1366" s="28" t="s">
        <v>908</v>
      </c>
      <c r="G1366" s="19" t="n">
        <v>0.0414</v>
      </c>
    </row>
    <row r="1367" customFormat="false" ht="15" hidden="false" customHeight="false" outlineLevel="0" collapsed="false">
      <c r="A1367" s="28" t="s">
        <v>180</v>
      </c>
      <c r="B1367" s="28" t="s">
        <v>181</v>
      </c>
      <c r="C1367" s="28" t="s">
        <v>174</v>
      </c>
      <c r="D1367" s="23" t="n">
        <v>4</v>
      </c>
      <c r="E1367" s="23" t="n">
        <v>22</v>
      </c>
      <c r="F1367" s="28" t="s">
        <v>909</v>
      </c>
      <c r="G1367" s="19" t="n">
        <v>0.0415</v>
      </c>
    </row>
    <row r="1368" customFormat="false" ht="15" hidden="false" customHeight="false" outlineLevel="0" collapsed="false">
      <c r="A1368" s="28" t="s">
        <v>180</v>
      </c>
      <c r="B1368" s="28" t="s">
        <v>181</v>
      </c>
      <c r="C1368" s="28" t="s">
        <v>174</v>
      </c>
      <c r="D1368" s="23" t="n">
        <v>4</v>
      </c>
      <c r="E1368" s="23" t="n">
        <v>22</v>
      </c>
      <c r="F1368" s="28" t="s">
        <v>910</v>
      </c>
      <c r="G1368" s="19" t="n">
        <v>0.0419</v>
      </c>
    </row>
    <row r="1369" customFormat="false" ht="15" hidden="false" customHeight="false" outlineLevel="0" collapsed="false">
      <c r="A1369" s="28" t="s">
        <v>180</v>
      </c>
      <c r="B1369" s="28" t="s">
        <v>181</v>
      </c>
      <c r="C1369" s="28" t="s">
        <v>174</v>
      </c>
      <c r="D1369" s="23" t="n">
        <v>4</v>
      </c>
      <c r="E1369" s="23" t="n">
        <v>22</v>
      </c>
      <c r="F1369" s="28" t="s">
        <v>911</v>
      </c>
      <c r="G1369" s="19" t="n">
        <v>0.043</v>
      </c>
    </row>
    <row r="1370" customFormat="false" ht="15" hidden="false" customHeight="false" outlineLevel="0" collapsed="false">
      <c r="A1370" s="28" t="s">
        <v>180</v>
      </c>
      <c r="B1370" s="28" t="s">
        <v>181</v>
      </c>
      <c r="C1370" s="28" t="s">
        <v>174</v>
      </c>
      <c r="D1370" s="23" t="n">
        <v>4</v>
      </c>
      <c r="E1370" s="23" t="n">
        <v>22</v>
      </c>
      <c r="F1370" s="28" t="s">
        <v>912</v>
      </c>
      <c r="G1370" s="19" t="n">
        <v>0.0444</v>
      </c>
    </row>
    <row r="1371" customFormat="false" ht="15" hidden="false" customHeight="false" outlineLevel="0" collapsed="false">
      <c r="A1371" s="28" t="s">
        <v>180</v>
      </c>
      <c r="B1371" s="28" t="s">
        <v>181</v>
      </c>
      <c r="C1371" s="28" t="s">
        <v>174</v>
      </c>
      <c r="D1371" s="23" t="n">
        <v>4</v>
      </c>
      <c r="E1371" s="23" t="n">
        <v>22</v>
      </c>
      <c r="F1371" s="28" t="s">
        <v>913</v>
      </c>
      <c r="G1371" s="19" t="n">
        <v>0.0493</v>
      </c>
    </row>
    <row r="1372" customFormat="false" ht="15" hidden="false" customHeight="false" outlineLevel="0" collapsed="false">
      <c r="A1372" s="28" t="s">
        <v>180</v>
      </c>
      <c r="B1372" s="28" t="s">
        <v>181</v>
      </c>
      <c r="C1372" s="28" t="s">
        <v>174</v>
      </c>
      <c r="D1372" s="23" t="n">
        <v>4</v>
      </c>
      <c r="E1372" s="23" t="n">
        <v>22</v>
      </c>
      <c r="F1372" s="28" t="s">
        <v>914</v>
      </c>
      <c r="G1372" s="19" t="n">
        <v>0.0491</v>
      </c>
    </row>
    <row r="1373" customFormat="false" ht="15" hidden="false" customHeight="false" outlineLevel="0" collapsed="false">
      <c r="A1373" s="28" t="s">
        <v>180</v>
      </c>
      <c r="B1373" s="28" t="s">
        <v>181</v>
      </c>
      <c r="C1373" s="28" t="s">
        <v>174</v>
      </c>
      <c r="D1373" s="23" t="n">
        <v>4</v>
      </c>
      <c r="E1373" s="23" t="n">
        <v>22</v>
      </c>
      <c r="F1373" s="28" t="s">
        <v>915</v>
      </c>
      <c r="G1373" s="19" t="n">
        <v>0.0649</v>
      </c>
    </row>
    <row r="1374" customFormat="false" ht="15" hidden="false" customHeight="false" outlineLevel="0" collapsed="false">
      <c r="A1374" s="28" t="s">
        <v>180</v>
      </c>
      <c r="B1374" s="28" t="s">
        <v>181</v>
      </c>
      <c r="C1374" s="28" t="s">
        <v>174</v>
      </c>
      <c r="D1374" s="23" t="n">
        <v>4</v>
      </c>
      <c r="E1374" s="23" t="n">
        <v>23</v>
      </c>
      <c r="F1374" s="28" t="s">
        <v>904</v>
      </c>
      <c r="G1374" s="19" t="n">
        <v>0.0363</v>
      </c>
    </row>
    <row r="1375" customFormat="false" ht="15" hidden="false" customHeight="false" outlineLevel="0" collapsed="false">
      <c r="A1375" s="28" t="s">
        <v>180</v>
      </c>
      <c r="B1375" s="28" t="s">
        <v>181</v>
      </c>
      <c r="C1375" s="28" t="s">
        <v>174</v>
      </c>
      <c r="D1375" s="23" t="n">
        <v>4</v>
      </c>
      <c r="E1375" s="23" t="n">
        <v>23</v>
      </c>
      <c r="F1375" s="28" t="s">
        <v>551</v>
      </c>
      <c r="G1375" s="19" t="n">
        <v>0.0675</v>
      </c>
    </row>
    <row r="1376" customFormat="false" ht="15" hidden="false" customHeight="false" outlineLevel="0" collapsed="false">
      <c r="A1376" s="28" t="s">
        <v>180</v>
      </c>
      <c r="B1376" s="28" t="s">
        <v>181</v>
      </c>
      <c r="C1376" s="28" t="s">
        <v>174</v>
      </c>
      <c r="D1376" s="23" t="n">
        <v>4</v>
      </c>
      <c r="E1376" s="23" t="n">
        <v>23</v>
      </c>
      <c r="F1376" s="28" t="s">
        <v>451</v>
      </c>
      <c r="G1376" s="19" t="n">
        <v>0.0361</v>
      </c>
    </row>
    <row r="1377" customFormat="false" ht="15" hidden="false" customHeight="false" outlineLevel="0" collapsed="false">
      <c r="A1377" s="28" t="s">
        <v>180</v>
      </c>
      <c r="B1377" s="28" t="s">
        <v>181</v>
      </c>
      <c r="C1377" s="28" t="s">
        <v>174</v>
      </c>
      <c r="D1377" s="23" t="n">
        <v>4</v>
      </c>
      <c r="E1377" s="23" t="n">
        <v>23</v>
      </c>
      <c r="F1377" s="28" t="s">
        <v>905</v>
      </c>
      <c r="G1377" s="19" t="n">
        <v>0.0387</v>
      </c>
    </row>
    <row r="1378" customFormat="false" ht="15" hidden="false" customHeight="false" outlineLevel="0" collapsed="false">
      <c r="A1378" s="28" t="s">
        <v>180</v>
      </c>
      <c r="B1378" s="28" t="s">
        <v>181</v>
      </c>
      <c r="C1378" s="28" t="s">
        <v>174</v>
      </c>
      <c r="D1378" s="23" t="n">
        <v>4</v>
      </c>
      <c r="E1378" s="23" t="n">
        <v>23</v>
      </c>
      <c r="F1378" s="28" t="s">
        <v>906</v>
      </c>
      <c r="G1378" s="19" t="n">
        <v>0.0401</v>
      </c>
    </row>
    <row r="1379" customFormat="false" ht="15" hidden="false" customHeight="false" outlineLevel="0" collapsed="false">
      <c r="A1379" s="28" t="s">
        <v>180</v>
      </c>
      <c r="B1379" s="28" t="s">
        <v>181</v>
      </c>
      <c r="C1379" s="28" t="s">
        <v>174</v>
      </c>
      <c r="D1379" s="23" t="n">
        <v>4</v>
      </c>
      <c r="E1379" s="23" t="n">
        <v>23</v>
      </c>
      <c r="F1379" s="28" t="s">
        <v>907</v>
      </c>
      <c r="G1379" s="19" t="n">
        <v>0.0398</v>
      </c>
    </row>
    <row r="1380" customFormat="false" ht="15" hidden="false" customHeight="false" outlineLevel="0" collapsed="false">
      <c r="A1380" s="28" t="s">
        <v>180</v>
      </c>
      <c r="B1380" s="28" t="s">
        <v>181</v>
      </c>
      <c r="C1380" s="28" t="s">
        <v>174</v>
      </c>
      <c r="D1380" s="23" t="n">
        <v>4</v>
      </c>
      <c r="E1380" s="23" t="n">
        <v>23</v>
      </c>
      <c r="F1380" s="28" t="s">
        <v>908</v>
      </c>
      <c r="G1380" s="19" t="n">
        <v>0.0414</v>
      </c>
    </row>
    <row r="1381" customFormat="false" ht="15" hidden="false" customHeight="false" outlineLevel="0" collapsed="false">
      <c r="A1381" s="28" t="s">
        <v>180</v>
      </c>
      <c r="B1381" s="28" t="s">
        <v>181</v>
      </c>
      <c r="C1381" s="28" t="s">
        <v>174</v>
      </c>
      <c r="D1381" s="23" t="n">
        <v>4</v>
      </c>
      <c r="E1381" s="23" t="n">
        <v>23</v>
      </c>
      <c r="F1381" s="28" t="s">
        <v>909</v>
      </c>
      <c r="G1381" s="19" t="n">
        <v>0.0415</v>
      </c>
    </row>
    <row r="1382" customFormat="false" ht="15" hidden="false" customHeight="false" outlineLevel="0" collapsed="false">
      <c r="A1382" s="28" t="s">
        <v>180</v>
      </c>
      <c r="B1382" s="28" t="s">
        <v>181</v>
      </c>
      <c r="C1382" s="28" t="s">
        <v>174</v>
      </c>
      <c r="D1382" s="23" t="n">
        <v>4</v>
      </c>
      <c r="E1382" s="23" t="n">
        <v>23</v>
      </c>
      <c r="F1382" s="28" t="s">
        <v>910</v>
      </c>
      <c r="G1382" s="19" t="n">
        <v>0.0419</v>
      </c>
    </row>
    <row r="1383" customFormat="false" ht="15" hidden="false" customHeight="false" outlineLevel="0" collapsed="false">
      <c r="A1383" s="28" t="s">
        <v>180</v>
      </c>
      <c r="B1383" s="28" t="s">
        <v>181</v>
      </c>
      <c r="C1383" s="28" t="s">
        <v>174</v>
      </c>
      <c r="D1383" s="23" t="n">
        <v>4</v>
      </c>
      <c r="E1383" s="23" t="n">
        <v>23</v>
      </c>
      <c r="F1383" s="28" t="s">
        <v>911</v>
      </c>
      <c r="G1383" s="19" t="n">
        <v>0.043</v>
      </c>
    </row>
    <row r="1384" customFormat="false" ht="15" hidden="false" customHeight="false" outlineLevel="0" collapsed="false">
      <c r="A1384" s="28" t="s">
        <v>180</v>
      </c>
      <c r="B1384" s="28" t="s">
        <v>181</v>
      </c>
      <c r="C1384" s="28" t="s">
        <v>174</v>
      </c>
      <c r="D1384" s="23" t="n">
        <v>4</v>
      </c>
      <c r="E1384" s="23" t="n">
        <v>23</v>
      </c>
      <c r="F1384" s="28" t="s">
        <v>912</v>
      </c>
      <c r="G1384" s="19" t="n">
        <v>0.0444</v>
      </c>
    </row>
    <row r="1385" customFormat="false" ht="15" hidden="false" customHeight="false" outlineLevel="0" collapsed="false">
      <c r="A1385" s="28" t="s">
        <v>180</v>
      </c>
      <c r="B1385" s="28" t="s">
        <v>181</v>
      </c>
      <c r="C1385" s="28" t="s">
        <v>174</v>
      </c>
      <c r="D1385" s="23" t="n">
        <v>4</v>
      </c>
      <c r="E1385" s="23" t="n">
        <v>23</v>
      </c>
      <c r="F1385" s="28" t="s">
        <v>913</v>
      </c>
      <c r="G1385" s="19" t="n">
        <v>0.0493</v>
      </c>
    </row>
    <row r="1386" customFormat="false" ht="15" hidden="false" customHeight="false" outlineLevel="0" collapsed="false">
      <c r="A1386" s="28" t="s">
        <v>180</v>
      </c>
      <c r="B1386" s="28" t="s">
        <v>181</v>
      </c>
      <c r="C1386" s="28" t="s">
        <v>174</v>
      </c>
      <c r="D1386" s="23" t="n">
        <v>4</v>
      </c>
      <c r="E1386" s="23" t="n">
        <v>23</v>
      </c>
      <c r="F1386" s="28" t="s">
        <v>914</v>
      </c>
      <c r="G1386" s="19" t="n">
        <v>0.0491</v>
      </c>
    </row>
    <row r="1387" customFormat="false" ht="15" hidden="false" customHeight="false" outlineLevel="0" collapsed="false">
      <c r="A1387" s="28" t="s">
        <v>180</v>
      </c>
      <c r="B1387" s="28" t="s">
        <v>181</v>
      </c>
      <c r="C1387" s="28" t="s">
        <v>174</v>
      </c>
      <c r="D1387" s="23" t="n">
        <v>4</v>
      </c>
      <c r="E1387" s="23" t="n">
        <v>23</v>
      </c>
      <c r="F1387" s="28" t="s">
        <v>915</v>
      </c>
      <c r="G1387" s="19" t="n">
        <v>0.0649</v>
      </c>
    </row>
    <row r="1388" customFormat="false" ht="15" hidden="false" customHeight="false" outlineLevel="0" collapsed="false">
      <c r="A1388" s="28" t="s">
        <v>180</v>
      </c>
      <c r="B1388" s="28" t="s">
        <v>181</v>
      </c>
      <c r="C1388" s="28" t="s">
        <v>174</v>
      </c>
      <c r="D1388" s="23" t="n">
        <v>4</v>
      </c>
      <c r="E1388" s="23" t="n">
        <v>24</v>
      </c>
      <c r="F1388" s="28" t="s">
        <v>904</v>
      </c>
      <c r="G1388" s="19" t="n">
        <v>0.0363</v>
      </c>
    </row>
    <row r="1389" customFormat="false" ht="15" hidden="false" customHeight="false" outlineLevel="0" collapsed="false">
      <c r="A1389" s="28" t="s">
        <v>180</v>
      </c>
      <c r="B1389" s="28" t="s">
        <v>181</v>
      </c>
      <c r="C1389" s="28" t="s">
        <v>174</v>
      </c>
      <c r="D1389" s="23" t="n">
        <v>4</v>
      </c>
      <c r="E1389" s="23" t="n">
        <v>24</v>
      </c>
      <c r="F1389" s="28" t="s">
        <v>551</v>
      </c>
      <c r="G1389" s="19" t="n">
        <v>0.0675</v>
      </c>
    </row>
    <row r="1390" customFormat="false" ht="15" hidden="false" customHeight="false" outlineLevel="0" collapsed="false">
      <c r="A1390" s="28" t="s">
        <v>180</v>
      </c>
      <c r="B1390" s="28" t="s">
        <v>181</v>
      </c>
      <c r="C1390" s="28" t="s">
        <v>174</v>
      </c>
      <c r="D1390" s="23" t="n">
        <v>4</v>
      </c>
      <c r="E1390" s="23" t="n">
        <v>24</v>
      </c>
      <c r="F1390" s="28" t="s">
        <v>451</v>
      </c>
      <c r="G1390" s="19" t="n">
        <v>0.0361</v>
      </c>
    </row>
    <row r="1391" customFormat="false" ht="15" hidden="false" customHeight="false" outlineLevel="0" collapsed="false">
      <c r="A1391" s="28" t="s">
        <v>180</v>
      </c>
      <c r="B1391" s="28" t="s">
        <v>181</v>
      </c>
      <c r="C1391" s="28" t="s">
        <v>174</v>
      </c>
      <c r="D1391" s="23" t="n">
        <v>4</v>
      </c>
      <c r="E1391" s="23" t="n">
        <v>24</v>
      </c>
      <c r="F1391" s="28" t="s">
        <v>905</v>
      </c>
      <c r="G1391" s="19" t="n">
        <v>0.0387</v>
      </c>
    </row>
    <row r="1392" customFormat="false" ht="15" hidden="false" customHeight="false" outlineLevel="0" collapsed="false">
      <c r="A1392" s="28" t="s">
        <v>180</v>
      </c>
      <c r="B1392" s="28" t="s">
        <v>181</v>
      </c>
      <c r="C1392" s="28" t="s">
        <v>174</v>
      </c>
      <c r="D1392" s="23" t="n">
        <v>4</v>
      </c>
      <c r="E1392" s="23" t="n">
        <v>24</v>
      </c>
      <c r="F1392" s="28" t="s">
        <v>906</v>
      </c>
      <c r="G1392" s="19" t="n">
        <v>0.0401</v>
      </c>
    </row>
    <row r="1393" customFormat="false" ht="15" hidden="false" customHeight="false" outlineLevel="0" collapsed="false">
      <c r="A1393" s="28" t="s">
        <v>180</v>
      </c>
      <c r="B1393" s="28" t="s">
        <v>181</v>
      </c>
      <c r="C1393" s="28" t="s">
        <v>174</v>
      </c>
      <c r="D1393" s="23" t="n">
        <v>4</v>
      </c>
      <c r="E1393" s="23" t="n">
        <v>24</v>
      </c>
      <c r="F1393" s="28" t="s">
        <v>907</v>
      </c>
      <c r="G1393" s="19" t="n">
        <v>0.0398</v>
      </c>
    </row>
    <row r="1394" customFormat="false" ht="15" hidden="false" customHeight="false" outlineLevel="0" collapsed="false">
      <c r="A1394" s="28" t="s">
        <v>180</v>
      </c>
      <c r="B1394" s="28" t="s">
        <v>181</v>
      </c>
      <c r="C1394" s="28" t="s">
        <v>174</v>
      </c>
      <c r="D1394" s="23" t="n">
        <v>4</v>
      </c>
      <c r="E1394" s="23" t="n">
        <v>24</v>
      </c>
      <c r="F1394" s="28" t="s">
        <v>908</v>
      </c>
      <c r="G1394" s="19" t="n">
        <v>0.0414</v>
      </c>
    </row>
    <row r="1395" customFormat="false" ht="15" hidden="false" customHeight="false" outlineLevel="0" collapsed="false">
      <c r="A1395" s="28" t="s">
        <v>180</v>
      </c>
      <c r="B1395" s="28" t="s">
        <v>181</v>
      </c>
      <c r="C1395" s="28" t="s">
        <v>174</v>
      </c>
      <c r="D1395" s="23" t="n">
        <v>4</v>
      </c>
      <c r="E1395" s="23" t="n">
        <v>24</v>
      </c>
      <c r="F1395" s="28" t="s">
        <v>909</v>
      </c>
      <c r="G1395" s="19" t="n">
        <v>0.0415</v>
      </c>
    </row>
    <row r="1396" customFormat="false" ht="15" hidden="false" customHeight="false" outlineLevel="0" collapsed="false">
      <c r="A1396" s="28" t="s">
        <v>180</v>
      </c>
      <c r="B1396" s="28" t="s">
        <v>181</v>
      </c>
      <c r="C1396" s="28" t="s">
        <v>174</v>
      </c>
      <c r="D1396" s="23" t="n">
        <v>4</v>
      </c>
      <c r="E1396" s="23" t="n">
        <v>24</v>
      </c>
      <c r="F1396" s="28" t="s">
        <v>910</v>
      </c>
      <c r="G1396" s="19" t="n">
        <v>0.0419</v>
      </c>
    </row>
    <row r="1397" customFormat="false" ht="15" hidden="false" customHeight="false" outlineLevel="0" collapsed="false">
      <c r="A1397" s="28" t="s">
        <v>180</v>
      </c>
      <c r="B1397" s="28" t="s">
        <v>181</v>
      </c>
      <c r="C1397" s="28" t="s">
        <v>174</v>
      </c>
      <c r="D1397" s="23" t="n">
        <v>4</v>
      </c>
      <c r="E1397" s="23" t="n">
        <v>24</v>
      </c>
      <c r="F1397" s="28" t="s">
        <v>911</v>
      </c>
      <c r="G1397" s="19" t="n">
        <v>0.043</v>
      </c>
    </row>
    <row r="1398" customFormat="false" ht="15" hidden="false" customHeight="false" outlineLevel="0" collapsed="false">
      <c r="A1398" s="28" t="s">
        <v>180</v>
      </c>
      <c r="B1398" s="28" t="s">
        <v>181</v>
      </c>
      <c r="C1398" s="28" t="s">
        <v>174</v>
      </c>
      <c r="D1398" s="23" t="n">
        <v>4</v>
      </c>
      <c r="E1398" s="23" t="n">
        <v>24</v>
      </c>
      <c r="F1398" s="28" t="s">
        <v>912</v>
      </c>
      <c r="G1398" s="19" t="n">
        <v>0.0444</v>
      </c>
    </row>
    <row r="1399" customFormat="false" ht="15" hidden="false" customHeight="false" outlineLevel="0" collapsed="false">
      <c r="A1399" s="28" t="s">
        <v>180</v>
      </c>
      <c r="B1399" s="28" t="s">
        <v>181</v>
      </c>
      <c r="C1399" s="28" t="s">
        <v>174</v>
      </c>
      <c r="D1399" s="23" t="n">
        <v>4</v>
      </c>
      <c r="E1399" s="23" t="n">
        <v>24</v>
      </c>
      <c r="F1399" s="28" t="s">
        <v>913</v>
      </c>
      <c r="G1399" s="19" t="n">
        <v>0.0493</v>
      </c>
    </row>
    <row r="1400" customFormat="false" ht="15" hidden="false" customHeight="false" outlineLevel="0" collapsed="false">
      <c r="A1400" s="28" t="s">
        <v>180</v>
      </c>
      <c r="B1400" s="28" t="s">
        <v>181</v>
      </c>
      <c r="C1400" s="28" t="s">
        <v>174</v>
      </c>
      <c r="D1400" s="23" t="n">
        <v>4</v>
      </c>
      <c r="E1400" s="23" t="n">
        <v>24</v>
      </c>
      <c r="F1400" s="28" t="s">
        <v>914</v>
      </c>
      <c r="G1400" s="19" t="n">
        <v>0.0491</v>
      </c>
    </row>
    <row r="1401" customFormat="false" ht="15" hidden="false" customHeight="false" outlineLevel="0" collapsed="false">
      <c r="A1401" s="28" t="s">
        <v>180</v>
      </c>
      <c r="B1401" s="28" t="s">
        <v>181</v>
      </c>
      <c r="C1401" s="28" t="s">
        <v>174</v>
      </c>
      <c r="D1401" s="23" t="n">
        <v>4</v>
      </c>
      <c r="E1401" s="23" t="n">
        <v>24</v>
      </c>
      <c r="F1401" s="28" t="s">
        <v>915</v>
      </c>
      <c r="G1401" s="19" t="n">
        <v>0.0649</v>
      </c>
    </row>
    <row r="1402" customFormat="false" ht="15" hidden="false" customHeight="false" outlineLevel="0" collapsed="false">
      <c r="A1402" s="28" t="s">
        <v>182</v>
      </c>
      <c r="B1402" s="28" t="s">
        <v>183</v>
      </c>
      <c r="C1402" s="28" t="s">
        <v>174</v>
      </c>
      <c r="D1402" s="23" t="n">
        <v>5</v>
      </c>
      <c r="E1402" s="23" t="n">
        <v>0</v>
      </c>
      <c r="F1402" s="28" t="s">
        <v>904</v>
      </c>
      <c r="G1402" s="19" t="n">
        <v>0.0463</v>
      </c>
    </row>
    <row r="1403" customFormat="false" ht="15" hidden="false" customHeight="false" outlineLevel="0" collapsed="false">
      <c r="A1403" s="28" t="s">
        <v>182</v>
      </c>
      <c r="B1403" s="28" t="s">
        <v>183</v>
      </c>
      <c r="C1403" s="28" t="s">
        <v>174</v>
      </c>
      <c r="D1403" s="23" t="n">
        <v>5</v>
      </c>
      <c r="E1403" s="23" t="n">
        <v>0</v>
      </c>
      <c r="F1403" s="28" t="s">
        <v>551</v>
      </c>
      <c r="G1403" s="19" t="n">
        <v>0.0775</v>
      </c>
    </row>
    <row r="1404" customFormat="false" ht="15" hidden="false" customHeight="false" outlineLevel="0" collapsed="false">
      <c r="A1404" s="28" t="s">
        <v>182</v>
      </c>
      <c r="B1404" s="28" t="s">
        <v>183</v>
      </c>
      <c r="C1404" s="28" t="s">
        <v>174</v>
      </c>
      <c r="D1404" s="23" t="n">
        <v>5</v>
      </c>
      <c r="E1404" s="23" t="n">
        <v>0</v>
      </c>
      <c r="F1404" s="28" t="s">
        <v>451</v>
      </c>
      <c r="G1404" s="19" t="n">
        <v>0.0461</v>
      </c>
    </row>
    <row r="1405" customFormat="false" ht="15" hidden="false" customHeight="false" outlineLevel="0" collapsed="false">
      <c r="A1405" s="28" t="s">
        <v>182</v>
      </c>
      <c r="B1405" s="28" t="s">
        <v>183</v>
      </c>
      <c r="C1405" s="28" t="s">
        <v>174</v>
      </c>
      <c r="D1405" s="23" t="n">
        <v>5</v>
      </c>
      <c r="E1405" s="23" t="n">
        <v>0</v>
      </c>
      <c r="F1405" s="28" t="s">
        <v>905</v>
      </c>
      <c r="G1405" s="19" t="n">
        <v>0.0487</v>
      </c>
    </row>
    <row r="1406" customFormat="false" ht="15" hidden="false" customHeight="false" outlineLevel="0" collapsed="false">
      <c r="A1406" s="28" t="s">
        <v>182</v>
      </c>
      <c r="B1406" s="28" t="s">
        <v>183</v>
      </c>
      <c r="C1406" s="28" t="s">
        <v>174</v>
      </c>
      <c r="D1406" s="23" t="n">
        <v>5</v>
      </c>
      <c r="E1406" s="23" t="n">
        <v>0</v>
      </c>
      <c r="F1406" s="28" t="s">
        <v>906</v>
      </c>
      <c r="G1406" s="19" t="n">
        <v>0.0501</v>
      </c>
    </row>
    <row r="1407" customFormat="false" ht="15" hidden="false" customHeight="false" outlineLevel="0" collapsed="false">
      <c r="A1407" s="28" t="s">
        <v>182</v>
      </c>
      <c r="B1407" s="28" t="s">
        <v>183</v>
      </c>
      <c r="C1407" s="28" t="s">
        <v>174</v>
      </c>
      <c r="D1407" s="23" t="n">
        <v>5</v>
      </c>
      <c r="E1407" s="23" t="n">
        <v>0</v>
      </c>
      <c r="F1407" s="28" t="s">
        <v>907</v>
      </c>
      <c r="G1407" s="19" t="n">
        <v>0.0498</v>
      </c>
    </row>
    <row r="1408" customFormat="false" ht="15" hidden="false" customHeight="false" outlineLevel="0" collapsed="false">
      <c r="A1408" s="28" t="s">
        <v>182</v>
      </c>
      <c r="B1408" s="28" t="s">
        <v>183</v>
      </c>
      <c r="C1408" s="28" t="s">
        <v>174</v>
      </c>
      <c r="D1408" s="23" t="n">
        <v>5</v>
      </c>
      <c r="E1408" s="23" t="n">
        <v>0</v>
      </c>
      <c r="F1408" s="28" t="s">
        <v>908</v>
      </c>
      <c r="G1408" s="19" t="n">
        <v>0.0514</v>
      </c>
    </row>
    <row r="1409" customFormat="false" ht="15" hidden="false" customHeight="false" outlineLevel="0" collapsed="false">
      <c r="A1409" s="28" t="s">
        <v>182</v>
      </c>
      <c r="B1409" s="28" t="s">
        <v>183</v>
      </c>
      <c r="C1409" s="28" t="s">
        <v>174</v>
      </c>
      <c r="D1409" s="23" t="n">
        <v>5</v>
      </c>
      <c r="E1409" s="23" t="n">
        <v>0</v>
      </c>
      <c r="F1409" s="28" t="s">
        <v>909</v>
      </c>
      <c r="G1409" s="19" t="n">
        <v>0.0515</v>
      </c>
    </row>
    <row r="1410" customFormat="false" ht="15" hidden="false" customHeight="false" outlineLevel="0" collapsed="false">
      <c r="A1410" s="28" t="s">
        <v>182</v>
      </c>
      <c r="B1410" s="28" t="s">
        <v>183</v>
      </c>
      <c r="C1410" s="28" t="s">
        <v>174</v>
      </c>
      <c r="D1410" s="23" t="n">
        <v>5</v>
      </c>
      <c r="E1410" s="23" t="n">
        <v>0</v>
      </c>
      <c r="F1410" s="28" t="s">
        <v>910</v>
      </c>
      <c r="G1410" s="19" t="n">
        <v>0.0519</v>
      </c>
    </row>
    <row r="1411" customFormat="false" ht="15" hidden="false" customHeight="false" outlineLevel="0" collapsed="false">
      <c r="A1411" s="28" t="s">
        <v>182</v>
      </c>
      <c r="B1411" s="28" t="s">
        <v>183</v>
      </c>
      <c r="C1411" s="28" t="s">
        <v>174</v>
      </c>
      <c r="D1411" s="23" t="n">
        <v>5</v>
      </c>
      <c r="E1411" s="23" t="n">
        <v>0</v>
      </c>
      <c r="F1411" s="28" t="s">
        <v>911</v>
      </c>
      <c r="G1411" s="19" t="n">
        <v>0.053</v>
      </c>
    </row>
    <row r="1412" customFormat="false" ht="15" hidden="false" customHeight="false" outlineLevel="0" collapsed="false">
      <c r="A1412" s="28" t="s">
        <v>182</v>
      </c>
      <c r="B1412" s="28" t="s">
        <v>183</v>
      </c>
      <c r="C1412" s="28" t="s">
        <v>174</v>
      </c>
      <c r="D1412" s="23" t="n">
        <v>5</v>
      </c>
      <c r="E1412" s="23" t="n">
        <v>0</v>
      </c>
      <c r="F1412" s="28" t="s">
        <v>912</v>
      </c>
      <c r="G1412" s="19" t="n">
        <v>0.0544</v>
      </c>
    </row>
    <row r="1413" customFormat="false" ht="15" hidden="false" customHeight="false" outlineLevel="0" collapsed="false">
      <c r="A1413" s="28" t="s">
        <v>182</v>
      </c>
      <c r="B1413" s="28" t="s">
        <v>183</v>
      </c>
      <c r="C1413" s="28" t="s">
        <v>174</v>
      </c>
      <c r="D1413" s="23" t="n">
        <v>5</v>
      </c>
      <c r="E1413" s="23" t="n">
        <v>0</v>
      </c>
      <c r="F1413" s="28" t="s">
        <v>913</v>
      </c>
      <c r="G1413" s="19" t="n">
        <v>0.0593</v>
      </c>
    </row>
    <row r="1414" customFormat="false" ht="15" hidden="false" customHeight="false" outlineLevel="0" collapsed="false">
      <c r="A1414" s="28" t="s">
        <v>182</v>
      </c>
      <c r="B1414" s="28" t="s">
        <v>183</v>
      </c>
      <c r="C1414" s="28" t="s">
        <v>174</v>
      </c>
      <c r="D1414" s="23" t="n">
        <v>5</v>
      </c>
      <c r="E1414" s="23" t="n">
        <v>0</v>
      </c>
      <c r="F1414" s="28" t="s">
        <v>914</v>
      </c>
      <c r="G1414" s="19" t="n">
        <v>0.0591</v>
      </c>
    </row>
    <row r="1415" customFormat="false" ht="15" hidden="false" customHeight="false" outlineLevel="0" collapsed="false">
      <c r="A1415" s="28" t="s">
        <v>182</v>
      </c>
      <c r="B1415" s="28" t="s">
        <v>183</v>
      </c>
      <c r="C1415" s="28" t="s">
        <v>174</v>
      </c>
      <c r="D1415" s="23" t="n">
        <v>5</v>
      </c>
      <c r="E1415" s="23" t="n">
        <v>0</v>
      </c>
      <c r="F1415" s="28" t="s">
        <v>915</v>
      </c>
      <c r="G1415" s="19" t="n">
        <v>0.0749</v>
      </c>
    </row>
    <row r="1416" customFormat="false" ht="15" hidden="false" customHeight="false" outlineLevel="0" collapsed="false">
      <c r="A1416" s="28" t="s">
        <v>182</v>
      </c>
      <c r="B1416" s="28" t="s">
        <v>183</v>
      </c>
      <c r="C1416" s="28" t="s">
        <v>174</v>
      </c>
      <c r="D1416" s="23" t="n">
        <v>5</v>
      </c>
      <c r="E1416" s="23" t="n">
        <v>1</v>
      </c>
      <c r="F1416" s="28" t="s">
        <v>904</v>
      </c>
      <c r="G1416" s="19" t="n">
        <v>0.0463</v>
      </c>
    </row>
    <row r="1417" customFormat="false" ht="15" hidden="false" customHeight="false" outlineLevel="0" collapsed="false">
      <c r="A1417" s="28" t="s">
        <v>182</v>
      </c>
      <c r="B1417" s="28" t="s">
        <v>183</v>
      </c>
      <c r="C1417" s="28" t="s">
        <v>174</v>
      </c>
      <c r="D1417" s="23" t="n">
        <v>5</v>
      </c>
      <c r="E1417" s="23" t="n">
        <v>1</v>
      </c>
      <c r="F1417" s="28" t="s">
        <v>551</v>
      </c>
      <c r="G1417" s="19" t="n">
        <v>0.0775</v>
      </c>
    </row>
    <row r="1418" customFormat="false" ht="15" hidden="false" customHeight="false" outlineLevel="0" collapsed="false">
      <c r="A1418" s="28" t="s">
        <v>182</v>
      </c>
      <c r="B1418" s="28" t="s">
        <v>183</v>
      </c>
      <c r="C1418" s="28" t="s">
        <v>174</v>
      </c>
      <c r="D1418" s="23" t="n">
        <v>5</v>
      </c>
      <c r="E1418" s="23" t="n">
        <v>1</v>
      </c>
      <c r="F1418" s="28" t="s">
        <v>451</v>
      </c>
      <c r="G1418" s="19" t="n">
        <v>0.0461</v>
      </c>
    </row>
    <row r="1419" customFormat="false" ht="15" hidden="false" customHeight="false" outlineLevel="0" collapsed="false">
      <c r="A1419" s="28" t="s">
        <v>182</v>
      </c>
      <c r="B1419" s="28" t="s">
        <v>183</v>
      </c>
      <c r="C1419" s="28" t="s">
        <v>174</v>
      </c>
      <c r="D1419" s="23" t="n">
        <v>5</v>
      </c>
      <c r="E1419" s="23" t="n">
        <v>1</v>
      </c>
      <c r="F1419" s="28" t="s">
        <v>905</v>
      </c>
      <c r="G1419" s="19" t="n">
        <v>0.0487</v>
      </c>
    </row>
    <row r="1420" customFormat="false" ht="15" hidden="false" customHeight="false" outlineLevel="0" collapsed="false">
      <c r="A1420" s="28" t="s">
        <v>182</v>
      </c>
      <c r="B1420" s="28" t="s">
        <v>183</v>
      </c>
      <c r="C1420" s="28" t="s">
        <v>174</v>
      </c>
      <c r="D1420" s="23" t="n">
        <v>5</v>
      </c>
      <c r="E1420" s="23" t="n">
        <v>1</v>
      </c>
      <c r="F1420" s="28" t="s">
        <v>906</v>
      </c>
      <c r="G1420" s="19" t="n">
        <v>0.0501</v>
      </c>
    </row>
    <row r="1421" customFormat="false" ht="15" hidden="false" customHeight="false" outlineLevel="0" collapsed="false">
      <c r="A1421" s="28" t="s">
        <v>182</v>
      </c>
      <c r="B1421" s="28" t="s">
        <v>183</v>
      </c>
      <c r="C1421" s="28" t="s">
        <v>174</v>
      </c>
      <c r="D1421" s="23" t="n">
        <v>5</v>
      </c>
      <c r="E1421" s="23" t="n">
        <v>1</v>
      </c>
      <c r="F1421" s="28" t="s">
        <v>907</v>
      </c>
      <c r="G1421" s="19" t="n">
        <v>0.0498</v>
      </c>
    </row>
    <row r="1422" customFormat="false" ht="15" hidden="false" customHeight="false" outlineLevel="0" collapsed="false">
      <c r="A1422" s="28" t="s">
        <v>182</v>
      </c>
      <c r="B1422" s="28" t="s">
        <v>183</v>
      </c>
      <c r="C1422" s="28" t="s">
        <v>174</v>
      </c>
      <c r="D1422" s="23" t="n">
        <v>5</v>
      </c>
      <c r="E1422" s="23" t="n">
        <v>1</v>
      </c>
      <c r="F1422" s="28" t="s">
        <v>908</v>
      </c>
      <c r="G1422" s="19" t="n">
        <v>0.0514</v>
      </c>
    </row>
    <row r="1423" customFormat="false" ht="15" hidden="false" customHeight="false" outlineLevel="0" collapsed="false">
      <c r="A1423" s="28" t="s">
        <v>182</v>
      </c>
      <c r="B1423" s="28" t="s">
        <v>183</v>
      </c>
      <c r="C1423" s="28" t="s">
        <v>174</v>
      </c>
      <c r="D1423" s="23" t="n">
        <v>5</v>
      </c>
      <c r="E1423" s="23" t="n">
        <v>1</v>
      </c>
      <c r="F1423" s="28" t="s">
        <v>909</v>
      </c>
      <c r="G1423" s="19" t="n">
        <v>0.0515</v>
      </c>
    </row>
    <row r="1424" customFormat="false" ht="15" hidden="false" customHeight="false" outlineLevel="0" collapsed="false">
      <c r="A1424" s="28" t="s">
        <v>182</v>
      </c>
      <c r="B1424" s="28" t="s">
        <v>183</v>
      </c>
      <c r="C1424" s="28" t="s">
        <v>174</v>
      </c>
      <c r="D1424" s="23" t="n">
        <v>5</v>
      </c>
      <c r="E1424" s="23" t="n">
        <v>1</v>
      </c>
      <c r="F1424" s="28" t="s">
        <v>910</v>
      </c>
      <c r="G1424" s="19" t="n">
        <v>0.0519</v>
      </c>
    </row>
    <row r="1425" customFormat="false" ht="15" hidden="false" customHeight="false" outlineLevel="0" collapsed="false">
      <c r="A1425" s="28" t="s">
        <v>182</v>
      </c>
      <c r="B1425" s="28" t="s">
        <v>183</v>
      </c>
      <c r="C1425" s="28" t="s">
        <v>174</v>
      </c>
      <c r="D1425" s="23" t="n">
        <v>5</v>
      </c>
      <c r="E1425" s="23" t="n">
        <v>1</v>
      </c>
      <c r="F1425" s="28" t="s">
        <v>911</v>
      </c>
      <c r="G1425" s="19" t="n">
        <v>0.053</v>
      </c>
    </row>
    <row r="1426" customFormat="false" ht="15" hidden="false" customHeight="false" outlineLevel="0" collapsed="false">
      <c r="A1426" s="28" t="s">
        <v>182</v>
      </c>
      <c r="B1426" s="28" t="s">
        <v>183</v>
      </c>
      <c r="C1426" s="28" t="s">
        <v>174</v>
      </c>
      <c r="D1426" s="23" t="n">
        <v>5</v>
      </c>
      <c r="E1426" s="23" t="n">
        <v>1</v>
      </c>
      <c r="F1426" s="28" t="s">
        <v>912</v>
      </c>
      <c r="G1426" s="19" t="n">
        <v>0.0544</v>
      </c>
    </row>
    <row r="1427" customFormat="false" ht="15" hidden="false" customHeight="false" outlineLevel="0" collapsed="false">
      <c r="A1427" s="28" t="s">
        <v>182</v>
      </c>
      <c r="B1427" s="28" t="s">
        <v>183</v>
      </c>
      <c r="C1427" s="28" t="s">
        <v>174</v>
      </c>
      <c r="D1427" s="23" t="n">
        <v>5</v>
      </c>
      <c r="E1427" s="23" t="n">
        <v>1</v>
      </c>
      <c r="F1427" s="28" t="s">
        <v>913</v>
      </c>
      <c r="G1427" s="19" t="n">
        <v>0.0593</v>
      </c>
    </row>
    <row r="1428" customFormat="false" ht="15" hidden="false" customHeight="false" outlineLevel="0" collapsed="false">
      <c r="A1428" s="28" t="s">
        <v>182</v>
      </c>
      <c r="B1428" s="28" t="s">
        <v>183</v>
      </c>
      <c r="C1428" s="28" t="s">
        <v>174</v>
      </c>
      <c r="D1428" s="23" t="n">
        <v>5</v>
      </c>
      <c r="E1428" s="23" t="n">
        <v>1</v>
      </c>
      <c r="F1428" s="28" t="s">
        <v>914</v>
      </c>
      <c r="G1428" s="19" t="n">
        <v>0.0591</v>
      </c>
    </row>
    <row r="1429" customFormat="false" ht="15" hidden="false" customHeight="false" outlineLevel="0" collapsed="false">
      <c r="A1429" s="28" t="s">
        <v>182</v>
      </c>
      <c r="B1429" s="28" t="s">
        <v>183</v>
      </c>
      <c r="C1429" s="28" t="s">
        <v>174</v>
      </c>
      <c r="D1429" s="23" t="n">
        <v>5</v>
      </c>
      <c r="E1429" s="23" t="n">
        <v>1</v>
      </c>
      <c r="F1429" s="28" t="s">
        <v>915</v>
      </c>
      <c r="G1429" s="19" t="n">
        <v>0.0749</v>
      </c>
    </row>
    <row r="1430" customFormat="false" ht="15" hidden="false" customHeight="false" outlineLevel="0" collapsed="false">
      <c r="A1430" s="28" t="s">
        <v>182</v>
      </c>
      <c r="B1430" s="28" t="s">
        <v>183</v>
      </c>
      <c r="C1430" s="28" t="s">
        <v>174</v>
      </c>
      <c r="D1430" s="23" t="n">
        <v>5</v>
      </c>
      <c r="E1430" s="23" t="n">
        <v>2</v>
      </c>
      <c r="F1430" s="28" t="s">
        <v>904</v>
      </c>
      <c r="G1430" s="19" t="n">
        <v>0.0463</v>
      </c>
    </row>
    <row r="1431" customFormat="false" ht="15" hidden="false" customHeight="false" outlineLevel="0" collapsed="false">
      <c r="A1431" s="28" t="s">
        <v>182</v>
      </c>
      <c r="B1431" s="28" t="s">
        <v>183</v>
      </c>
      <c r="C1431" s="28" t="s">
        <v>174</v>
      </c>
      <c r="D1431" s="23" t="n">
        <v>5</v>
      </c>
      <c r="E1431" s="23" t="n">
        <v>2</v>
      </c>
      <c r="F1431" s="28" t="s">
        <v>551</v>
      </c>
      <c r="G1431" s="19" t="n">
        <v>0.0775</v>
      </c>
    </row>
    <row r="1432" customFormat="false" ht="15" hidden="false" customHeight="false" outlineLevel="0" collapsed="false">
      <c r="A1432" s="28" t="s">
        <v>182</v>
      </c>
      <c r="B1432" s="28" t="s">
        <v>183</v>
      </c>
      <c r="C1432" s="28" t="s">
        <v>174</v>
      </c>
      <c r="D1432" s="23" t="n">
        <v>5</v>
      </c>
      <c r="E1432" s="23" t="n">
        <v>2</v>
      </c>
      <c r="F1432" s="28" t="s">
        <v>451</v>
      </c>
      <c r="G1432" s="19" t="n">
        <v>0.0461</v>
      </c>
    </row>
    <row r="1433" customFormat="false" ht="15" hidden="false" customHeight="false" outlineLevel="0" collapsed="false">
      <c r="A1433" s="28" t="s">
        <v>182</v>
      </c>
      <c r="B1433" s="28" t="s">
        <v>183</v>
      </c>
      <c r="C1433" s="28" t="s">
        <v>174</v>
      </c>
      <c r="D1433" s="23" t="n">
        <v>5</v>
      </c>
      <c r="E1433" s="23" t="n">
        <v>2</v>
      </c>
      <c r="F1433" s="28" t="s">
        <v>905</v>
      </c>
      <c r="G1433" s="19" t="n">
        <v>0.0487</v>
      </c>
    </row>
    <row r="1434" customFormat="false" ht="15" hidden="false" customHeight="false" outlineLevel="0" collapsed="false">
      <c r="A1434" s="28" t="s">
        <v>182</v>
      </c>
      <c r="B1434" s="28" t="s">
        <v>183</v>
      </c>
      <c r="C1434" s="28" t="s">
        <v>174</v>
      </c>
      <c r="D1434" s="23" t="n">
        <v>5</v>
      </c>
      <c r="E1434" s="23" t="n">
        <v>2</v>
      </c>
      <c r="F1434" s="28" t="s">
        <v>906</v>
      </c>
      <c r="G1434" s="19" t="n">
        <v>0.0501</v>
      </c>
    </row>
    <row r="1435" customFormat="false" ht="15" hidden="false" customHeight="false" outlineLevel="0" collapsed="false">
      <c r="A1435" s="28" t="s">
        <v>182</v>
      </c>
      <c r="B1435" s="28" t="s">
        <v>183</v>
      </c>
      <c r="C1435" s="28" t="s">
        <v>174</v>
      </c>
      <c r="D1435" s="23" t="n">
        <v>5</v>
      </c>
      <c r="E1435" s="23" t="n">
        <v>2</v>
      </c>
      <c r="F1435" s="28" t="s">
        <v>907</v>
      </c>
      <c r="G1435" s="19" t="n">
        <v>0.0498</v>
      </c>
    </row>
    <row r="1436" customFormat="false" ht="15" hidden="false" customHeight="false" outlineLevel="0" collapsed="false">
      <c r="A1436" s="28" t="s">
        <v>182</v>
      </c>
      <c r="B1436" s="28" t="s">
        <v>183</v>
      </c>
      <c r="C1436" s="28" t="s">
        <v>174</v>
      </c>
      <c r="D1436" s="23" t="n">
        <v>5</v>
      </c>
      <c r="E1436" s="23" t="n">
        <v>2</v>
      </c>
      <c r="F1436" s="28" t="s">
        <v>908</v>
      </c>
      <c r="G1436" s="19" t="n">
        <v>0.0514</v>
      </c>
    </row>
    <row r="1437" customFormat="false" ht="15" hidden="false" customHeight="false" outlineLevel="0" collapsed="false">
      <c r="A1437" s="28" t="s">
        <v>182</v>
      </c>
      <c r="B1437" s="28" t="s">
        <v>183</v>
      </c>
      <c r="C1437" s="28" t="s">
        <v>174</v>
      </c>
      <c r="D1437" s="23" t="n">
        <v>5</v>
      </c>
      <c r="E1437" s="23" t="n">
        <v>2</v>
      </c>
      <c r="F1437" s="28" t="s">
        <v>909</v>
      </c>
      <c r="G1437" s="19" t="n">
        <v>0.0515</v>
      </c>
    </row>
    <row r="1438" customFormat="false" ht="15" hidden="false" customHeight="false" outlineLevel="0" collapsed="false">
      <c r="A1438" s="28" t="s">
        <v>182</v>
      </c>
      <c r="B1438" s="28" t="s">
        <v>183</v>
      </c>
      <c r="C1438" s="28" t="s">
        <v>174</v>
      </c>
      <c r="D1438" s="23" t="n">
        <v>5</v>
      </c>
      <c r="E1438" s="23" t="n">
        <v>2</v>
      </c>
      <c r="F1438" s="28" t="s">
        <v>910</v>
      </c>
      <c r="G1438" s="19" t="n">
        <v>0.0519</v>
      </c>
    </row>
    <row r="1439" customFormat="false" ht="15" hidden="false" customHeight="false" outlineLevel="0" collapsed="false">
      <c r="A1439" s="28" t="s">
        <v>182</v>
      </c>
      <c r="B1439" s="28" t="s">
        <v>183</v>
      </c>
      <c r="C1439" s="28" t="s">
        <v>174</v>
      </c>
      <c r="D1439" s="23" t="n">
        <v>5</v>
      </c>
      <c r="E1439" s="23" t="n">
        <v>2</v>
      </c>
      <c r="F1439" s="28" t="s">
        <v>911</v>
      </c>
      <c r="G1439" s="19" t="n">
        <v>0.053</v>
      </c>
    </row>
    <row r="1440" customFormat="false" ht="15" hidden="false" customHeight="false" outlineLevel="0" collapsed="false">
      <c r="A1440" s="28" t="s">
        <v>182</v>
      </c>
      <c r="B1440" s="28" t="s">
        <v>183</v>
      </c>
      <c r="C1440" s="28" t="s">
        <v>174</v>
      </c>
      <c r="D1440" s="23" t="n">
        <v>5</v>
      </c>
      <c r="E1440" s="23" t="n">
        <v>2</v>
      </c>
      <c r="F1440" s="28" t="s">
        <v>912</v>
      </c>
      <c r="G1440" s="19" t="n">
        <v>0.0544</v>
      </c>
    </row>
    <row r="1441" customFormat="false" ht="15" hidden="false" customHeight="false" outlineLevel="0" collapsed="false">
      <c r="A1441" s="28" t="s">
        <v>182</v>
      </c>
      <c r="B1441" s="28" t="s">
        <v>183</v>
      </c>
      <c r="C1441" s="28" t="s">
        <v>174</v>
      </c>
      <c r="D1441" s="23" t="n">
        <v>5</v>
      </c>
      <c r="E1441" s="23" t="n">
        <v>2</v>
      </c>
      <c r="F1441" s="28" t="s">
        <v>913</v>
      </c>
      <c r="G1441" s="19" t="n">
        <v>0.0593</v>
      </c>
    </row>
    <row r="1442" customFormat="false" ht="15" hidden="false" customHeight="false" outlineLevel="0" collapsed="false">
      <c r="A1442" s="28" t="s">
        <v>182</v>
      </c>
      <c r="B1442" s="28" t="s">
        <v>183</v>
      </c>
      <c r="C1442" s="28" t="s">
        <v>174</v>
      </c>
      <c r="D1442" s="23" t="n">
        <v>5</v>
      </c>
      <c r="E1442" s="23" t="n">
        <v>2</v>
      </c>
      <c r="F1442" s="28" t="s">
        <v>914</v>
      </c>
      <c r="G1442" s="19" t="n">
        <v>0.0591</v>
      </c>
    </row>
    <row r="1443" customFormat="false" ht="15" hidden="false" customHeight="false" outlineLevel="0" collapsed="false">
      <c r="A1443" s="28" t="s">
        <v>182</v>
      </c>
      <c r="B1443" s="28" t="s">
        <v>183</v>
      </c>
      <c r="C1443" s="28" t="s">
        <v>174</v>
      </c>
      <c r="D1443" s="23" t="n">
        <v>5</v>
      </c>
      <c r="E1443" s="23" t="n">
        <v>2</v>
      </c>
      <c r="F1443" s="28" t="s">
        <v>915</v>
      </c>
      <c r="G1443" s="19" t="n">
        <v>0.0749</v>
      </c>
    </row>
    <row r="1444" customFormat="false" ht="15" hidden="false" customHeight="false" outlineLevel="0" collapsed="false">
      <c r="A1444" s="28" t="s">
        <v>182</v>
      </c>
      <c r="B1444" s="28" t="s">
        <v>183</v>
      </c>
      <c r="C1444" s="28" t="s">
        <v>174</v>
      </c>
      <c r="D1444" s="23" t="n">
        <v>5</v>
      </c>
      <c r="E1444" s="23" t="n">
        <v>3</v>
      </c>
      <c r="F1444" s="28" t="s">
        <v>904</v>
      </c>
      <c r="G1444" s="19" t="n">
        <v>0.0463</v>
      </c>
    </row>
    <row r="1445" customFormat="false" ht="15" hidden="false" customHeight="false" outlineLevel="0" collapsed="false">
      <c r="A1445" s="28" t="s">
        <v>182</v>
      </c>
      <c r="B1445" s="28" t="s">
        <v>183</v>
      </c>
      <c r="C1445" s="28" t="s">
        <v>174</v>
      </c>
      <c r="D1445" s="23" t="n">
        <v>5</v>
      </c>
      <c r="E1445" s="23" t="n">
        <v>3</v>
      </c>
      <c r="F1445" s="28" t="s">
        <v>551</v>
      </c>
      <c r="G1445" s="19" t="n">
        <v>0.0775</v>
      </c>
    </row>
    <row r="1446" customFormat="false" ht="15" hidden="false" customHeight="false" outlineLevel="0" collapsed="false">
      <c r="A1446" s="28" t="s">
        <v>182</v>
      </c>
      <c r="B1446" s="28" t="s">
        <v>183</v>
      </c>
      <c r="C1446" s="28" t="s">
        <v>174</v>
      </c>
      <c r="D1446" s="23" t="n">
        <v>5</v>
      </c>
      <c r="E1446" s="23" t="n">
        <v>3</v>
      </c>
      <c r="F1446" s="28" t="s">
        <v>451</v>
      </c>
      <c r="G1446" s="19" t="n">
        <v>0.0461</v>
      </c>
    </row>
    <row r="1447" customFormat="false" ht="15" hidden="false" customHeight="false" outlineLevel="0" collapsed="false">
      <c r="A1447" s="28" t="s">
        <v>182</v>
      </c>
      <c r="B1447" s="28" t="s">
        <v>183</v>
      </c>
      <c r="C1447" s="28" t="s">
        <v>174</v>
      </c>
      <c r="D1447" s="23" t="n">
        <v>5</v>
      </c>
      <c r="E1447" s="23" t="n">
        <v>3</v>
      </c>
      <c r="F1447" s="28" t="s">
        <v>905</v>
      </c>
      <c r="G1447" s="19" t="n">
        <v>0.0487</v>
      </c>
    </row>
    <row r="1448" customFormat="false" ht="15" hidden="false" customHeight="false" outlineLevel="0" collapsed="false">
      <c r="A1448" s="28" t="s">
        <v>182</v>
      </c>
      <c r="B1448" s="28" t="s">
        <v>183</v>
      </c>
      <c r="C1448" s="28" t="s">
        <v>174</v>
      </c>
      <c r="D1448" s="23" t="n">
        <v>5</v>
      </c>
      <c r="E1448" s="23" t="n">
        <v>3</v>
      </c>
      <c r="F1448" s="28" t="s">
        <v>906</v>
      </c>
      <c r="G1448" s="19" t="n">
        <v>0.0501</v>
      </c>
    </row>
    <row r="1449" customFormat="false" ht="15" hidden="false" customHeight="false" outlineLevel="0" collapsed="false">
      <c r="A1449" s="28" t="s">
        <v>182</v>
      </c>
      <c r="B1449" s="28" t="s">
        <v>183</v>
      </c>
      <c r="C1449" s="28" t="s">
        <v>174</v>
      </c>
      <c r="D1449" s="23" t="n">
        <v>5</v>
      </c>
      <c r="E1449" s="23" t="n">
        <v>3</v>
      </c>
      <c r="F1449" s="28" t="s">
        <v>907</v>
      </c>
      <c r="G1449" s="19" t="n">
        <v>0.0498</v>
      </c>
    </row>
    <row r="1450" customFormat="false" ht="15" hidden="false" customHeight="false" outlineLevel="0" collapsed="false">
      <c r="A1450" s="28" t="s">
        <v>182</v>
      </c>
      <c r="B1450" s="28" t="s">
        <v>183</v>
      </c>
      <c r="C1450" s="28" t="s">
        <v>174</v>
      </c>
      <c r="D1450" s="23" t="n">
        <v>5</v>
      </c>
      <c r="E1450" s="23" t="n">
        <v>3</v>
      </c>
      <c r="F1450" s="28" t="s">
        <v>908</v>
      </c>
      <c r="G1450" s="19" t="n">
        <v>0.0514</v>
      </c>
    </row>
    <row r="1451" customFormat="false" ht="15" hidden="false" customHeight="false" outlineLevel="0" collapsed="false">
      <c r="A1451" s="28" t="s">
        <v>182</v>
      </c>
      <c r="B1451" s="28" t="s">
        <v>183</v>
      </c>
      <c r="C1451" s="28" t="s">
        <v>174</v>
      </c>
      <c r="D1451" s="23" t="n">
        <v>5</v>
      </c>
      <c r="E1451" s="23" t="n">
        <v>3</v>
      </c>
      <c r="F1451" s="28" t="s">
        <v>909</v>
      </c>
      <c r="G1451" s="19" t="n">
        <v>0.0515</v>
      </c>
    </row>
    <row r="1452" customFormat="false" ht="15" hidden="false" customHeight="false" outlineLevel="0" collapsed="false">
      <c r="A1452" s="28" t="s">
        <v>182</v>
      </c>
      <c r="B1452" s="28" t="s">
        <v>183</v>
      </c>
      <c r="C1452" s="28" t="s">
        <v>174</v>
      </c>
      <c r="D1452" s="23" t="n">
        <v>5</v>
      </c>
      <c r="E1452" s="23" t="n">
        <v>3</v>
      </c>
      <c r="F1452" s="28" t="s">
        <v>910</v>
      </c>
      <c r="G1452" s="19" t="n">
        <v>0.0519</v>
      </c>
    </row>
    <row r="1453" customFormat="false" ht="15" hidden="false" customHeight="false" outlineLevel="0" collapsed="false">
      <c r="A1453" s="28" t="s">
        <v>182</v>
      </c>
      <c r="B1453" s="28" t="s">
        <v>183</v>
      </c>
      <c r="C1453" s="28" t="s">
        <v>174</v>
      </c>
      <c r="D1453" s="23" t="n">
        <v>5</v>
      </c>
      <c r="E1453" s="23" t="n">
        <v>3</v>
      </c>
      <c r="F1453" s="28" t="s">
        <v>911</v>
      </c>
      <c r="G1453" s="19" t="n">
        <v>0.053</v>
      </c>
    </row>
    <row r="1454" customFormat="false" ht="15" hidden="false" customHeight="false" outlineLevel="0" collapsed="false">
      <c r="A1454" s="28" t="s">
        <v>182</v>
      </c>
      <c r="B1454" s="28" t="s">
        <v>183</v>
      </c>
      <c r="C1454" s="28" t="s">
        <v>174</v>
      </c>
      <c r="D1454" s="23" t="n">
        <v>5</v>
      </c>
      <c r="E1454" s="23" t="n">
        <v>3</v>
      </c>
      <c r="F1454" s="28" t="s">
        <v>912</v>
      </c>
      <c r="G1454" s="19" t="n">
        <v>0.0544</v>
      </c>
    </row>
    <row r="1455" customFormat="false" ht="15" hidden="false" customHeight="false" outlineLevel="0" collapsed="false">
      <c r="A1455" s="28" t="s">
        <v>182</v>
      </c>
      <c r="B1455" s="28" t="s">
        <v>183</v>
      </c>
      <c r="C1455" s="28" t="s">
        <v>174</v>
      </c>
      <c r="D1455" s="23" t="n">
        <v>5</v>
      </c>
      <c r="E1455" s="23" t="n">
        <v>3</v>
      </c>
      <c r="F1455" s="28" t="s">
        <v>913</v>
      </c>
      <c r="G1455" s="19" t="n">
        <v>0.0593</v>
      </c>
    </row>
    <row r="1456" customFormat="false" ht="15" hidden="false" customHeight="false" outlineLevel="0" collapsed="false">
      <c r="A1456" s="28" t="s">
        <v>182</v>
      </c>
      <c r="B1456" s="28" t="s">
        <v>183</v>
      </c>
      <c r="C1456" s="28" t="s">
        <v>174</v>
      </c>
      <c r="D1456" s="23" t="n">
        <v>5</v>
      </c>
      <c r="E1456" s="23" t="n">
        <v>3</v>
      </c>
      <c r="F1456" s="28" t="s">
        <v>914</v>
      </c>
      <c r="G1456" s="19" t="n">
        <v>0.0591</v>
      </c>
    </row>
    <row r="1457" customFormat="false" ht="15" hidden="false" customHeight="false" outlineLevel="0" collapsed="false">
      <c r="A1457" s="28" t="s">
        <v>182</v>
      </c>
      <c r="B1457" s="28" t="s">
        <v>183</v>
      </c>
      <c r="C1457" s="28" t="s">
        <v>174</v>
      </c>
      <c r="D1457" s="23" t="n">
        <v>5</v>
      </c>
      <c r="E1457" s="23" t="n">
        <v>3</v>
      </c>
      <c r="F1457" s="28" t="s">
        <v>915</v>
      </c>
      <c r="G1457" s="19" t="n">
        <v>0.0749</v>
      </c>
    </row>
    <row r="1458" customFormat="false" ht="15" hidden="false" customHeight="false" outlineLevel="0" collapsed="false">
      <c r="A1458" s="28" t="s">
        <v>182</v>
      </c>
      <c r="B1458" s="28" t="s">
        <v>183</v>
      </c>
      <c r="C1458" s="28" t="s">
        <v>174</v>
      </c>
      <c r="D1458" s="23" t="n">
        <v>5</v>
      </c>
      <c r="E1458" s="23" t="n">
        <v>4</v>
      </c>
      <c r="F1458" s="28" t="s">
        <v>904</v>
      </c>
      <c r="G1458" s="19" t="n">
        <v>0.0463</v>
      </c>
    </row>
    <row r="1459" customFormat="false" ht="15" hidden="false" customHeight="false" outlineLevel="0" collapsed="false">
      <c r="A1459" s="28" t="s">
        <v>182</v>
      </c>
      <c r="B1459" s="28" t="s">
        <v>183</v>
      </c>
      <c r="C1459" s="28" t="s">
        <v>174</v>
      </c>
      <c r="D1459" s="23" t="n">
        <v>5</v>
      </c>
      <c r="E1459" s="23" t="n">
        <v>4</v>
      </c>
      <c r="F1459" s="28" t="s">
        <v>551</v>
      </c>
      <c r="G1459" s="19" t="n">
        <v>0.0775</v>
      </c>
    </row>
    <row r="1460" customFormat="false" ht="15" hidden="false" customHeight="false" outlineLevel="0" collapsed="false">
      <c r="A1460" s="28" t="s">
        <v>182</v>
      </c>
      <c r="B1460" s="28" t="s">
        <v>183</v>
      </c>
      <c r="C1460" s="28" t="s">
        <v>174</v>
      </c>
      <c r="D1460" s="23" t="n">
        <v>5</v>
      </c>
      <c r="E1460" s="23" t="n">
        <v>4</v>
      </c>
      <c r="F1460" s="28" t="s">
        <v>451</v>
      </c>
      <c r="G1460" s="19" t="n">
        <v>0.0461</v>
      </c>
    </row>
    <row r="1461" customFormat="false" ht="15" hidden="false" customHeight="false" outlineLevel="0" collapsed="false">
      <c r="A1461" s="28" t="s">
        <v>182</v>
      </c>
      <c r="B1461" s="28" t="s">
        <v>183</v>
      </c>
      <c r="C1461" s="28" t="s">
        <v>174</v>
      </c>
      <c r="D1461" s="23" t="n">
        <v>5</v>
      </c>
      <c r="E1461" s="23" t="n">
        <v>4</v>
      </c>
      <c r="F1461" s="28" t="s">
        <v>905</v>
      </c>
      <c r="G1461" s="19" t="n">
        <v>0.0487</v>
      </c>
    </row>
    <row r="1462" customFormat="false" ht="15" hidden="false" customHeight="false" outlineLevel="0" collapsed="false">
      <c r="A1462" s="28" t="s">
        <v>182</v>
      </c>
      <c r="B1462" s="28" t="s">
        <v>183</v>
      </c>
      <c r="C1462" s="28" t="s">
        <v>174</v>
      </c>
      <c r="D1462" s="23" t="n">
        <v>5</v>
      </c>
      <c r="E1462" s="23" t="n">
        <v>4</v>
      </c>
      <c r="F1462" s="28" t="s">
        <v>906</v>
      </c>
      <c r="G1462" s="19" t="n">
        <v>0.0501</v>
      </c>
    </row>
    <row r="1463" customFormat="false" ht="15" hidden="false" customHeight="false" outlineLevel="0" collapsed="false">
      <c r="A1463" s="28" t="s">
        <v>182</v>
      </c>
      <c r="B1463" s="28" t="s">
        <v>183</v>
      </c>
      <c r="C1463" s="28" t="s">
        <v>174</v>
      </c>
      <c r="D1463" s="23" t="n">
        <v>5</v>
      </c>
      <c r="E1463" s="23" t="n">
        <v>4</v>
      </c>
      <c r="F1463" s="28" t="s">
        <v>907</v>
      </c>
      <c r="G1463" s="19" t="n">
        <v>0.0498</v>
      </c>
    </row>
    <row r="1464" customFormat="false" ht="15" hidden="false" customHeight="false" outlineLevel="0" collapsed="false">
      <c r="A1464" s="28" t="s">
        <v>182</v>
      </c>
      <c r="B1464" s="28" t="s">
        <v>183</v>
      </c>
      <c r="C1464" s="28" t="s">
        <v>174</v>
      </c>
      <c r="D1464" s="23" t="n">
        <v>5</v>
      </c>
      <c r="E1464" s="23" t="n">
        <v>4</v>
      </c>
      <c r="F1464" s="28" t="s">
        <v>908</v>
      </c>
      <c r="G1464" s="19" t="n">
        <v>0.0514</v>
      </c>
    </row>
    <row r="1465" customFormat="false" ht="15" hidden="false" customHeight="false" outlineLevel="0" collapsed="false">
      <c r="A1465" s="28" t="s">
        <v>182</v>
      </c>
      <c r="B1465" s="28" t="s">
        <v>183</v>
      </c>
      <c r="C1465" s="28" t="s">
        <v>174</v>
      </c>
      <c r="D1465" s="23" t="n">
        <v>5</v>
      </c>
      <c r="E1465" s="23" t="n">
        <v>4</v>
      </c>
      <c r="F1465" s="28" t="s">
        <v>909</v>
      </c>
      <c r="G1465" s="19" t="n">
        <v>0.0515</v>
      </c>
    </row>
    <row r="1466" customFormat="false" ht="15" hidden="false" customHeight="false" outlineLevel="0" collapsed="false">
      <c r="A1466" s="28" t="s">
        <v>182</v>
      </c>
      <c r="B1466" s="28" t="s">
        <v>183</v>
      </c>
      <c r="C1466" s="28" t="s">
        <v>174</v>
      </c>
      <c r="D1466" s="23" t="n">
        <v>5</v>
      </c>
      <c r="E1466" s="23" t="n">
        <v>4</v>
      </c>
      <c r="F1466" s="28" t="s">
        <v>910</v>
      </c>
      <c r="G1466" s="19" t="n">
        <v>0.0519</v>
      </c>
    </row>
    <row r="1467" customFormat="false" ht="15" hidden="false" customHeight="false" outlineLevel="0" collapsed="false">
      <c r="A1467" s="28" t="s">
        <v>182</v>
      </c>
      <c r="B1467" s="28" t="s">
        <v>183</v>
      </c>
      <c r="C1467" s="28" t="s">
        <v>174</v>
      </c>
      <c r="D1467" s="23" t="n">
        <v>5</v>
      </c>
      <c r="E1467" s="23" t="n">
        <v>4</v>
      </c>
      <c r="F1467" s="28" t="s">
        <v>911</v>
      </c>
      <c r="G1467" s="19" t="n">
        <v>0.053</v>
      </c>
    </row>
    <row r="1468" customFormat="false" ht="15" hidden="false" customHeight="false" outlineLevel="0" collapsed="false">
      <c r="A1468" s="28" t="s">
        <v>182</v>
      </c>
      <c r="B1468" s="28" t="s">
        <v>183</v>
      </c>
      <c r="C1468" s="28" t="s">
        <v>174</v>
      </c>
      <c r="D1468" s="23" t="n">
        <v>5</v>
      </c>
      <c r="E1468" s="23" t="n">
        <v>4</v>
      </c>
      <c r="F1468" s="28" t="s">
        <v>912</v>
      </c>
      <c r="G1468" s="19" t="n">
        <v>0.0544</v>
      </c>
    </row>
    <row r="1469" customFormat="false" ht="15" hidden="false" customHeight="false" outlineLevel="0" collapsed="false">
      <c r="A1469" s="28" t="s">
        <v>182</v>
      </c>
      <c r="B1469" s="28" t="s">
        <v>183</v>
      </c>
      <c r="C1469" s="28" t="s">
        <v>174</v>
      </c>
      <c r="D1469" s="23" t="n">
        <v>5</v>
      </c>
      <c r="E1469" s="23" t="n">
        <v>4</v>
      </c>
      <c r="F1469" s="28" t="s">
        <v>913</v>
      </c>
      <c r="G1469" s="19" t="n">
        <v>0.0593</v>
      </c>
    </row>
    <row r="1470" customFormat="false" ht="15" hidden="false" customHeight="false" outlineLevel="0" collapsed="false">
      <c r="A1470" s="28" t="s">
        <v>182</v>
      </c>
      <c r="B1470" s="28" t="s">
        <v>183</v>
      </c>
      <c r="C1470" s="28" t="s">
        <v>174</v>
      </c>
      <c r="D1470" s="23" t="n">
        <v>5</v>
      </c>
      <c r="E1470" s="23" t="n">
        <v>4</v>
      </c>
      <c r="F1470" s="28" t="s">
        <v>914</v>
      </c>
      <c r="G1470" s="19" t="n">
        <v>0.0591</v>
      </c>
    </row>
    <row r="1471" customFormat="false" ht="15" hidden="false" customHeight="false" outlineLevel="0" collapsed="false">
      <c r="A1471" s="28" t="s">
        <v>182</v>
      </c>
      <c r="B1471" s="28" t="s">
        <v>183</v>
      </c>
      <c r="C1471" s="28" t="s">
        <v>174</v>
      </c>
      <c r="D1471" s="23" t="n">
        <v>5</v>
      </c>
      <c r="E1471" s="23" t="n">
        <v>4</v>
      </c>
      <c r="F1471" s="28" t="s">
        <v>915</v>
      </c>
      <c r="G1471" s="19" t="n">
        <v>0.0749</v>
      </c>
    </row>
    <row r="1472" customFormat="false" ht="15" hidden="false" customHeight="false" outlineLevel="0" collapsed="false">
      <c r="A1472" s="28" t="s">
        <v>182</v>
      </c>
      <c r="B1472" s="28" t="s">
        <v>183</v>
      </c>
      <c r="C1472" s="28" t="s">
        <v>174</v>
      </c>
      <c r="D1472" s="23" t="n">
        <v>5</v>
      </c>
      <c r="E1472" s="23" t="n">
        <v>5</v>
      </c>
      <c r="F1472" s="28" t="s">
        <v>904</v>
      </c>
      <c r="G1472" s="19" t="n">
        <v>0.0463</v>
      </c>
    </row>
    <row r="1473" customFormat="false" ht="15" hidden="false" customHeight="false" outlineLevel="0" collapsed="false">
      <c r="A1473" s="28" t="s">
        <v>182</v>
      </c>
      <c r="B1473" s="28" t="s">
        <v>183</v>
      </c>
      <c r="C1473" s="28" t="s">
        <v>174</v>
      </c>
      <c r="D1473" s="23" t="n">
        <v>5</v>
      </c>
      <c r="E1473" s="23" t="n">
        <v>5</v>
      </c>
      <c r="F1473" s="28" t="s">
        <v>551</v>
      </c>
      <c r="G1473" s="19" t="n">
        <v>0.0775</v>
      </c>
    </row>
    <row r="1474" customFormat="false" ht="15" hidden="false" customHeight="false" outlineLevel="0" collapsed="false">
      <c r="A1474" s="28" t="s">
        <v>182</v>
      </c>
      <c r="B1474" s="28" t="s">
        <v>183</v>
      </c>
      <c r="C1474" s="28" t="s">
        <v>174</v>
      </c>
      <c r="D1474" s="23" t="n">
        <v>5</v>
      </c>
      <c r="E1474" s="23" t="n">
        <v>5</v>
      </c>
      <c r="F1474" s="28" t="s">
        <v>451</v>
      </c>
      <c r="G1474" s="19" t="n">
        <v>0.0461</v>
      </c>
    </row>
    <row r="1475" customFormat="false" ht="15" hidden="false" customHeight="false" outlineLevel="0" collapsed="false">
      <c r="A1475" s="28" t="s">
        <v>182</v>
      </c>
      <c r="B1475" s="28" t="s">
        <v>183</v>
      </c>
      <c r="C1475" s="28" t="s">
        <v>174</v>
      </c>
      <c r="D1475" s="23" t="n">
        <v>5</v>
      </c>
      <c r="E1475" s="23" t="n">
        <v>5</v>
      </c>
      <c r="F1475" s="28" t="s">
        <v>905</v>
      </c>
      <c r="G1475" s="19" t="n">
        <v>0.0487</v>
      </c>
    </row>
    <row r="1476" customFormat="false" ht="15" hidden="false" customHeight="false" outlineLevel="0" collapsed="false">
      <c r="A1476" s="28" t="s">
        <v>182</v>
      </c>
      <c r="B1476" s="28" t="s">
        <v>183</v>
      </c>
      <c r="C1476" s="28" t="s">
        <v>174</v>
      </c>
      <c r="D1476" s="23" t="n">
        <v>5</v>
      </c>
      <c r="E1476" s="23" t="n">
        <v>5</v>
      </c>
      <c r="F1476" s="28" t="s">
        <v>906</v>
      </c>
      <c r="G1476" s="19" t="n">
        <v>0.0501</v>
      </c>
    </row>
    <row r="1477" customFormat="false" ht="15" hidden="false" customHeight="false" outlineLevel="0" collapsed="false">
      <c r="A1477" s="28" t="s">
        <v>182</v>
      </c>
      <c r="B1477" s="28" t="s">
        <v>183</v>
      </c>
      <c r="C1477" s="28" t="s">
        <v>174</v>
      </c>
      <c r="D1477" s="23" t="n">
        <v>5</v>
      </c>
      <c r="E1477" s="23" t="n">
        <v>5</v>
      </c>
      <c r="F1477" s="28" t="s">
        <v>907</v>
      </c>
      <c r="G1477" s="19" t="n">
        <v>0.0498</v>
      </c>
    </row>
    <row r="1478" customFormat="false" ht="15" hidden="false" customHeight="false" outlineLevel="0" collapsed="false">
      <c r="A1478" s="28" t="s">
        <v>182</v>
      </c>
      <c r="B1478" s="28" t="s">
        <v>183</v>
      </c>
      <c r="C1478" s="28" t="s">
        <v>174</v>
      </c>
      <c r="D1478" s="23" t="n">
        <v>5</v>
      </c>
      <c r="E1478" s="23" t="n">
        <v>5</v>
      </c>
      <c r="F1478" s="28" t="s">
        <v>908</v>
      </c>
      <c r="G1478" s="19" t="n">
        <v>0.0514</v>
      </c>
    </row>
    <row r="1479" customFormat="false" ht="15" hidden="false" customHeight="false" outlineLevel="0" collapsed="false">
      <c r="A1479" s="28" t="s">
        <v>182</v>
      </c>
      <c r="B1479" s="28" t="s">
        <v>183</v>
      </c>
      <c r="C1479" s="28" t="s">
        <v>174</v>
      </c>
      <c r="D1479" s="23" t="n">
        <v>5</v>
      </c>
      <c r="E1479" s="23" t="n">
        <v>5</v>
      </c>
      <c r="F1479" s="28" t="s">
        <v>909</v>
      </c>
      <c r="G1479" s="19" t="n">
        <v>0.0515</v>
      </c>
    </row>
    <row r="1480" customFormat="false" ht="15" hidden="false" customHeight="false" outlineLevel="0" collapsed="false">
      <c r="A1480" s="28" t="s">
        <v>182</v>
      </c>
      <c r="B1480" s="28" t="s">
        <v>183</v>
      </c>
      <c r="C1480" s="28" t="s">
        <v>174</v>
      </c>
      <c r="D1480" s="23" t="n">
        <v>5</v>
      </c>
      <c r="E1480" s="23" t="n">
        <v>5</v>
      </c>
      <c r="F1480" s="28" t="s">
        <v>910</v>
      </c>
      <c r="G1480" s="19" t="n">
        <v>0.0519</v>
      </c>
    </row>
    <row r="1481" customFormat="false" ht="15" hidden="false" customHeight="false" outlineLevel="0" collapsed="false">
      <c r="A1481" s="28" t="s">
        <v>182</v>
      </c>
      <c r="B1481" s="28" t="s">
        <v>183</v>
      </c>
      <c r="C1481" s="28" t="s">
        <v>174</v>
      </c>
      <c r="D1481" s="23" t="n">
        <v>5</v>
      </c>
      <c r="E1481" s="23" t="n">
        <v>5</v>
      </c>
      <c r="F1481" s="28" t="s">
        <v>911</v>
      </c>
      <c r="G1481" s="19" t="n">
        <v>0.053</v>
      </c>
    </row>
    <row r="1482" customFormat="false" ht="15" hidden="false" customHeight="false" outlineLevel="0" collapsed="false">
      <c r="A1482" s="28" t="s">
        <v>182</v>
      </c>
      <c r="B1482" s="28" t="s">
        <v>183</v>
      </c>
      <c r="C1482" s="28" t="s">
        <v>174</v>
      </c>
      <c r="D1482" s="23" t="n">
        <v>5</v>
      </c>
      <c r="E1482" s="23" t="n">
        <v>5</v>
      </c>
      <c r="F1482" s="28" t="s">
        <v>912</v>
      </c>
      <c r="G1482" s="19" t="n">
        <v>0.0544</v>
      </c>
    </row>
    <row r="1483" customFormat="false" ht="15" hidden="false" customHeight="false" outlineLevel="0" collapsed="false">
      <c r="A1483" s="28" t="s">
        <v>182</v>
      </c>
      <c r="B1483" s="28" t="s">
        <v>183</v>
      </c>
      <c r="C1483" s="28" t="s">
        <v>174</v>
      </c>
      <c r="D1483" s="23" t="n">
        <v>5</v>
      </c>
      <c r="E1483" s="23" t="n">
        <v>5</v>
      </c>
      <c r="F1483" s="28" t="s">
        <v>913</v>
      </c>
      <c r="G1483" s="19" t="n">
        <v>0.0593</v>
      </c>
    </row>
    <row r="1484" customFormat="false" ht="15" hidden="false" customHeight="false" outlineLevel="0" collapsed="false">
      <c r="A1484" s="28" t="s">
        <v>182</v>
      </c>
      <c r="B1484" s="28" t="s">
        <v>183</v>
      </c>
      <c r="C1484" s="28" t="s">
        <v>174</v>
      </c>
      <c r="D1484" s="23" t="n">
        <v>5</v>
      </c>
      <c r="E1484" s="23" t="n">
        <v>5</v>
      </c>
      <c r="F1484" s="28" t="s">
        <v>914</v>
      </c>
      <c r="G1484" s="19" t="n">
        <v>0.0591</v>
      </c>
    </row>
    <row r="1485" customFormat="false" ht="15" hidden="false" customHeight="false" outlineLevel="0" collapsed="false">
      <c r="A1485" s="28" t="s">
        <v>182</v>
      </c>
      <c r="B1485" s="28" t="s">
        <v>183</v>
      </c>
      <c r="C1485" s="28" t="s">
        <v>174</v>
      </c>
      <c r="D1485" s="23" t="n">
        <v>5</v>
      </c>
      <c r="E1485" s="23" t="n">
        <v>5</v>
      </c>
      <c r="F1485" s="28" t="s">
        <v>915</v>
      </c>
      <c r="G1485" s="19" t="n">
        <v>0.0749</v>
      </c>
    </row>
    <row r="1486" customFormat="false" ht="15" hidden="false" customHeight="false" outlineLevel="0" collapsed="false">
      <c r="A1486" s="28" t="s">
        <v>182</v>
      </c>
      <c r="B1486" s="28" t="s">
        <v>183</v>
      </c>
      <c r="C1486" s="28" t="s">
        <v>174</v>
      </c>
      <c r="D1486" s="23" t="n">
        <v>5</v>
      </c>
      <c r="E1486" s="23" t="n">
        <v>6</v>
      </c>
      <c r="F1486" s="28" t="s">
        <v>904</v>
      </c>
      <c r="G1486" s="19" t="n">
        <v>0.0463</v>
      </c>
    </row>
    <row r="1487" customFormat="false" ht="15" hidden="false" customHeight="false" outlineLevel="0" collapsed="false">
      <c r="A1487" s="28" t="s">
        <v>182</v>
      </c>
      <c r="B1487" s="28" t="s">
        <v>183</v>
      </c>
      <c r="C1487" s="28" t="s">
        <v>174</v>
      </c>
      <c r="D1487" s="23" t="n">
        <v>5</v>
      </c>
      <c r="E1487" s="23" t="n">
        <v>6</v>
      </c>
      <c r="F1487" s="28" t="s">
        <v>551</v>
      </c>
      <c r="G1487" s="19" t="n">
        <v>0.0775</v>
      </c>
    </row>
    <row r="1488" customFormat="false" ht="15" hidden="false" customHeight="false" outlineLevel="0" collapsed="false">
      <c r="A1488" s="28" t="s">
        <v>182</v>
      </c>
      <c r="B1488" s="28" t="s">
        <v>183</v>
      </c>
      <c r="C1488" s="28" t="s">
        <v>174</v>
      </c>
      <c r="D1488" s="23" t="n">
        <v>5</v>
      </c>
      <c r="E1488" s="23" t="n">
        <v>6</v>
      </c>
      <c r="F1488" s="28" t="s">
        <v>451</v>
      </c>
      <c r="G1488" s="19" t="n">
        <v>0.0461</v>
      </c>
    </row>
    <row r="1489" customFormat="false" ht="15" hidden="false" customHeight="false" outlineLevel="0" collapsed="false">
      <c r="A1489" s="28" t="s">
        <v>182</v>
      </c>
      <c r="B1489" s="28" t="s">
        <v>183</v>
      </c>
      <c r="C1489" s="28" t="s">
        <v>174</v>
      </c>
      <c r="D1489" s="23" t="n">
        <v>5</v>
      </c>
      <c r="E1489" s="23" t="n">
        <v>6</v>
      </c>
      <c r="F1489" s="28" t="s">
        <v>905</v>
      </c>
      <c r="G1489" s="19" t="n">
        <v>0.0487</v>
      </c>
    </row>
    <row r="1490" customFormat="false" ht="15" hidden="false" customHeight="false" outlineLevel="0" collapsed="false">
      <c r="A1490" s="28" t="s">
        <v>182</v>
      </c>
      <c r="B1490" s="28" t="s">
        <v>183</v>
      </c>
      <c r="C1490" s="28" t="s">
        <v>174</v>
      </c>
      <c r="D1490" s="23" t="n">
        <v>5</v>
      </c>
      <c r="E1490" s="23" t="n">
        <v>6</v>
      </c>
      <c r="F1490" s="28" t="s">
        <v>906</v>
      </c>
      <c r="G1490" s="19" t="n">
        <v>0.0501</v>
      </c>
    </row>
    <row r="1491" customFormat="false" ht="15" hidden="false" customHeight="false" outlineLevel="0" collapsed="false">
      <c r="A1491" s="28" t="s">
        <v>182</v>
      </c>
      <c r="B1491" s="28" t="s">
        <v>183</v>
      </c>
      <c r="C1491" s="28" t="s">
        <v>174</v>
      </c>
      <c r="D1491" s="23" t="n">
        <v>5</v>
      </c>
      <c r="E1491" s="23" t="n">
        <v>6</v>
      </c>
      <c r="F1491" s="28" t="s">
        <v>907</v>
      </c>
      <c r="G1491" s="19" t="n">
        <v>0.0498</v>
      </c>
    </row>
    <row r="1492" customFormat="false" ht="15" hidden="false" customHeight="false" outlineLevel="0" collapsed="false">
      <c r="A1492" s="28" t="s">
        <v>182</v>
      </c>
      <c r="B1492" s="28" t="s">
        <v>183</v>
      </c>
      <c r="C1492" s="28" t="s">
        <v>174</v>
      </c>
      <c r="D1492" s="23" t="n">
        <v>5</v>
      </c>
      <c r="E1492" s="23" t="n">
        <v>6</v>
      </c>
      <c r="F1492" s="28" t="s">
        <v>908</v>
      </c>
      <c r="G1492" s="19" t="n">
        <v>0.0514</v>
      </c>
    </row>
    <row r="1493" customFormat="false" ht="15" hidden="false" customHeight="false" outlineLevel="0" collapsed="false">
      <c r="A1493" s="28" t="s">
        <v>182</v>
      </c>
      <c r="B1493" s="28" t="s">
        <v>183</v>
      </c>
      <c r="C1493" s="28" t="s">
        <v>174</v>
      </c>
      <c r="D1493" s="23" t="n">
        <v>5</v>
      </c>
      <c r="E1493" s="23" t="n">
        <v>6</v>
      </c>
      <c r="F1493" s="28" t="s">
        <v>909</v>
      </c>
      <c r="G1493" s="19" t="n">
        <v>0.0515</v>
      </c>
    </row>
    <row r="1494" customFormat="false" ht="15" hidden="false" customHeight="false" outlineLevel="0" collapsed="false">
      <c r="A1494" s="28" t="s">
        <v>182</v>
      </c>
      <c r="B1494" s="28" t="s">
        <v>183</v>
      </c>
      <c r="C1494" s="28" t="s">
        <v>174</v>
      </c>
      <c r="D1494" s="23" t="n">
        <v>5</v>
      </c>
      <c r="E1494" s="23" t="n">
        <v>6</v>
      </c>
      <c r="F1494" s="28" t="s">
        <v>910</v>
      </c>
      <c r="G1494" s="19" t="n">
        <v>0.0519</v>
      </c>
    </row>
    <row r="1495" customFormat="false" ht="15" hidden="false" customHeight="false" outlineLevel="0" collapsed="false">
      <c r="A1495" s="28" t="s">
        <v>182</v>
      </c>
      <c r="B1495" s="28" t="s">
        <v>183</v>
      </c>
      <c r="C1495" s="28" t="s">
        <v>174</v>
      </c>
      <c r="D1495" s="23" t="n">
        <v>5</v>
      </c>
      <c r="E1495" s="23" t="n">
        <v>6</v>
      </c>
      <c r="F1495" s="28" t="s">
        <v>911</v>
      </c>
      <c r="G1495" s="19" t="n">
        <v>0.053</v>
      </c>
    </row>
    <row r="1496" customFormat="false" ht="15" hidden="false" customHeight="false" outlineLevel="0" collapsed="false">
      <c r="A1496" s="28" t="s">
        <v>182</v>
      </c>
      <c r="B1496" s="28" t="s">
        <v>183</v>
      </c>
      <c r="C1496" s="28" t="s">
        <v>174</v>
      </c>
      <c r="D1496" s="23" t="n">
        <v>5</v>
      </c>
      <c r="E1496" s="23" t="n">
        <v>6</v>
      </c>
      <c r="F1496" s="28" t="s">
        <v>912</v>
      </c>
      <c r="G1496" s="19" t="n">
        <v>0.0544</v>
      </c>
    </row>
    <row r="1497" customFormat="false" ht="15" hidden="false" customHeight="false" outlineLevel="0" collapsed="false">
      <c r="A1497" s="28" t="s">
        <v>182</v>
      </c>
      <c r="B1497" s="28" t="s">
        <v>183</v>
      </c>
      <c r="C1497" s="28" t="s">
        <v>174</v>
      </c>
      <c r="D1497" s="23" t="n">
        <v>5</v>
      </c>
      <c r="E1497" s="23" t="n">
        <v>6</v>
      </c>
      <c r="F1497" s="28" t="s">
        <v>913</v>
      </c>
      <c r="G1497" s="19" t="n">
        <v>0.0593</v>
      </c>
    </row>
    <row r="1498" customFormat="false" ht="15" hidden="false" customHeight="false" outlineLevel="0" collapsed="false">
      <c r="A1498" s="28" t="s">
        <v>182</v>
      </c>
      <c r="B1498" s="28" t="s">
        <v>183</v>
      </c>
      <c r="C1498" s="28" t="s">
        <v>174</v>
      </c>
      <c r="D1498" s="23" t="n">
        <v>5</v>
      </c>
      <c r="E1498" s="23" t="n">
        <v>6</v>
      </c>
      <c r="F1498" s="28" t="s">
        <v>914</v>
      </c>
      <c r="G1498" s="19" t="n">
        <v>0.0591</v>
      </c>
    </row>
    <row r="1499" customFormat="false" ht="15" hidden="false" customHeight="false" outlineLevel="0" collapsed="false">
      <c r="A1499" s="28" t="s">
        <v>182</v>
      </c>
      <c r="B1499" s="28" t="s">
        <v>183</v>
      </c>
      <c r="C1499" s="28" t="s">
        <v>174</v>
      </c>
      <c r="D1499" s="23" t="n">
        <v>5</v>
      </c>
      <c r="E1499" s="23" t="n">
        <v>6</v>
      </c>
      <c r="F1499" s="28" t="s">
        <v>915</v>
      </c>
      <c r="G1499" s="19" t="n">
        <v>0.0749</v>
      </c>
    </row>
    <row r="1500" customFormat="false" ht="15" hidden="false" customHeight="false" outlineLevel="0" collapsed="false">
      <c r="A1500" s="28" t="s">
        <v>182</v>
      </c>
      <c r="B1500" s="28" t="s">
        <v>183</v>
      </c>
      <c r="C1500" s="28" t="s">
        <v>174</v>
      </c>
      <c r="D1500" s="23" t="n">
        <v>5</v>
      </c>
      <c r="E1500" s="23" t="n">
        <v>7</v>
      </c>
      <c r="F1500" s="28" t="s">
        <v>904</v>
      </c>
      <c r="G1500" s="19" t="n">
        <v>0.0463</v>
      </c>
    </row>
    <row r="1501" customFormat="false" ht="15" hidden="false" customHeight="false" outlineLevel="0" collapsed="false">
      <c r="A1501" s="28" t="s">
        <v>182</v>
      </c>
      <c r="B1501" s="28" t="s">
        <v>183</v>
      </c>
      <c r="C1501" s="28" t="s">
        <v>174</v>
      </c>
      <c r="D1501" s="23" t="n">
        <v>5</v>
      </c>
      <c r="E1501" s="23" t="n">
        <v>7</v>
      </c>
      <c r="F1501" s="28" t="s">
        <v>551</v>
      </c>
      <c r="G1501" s="19" t="n">
        <v>0.0775</v>
      </c>
    </row>
    <row r="1502" customFormat="false" ht="15" hidden="false" customHeight="false" outlineLevel="0" collapsed="false">
      <c r="A1502" s="28" t="s">
        <v>182</v>
      </c>
      <c r="B1502" s="28" t="s">
        <v>183</v>
      </c>
      <c r="C1502" s="28" t="s">
        <v>174</v>
      </c>
      <c r="D1502" s="23" t="n">
        <v>5</v>
      </c>
      <c r="E1502" s="23" t="n">
        <v>7</v>
      </c>
      <c r="F1502" s="28" t="s">
        <v>451</v>
      </c>
      <c r="G1502" s="19" t="n">
        <v>0.0461</v>
      </c>
    </row>
    <row r="1503" customFormat="false" ht="15" hidden="false" customHeight="false" outlineLevel="0" collapsed="false">
      <c r="A1503" s="28" t="s">
        <v>182</v>
      </c>
      <c r="B1503" s="28" t="s">
        <v>183</v>
      </c>
      <c r="C1503" s="28" t="s">
        <v>174</v>
      </c>
      <c r="D1503" s="23" t="n">
        <v>5</v>
      </c>
      <c r="E1503" s="23" t="n">
        <v>7</v>
      </c>
      <c r="F1503" s="28" t="s">
        <v>905</v>
      </c>
      <c r="G1503" s="19" t="n">
        <v>0.0487</v>
      </c>
    </row>
    <row r="1504" customFormat="false" ht="15" hidden="false" customHeight="false" outlineLevel="0" collapsed="false">
      <c r="A1504" s="28" t="s">
        <v>182</v>
      </c>
      <c r="B1504" s="28" t="s">
        <v>183</v>
      </c>
      <c r="C1504" s="28" t="s">
        <v>174</v>
      </c>
      <c r="D1504" s="23" t="n">
        <v>5</v>
      </c>
      <c r="E1504" s="23" t="n">
        <v>7</v>
      </c>
      <c r="F1504" s="28" t="s">
        <v>906</v>
      </c>
      <c r="G1504" s="19" t="n">
        <v>0.0501</v>
      </c>
    </row>
    <row r="1505" customFormat="false" ht="15" hidden="false" customHeight="false" outlineLevel="0" collapsed="false">
      <c r="A1505" s="28" t="s">
        <v>182</v>
      </c>
      <c r="B1505" s="28" t="s">
        <v>183</v>
      </c>
      <c r="C1505" s="28" t="s">
        <v>174</v>
      </c>
      <c r="D1505" s="23" t="n">
        <v>5</v>
      </c>
      <c r="E1505" s="23" t="n">
        <v>7</v>
      </c>
      <c r="F1505" s="28" t="s">
        <v>907</v>
      </c>
      <c r="G1505" s="19" t="n">
        <v>0.0498</v>
      </c>
    </row>
    <row r="1506" customFormat="false" ht="15" hidden="false" customHeight="false" outlineLevel="0" collapsed="false">
      <c r="A1506" s="28" t="s">
        <v>182</v>
      </c>
      <c r="B1506" s="28" t="s">
        <v>183</v>
      </c>
      <c r="C1506" s="28" t="s">
        <v>174</v>
      </c>
      <c r="D1506" s="23" t="n">
        <v>5</v>
      </c>
      <c r="E1506" s="23" t="n">
        <v>7</v>
      </c>
      <c r="F1506" s="28" t="s">
        <v>908</v>
      </c>
      <c r="G1506" s="19" t="n">
        <v>0.0514</v>
      </c>
    </row>
    <row r="1507" customFormat="false" ht="15" hidden="false" customHeight="false" outlineLevel="0" collapsed="false">
      <c r="A1507" s="28" t="s">
        <v>182</v>
      </c>
      <c r="B1507" s="28" t="s">
        <v>183</v>
      </c>
      <c r="C1507" s="28" t="s">
        <v>174</v>
      </c>
      <c r="D1507" s="23" t="n">
        <v>5</v>
      </c>
      <c r="E1507" s="23" t="n">
        <v>7</v>
      </c>
      <c r="F1507" s="28" t="s">
        <v>909</v>
      </c>
      <c r="G1507" s="19" t="n">
        <v>0.0515</v>
      </c>
    </row>
    <row r="1508" customFormat="false" ht="15" hidden="false" customHeight="false" outlineLevel="0" collapsed="false">
      <c r="A1508" s="28" t="s">
        <v>182</v>
      </c>
      <c r="B1508" s="28" t="s">
        <v>183</v>
      </c>
      <c r="C1508" s="28" t="s">
        <v>174</v>
      </c>
      <c r="D1508" s="23" t="n">
        <v>5</v>
      </c>
      <c r="E1508" s="23" t="n">
        <v>7</v>
      </c>
      <c r="F1508" s="28" t="s">
        <v>910</v>
      </c>
      <c r="G1508" s="19" t="n">
        <v>0.0519</v>
      </c>
    </row>
    <row r="1509" customFormat="false" ht="15" hidden="false" customHeight="false" outlineLevel="0" collapsed="false">
      <c r="A1509" s="28" t="s">
        <v>182</v>
      </c>
      <c r="B1509" s="28" t="s">
        <v>183</v>
      </c>
      <c r="C1509" s="28" t="s">
        <v>174</v>
      </c>
      <c r="D1509" s="23" t="n">
        <v>5</v>
      </c>
      <c r="E1509" s="23" t="n">
        <v>7</v>
      </c>
      <c r="F1509" s="28" t="s">
        <v>911</v>
      </c>
      <c r="G1509" s="19" t="n">
        <v>0.053</v>
      </c>
    </row>
    <row r="1510" customFormat="false" ht="15" hidden="false" customHeight="false" outlineLevel="0" collapsed="false">
      <c r="A1510" s="28" t="s">
        <v>182</v>
      </c>
      <c r="B1510" s="28" t="s">
        <v>183</v>
      </c>
      <c r="C1510" s="28" t="s">
        <v>174</v>
      </c>
      <c r="D1510" s="23" t="n">
        <v>5</v>
      </c>
      <c r="E1510" s="23" t="n">
        <v>7</v>
      </c>
      <c r="F1510" s="28" t="s">
        <v>912</v>
      </c>
      <c r="G1510" s="19" t="n">
        <v>0.0544</v>
      </c>
    </row>
    <row r="1511" customFormat="false" ht="15" hidden="false" customHeight="false" outlineLevel="0" collapsed="false">
      <c r="A1511" s="28" t="s">
        <v>182</v>
      </c>
      <c r="B1511" s="28" t="s">
        <v>183</v>
      </c>
      <c r="C1511" s="28" t="s">
        <v>174</v>
      </c>
      <c r="D1511" s="23" t="n">
        <v>5</v>
      </c>
      <c r="E1511" s="23" t="n">
        <v>7</v>
      </c>
      <c r="F1511" s="28" t="s">
        <v>913</v>
      </c>
      <c r="G1511" s="19" t="n">
        <v>0.0593</v>
      </c>
    </row>
    <row r="1512" customFormat="false" ht="15" hidden="false" customHeight="false" outlineLevel="0" collapsed="false">
      <c r="A1512" s="28" t="s">
        <v>182</v>
      </c>
      <c r="B1512" s="28" t="s">
        <v>183</v>
      </c>
      <c r="C1512" s="28" t="s">
        <v>174</v>
      </c>
      <c r="D1512" s="23" t="n">
        <v>5</v>
      </c>
      <c r="E1512" s="23" t="n">
        <v>7</v>
      </c>
      <c r="F1512" s="28" t="s">
        <v>914</v>
      </c>
      <c r="G1512" s="19" t="n">
        <v>0.0591</v>
      </c>
    </row>
    <row r="1513" customFormat="false" ht="15" hidden="false" customHeight="false" outlineLevel="0" collapsed="false">
      <c r="A1513" s="28" t="s">
        <v>182</v>
      </c>
      <c r="B1513" s="28" t="s">
        <v>183</v>
      </c>
      <c r="C1513" s="28" t="s">
        <v>174</v>
      </c>
      <c r="D1513" s="23" t="n">
        <v>5</v>
      </c>
      <c r="E1513" s="23" t="n">
        <v>7</v>
      </c>
      <c r="F1513" s="28" t="s">
        <v>915</v>
      </c>
      <c r="G1513" s="19" t="n">
        <v>0.0749</v>
      </c>
    </row>
    <row r="1514" customFormat="false" ht="15" hidden="false" customHeight="false" outlineLevel="0" collapsed="false">
      <c r="A1514" s="28" t="s">
        <v>182</v>
      </c>
      <c r="B1514" s="28" t="s">
        <v>183</v>
      </c>
      <c r="C1514" s="28" t="s">
        <v>174</v>
      </c>
      <c r="D1514" s="23" t="n">
        <v>5</v>
      </c>
      <c r="E1514" s="23" t="n">
        <v>8</v>
      </c>
      <c r="F1514" s="28" t="s">
        <v>904</v>
      </c>
      <c r="G1514" s="19" t="n">
        <v>0.0463</v>
      </c>
    </row>
    <row r="1515" customFormat="false" ht="15" hidden="false" customHeight="false" outlineLevel="0" collapsed="false">
      <c r="A1515" s="28" t="s">
        <v>182</v>
      </c>
      <c r="B1515" s="28" t="s">
        <v>183</v>
      </c>
      <c r="C1515" s="28" t="s">
        <v>174</v>
      </c>
      <c r="D1515" s="23" t="n">
        <v>5</v>
      </c>
      <c r="E1515" s="23" t="n">
        <v>8</v>
      </c>
      <c r="F1515" s="28" t="s">
        <v>551</v>
      </c>
      <c r="G1515" s="19" t="n">
        <v>0.0775</v>
      </c>
    </row>
    <row r="1516" customFormat="false" ht="15" hidden="false" customHeight="false" outlineLevel="0" collapsed="false">
      <c r="A1516" s="28" t="s">
        <v>182</v>
      </c>
      <c r="B1516" s="28" t="s">
        <v>183</v>
      </c>
      <c r="C1516" s="28" t="s">
        <v>174</v>
      </c>
      <c r="D1516" s="23" t="n">
        <v>5</v>
      </c>
      <c r="E1516" s="23" t="n">
        <v>8</v>
      </c>
      <c r="F1516" s="28" t="s">
        <v>451</v>
      </c>
      <c r="G1516" s="19" t="n">
        <v>0.0461</v>
      </c>
    </row>
    <row r="1517" customFormat="false" ht="15" hidden="false" customHeight="false" outlineLevel="0" collapsed="false">
      <c r="A1517" s="28" t="s">
        <v>182</v>
      </c>
      <c r="B1517" s="28" t="s">
        <v>183</v>
      </c>
      <c r="C1517" s="28" t="s">
        <v>174</v>
      </c>
      <c r="D1517" s="23" t="n">
        <v>5</v>
      </c>
      <c r="E1517" s="23" t="n">
        <v>8</v>
      </c>
      <c r="F1517" s="28" t="s">
        <v>905</v>
      </c>
      <c r="G1517" s="19" t="n">
        <v>0.0487</v>
      </c>
    </row>
    <row r="1518" customFormat="false" ht="15" hidden="false" customHeight="false" outlineLevel="0" collapsed="false">
      <c r="A1518" s="28" t="s">
        <v>182</v>
      </c>
      <c r="B1518" s="28" t="s">
        <v>183</v>
      </c>
      <c r="C1518" s="28" t="s">
        <v>174</v>
      </c>
      <c r="D1518" s="23" t="n">
        <v>5</v>
      </c>
      <c r="E1518" s="23" t="n">
        <v>8</v>
      </c>
      <c r="F1518" s="28" t="s">
        <v>906</v>
      </c>
      <c r="G1518" s="19" t="n">
        <v>0.0501</v>
      </c>
    </row>
    <row r="1519" customFormat="false" ht="15" hidden="false" customHeight="false" outlineLevel="0" collapsed="false">
      <c r="A1519" s="28" t="s">
        <v>182</v>
      </c>
      <c r="B1519" s="28" t="s">
        <v>183</v>
      </c>
      <c r="C1519" s="28" t="s">
        <v>174</v>
      </c>
      <c r="D1519" s="23" t="n">
        <v>5</v>
      </c>
      <c r="E1519" s="23" t="n">
        <v>8</v>
      </c>
      <c r="F1519" s="28" t="s">
        <v>907</v>
      </c>
      <c r="G1519" s="19" t="n">
        <v>0.0498</v>
      </c>
    </row>
    <row r="1520" customFormat="false" ht="15" hidden="false" customHeight="false" outlineLevel="0" collapsed="false">
      <c r="A1520" s="28" t="s">
        <v>182</v>
      </c>
      <c r="B1520" s="28" t="s">
        <v>183</v>
      </c>
      <c r="C1520" s="28" t="s">
        <v>174</v>
      </c>
      <c r="D1520" s="23" t="n">
        <v>5</v>
      </c>
      <c r="E1520" s="23" t="n">
        <v>8</v>
      </c>
      <c r="F1520" s="28" t="s">
        <v>908</v>
      </c>
      <c r="G1520" s="19" t="n">
        <v>0.0514</v>
      </c>
    </row>
    <row r="1521" customFormat="false" ht="15" hidden="false" customHeight="false" outlineLevel="0" collapsed="false">
      <c r="A1521" s="28" t="s">
        <v>182</v>
      </c>
      <c r="B1521" s="28" t="s">
        <v>183</v>
      </c>
      <c r="C1521" s="28" t="s">
        <v>174</v>
      </c>
      <c r="D1521" s="23" t="n">
        <v>5</v>
      </c>
      <c r="E1521" s="23" t="n">
        <v>8</v>
      </c>
      <c r="F1521" s="28" t="s">
        <v>909</v>
      </c>
      <c r="G1521" s="19" t="n">
        <v>0.0515</v>
      </c>
    </row>
    <row r="1522" customFormat="false" ht="15" hidden="false" customHeight="false" outlineLevel="0" collapsed="false">
      <c r="A1522" s="28" t="s">
        <v>182</v>
      </c>
      <c r="B1522" s="28" t="s">
        <v>183</v>
      </c>
      <c r="C1522" s="28" t="s">
        <v>174</v>
      </c>
      <c r="D1522" s="23" t="n">
        <v>5</v>
      </c>
      <c r="E1522" s="23" t="n">
        <v>8</v>
      </c>
      <c r="F1522" s="28" t="s">
        <v>910</v>
      </c>
      <c r="G1522" s="19" t="n">
        <v>0.0519</v>
      </c>
    </row>
    <row r="1523" customFormat="false" ht="15" hidden="false" customHeight="false" outlineLevel="0" collapsed="false">
      <c r="A1523" s="28" t="s">
        <v>182</v>
      </c>
      <c r="B1523" s="28" t="s">
        <v>183</v>
      </c>
      <c r="C1523" s="28" t="s">
        <v>174</v>
      </c>
      <c r="D1523" s="23" t="n">
        <v>5</v>
      </c>
      <c r="E1523" s="23" t="n">
        <v>8</v>
      </c>
      <c r="F1523" s="28" t="s">
        <v>911</v>
      </c>
      <c r="G1523" s="19" t="n">
        <v>0.053</v>
      </c>
    </row>
    <row r="1524" customFormat="false" ht="15" hidden="false" customHeight="false" outlineLevel="0" collapsed="false">
      <c r="A1524" s="28" t="s">
        <v>182</v>
      </c>
      <c r="B1524" s="28" t="s">
        <v>183</v>
      </c>
      <c r="C1524" s="28" t="s">
        <v>174</v>
      </c>
      <c r="D1524" s="23" t="n">
        <v>5</v>
      </c>
      <c r="E1524" s="23" t="n">
        <v>8</v>
      </c>
      <c r="F1524" s="28" t="s">
        <v>912</v>
      </c>
      <c r="G1524" s="19" t="n">
        <v>0.0544</v>
      </c>
    </row>
    <row r="1525" customFormat="false" ht="15" hidden="false" customHeight="false" outlineLevel="0" collapsed="false">
      <c r="A1525" s="28" t="s">
        <v>182</v>
      </c>
      <c r="B1525" s="28" t="s">
        <v>183</v>
      </c>
      <c r="C1525" s="28" t="s">
        <v>174</v>
      </c>
      <c r="D1525" s="23" t="n">
        <v>5</v>
      </c>
      <c r="E1525" s="23" t="n">
        <v>8</v>
      </c>
      <c r="F1525" s="28" t="s">
        <v>913</v>
      </c>
      <c r="G1525" s="19" t="n">
        <v>0.0593</v>
      </c>
    </row>
    <row r="1526" customFormat="false" ht="15" hidden="false" customHeight="false" outlineLevel="0" collapsed="false">
      <c r="A1526" s="28" t="s">
        <v>182</v>
      </c>
      <c r="B1526" s="28" t="s">
        <v>183</v>
      </c>
      <c r="C1526" s="28" t="s">
        <v>174</v>
      </c>
      <c r="D1526" s="23" t="n">
        <v>5</v>
      </c>
      <c r="E1526" s="23" t="n">
        <v>8</v>
      </c>
      <c r="F1526" s="28" t="s">
        <v>914</v>
      </c>
      <c r="G1526" s="19" t="n">
        <v>0.0591</v>
      </c>
    </row>
    <row r="1527" customFormat="false" ht="15" hidden="false" customHeight="false" outlineLevel="0" collapsed="false">
      <c r="A1527" s="28" t="s">
        <v>182</v>
      </c>
      <c r="B1527" s="28" t="s">
        <v>183</v>
      </c>
      <c r="C1527" s="28" t="s">
        <v>174</v>
      </c>
      <c r="D1527" s="23" t="n">
        <v>5</v>
      </c>
      <c r="E1527" s="23" t="n">
        <v>8</v>
      </c>
      <c r="F1527" s="28" t="s">
        <v>915</v>
      </c>
      <c r="G1527" s="19" t="n">
        <v>0.0749</v>
      </c>
    </row>
    <row r="1528" customFormat="false" ht="15" hidden="false" customHeight="false" outlineLevel="0" collapsed="false">
      <c r="A1528" s="28" t="s">
        <v>182</v>
      </c>
      <c r="B1528" s="28" t="s">
        <v>183</v>
      </c>
      <c r="C1528" s="28" t="s">
        <v>174</v>
      </c>
      <c r="D1528" s="23" t="n">
        <v>5</v>
      </c>
      <c r="E1528" s="23" t="n">
        <v>9</v>
      </c>
      <c r="F1528" s="28" t="s">
        <v>904</v>
      </c>
      <c r="G1528" s="19" t="n">
        <v>0.0463</v>
      </c>
    </row>
    <row r="1529" customFormat="false" ht="15" hidden="false" customHeight="false" outlineLevel="0" collapsed="false">
      <c r="A1529" s="28" t="s">
        <v>182</v>
      </c>
      <c r="B1529" s="28" t="s">
        <v>183</v>
      </c>
      <c r="C1529" s="28" t="s">
        <v>174</v>
      </c>
      <c r="D1529" s="23" t="n">
        <v>5</v>
      </c>
      <c r="E1529" s="23" t="n">
        <v>9</v>
      </c>
      <c r="F1529" s="28" t="s">
        <v>551</v>
      </c>
      <c r="G1529" s="19" t="n">
        <v>0.0775</v>
      </c>
    </row>
    <row r="1530" customFormat="false" ht="15" hidden="false" customHeight="false" outlineLevel="0" collapsed="false">
      <c r="A1530" s="28" t="s">
        <v>182</v>
      </c>
      <c r="B1530" s="28" t="s">
        <v>183</v>
      </c>
      <c r="C1530" s="28" t="s">
        <v>174</v>
      </c>
      <c r="D1530" s="23" t="n">
        <v>5</v>
      </c>
      <c r="E1530" s="23" t="n">
        <v>9</v>
      </c>
      <c r="F1530" s="28" t="s">
        <v>451</v>
      </c>
      <c r="G1530" s="19" t="n">
        <v>0.0461</v>
      </c>
    </row>
    <row r="1531" customFormat="false" ht="15" hidden="false" customHeight="false" outlineLevel="0" collapsed="false">
      <c r="A1531" s="28" t="s">
        <v>182</v>
      </c>
      <c r="B1531" s="28" t="s">
        <v>183</v>
      </c>
      <c r="C1531" s="28" t="s">
        <v>174</v>
      </c>
      <c r="D1531" s="23" t="n">
        <v>5</v>
      </c>
      <c r="E1531" s="23" t="n">
        <v>9</v>
      </c>
      <c r="F1531" s="28" t="s">
        <v>905</v>
      </c>
      <c r="G1531" s="19" t="n">
        <v>0.0487</v>
      </c>
    </row>
    <row r="1532" customFormat="false" ht="15" hidden="false" customHeight="false" outlineLevel="0" collapsed="false">
      <c r="A1532" s="28" t="s">
        <v>182</v>
      </c>
      <c r="B1532" s="28" t="s">
        <v>183</v>
      </c>
      <c r="C1532" s="28" t="s">
        <v>174</v>
      </c>
      <c r="D1532" s="23" t="n">
        <v>5</v>
      </c>
      <c r="E1532" s="23" t="n">
        <v>9</v>
      </c>
      <c r="F1532" s="28" t="s">
        <v>906</v>
      </c>
      <c r="G1532" s="19" t="n">
        <v>0.0501</v>
      </c>
    </row>
    <row r="1533" customFormat="false" ht="15" hidden="false" customHeight="false" outlineLevel="0" collapsed="false">
      <c r="A1533" s="28" t="s">
        <v>182</v>
      </c>
      <c r="B1533" s="28" t="s">
        <v>183</v>
      </c>
      <c r="C1533" s="28" t="s">
        <v>174</v>
      </c>
      <c r="D1533" s="23" t="n">
        <v>5</v>
      </c>
      <c r="E1533" s="23" t="n">
        <v>9</v>
      </c>
      <c r="F1533" s="28" t="s">
        <v>907</v>
      </c>
      <c r="G1533" s="19" t="n">
        <v>0.0498</v>
      </c>
    </row>
    <row r="1534" customFormat="false" ht="15" hidden="false" customHeight="false" outlineLevel="0" collapsed="false">
      <c r="A1534" s="28" t="s">
        <v>182</v>
      </c>
      <c r="B1534" s="28" t="s">
        <v>183</v>
      </c>
      <c r="C1534" s="28" t="s">
        <v>174</v>
      </c>
      <c r="D1534" s="23" t="n">
        <v>5</v>
      </c>
      <c r="E1534" s="23" t="n">
        <v>9</v>
      </c>
      <c r="F1534" s="28" t="s">
        <v>908</v>
      </c>
      <c r="G1534" s="19" t="n">
        <v>0.0514</v>
      </c>
    </row>
    <row r="1535" customFormat="false" ht="15" hidden="false" customHeight="false" outlineLevel="0" collapsed="false">
      <c r="A1535" s="28" t="s">
        <v>182</v>
      </c>
      <c r="B1535" s="28" t="s">
        <v>183</v>
      </c>
      <c r="C1535" s="28" t="s">
        <v>174</v>
      </c>
      <c r="D1535" s="23" t="n">
        <v>5</v>
      </c>
      <c r="E1535" s="23" t="n">
        <v>9</v>
      </c>
      <c r="F1535" s="28" t="s">
        <v>909</v>
      </c>
      <c r="G1535" s="19" t="n">
        <v>0.0515</v>
      </c>
    </row>
    <row r="1536" customFormat="false" ht="15" hidden="false" customHeight="false" outlineLevel="0" collapsed="false">
      <c r="A1536" s="28" t="s">
        <v>182</v>
      </c>
      <c r="B1536" s="28" t="s">
        <v>183</v>
      </c>
      <c r="C1536" s="28" t="s">
        <v>174</v>
      </c>
      <c r="D1536" s="23" t="n">
        <v>5</v>
      </c>
      <c r="E1536" s="23" t="n">
        <v>9</v>
      </c>
      <c r="F1536" s="28" t="s">
        <v>910</v>
      </c>
      <c r="G1536" s="19" t="n">
        <v>0.0519</v>
      </c>
    </row>
    <row r="1537" customFormat="false" ht="15" hidden="false" customHeight="false" outlineLevel="0" collapsed="false">
      <c r="A1537" s="28" t="s">
        <v>182</v>
      </c>
      <c r="B1537" s="28" t="s">
        <v>183</v>
      </c>
      <c r="C1537" s="28" t="s">
        <v>174</v>
      </c>
      <c r="D1537" s="23" t="n">
        <v>5</v>
      </c>
      <c r="E1537" s="23" t="n">
        <v>9</v>
      </c>
      <c r="F1537" s="28" t="s">
        <v>911</v>
      </c>
      <c r="G1537" s="19" t="n">
        <v>0.053</v>
      </c>
    </row>
    <row r="1538" customFormat="false" ht="15" hidden="false" customHeight="false" outlineLevel="0" collapsed="false">
      <c r="A1538" s="28" t="s">
        <v>182</v>
      </c>
      <c r="B1538" s="28" t="s">
        <v>183</v>
      </c>
      <c r="C1538" s="28" t="s">
        <v>174</v>
      </c>
      <c r="D1538" s="23" t="n">
        <v>5</v>
      </c>
      <c r="E1538" s="23" t="n">
        <v>9</v>
      </c>
      <c r="F1538" s="28" t="s">
        <v>912</v>
      </c>
      <c r="G1538" s="19" t="n">
        <v>0.0544</v>
      </c>
    </row>
    <row r="1539" customFormat="false" ht="15" hidden="false" customHeight="false" outlineLevel="0" collapsed="false">
      <c r="A1539" s="28" t="s">
        <v>182</v>
      </c>
      <c r="B1539" s="28" t="s">
        <v>183</v>
      </c>
      <c r="C1539" s="28" t="s">
        <v>174</v>
      </c>
      <c r="D1539" s="23" t="n">
        <v>5</v>
      </c>
      <c r="E1539" s="23" t="n">
        <v>9</v>
      </c>
      <c r="F1539" s="28" t="s">
        <v>913</v>
      </c>
      <c r="G1539" s="19" t="n">
        <v>0.0593</v>
      </c>
    </row>
    <row r="1540" customFormat="false" ht="15" hidden="false" customHeight="false" outlineLevel="0" collapsed="false">
      <c r="A1540" s="28" t="s">
        <v>182</v>
      </c>
      <c r="B1540" s="28" t="s">
        <v>183</v>
      </c>
      <c r="C1540" s="28" t="s">
        <v>174</v>
      </c>
      <c r="D1540" s="23" t="n">
        <v>5</v>
      </c>
      <c r="E1540" s="23" t="n">
        <v>9</v>
      </c>
      <c r="F1540" s="28" t="s">
        <v>914</v>
      </c>
      <c r="G1540" s="19" t="n">
        <v>0.0591</v>
      </c>
    </row>
    <row r="1541" customFormat="false" ht="15" hidden="false" customHeight="false" outlineLevel="0" collapsed="false">
      <c r="A1541" s="28" t="s">
        <v>182</v>
      </c>
      <c r="B1541" s="28" t="s">
        <v>183</v>
      </c>
      <c r="C1541" s="28" t="s">
        <v>174</v>
      </c>
      <c r="D1541" s="23" t="n">
        <v>5</v>
      </c>
      <c r="E1541" s="23" t="n">
        <v>9</v>
      </c>
      <c r="F1541" s="28" t="s">
        <v>915</v>
      </c>
      <c r="G1541" s="19" t="n">
        <v>0.0749</v>
      </c>
    </row>
    <row r="1542" customFormat="false" ht="15" hidden="false" customHeight="false" outlineLevel="0" collapsed="false">
      <c r="A1542" s="28" t="s">
        <v>182</v>
      </c>
      <c r="B1542" s="28" t="s">
        <v>183</v>
      </c>
      <c r="C1542" s="28" t="s">
        <v>174</v>
      </c>
      <c r="D1542" s="23" t="n">
        <v>5</v>
      </c>
      <c r="E1542" s="23" t="n">
        <v>10</v>
      </c>
      <c r="F1542" s="28" t="s">
        <v>904</v>
      </c>
      <c r="G1542" s="19" t="n">
        <v>0.0463</v>
      </c>
    </row>
    <row r="1543" customFormat="false" ht="15" hidden="false" customHeight="false" outlineLevel="0" collapsed="false">
      <c r="A1543" s="28" t="s">
        <v>182</v>
      </c>
      <c r="B1543" s="28" t="s">
        <v>183</v>
      </c>
      <c r="C1543" s="28" t="s">
        <v>174</v>
      </c>
      <c r="D1543" s="23" t="n">
        <v>5</v>
      </c>
      <c r="E1543" s="23" t="n">
        <v>10</v>
      </c>
      <c r="F1543" s="28" t="s">
        <v>551</v>
      </c>
      <c r="G1543" s="19" t="n">
        <v>0.0775</v>
      </c>
    </row>
    <row r="1544" customFormat="false" ht="15" hidden="false" customHeight="false" outlineLevel="0" collapsed="false">
      <c r="A1544" s="28" t="s">
        <v>182</v>
      </c>
      <c r="B1544" s="28" t="s">
        <v>183</v>
      </c>
      <c r="C1544" s="28" t="s">
        <v>174</v>
      </c>
      <c r="D1544" s="23" t="n">
        <v>5</v>
      </c>
      <c r="E1544" s="23" t="n">
        <v>10</v>
      </c>
      <c r="F1544" s="28" t="s">
        <v>451</v>
      </c>
      <c r="G1544" s="19" t="n">
        <v>0.0461</v>
      </c>
    </row>
    <row r="1545" customFormat="false" ht="15" hidden="false" customHeight="false" outlineLevel="0" collapsed="false">
      <c r="A1545" s="28" t="s">
        <v>182</v>
      </c>
      <c r="B1545" s="28" t="s">
        <v>183</v>
      </c>
      <c r="C1545" s="28" t="s">
        <v>174</v>
      </c>
      <c r="D1545" s="23" t="n">
        <v>5</v>
      </c>
      <c r="E1545" s="23" t="n">
        <v>10</v>
      </c>
      <c r="F1545" s="28" t="s">
        <v>905</v>
      </c>
      <c r="G1545" s="19" t="n">
        <v>0.0487</v>
      </c>
    </row>
    <row r="1546" customFormat="false" ht="15" hidden="false" customHeight="false" outlineLevel="0" collapsed="false">
      <c r="A1546" s="28" t="s">
        <v>182</v>
      </c>
      <c r="B1546" s="28" t="s">
        <v>183</v>
      </c>
      <c r="C1546" s="28" t="s">
        <v>174</v>
      </c>
      <c r="D1546" s="23" t="n">
        <v>5</v>
      </c>
      <c r="E1546" s="23" t="n">
        <v>10</v>
      </c>
      <c r="F1546" s="28" t="s">
        <v>906</v>
      </c>
      <c r="G1546" s="19" t="n">
        <v>0.0501</v>
      </c>
    </row>
    <row r="1547" customFormat="false" ht="15" hidden="false" customHeight="false" outlineLevel="0" collapsed="false">
      <c r="A1547" s="28" t="s">
        <v>182</v>
      </c>
      <c r="B1547" s="28" t="s">
        <v>183</v>
      </c>
      <c r="C1547" s="28" t="s">
        <v>174</v>
      </c>
      <c r="D1547" s="23" t="n">
        <v>5</v>
      </c>
      <c r="E1547" s="23" t="n">
        <v>10</v>
      </c>
      <c r="F1547" s="28" t="s">
        <v>907</v>
      </c>
      <c r="G1547" s="19" t="n">
        <v>0.0498</v>
      </c>
    </row>
    <row r="1548" customFormat="false" ht="15" hidden="false" customHeight="false" outlineLevel="0" collapsed="false">
      <c r="A1548" s="28" t="s">
        <v>182</v>
      </c>
      <c r="B1548" s="28" t="s">
        <v>183</v>
      </c>
      <c r="C1548" s="28" t="s">
        <v>174</v>
      </c>
      <c r="D1548" s="23" t="n">
        <v>5</v>
      </c>
      <c r="E1548" s="23" t="n">
        <v>10</v>
      </c>
      <c r="F1548" s="28" t="s">
        <v>908</v>
      </c>
      <c r="G1548" s="19" t="n">
        <v>0.0514</v>
      </c>
    </row>
    <row r="1549" customFormat="false" ht="15" hidden="false" customHeight="false" outlineLevel="0" collapsed="false">
      <c r="A1549" s="28" t="s">
        <v>182</v>
      </c>
      <c r="B1549" s="28" t="s">
        <v>183</v>
      </c>
      <c r="C1549" s="28" t="s">
        <v>174</v>
      </c>
      <c r="D1549" s="23" t="n">
        <v>5</v>
      </c>
      <c r="E1549" s="23" t="n">
        <v>10</v>
      </c>
      <c r="F1549" s="28" t="s">
        <v>909</v>
      </c>
      <c r="G1549" s="19" t="n">
        <v>0.0515</v>
      </c>
    </row>
    <row r="1550" customFormat="false" ht="15" hidden="false" customHeight="false" outlineLevel="0" collapsed="false">
      <c r="A1550" s="28" t="s">
        <v>182</v>
      </c>
      <c r="B1550" s="28" t="s">
        <v>183</v>
      </c>
      <c r="C1550" s="28" t="s">
        <v>174</v>
      </c>
      <c r="D1550" s="23" t="n">
        <v>5</v>
      </c>
      <c r="E1550" s="23" t="n">
        <v>10</v>
      </c>
      <c r="F1550" s="28" t="s">
        <v>910</v>
      </c>
      <c r="G1550" s="19" t="n">
        <v>0.0519</v>
      </c>
    </row>
    <row r="1551" customFormat="false" ht="15" hidden="false" customHeight="false" outlineLevel="0" collapsed="false">
      <c r="A1551" s="28" t="s">
        <v>182</v>
      </c>
      <c r="B1551" s="28" t="s">
        <v>183</v>
      </c>
      <c r="C1551" s="28" t="s">
        <v>174</v>
      </c>
      <c r="D1551" s="23" t="n">
        <v>5</v>
      </c>
      <c r="E1551" s="23" t="n">
        <v>10</v>
      </c>
      <c r="F1551" s="28" t="s">
        <v>911</v>
      </c>
      <c r="G1551" s="19" t="n">
        <v>0.053</v>
      </c>
    </row>
    <row r="1552" customFormat="false" ht="15" hidden="false" customHeight="false" outlineLevel="0" collapsed="false">
      <c r="A1552" s="28" t="s">
        <v>182</v>
      </c>
      <c r="B1552" s="28" t="s">
        <v>183</v>
      </c>
      <c r="C1552" s="28" t="s">
        <v>174</v>
      </c>
      <c r="D1552" s="23" t="n">
        <v>5</v>
      </c>
      <c r="E1552" s="23" t="n">
        <v>10</v>
      </c>
      <c r="F1552" s="28" t="s">
        <v>912</v>
      </c>
      <c r="G1552" s="19" t="n">
        <v>0.0544</v>
      </c>
    </row>
    <row r="1553" customFormat="false" ht="15" hidden="false" customHeight="false" outlineLevel="0" collapsed="false">
      <c r="A1553" s="28" t="s">
        <v>182</v>
      </c>
      <c r="B1553" s="28" t="s">
        <v>183</v>
      </c>
      <c r="C1553" s="28" t="s">
        <v>174</v>
      </c>
      <c r="D1553" s="23" t="n">
        <v>5</v>
      </c>
      <c r="E1553" s="23" t="n">
        <v>10</v>
      </c>
      <c r="F1553" s="28" t="s">
        <v>913</v>
      </c>
      <c r="G1553" s="19" t="n">
        <v>0.0593</v>
      </c>
    </row>
    <row r="1554" customFormat="false" ht="15" hidden="false" customHeight="false" outlineLevel="0" collapsed="false">
      <c r="A1554" s="28" t="s">
        <v>182</v>
      </c>
      <c r="B1554" s="28" t="s">
        <v>183</v>
      </c>
      <c r="C1554" s="28" t="s">
        <v>174</v>
      </c>
      <c r="D1554" s="23" t="n">
        <v>5</v>
      </c>
      <c r="E1554" s="23" t="n">
        <v>10</v>
      </c>
      <c r="F1554" s="28" t="s">
        <v>914</v>
      </c>
      <c r="G1554" s="19" t="n">
        <v>0.0591</v>
      </c>
    </row>
    <row r="1555" customFormat="false" ht="15" hidden="false" customHeight="false" outlineLevel="0" collapsed="false">
      <c r="A1555" s="28" t="s">
        <v>182</v>
      </c>
      <c r="B1555" s="28" t="s">
        <v>183</v>
      </c>
      <c r="C1555" s="28" t="s">
        <v>174</v>
      </c>
      <c r="D1555" s="23" t="n">
        <v>5</v>
      </c>
      <c r="E1555" s="23" t="n">
        <v>10</v>
      </c>
      <c r="F1555" s="28" t="s">
        <v>915</v>
      </c>
      <c r="G1555" s="19" t="n">
        <v>0.0749</v>
      </c>
    </row>
    <row r="1556" customFormat="false" ht="15" hidden="false" customHeight="false" outlineLevel="0" collapsed="false">
      <c r="A1556" s="28" t="s">
        <v>182</v>
      </c>
      <c r="B1556" s="28" t="s">
        <v>183</v>
      </c>
      <c r="C1556" s="28" t="s">
        <v>174</v>
      </c>
      <c r="D1556" s="23" t="n">
        <v>5</v>
      </c>
      <c r="E1556" s="23" t="n">
        <v>11</v>
      </c>
      <c r="F1556" s="28" t="s">
        <v>904</v>
      </c>
      <c r="G1556" s="19" t="n">
        <v>0.0463</v>
      </c>
    </row>
    <row r="1557" customFormat="false" ht="15" hidden="false" customHeight="false" outlineLevel="0" collapsed="false">
      <c r="A1557" s="28" t="s">
        <v>182</v>
      </c>
      <c r="B1557" s="28" t="s">
        <v>183</v>
      </c>
      <c r="C1557" s="28" t="s">
        <v>174</v>
      </c>
      <c r="D1557" s="23" t="n">
        <v>5</v>
      </c>
      <c r="E1557" s="23" t="n">
        <v>11</v>
      </c>
      <c r="F1557" s="28" t="s">
        <v>551</v>
      </c>
      <c r="G1557" s="19" t="n">
        <v>0.0775</v>
      </c>
    </row>
    <row r="1558" customFormat="false" ht="15" hidden="false" customHeight="false" outlineLevel="0" collapsed="false">
      <c r="A1558" s="28" t="s">
        <v>182</v>
      </c>
      <c r="B1558" s="28" t="s">
        <v>183</v>
      </c>
      <c r="C1558" s="28" t="s">
        <v>174</v>
      </c>
      <c r="D1558" s="23" t="n">
        <v>5</v>
      </c>
      <c r="E1558" s="23" t="n">
        <v>11</v>
      </c>
      <c r="F1558" s="28" t="s">
        <v>451</v>
      </c>
      <c r="G1558" s="19" t="n">
        <v>0.0461</v>
      </c>
    </row>
    <row r="1559" customFormat="false" ht="15" hidden="false" customHeight="false" outlineLevel="0" collapsed="false">
      <c r="A1559" s="28" t="s">
        <v>182</v>
      </c>
      <c r="B1559" s="28" t="s">
        <v>183</v>
      </c>
      <c r="C1559" s="28" t="s">
        <v>174</v>
      </c>
      <c r="D1559" s="23" t="n">
        <v>5</v>
      </c>
      <c r="E1559" s="23" t="n">
        <v>11</v>
      </c>
      <c r="F1559" s="28" t="s">
        <v>905</v>
      </c>
      <c r="G1559" s="19" t="n">
        <v>0.0487</v>
      </c>
    </row>
    <row r="1560" customFormat="false" ht="15" hidden="false" customHeight="false" outlineLevel="0" collapsed="false">
      <c r="A1560" s="28" t="s">
        <v>182</v>
      </c>
      <c r="B1560" s="28" t="s">
        <v>183</v>
      </c>
      <c r="C1560" s="28" t="s">
        <v>174</v>
      </c>
      <c r="D1560" s="23" t="n">
        <v>5</v>
      </c>
      <c r="E1560" s="23" t="n">
        <v>11</v>
      </c>
      <c r="F1560" s="28" t="s">
        <v>906</v>
      </c>
      <c r="G1560" s="19" t="n">
        <v>0.0501</v>
      </c>
    </row>
    <row r="1561" customFormat="false" ht="15" hidden="false" customHeight="false" outlineLevel="0" collapsed="false">
      <c r="A1561" s="28" t="s">
        <v>182</v>
      </c>
      <c r="B1561" s="28" t="s">
        <v>183</v>
      </c>
      <c r="C1561" s="28" t="s">
        <v>174</v>
      </c>
      <c r="D1561" s="23" t="n">
        <v>5</v>
      </c>
      <c r="E1561" s="23" t="n">
        <v>11</v>
      </c>
      <c r="F1561" s="28" t="s">
        <v>907</v>
      </c>
      <c r="G1561" s="19" t="n">
        <v>0.0498</v>
      </c>
    </row>
    <row r="1562" customFormat="false" ht="15" hidden="false" customHeight="false" outlineLevel="0" collapsed="false">
      <c r="A1562" s="28" t="s">
        <v>182</v>
      </c>
      <c r="B1562" s="28" t="s">
        <v>183</v>
      </c>
      <c r="C1562" s="28" t="s">
        <v>174</v>
      </c>
      <c r="D1562" s="23" t="n">
        <v>5</v>
      </c>
      <c r="E1562" s="23" t="n">
        <v>11</v>
      </c>
      <c r="F1562" s="28" t="s">
        <v>908</v>
      </c>
      <c r="G1562" s="19" t="n">
        <v>0.0514</v>
      </c>
    </row>
    <row r="1563" customFormat="false" ht="15" hidden="false" customHeight="false" outlineLevel="0" collapsed="false">
      <c r="A1563" s="28" t="s">
        <v>182</v>
      </c>
      <c r="B1563" s="28" t="s">
        <v>183</v>
      </c>
      <c r="C1563" s="28" t="s">
        <v>174</v>
      </c>
      <c r="D1563" s="23" t="n">
        <v>5</v>
      </c>
      <c r="E1563" s="23" t="n">
        <v>11</v>
      </c>
      <c r="F1563" s="28" t="s">
        <v>909</v>
      </c>
      <c r="G1563" s="19" t="n">
        <v>0.0515</v>
      </c>
    </row>
    <row r="1564" customFormat="false" ht="15" hidden="false" customHeight="false" outlineLevel="0" collapsed="false">
      <c r="A1564" s="28" t="s">
        <v>182</v>
      </c>
      <c r="B1564" s="28" t="s">
        <v>183</v>
      </c>
      <c r="C1564" s="28" t="s">
        <v>174</v>
      </c>
      <c r="D1564" s="23" t="n">
        <v>5</v>
      </c>
      <c r="E1564" s="23" t="n">
        <v>11</v>
      </c>
      <c r="F1564" s="28" t="s">
        <v>910</v>
      </c>
      <c r="G1564" s="19" t="n">
        <v>0.0519</v>
      </c>
    </row>
    <row r="1565" customFormat="false" ht="15" hidden="false" customHeight="false" outlineLevel="0" collapsed="false">
      <c r="A1565" s="28" t="s">
        <v>182</v>
      </c>
      <c r="B1565" s="28" t="s">
        <v>183</v>
      </c>
      <c r="C1565" s="28" t="s">
        <v>174</v>
      </c>
      <c r="D1565" s="23" t="n">
        <v>5</v>
      </c>
      <c r="E1565" s="23" t="n">
        <v>11</v>
      </c>
      <c r="F1565" s="28" t="s">
        <v>911</v>
      </c>
      <c r="G1565" s="19" t="n">
        <v>0.053</v>
      </c>
    </row>
    <row r="1566" customFormat="false" ht="15" hidden="false" customHeight="false" outlineLevel="0" collapsed="false">
      <c r="A1566" s="28" t="s">
        <v>182</v>
      </c>
      <c r="B1566" s="28" t="s">
        <v>183</v>
      </c>
      <c r="C1566" s="28" t="s">
        <v>174</v>
      </c>
      <c r="D1566" s="23" t="n">
        <v>5</v>
      </c>
      <c r="E1566" s="23" t="n">
        <v>11</v>
      </c>
      <c r="F1566" s="28" t="s">
        <v>912</v>
      </c>
      <c r="G1566" s="19" t="n">
        <v>0.0544</v>
      </c>
    </row>
    <row r="1567" customFormat="false" ht="15" hidden="false" customHeight="false" outlineLevel="0" collapsed="false">
      <c r="A1567" s="28" t="s">
        <v>182</v>
      </c>
      <c r="B1567" s="28" t="s">
        <v>183</v>
      </c>
      <c r="C1567" s="28" t="s">
        <v>174</v>
      </c>
      <c r="D1567" s="23" t="n">
        <v>5</v>
      </c>
      <c r="E1567" s="23" t="n">
        <v>11</v>
      </c>
      <c r="F1567" s="28" t="s">
        <v>913</v>
      </c>
      <c r="G1567" s="19" t="n">
        <v>0.0593</v>
      </c>
    </row>
    <row r="1568" customFormat="false" ht="15" hidden="false" customHeight="false" outlineLevel="0" collapsed="false">
      <c r="A1568" s="28" t="s">
        <v>182</v>
      </c>
      <c r="B1568" s="28" t="s">
        <v>183</v>
      </c>
      <c r="C1568" s="28" t="s">
        <v>174</v>
      </c>
      <c r="D1568" s="23" t="n">
        <v>5</v>
      </c>
      <c r="E1568" s="23" t="n">
        <v>11</v>
      </c>
      <c r="F1568" s="28" t="s">
        <v>914</v>
      </c>
      <c r="G1568" s="19" t="n">
        <v>0.0591</v>
      </c>
    </row>
    <row r="1569" customFormat="false" ht="15" hidden="false" customHeight="false" outlineLevel="0" collapsed="false">
      <c r="A1569" s="28" t="s">
        <v>182</v>
      </c>
      <c r="B1569" s="28" t="s">
        <v>183</v>
      </c>
      <c r="C1569" s="28" t="s">
        <v>174</v>
      </c>
      <c r="D1569" s="23" t="n">
        <v>5</v>
      </c>
      <c r="E1569" s="23" t="n">
        <v>11</v>
      </c>
      <c r="F1569" s="28" t="s">
        <v>915</v>
      </c>
      <c r="G1569" s="19" t="n">
        <v>0.0749</v>
      </c>
    </row>
    <row r="1570" customFormat="false" ht="15" hidden="false" customHeight="false" outlineLevel="0" collapsed="false">
      <c r="A1570" s="28" t="s">
        <v>182</v>
      </c>
      <c r="B1570" s="28" t="s">
        <v>183</v>
      </c>
      <c r="C1570" s="28" t="s">
        <v>174</v>
      </c>
      <c r="D1570" s="23" t="n">
        <v>5</v>
      </c>
      <c r="E1570" s="23" t="n">
        <v>12</v>
      </c>
      <c r="F1570" s="28" t="s">
        <v>904</v>
      </c>
      <c r="G1570" s="19" t="n">
        <v>0.0463</v>
      </c>
    </row>
    <row r="1571" customFormat="false" ht="15" hidden="false" customHeight="false" outlineLevel="0" collapsed="false">
      <c r="A1571" s="28" t="s">
        <v>182</v>
      </c>
      <c r="B1571" s="28" t="s">
        <v>183</v>
      </c>
      <c r="C1571" s="28" t="s">
        <v>174</v>
      </c>
      <c r="D1571" s="23" t="n">
        <v>5</v>
      </c>
      <c r="E1571" s="23" t="n">
        <v>12</v>
      </c>
      <c r="F1571" s="28" t="s">
        <v>551</v>
      </c>
      <c r="G1571" s="19" t="n">
        <v>0.0775</v>
      </c>
    </row>
    <row r="1572" customFormat="false" ht="15" hidden="false" customHeight="false" outlineLevel="0" collapsed="false">
      <c r="A1572" s="28" t="s">
        <v>182</v>
      </c>
      <c r="B1572" s="28" t="s">
        <v>183</v>
      </c>
      <c r="C1572" s="28" t="s">
        <v>174</v>
      </c>
      <c r="D1572" s="23" t="n">
        <v>5</v>
      </c>
      <c r="E1572" s="23" t="n">
        <v>12</v>
      </c>
      <c r="F1572" s="28" t="s">
        <v>451</v>
      </c>
      <c r="G1572" s="19" t="n">
        <v>0.0461</v>
      </c>
    </row>
    <row r="1573" customFormat="false" ht="15" hidden="false" customHeight="false" outlineLevel="0" collapsed="false">
      <c r="A1573" s="28" t="s">
        <v>182</v>
      </c>
      <c r="B1573" s="28" t="s">
        <v>183</v>
      </c>
      <c r="C1573" s="28" t="s">
        <v>174</v>
      </c>
      <c r="D1573" s="23" t="n">
        <v>5</v>
      </c>
      <c r="E1573" s="23" t="n">
        <v>12</v>
      </c>
      <c r="F1573" s="28" t="s">
        <v>905</v>
      </c>
      <c r="G1573" s="19" t="n">
        <v>0.0487</v>
      </c>
    </row>
    <row r="1574" customFormat="false" ht="15" hidden="false" customHeight="false" outlineLevel="0" collapsed="false">
      <c r="A1574" s="28" t="s">
        <v>182</v>
      </c>
      <c r="B1574" s="28" t="s">
        <v>183</v>
      </c>
      <c r="C1574" s="28" t="s">
        <v>174</v>
      </c>
      <c r="D1574" s="23" t="n">
        <v>5</v>
      </c>
      <c r="E1574" s="23" t="n">
        <v>12</v>
      </c>
      <c r="F1574" s="28" t="s">
        <v>906</v>
      </c>
      <c r="G1574" s="19" t="n">
        <v>0.0501</v>
      </c>
    </row>
    <row r="1575" customFormat="false" ht="15" hidden="false" customHeight="false" outlineLevel="0" collapsed="false">
      <c r="A1575" s="28" t="s">
        <v>182</v>
      </c>
      <c r="B1575" s="28" t="s">
        <v>183</v>
      </c>
      <c r="C1575" s="28" t="s">
        <v>174</v>
      </c>
      <c r="D1575" s="23" t="n">
        <v>5</v>
      </c>
      <c r="E1575" s="23" t="n">
        <v>12</v>
      </c>
      <c r="F1575" s="28" t="s">
        <v>907</v>
      </c>
      <c r="G1575" s="19" t="n">
        <v>0.0498</v>
      </c>
    </row>
    <row r="1576" customFormat="false" ht="15" hidden="false" customHeight="false" outlineLevel="0" collapsed="false">
      <c r="A1576" s="28" t="s">
        <v>182</v>
      </c>
      <c r="B1576" s="28" t="s">
        <v>183</v>
      </c>
      <c r="C1576" s="28" t="s">
        <v>174</v>
      </c>
      <c r="D1576" s="23" t="n">
        <v>5</v>
      </c>
      <c r="E1576" s="23" t="n">
        <v>12</v>
      </c>
      <c r="F1576" s="28" t="s">
        <v>908</v>
      </c>
      <c r="G1576" s="19" t="n">
        <v>0.0514</v>
      </c>
    </row>
    <row r="1577" customFormat="false" ht="15" hidden="false" customHeight="false" outlineLevel="0" collapsed="false">
      <c r="A1577" s="28" t="s">
        <v>182</v>
      </c>
      <c r="B1577" s="28" t="s">
        <v>183</v>
      </c>
      <c r="C1577" s="28" t="s">
        <v>174</v>
      </c>
      <c r="D1577" s="23" t="n">
        <v>5</v>
      </c>
      <c r="E1577" s="23" t="n">
        <v>12</v>
      </c>
      <c r="F1577" s="28" t="s">
        <v>909</v>
      </c>
      <c r="G1577" s="19" t="n">
        <v>0.0515</v>
      </c>
    </row>
    <row r="1578" customFormat="false" ht="15" hidden="false" customHeight="false" outlineLevel="0" collapsed="false">
      <c r="A1578" s="28" t="s">
        <v>182</v>
      </c>
      <c r="B1578" s="28" t="s">
        <v>183</v>
      </c>
      <c r="C1578" s="28" t="s">
        <v>174</v>
      </c>
      <c r="D1578" s="23" t="n">
        <v>5</v>
      </c>
      <c r="E1578" s="23" t="n">
        <v>12</v>
      </c>
      <c r="F1578" s="28" t="s">
        <v>910</v>
      </c>
      <c r="G1578" s="19" t="n">
        <v>0.0519</v>
      </c>
    </row>
    <row r="1579" customFormat="false" ht="15" hidden="false" customHeight="false" outlineLevel="0" collapsed="false">
      <c r="A1579" s="28" t="s">
        <v>182</v>
      </c>
      <c r="B1579" s="28" t="s">
        <v>183</v>
      </c>
      <c r="C1579" s="28" t="s">
        <v>174</v>
      </c>
      <c r="D1579" s="23" t="n">
        <v>5</v>
      </c>
      <c r="E1579" s="23" t="n">
        <v>12</v>
      </c>
      <c r="F1579" s="28" t="s">
        <v>911</v>
      </c>
      <c r="G1579" s="19" t="n">
        <v>0.053</v>
      </c>
    </row>
    <row r="1580" customFormat="false" ht="15" hidden="false" customHeight="false" outlineLevel="0" collapsed="false">
      <c r="A1580" s="28" t="s">
        <v>182</v>
      </c>
      <c r="B1580" s="28" t="s">
        <v>183</v>
      </c>
      <c r="C1580" s="28" t="s">
        <v>174</v>
      </c>
      <c r="D1580" s="23" t="n">
        <v>5</v>
      </c>
      <c r="E1580" s="23" t="n">
        <v>12</v>
      </c>
      <c r="F1580" s="28" t="s">
        <v>912</v>
      </c>
      <c r="G1580" s="19" t="n">
        <v>0.0544</v>
      </c>
    </row>
    <row r="1581" customFormat="false" ht="15" hidden="false" customHeight="false" outlineLevel="0" collapsed="false">
      <c r="A1581" s="28" t="s">
        <v>182</v>
      </c>
      <c r="B1581" s="28" t="s">
        <v>183</v>
      </c>
      <c r="C1581" s="28" t="s">
        <v>174</v>
      </c>
      <c r="D1581" s="23" t="n">
        <v>5</v>
      </c>
      <c r="E1581" s="23" t="n">
        <v>12</v>
      </c>
      <c r="F1581" s="28" t="s">
        <v>913</v>
      </c>
      <c r="G1581" s="19" t="n">
        <v>0.0593</v>
      </c>
    </row>
    <row r="1582" customFormat="false" ht="15" hidden="false" customHeight="false" outlineLevel="0" collapsed="false">
      <c r="A1582" s="28" t="s">
        <v>182</v>
      </c>
      <c r="B1582" s="28" t="s">
        <v>183</v>
      </c>
      <c r="C1582" s="28" t="s">
        <v>174</v>
      </c>
      <c r="D1582" s="23" t="n">
        <v>5</v>
      </c>
      <c r="E1582" s="23" t="n">
        <v>12</v>
      </c>
      <c r="F1582" s="28" t="s">
        <v>914</v>
      </c>
      <c r="G1582" s="19" t="n">
        <v>0.0591</v>
      </c>
    </row>
    <row r="1583" customFormat="false" ht="15" hidden="false" customHeight="false" outlineLevel="0" collapsed="false">
      <c r="A1583" s="28" t="s">
        <v>182</v>
      </c>
      <c r="B1583" s="28" t="s">
        <v>183</v>
      </c>
      <c r="C1583" s="28" t="s">
        <v>174</v>
      </c>
      <c r="D1583" s="23" t="n">
        <v>5</v>
      </c>
      <c r="E1583" s="23" t="n">
        <v>12</v>
      </c>
      <c r="F1583" s="28" t="s">
        <v>915</v>
      </c>
      <c r="G1583" s="19" t="n">
        <v>0.0749</v>
      </c>
    </row>
    <row r="1584" customFormat="false" ht="15" hidden="false" customHeight="false" outlineLevel="0" collapsed="false">
      <c r="A1584" s="28" t="s">
        <v>182</v>
      </c>
      <c r="B1584" s="28" t="s">
        <v>183</v>
      </c>
      <c r="C1584" s="28" t="s">
        <v>174</v>
      </c>
      <c r="D1584" s="23" t="n">
        <v>5</v>
      </c>
      <c r="E1584" s="23" t="n">
        <v>13</v>
      </c>
      <c r="F1584" s="28" t="s">
        <v>904</v>
      </c>
      <c r="G1584" s="19" t="n">
        <v>0.0463</v>
      </c>
    </row>
    <row r="1585" customFormat="false" ht="15" hidden="false" customHeight="false" outlineLevel="0" collapsed="false">
      <c r="A1585" s="28" t="s">
        <v>182</v>
      </c>
      <c r="B1585" s="28" t="s">
        <v>183</v>
      </c>
      <c r="C1585" s="28" t="s">
        <v>174</v>
      </c>
      <c r="D1585" s="23" t="n">
        <v>5</v>
      </c>
      <c r="E1585" s="23" t="n">
        <v>13</v>
      </c>
      <c r="F1585" s="28" t="s">
        <v>551</v>
      </c>
      <c r="G1585" s="19" t="n">
        <v>0.0775</v>
      </c>
    </row>
    <row r="1586" customFormat="false" ht="15" hidden="false" customHeight="false" outlineLevel="0" collapsed="false">
      <c r="A1586" s="28" t="s">
        <v>182</v>
      </c>
      <c r="B1586" s="28" t="s">
        <v>183</v>
      </c>
      <c r="C1586" s="28" t="s">
        <v>174</v>
      </c>
      <c r="D1586" s="23" t="n">
        <v>5</v>
      </c>
      <c r="E1586" s="23" t="n">
        <v>13</v>
      </c>
      <c r="F1586" s="28" t="s">
        <v>451</v>
      </c>
      <c r="G1586" s="19" t="n">
        <v>0.0461</v>
      </c>
    </row>
    <row r="1587" customFormat="false" ht="15" hidden="false" customHeight="false" outlineLevel="0" collapsed="false">
      <c r="A1587" s="28" t="s">
        <v>182</v>
      </c>
      <c r="B1587" s="28" t="s">
        <v>183</v>
      </c>
      <c r="C1587" s="28" t="s">
        <v>174</v>
      </c>
      <c r="D1587" s="23" t="n">
        <v>5</v>
      </c>
      <c r="E1587" s="23" t="n">
        <v>13</v>
      </c>
      <c r="F1587" s="28" t="s">
        <v>905</v>
      </c>
      <c r="G1587" s="19" t="n">
        <v>0.0487</v>
      </c>
    </row>
    <row r="1588" customFormat="false" ht="15" hidden="false" customHeight="false" outlineLevel="0" collapsed="false">
      <c r="A1588" s="28" t="s">
        <v>182</v>
      </c>
      <c r="B1588" s="28" t="s">
        <v>183</v>
      </c>
      <c r="C1588" s="28" t="s">
        <v>174</v>
      </c>
      <c r="D1588" s="23" t="n">
        <v>5</v>
      </c>
      <c r="E1588" s="23" t="n">
        <v>13</v>
      </c>
      <c r="F1588" s="28" t="s">
        <v>906</v>
      </c>
      <c r="G1588" s="19" t="n">
        <v>0.0501</v>
      </c>
    </row>
    <row r="1589" customFormat="false" ht="15" hidden="false" customHeight="false" outlineLevel="0" collapsed="false">
      <c r="A1589" s="28" t="s">
        <v>182</v>
      </c>
      <c r="B1589" s="28" t="s">
        <v>183</v>
      </c>
      <c r="C1589" s="28" t="s">
        <v>174</v>
      </c>
      <c r="D1589" s="23" t="n">
        <v>5</v>
      </c>
      <c r="E1589" s="23" t="n">
        <v>13</v>
      </c>
      <c r="F1589" s="28" t="s">
        <v>907</v>
      </c>
      <c r="G1589" s="19" t="n">
        <v>0.0498</v>
      </c>
    </row>
    <row r="1590" customFormat="false" ht="15" hidden="false" customHeight="false" outlineLevel="0" collapsed="false">
      <c r="A1590" s="28" t="s">
        <v>182</v>
      </c>
      <c r="B1590" s="28" t="s">
        <v>183</v>
      </c>
      <c r="C1590" s="28" t="s">
        <v>174</v>
      </c>
      <c r="D1590" s="23" t="n">
        <v>5</v>
      </c>
      <c r="E1590" s="23" t="n">
        <v>13</v>
      </c>
      <c r="F1590" s="28" t="s">
        <v>908</v>
      </c>
      <c r="G1590" s="19" t="n">
        <v>0.0514</v>
      </c>
    </row>
    <row r="1591" customFormat="false" ht="15" hidden="false" customHeight="false" outlineLevel="0" collapsed="false">
      <c r="A1591" s="28" t="s">
        <v>182</v>
      </c>
      <c r="B1591" s="28" t="s">
        <v>183</v>
      </c>
      <c r="C1591" s="28" t="s">
        <v>174</v>
      </c>
      <c r="D1591" s="23" t="n">
        <v>5</v>
      </c>
      <c r="E1591" s="23" t="n">
        <v>13</v>
      </c>
      <c r="F1591" s="28" t="s">
        <v>909</v>
      </c>
      <c r="G1591" s="19" t="n">
        <v>0.0515</v>
      </c>
    </row>
    <row r="1592" customFormat="false" ht="15" hidden="false" customHeight="false" outlineLevel="0" collapsed="false">
      <c r="A1592" s="28" t="s">
        <v>182</v>
      </c>
      <c r="B1592" s="28" t="s">
        <v>183</v>
      </c>
      <c r="C1592" s="28" t="s">
        <v>174</v>
      </c>
      <c r="D1592" s="23" t="n">
        <v>5</v>
      </c>
      <c r="E1592" s="23" t="n">
        <v>13</v>
      </c>
      <c r="F1592" s="28" t="s">
        <v>910</v>
      </c>
      <c r="G1592" s="19" t="n">
        <v>0.0519</v>
      </c>
    </row>
    <row r="1593" customFormat="false" ht="15" hidden="false" customHeight="false" outlineLevel="0" collapsed="false">
      <c r="A1593" s="28" t="s">
        <v>182</v>
      </c>
      <c r="B1593" s="28" t="s">
        <v>183</v>
      </c>
      <c r="C1593" s="28" t="s">
        <v>174</v>
      </c>
      <c r="D1593" s="23" t="n">
        <v>5</v>
      </c>
      <c r="E1593" s="23" t="n">
        <v>13</v>
      </c>
      <c r="F1593" s="28" t="s">
        <v>911</v>
      </c>
      <c r="G1593" s="19" t="n">
        <v>0.053</v>
      </c>
    </row>
    <row r="1594" customFormat="false" ht="15" hidden="false" customHeight="false" outlineLevel="0" collapsed="false">
      <c r="A1594" s="28" t="s">
        <v>182</v>
      </c>
      <c r="B1594" s="28" t="s">
        <v>183</v>
      </c>
      <c r="C1594" s="28" t="s">
        <v>174</v>
      </c>
      <c r="D1594" s="23" t="n">
        <v>5</v>
      </c>
      <c r="E1594" s="23" t="n">
        <v>13</v>
      </c>
      <c r="F1594" s="28" t="s">
        <v>912</v>
      </c>
      <c r="G1594" s="19" t="n">
        <v>0.0544</v>
      </c>
    </row>
    <row r="1595" customFormat="false" ht="15" hidden="false" customHeight="false" outlineLevel="0" collapsed="false">
      <c r="A1595" s="28" t="s">
        <v>182</v>
      </c>
      <c r="B1595" s="28" t="s">
        <v>183</v>
      </c>
      <c r="C1595" s="28" t="s">
        <v>174</v>
      </c>
      <c r="D1595" s="23" t="n">
        <v>5</v>
      </c>
      <c r="E1595" s="23" t="n">
        <v>13</v>
      </c>
      <c r="F1595" s="28" t="s">
        <v>913</v>
      </c>
      <c r="G1595" s="19" t="n">
        <v>0.0593</v>
      </c>
    </row>
    <row r="1596" customFormat="false" ht="15" hidden="false" customHeight="false" outlineLevel="0" collapsed="false">
      <c r="A1596" s="28" t="s">
        <v>182</v>
      </c>
      <c r="B1596" s="28" t="s">
        <v>183</v>
      </c>
      <c r="C1596" s="28" t="s">
        <v>174</v>
      </c>
      <c r="D1596" s="23" t="n">
        <v>5</v>
      </c>
      <c r="E1596" s="23" t="n">
        <v>13</v>
      </c>
      <c r="F1596" s="28" t="s">
        <v>914</v>
      </c>
      <c r="G1596" s="19" t="n">
        <v>0.0591</v>
      </c>
    </row>
    <row r="1597" customFormat="false" ht="15" hidden="false" customHeight="false" outlineLevel="0" collapsed="false">
      <c r="A1597" s="28" t="s">
        <v>182</v>
      </c>
      <c r="B1597" s="28" t="s">
        <v>183</v>
      </c>
      <c r="C1597" s="28" t="s">
        <v>174</v>
      </c>
      <c r="D1597" s="23" t="n">
        <v>5</v>
      </c>
      <c r="E1597" s="23" t="n">
        <v>13</v>
      </c>
      <c r="F1597" s="28" t="s">
        <v>915</v>
      </c>
      <c r="G1597" s="19" t="n">
        <v>0.0749</v>
      </c>
    </row>
    <row r="1598" customFormat="false" ht="15" hidden="false" customHeight="false" outlineLevel="0" collapsed="false">
      <c r="A1598" s="28" t="s">
        <v>182</v>
      </c>
      <c r="B1598" s="28" t="s">
        <v>183</v>
      </c>
      <c r="C1598" s="28" t="s">
        <v>174</v>
      </c>
      <c r="D1598" s="23" t="n">
        <v>5</v>
      </c>
      <c r="E1598" s="23" t="n">
        <v>14</v>
      </c>
      <c r="F1598" s="28" t="s">
        <v>904</v>
      </c>
      <c r="G1598" s="19" t="n">
        <v>0.0463</v>
      </c>
    </row>
    <row r="1599" customFormat="false" ht="15" hidden="false" customHeight="false" outlineLevel="0" collapsed="false">
      <c r="A1599" s="28" t="s">
        <v>182</v>
      </c>
      <c r="B1599" s="28" t="s">
        <v>183</v>
      </c>
      <c r="C1599" s="28" t="s">
        <v>174</v>
      </c>
      <c r="D1599" s="23" t="n">
        <v>5</v>
      </c>
      <c r="E1599" s="23" t="n">
        <v>14</v>
      </c>
      <c r="F1599" s="28" t="s">
        <v>551</v>
      </c>
      <c r="G1599" s="19" t="n">
        <v>0.0775</v>
      </c>
    </row>
    <row r="1600" customFormat="false" ht="15" hidden="false" customHeight="false" outlineLevel="0" collapsed="false">
      <c r="A1600" s="28" t="s">
        <v>182</v>
      </c>
      <c r="B1600" s="28" t="s">
        <v>183</v>
      </c>
      <c r="C1600" s="28" t="s">
        <v>174</v>
      </c>
      <c r="D1600" s="23" t="n">
        <v>5</v>
      </c>
      <c r="E1600" s="23" t="n">
        <v>14</v>
      </c>
      <c r="F1600" s="28" t="s">
        <v>451</v>
      </c>
      <c r="G1600" s="19" t="n">
        <v>0.0461</v>
      </c>
    </row>
    <row r="1601" customFormat="false" ht="15" hidden="false" customHeight="false" outlineLevel="0" collapsed="false">
      <c r="A1601" s="28" t="s">
        <v>182</v>
      </c>
      <c r="B1601" s="28" t="s">
        <v>183</v>
      </c>
      <c r="C1601" s="28" t="s">
        <v>174</v>
      </c>
      <c r="D1601" s="23" t="n">
        <v>5</v>
      </c>
      <c r="E1601" s="23" t="n">
        <v>14</v>
      </c>
      <c r="F1601" s="28" t="s">
        <v>905</v>
      </c>
      <c r="G1601" s="19" t="n">
        <v>0.0487</v>
      </c>
    </row>
    <row r="1602" customFormat="false" ht="15" hidden="false" customHeight="false" outlineLevel="0" collapsed="false">
      <c r="A1602" s="28" t="s">
        <v>182</v>
      </c>
      <c r="B1602" s="28" t="s">
        <v>183</v>
      </c>
      <c r="C1602" s="28" t="s">
        <v>174</v>
      </c>
      <c r="D1602" s="23" t="n">
        <v>5</v>
      </c>
      <c r="E1602" s="23" t="n">
        <v>14</v>
      </c>
      <c r="F1602" s="28" t="s">
        <v>906</v>
      </c>
      <c r="G1602" s="19" t="n">
        <v>0.0501</v>
      </c>
    </row>
    <row r="1603" customFormat="false" ht="15" hidden="false" customHeight="false" outlineLevel="0" collapsed="false">
      <c r="A1603" s="28" t="s">
        <v>182</v>
      </c>
      <c r="B1603" s="28" t="s">
        <v>183</v>
      </c>
      <c r="C1603" s="28" t="s">
        <v>174</v>
      </c>
      <c r="D1603" s="23" t="n">
        <v>5</v>
      </c>
      <c r="E1603" s="23" t="n">
        <v>14</v>
      </c>
      <c r="F1603" s="28" t="s">
        <v>907</v>
      </c>
      <c r="G1603" s="19" t="n">
        <v>0.0498</v>
      </c>
    </row>
    <row r="1604" customFormat="false" ht="15" hidden="false" customHeight="false" outlineLevel="0" collapsed="false">
      <c r="A1604" s="28" t="s">
        <v>182</v>
      </c>
      <c r="B1604" s="28" t="s">
        <v>183</v>
      </c>
      <c r="C1604" s="28" t="s">
        <v>174</v>
      </c>
      <c r="D1604" s="23" t="n">
        <v>5</v>
      </c>
      <c r="E1604" s="23" t="n">
        <v>14</v>
      </c>
      <c r="F1604" s="28" t="s">
        <v>908</v>
      </c>
      <c r="G1604" s="19" t="n">
        <v>0.0514</v>
      </c>
    </row>
    <row r="1605" customFormat="false" ht="15" hidden="false" customHeight="false" outlineLevel="0" collapsed="false">
      <c r="A1605" s="28" t="s">
        <v>182</v>
      </c>
      <c r="B1605" s="28" t="s">
        <v>183</v>
      </c>
      <c r="C1605" s="28" t="s">
        <v>174</v>
      </c>
      <c r="D1605" s="23" t="n">
        <v>5</v>
      </c>
      <c r="E1605" s="23" t="n">
        <v>14</v>
      </c>
      <c r="F1605" s="28" t="s">
        <v>909</v>
      </c>
      <c r="G1605" s="19" t="n">
        <v>0.0515</v>
      </c>
    </row>
    <row r="1606" customFormat="false" ht="15" hidden="false" customHeight="false" outlineLevel="0" collapsed="false">
      <c r="A1606" s="28" t="s">
        <v>182</v>
      </c>
      <c r="B1606" s="28" t="s">
        <v>183</v>
      </c>
      <c r="C1606" s="28" t="s">
        <v>174</v>
      </c>
      <c r="D1606" s="23" t="n">
        <v>5</v>
      </c>
      <c r="E1606" s="23" t="n">
        <v>14</v>
      </c>
      <c r="F1606" s="28" t="s">
        <v>910</v>
      </c>
      <c r="G1606" s="19" t="n">
        <v>0.0519</v>
      </c>
    </row>
    <row r="1607" customFormat="false" ht="15" hidden="false" customHeight="false" outlineLevel="0" collapsed="false">
      <c r="A1607" s="28" t="s">
        <v>182</v>
      </c>
      <c r="B1607" s="28" t="s">
        <v>183</v>
      </c>
      <c r="C1607" s="28" t="s">
        <v>174</v>
      </c>
      <c r="D1607" s="23" t="n">
        <v>5</v>
      </c>
      <c r="E1607" s="23" t="n">
        <v>14</v>
      </c>
      <c r="F1607" s="28" t="s">
        <v>911</v>
      </c>
      <c r="G1607" s="19" t="n">
        <v>0.053</v>
      </c>
    </row>
    <row r="1608" customFormat="false" ht="15" hidden="false" customHeight="false" outlineLevel="0" collapsed="false">
      <c r="A1608" s="28" t="s">
        <v>182</v>
      </c>
      <c r="B1608" s="28" t="s">
        <v>183</v>
      </c>
      <c r="C1608" s="28" t="s">
        <v>174</v>
      </c>
      <c r="D1608" s="23" t="n">
        <v>5</v>
      </c>
      <c r="E1608" s="23" t="n">
        <v>14</v>
      </c>
      <c r="F1608" s="28" t="s">
        <v>912</v>
      </c>
      <c r="G1608" s="19" t="n">
        <v>0.0544</v>
      </c>
    </row>
    <row r="1609" customFormat="false" ht="15" hidden="false" customHeight="false" outlineLevel="0" collapsed="false">
      <c r="A1609" s="28" t="s">
        <v>182</v>
      </c>
      <c r="B1609" s="28" t="s">
        <v>183</v>
      </c>
      <c r="C1609" s="28" t="s">
        <v>174</v>
      </c>
      <c r="D1609" s="23" t="n">
        <v>5</v>
      </c>
      <c r="E1609" s="23" t="n">
        <v>14</v>
      </c>
      <c r="F1609" s="28" t="s">
        <v>913</v>
      </c>
      <c r="G1609" s="19" t="n">
        <v>0.0593</v>
      </c>
    </row>
    <row r="1610" customFormat="false" ht="15" hidden="false" customHeight="false" outlineLevel="0" collapsed="false">
      <c r="A1610" s="28" t="s">
        <v>182</v>
      </c>
      <c r="B1610" s="28" t="s">
        <v>183</v>
      </c>
      <c r="C1610" s="28" t="s">
        <v>174</v>
      </c>
      <c r="D1610" s="23" t="n">
        <v>5</v>
      </c>
      <c r="E1610" s="23" t="n">
        <v>14</v>
      </c>
      <c r="F1610" s="28" t="s">
        <v>914</v>
      </c>
      <c r="G1610" s="19" t="n">
        <v>0.0591</v>
      </c>
    </row>
    <row r="1611" customFormat="false" ht="15" hidden="false" customHeight="false" outlineLevel="0" collapsed="false">
      <c r="A1611" s="28" t="s">
        <v>182</v>
      </c>
      <c r="B1611" s="28" t="s">
        <v>183</v>
      </c>
      <c r="C1611" s="28" t="s">
        <v>174</v>
      </c>
      <c r="D1611" s="23" t="n">
        <v>5</v>
      </c>
      <c r="E1611" s="23" t="n">
        <v>14</v>
      </c>
      <c r="F1611" s="28" t="s">
        <v>915</v>
      </c>
      <c r="G1611" s="19" t="n">
        <v>0.0749</v>
      </c>
    </row>
    <row r="1612" customFormat="false" ht="15" hidden="false" customHeight="false" outlineLevel="0" collapsed="false">
      <c r="A1612" s="28" t="s">
        <v>182</v>
      </c>
      <c r="B1612" s="28" t="s">
        <v>183</v>
      </c>
      <c r="C1612" s="28" t="s">
        <v>174</v>
      </c>
      <c r="D1612" s="23" t="n">
        <v>5</v>
      </c>
      <c r="E1612" s="23" t="n">
        <v>15</v>
      </c>
      <c r="F1612" s="28" t="s">
        <v>904</v>
      </c>
      <c r="G1612" s="19" t="n">
        <v>0.0463</v>
      </c>
    </row>
    <row r="1613" customFormat="false" ht="15" hidden="false" customHeight="false" outlineLevel="0" collapsed="false">
      <c r="A1613" s="28" t="s">
        <v>182</v>
      </c>
      <c r="B1613" s="28" t="s">
        <v>183</v>
      </c>
      <c r="C1613" s="28" t="s">
        <v>174</v>
      </c>
      <c r="D1613" s="23" t="n">
        <v>5</v>
      </c>
      <c r="E1613" s="23" t="n">
        <v>15</v>
      </c>
      <c r="F1613" s="28" t="s">
        <v>551</v>
      </c>
      <c r="G1613" s="19" t="n">
        <v>0.0775</v>
      </c>
    </row>
    <row r="1614" customFormat="false" ht="15" hidden="false" customHeight="false" outlineLevel="0" collapsed="false">
      <c r="A1614" s="28" t="s">
        <v>182</v>
      </c>
      <c r="B1614" s="28" t="s">
        <v>183</v>
      </c>
      <c r="C1614" s="28" t="s">
        <v>174</v>
      </c>
      <c r="D1614" s="23" t="n">
        <v>5</v>
      </c>
      <c r="E1614" s="23" t="n">
        <v>15</v>
      </c>
      <c r="F1614" s="28" t="s">
        <v>451</v>
      </c>
      <c r="G1614" s="19" t="n">
        <v>0.0461</v>
      </c>
    </row>
    <row r="1615" customFormat="false" ht="15" hidden="false" customHeight="false" outlineLevel="0" collapsed="false">
      <c r="A1615" s="28" t="s">
        <v>182</v>
      </c>
      <c r="B1615" s="28" t="s">
        <v>183</v>
      </c>
      <c r="C1615" s="28" t="s">
        <v>174</v>
      </c>
      <c r="D1615" s="23" t="n">
        <v>5</v>
      </c>
      <c r="E1615" s="23" t="n">
        <v>15</v>
      </c>
      <c r="F1615" s="28" t="s">
        <v>905</v>
      </c>
      <c r="G1615" s="19" t="n">
        <v>0.0487</v>
      </c>
    </row>
    <row r="1616" customFormat="false" ht="15" hidden="false" customHeight="false" outlineLevel="0" collapsed="false">
      <c r="A1616" s="28" t="s">
        <v>182</v>
      </c>
      <c r="B1616" s="28" t="s">
        <v>183</v>
      </c>
      <c r="C1616" s="28" t="s">
        <v>174</v>
      </c>
      <c r="D1616" s="23" t="n">
        <v>5</v>
      </c>
      <c r="E1616" s="23" t="n">
        <v>15</v>
      </c>
      <c r="F1616" s="28" t="s">
        <v>906</v>
      </c>
      <c r="G1616" s="19" t="n">
        <v>0.0501</v>
      </c>
    </row>
    <row r="1617" customFormat="false" ht="15" hidden="false" customHeight="false" outlineLevel="0" collapsed="false">
      <c r="A1617" s="28" t="s">
        <v>182</v>
      </c>
      <c r="B1617" s="28" t="s">
        <v>183</v>
      </c>
      <c r="C1617" s="28" t="s">
        <v>174</v>
      </c>
      <c r="D1617" s="23" t="n">
        <v>5</v>
      </c>
      <c r="E1617" s="23" t="n">
        <v>15</v>
      </c>
      <c r="F1617" s="28" t="s">
        <v>907</v>
      </c>
      <c r="G1617" s="19" t="n">
        <v>0.0498</v>
      </c>
    </row>
    <row r="1618" customFormat="false" ht="15" hidden="false" customHeight="false" outlineLevel="0" collapsed="false">
      <c r="A1618" s="28" t="s">
        <v>182</v>
      </c>
      <c r="B1618" s="28" t="s">
        <v>183</v>
      </c>
      <c r="C1618" s="28" t="s">
        <v>174</v>
      </c>
      <c r="D1618" s="23" t="n">
        <v>5</v>
      </c>
      <c r="E1618" s="23" t="n">
        <v>15</v>
      </c>
      <c r="F1618" s="28" t="s">
        <v>908</v>
      </c>
      <c r="G1618" s="19" t="n">
        <v>0.0514</v>
      </c>
    </row>
    <row r="1619" customFormat="false" ht="15" hidden="false" customHeight="false" outlineLevel="0" collapsed="false">
      <c r="A1619" s="28" t="s">
        <v>182</v>
      </c>
      <c r="B1619" s="28" t="s">
        <v>183</v>
      </c>
      <c r="C1619" s="28" t="s">
        <v>174</v>
      </c>
      <c r="D1619" s="23" t="n">
        <v>5</v>
      </c>
      <c r="E1619" s="23" t="n">
        <v>15</v>
      </c>
      <c r="F1619" s="28" t="s">
        <v>909</v>
      </c>
      <c r="G1619" s="19" t="n">
        <v>0.0515</v>
      </c>
    </row>
    <row r="1620" customFormat="false" ht="15" hidden="false" customHeight="false" outlineLevel="0" collapsed="false">
      <c r="A1620" s="28" t="s">
        <v>182</v>
      </c>
      <c r="B1620" s="28" t="s">
        <v>183</v>
      </c>
      <c r="C1620" s="28" t="s">
        <v>174</v>
      </c>
      <c r="D1620" s="23" t="n">
        <v>5</v>
      </c>
      <c r="E1620" s="23" t="n">
        <v>15</v>
      </c>
      <c r="F1620" s="28" t="s">
        <v>910</v>
      </c>
      <c r="G1620" s="19" t="n">
        <v>0.0519</v>
      </c>
    </row>
    <row r="1621" customFormat="false" ht="15" hidden="false" customHeight="false" outlineLevel="0" collapsed="false">
      <c r="A1621" s="28" t="s">
        <v>182</v>
      </c>
      <c r="B1621" s="28" t="s">
        <v>183</v>
      </c>
      <c r="C1621" s="28" t="s">
        <v>174</v>
      </c>
      <c r="D1621" s="23" t="n">
        <v>5</v>
      </c>
      <c r="E1621" s="23" t="n">
        <v>15</v>
      </c>
      <c r="F1621" s="28" t="s">
        <v>911</v>
      </c>
      <c r="G1621" s="19" t="n">
        <v>0.053</v>
      </c>
    </row>
    <row r="1622" customFormat="false" ht="15" hidden="false" customHeight="false" outlineLevel="0" collapsed="false">
      <c r="A1622" s="28" t="s">
        <v>182</v>
      </c>
      <c r="B1622" s="28" t="s">
        <v>183</v>
      </c>
      <c r="C1622" s="28" t="s">
        <v>174</v>
      </c>
      <c r="D1622" s="23" t="n">
        <v>5</v>
      </c>
      <c r="E1622" s="23" t="n">
        <v>15</v>
      </c>
      <c r="F1622" s="28" t="s">
        <v>912</v>
      </c>
      <c r="G1622" s="19" t="n">
        <v>0.0544</v>
      </c>
    </row>
    <row r="1623" customFormat="false" ht="15" hidden="false" customHeight="false" outlineLevel="0" collapsed="false">
      <c r="A1623" s="28" t="s">
        <v>182</v>
      </c>
      <c r="B1623" s="28" t="s">
        <v>183</v>
      </c>
      <c r="C1623" s="28" t="s">
        <v>174</v>
      </c>
      <c r="D1623" s="23" t="n">
        <v>5</v>
      </c>
      <c r="E1623" s="23" t="n">
        <v>15</v>
      </c>
      <c r="F1623" s="28" t="s">
        <v>913</v>
      </c>
      <c r="G1623" s="19" t="n">
        <v>0.0593</v>
      </c>
    </row>
    <row r="1624" customFormat="false" ht="15" hidden="false" customHeight="false" outlineLevel="0" collapsed="false">
      <c r="A1624" s="28" t="s">
        <v>182</v>
      </c>
      <c r="B1624" s="28" t="s">
        <v>183</v>
      </c>
      <c r="C1624" s="28" t="s">
        <v>174</v>
      </c>
      <c r="D1624" s="23" t="n">
        <v>5</v>
      </c>
      <c r="E1624" s="23" t="n">
        <v>15</v>
      </c>
      <c r="F1624" s="28" t="s">
        <v>914</v>
      </c>
      <c r="G1624" s="19" t="n">
        <v>0.0591</v>
      </c>
    </row>
    <row r="1625" customFormat="false" ht="15" hidden="false" customHeight="false" outlineLevel="0" collapsed="false">
      <c r="A1625" s="28" t="s">
        <v>182</v>
      </c>
      <c r="B1625" s="28" t="s">
        <v>183</v>
      </c>
      <c r="C1625" s="28" t="s">
        <v>174</v>
      </c>
      <c r="D1625" s="23" t="n">
        <v>5</v>
      </c>
      <c r="E1625" s="23" t="n">
        <v>15</v>
      </c>
      <c r="F1625" s="28" t="s">
        <v>915</v>
      </c>
      <c r="G1625" s="19" t="n">
        <v>0.0749</v>
      </c>
    </row>
    <row r="1626" customFormat="false" ht="15" hidden="false" customHeight="false" outlineLevel="0" collapsed="false">
      <c r="A1626" s="28" t="s">
        <v>182</v>
      </c>
      <c r="B1626" s="28" t="s">
        <v>183</v>
      </c>
      <c r="C1626" s="28" t="s">
        <v>174</v>
      </c>
      <c r="D1626" s="23" t="n">
        <v>5</v>
      </c>
      <c r="E1626" s="23" t="n">
        <v>16</v>
      </c>
      <c r="F1626" s="28" t="s">
        <v>904</v>
      </c>
      <c r="G1626" s="19" t="n">
        <v>0.0463</v>
      </c>
    </row>
    <row r="1627" customFormat="false" ht="15" hidden="false" customHeight="false" outlineLevel="0" collapsed="false">
      <c r="A1627" s="28" t="s">
        <v>182</v>
      </c>
      <c r="B1627" s="28" t="s">
        <v>183</v>
      </c>
      <c r="C1627" s="28" t="s">
        <v>174</v>
      </c>
      <c r="D1627" s="23" t="n">
        <v>5</v>
      </c>
      <c r="E1627" s="23" t="n">
        <v>16</v>
      </c>
      <c r="F1627" s="28" t="s">
        <v>551</v>
      </c>
      <c r="G1627" s="19" t="n">
        <v>0.0775</v>
      </c>
    </row>
    <row r="1628" customFormat="false" ht="15" hidden="false" customHeight="false" outlineLevel="0" collapsed="false">
      <c r="A1628" s="28" t="s">
        <v>182</v>
      </c>
      <c r="B1628" s="28" t="s">
        <v>183</v>
      </c>
      <c r="C1628" s="28" t="s">
        <v>174</v>
      </c>
      <c r="D1628" s="23" t="n">
        <v>5</v>
      </c>
      <c r="E1628" s="23" t="n">
        <v>16</v>
      </c>
      <c r="F1628" s="28" t="s">
        <v>451</v>
      </c>
      <c r="G1628" s="19" t="n">
        <v>0.0461</v>
      </c>
    </row>
    <row r="1629" customFormat="false" ht="15" hidden="false" customHeight="false" outlineLevel="0" collapsed="false">
      <c r="A1629" s="28" t="s">
        <v>182</v>
      </c>
      <c r="B1629" s="28" t="s">
        <v>183</v>
      </c>
      <c r="C1629" s="28" t="s">
        <v>174</v>
      </c>
      <c r="D1629" s="23" t="n">
        <v>5</v>
      </c>
      <c r="E1629" s="23" t="n">
        <v>16</v>
      </c>
      <c r="F1629" s="28" t="s">
        <v>905</v>
      </c>
      <c r="G1629" s="19" t="n">
        <v>0.0487</v>
      </c>
    </row>
    <row r="1630" customFormat="false" ht="15" hidden="false" customHeight="false" outlineLevel="0" collapsed="false">
      <c r="A1630" s="28" t="s">
        <v>182</v>
      </c>
      <c r="B1630" s="28" t="s">
        <v>183</v>
      </c>
      <c r="C1630" s="28" t="s">
        <v>174</v>
      </c>
      <c r="D1630" s="23" t="n">
        <v>5</v>
      </c>
      <c r="E1630" s="23" t="n">
        <v>16</v>
      </c>
      <c r="F1630" s="28" t="s">
        <v>906</v>
      </c>
      <c r="G1630" s="19" t="n">
        <v>0.0501</v>
      </c>
    </row>
    <row r="1631" customFormat="false" ht="15" hidden="false" customHeight="false" outlineLevel="0" collapsed="false">
      <c r="A1631" s="28" t="s">
        <v>182</v>
      </c>
      <c r="B1631" s="28" t="s">
        <v>183</v>
      </c>
      <c r="C1631" s="28" t="s">
        <v>174</v>
      </c>
      <c r="D1631" s="23" t="n">
        <v>5</v>
      </c>
      <c r="E1631" s="23" t="n">
        <v>16</v>
      </c>
      <c r="F1631" s="28" t="s">
        <v>907</v>
      </c>
      <c r="G1631" s="19" t="n">
        <v>0.0498</v>
      </c>
    </row>
    <row r="1632" customFormat="false" ht="15" hidden="false" customHeight="false" outlineLevel="0" collapsed="false">
      <c r="A1632" s="28" t="s">
        <v>182</v>
      </c>
      <c r="B1632" s="28" t="s">
        <v>183</v>
      </c>
      <c r="C1632" s="28" t="s">
        <v>174</v>
      </c>
      <c r="D1632" s="23" t="n">
        <v>5</v>
      </c>
      <c r="E1632" s="23" t="n">
        <v>16</v>
      </c>
      <c r="F1632" s="28" t="s">
        <v>908</v>
      </c>
      <c r="G1632" s="19" t="n">
        <v>0.0514</v>
      </c>
    </row>
    <row r="1633" customFormat="false" ht="15" hidden="false" customHeight="false" outlineLevel="0" collapsed="false">
      <c r="A1633" s="28" t="s">
        <v>182</v>
      </c>
      <c r="B1633" s="28" t="s">
        <v>183</v>
      </c>
      <c r="C1633" s="28" t="s">
        <v>174</v>
      </c>
      <c r="D1633" s="23" t="n">
        <v>5</v>
      </c>
      <c r="E1633" s="23" t="n">
        <v>16</v>
      </c>
      <c r="F1633" s="28" t="s">
        <v>909</v>
      </c>
      <c r="G1633" s="19" t="n">
        <v>0.0515</v>
      </c>
    </row>
    <row r="1634" customFormat="false" ht="15" hidden="false" customHeight="false" outlineLevel="0" collapsed="false">
      <c r="A1634" s="28" t="s">
        <v>182</v>
      </c>
      <c r="B1634" s="28" t="s">
        <v>183</v>
      </c>
      <c r="C1634" s="28" t="s">
        <v>174</v>
      </c>
      <c r="D1634" s="23" t="n">
        <v>5</v>
      </c>
      <c r="E1634" s="23" t="n">
        <v>16</v>
      </c>
      <c r="F1634" s="28" t="s">
        <v>910</v>
      </c>
      <c r="G1634" s="19" t="n">
        <v>0.0519</v>
      </c>
    </row>
    <row r="1635" customFormat="false" ht="15" hidden="false" customHeight="false" outlineLevel="0" collapsed="false">
      <c r="A1635" s="28" t="s">
        <v>182</v>
      </c>
      <c r="B1635" s="28" t="s">
        <v>183</v>
      </c>
      <c r="C1635" s="28" t="s">
        <v>174</v>
      </c>
      <c r="D1635" s="23" t="n">
        <v>5</v>
      </c>
      <c r="E1635" s="23" t="n">
        <v>16</v>
      </c>
      <c r="F1635" s="28" t="s">
        <v>911</v>
      </c>
      <c r="G1635" s="19" t="n">
        <v>0.053</v>
      </c>
    </row>
    <row r="1636" customFormat="false" ht="15" hidden="false" customHeight="false" outlineLevel="0" collapsed="false">
      <c r="A1636" s="28" t="s">
        <v>182</v>
      </c>
      <c r="B1636" s="28" t="s">
        <v>183</v>
      </c>
      <c r="C1636" s="28" t="s">
        <v>174</v>
      </c>
      <c r="D1636" s="23" t="n">
        <v>5</v>
      </c>
      <c r="E1636" s="23" t="n">
        <v>16</v>
      </c>
      <c r="F1636" s="28" t="s">
        <v>912</v>
      </c>
      <c r="G1636" s="19" t="n">
        <v>0.0544</v>
      </c>
    </row>
    <row r="1637" customFormat="false" ht="15" hidden="false" customHeight="false" outlineLevel="0" collapsed="false">
      <c r="A1637" s="28" t="s">
        <v>182</v>
      </c>
      <c r="B1637" s="28" t="s">
        <v>183</v>
      </c>
      <c r="C1637" s="28" t="s">
        <v>174</v>
      </c>
      <c r="D1637" s="23" t="n">
        <v>5</v>
      </c>
      <c r="E1637" s="23" t="n">
        <v>16</v>
      </c>
      <c r="F1637" s="28" t="s">
        <v>913</v>
      </c>
      <c r="G1637" s="19" t="n">
        <v>0.0593</v>
      </c>
    </row>
    <row r="1638" customFormat="false" ht="15" hidden="false" customHeight="false" outlineLevel="0" collapsed="false">
      <c r="A1638" s="28" t="s">
        <v>182</v>
      </c>
      <c r="B1638" s="28" t="s">
        <v>183</v>
      </c>
      <c r="C1638" s="28" t="s">
        <v>174</v>
      </c>
      <c r="D1638" s="23" t="n">
        <v>5</v>
      </c>
      <c r="E1638" s="23" t="n">
        <v>16</v>
      </c>
      <c r="F1638" s="28" t="s">
        <v>914</v>
      </c>
      <c r="G1638" s="19" t="n">
        <v>0.0591</v>
      </c>
    </row>
    <row r="1639" customFormat="false" ht="15" hidden="false" customHeight="false" outlineLevel="0" collapsed="false">
      <c r="A1639" s="28" t="s">
        <v>182</v>
      </c>
      <c r="B1639" s="28" t="s">
        <v>183</v>
      </c>
      <c r="C1639" s="28" t="s">
        <v>174</v>
      </c>
      <c r="D1639" s="23" t="n">
        <v>5</v>
      </c>
      <c r="E1639" s="23" t="n">
        <v>16</v>
      </c>
      <c r="F1639" s="28" t="s">
        <v>915</v>
      </c>
      <c r="G1639" s="19" t="n">
        <v>0.0749</v>
      </c>
    </row>
    <row r="1640" customFormat="false" ht="15" hidden="false" customHeight="false" outlineLevel="0" collapsed="false">
      <c r="A1640" s="28" t="s">
        <v>182</v>
      </c>
      <c r="B1640" s="28" t="s">
        <v>183</v>
      </c>
      <c r="C1640" s="28" t="s">
        <v>174</v>
      </c>
      <c r="D1640" s="23" t="n">
        <v>5</v>
      </c>
      <c r="E1640" s="23" t="n">
        <v>17</v>
      </c>
      <c r="F1640" s="28" t="s">
        <v>904</v>
      </c>
      <c r="G1640" s="19" t="n">
        <v>0.0463</v>
      </c>
    </row>
    <row r="1641" customFormat="false" ht="15" hidden="false" customHeight="false" outlineLevel="0" collapsed="false">
      <c r="A1641" s="28" t="s">
        <v>182</v>
      </c>
      <c r="B1641" s="28" t="s">
        <v>183</v>
      </c>
      <c r="C1641" s="28" t="s">
        <v>174</v>
      </c>
      <c r="D1641" s="23" t="n">
        <v>5</v>
      </c>
      <c r="E1641" s="23" t="n">
        <v>17</v>
      </c>
      <c r="F1641" s="28" t="s">
        <v>551</v>
      </c>
      <c r="G1641" s="19" t="n">
        <v>0.0775</v>
      </c>
    </row>
    <row r="1642" customFormat="false" ht="15" hidden="false" customHeight="false" outlineLevel="0" collapsed="false">
      <c r="A1642" s="28" t="s">
        <v>182</v>
      </c>
      <c r="B1642" s="28" t="s">
        <v>183</v>
      </c>
      <c r="C1642" s="28" t="s">
        <v>174</v>
      </c>
      <c r="D1642" s="23" t="n">
        <v>5</v>
      </c>
      <c r="E1642" s="23" t="n">
        <v>17</v>
      </c>
      <c r="F1642" s="28" t="s">
        <v>451</v>
      </c>
      <c r="G1642" s="19" t="n">
        <v>0.0461</v>
      </c>
    </row>
    <row r="1643" customFormat="false" ht="15" hidden="false" customHeight="false" outlineLevel="0" collapsed="false">
      <c r="A1643" s="28" t="s">
        <v>182</v>
      </c>
      <c r="B1643" s="28" t="s">
        <v>183</v>
      </c>
      <c r="C1643" s="28" t="s">
        <v>174</v>
      </c>
      <c r="D1643" s="23" t="n">
        <v>5</v>
      </c>
      <c r="E1643" s="23" t="n">
        <v>17</v>
      </c>
      <c r="F1643" s="28" t="s">
        <v>905</v>
      </c>
      <c r="G1643" s="19" t="n">
        <v>0.0487</v>
      </c>
    </row>
    <row r="1644" customFormat="false" ht="15" hidden="false" customHeight="false" outlineLevel="0" collapsed="false">
      <c r="A1644" s="28" t="s">
        <v>182</v>
      </c>
      <c r="B1644" s="28" t="s">
        <v>183</v>
      </c>
      <c r="C1644" s="28" t="s">
        <v>174</v>
      </c>
      <c r="D1644" s="23" t="n">
        <v>5</v>
      </c>
      <c r="E1644" s="23" t="n">
        <v>17</v>
      </c>
      <c r="F1644" s="28" t="s">
        <v>906</v>
      </c>
      <c r="G1644" s="19" t="n">
        <v>0.0501</v>
      </c>
    </row>
    <row r="1645" customFormat="false" ht="15" hidden="false" customHeight="false" outlineLevel="0" collapsed="false">
      <c r="A1645" s="28" t="s">
        <v>182</v>
      </c>
      <c r="B1645" s="28" t="s">
        <v>183</v>
      </c>
      <c r="C1645" s="28" t="s">
        <v>174</v>
      </c>
      <c r="D1645" s="23" t="n">
        <v>5</v>
      </c>
      <c r="E1645" s="23" t="n">
        <v>17</v>
      </c>
      <c r="F1645" s="28" t="s">
        <v>907</v>
      </c>
      <c r="G1645" s="19" t="n">
        <v>0.0498</v>
      </c>
    </row>
    <row r="1646" customFormat="false" ht="15" hidden="false" customHeight="false" outlineLevel="0" collapsed="false">
      <c r="A1646" s="28" t="s">
        <v>182</v>
      </c>
      <c r="B1646" s="28" t="s">
        <v>183</v>
      </c>
      <c r="C1646" s="28" t="s">
        <v>174</v>
      </c>
      <c r="D1646" s="23" t="n">
        <v>5</v>
      </c>
      <c r="E1646" s="23" t="n">
        <v>17</v>
      </c>
      <c r="F1646" s="28" t="s">
        <v>908</v>
      </c>
      <c r="G1646" s="19" t="n">
        <v>0.0514</v>
      </c>
    </row>
    <row r="1647" customFormat="false" ht="15" hidden="false" customHeight="false" outlineLevel="0" collapsed="false">
      <c r="A1647" s="28" t="s">
        <v>182</v>
      </c>
      <c r="B1647" s="28" t="s">
        <v>183</v>
      </c>
      <c r="C1647" s="28" t="s">
        <v>174</v>
      </c>
      <c r="D1647" s="23" t="n">
        <v>5</v>
      </c>
      <c r="E1647" s="23" t="n">
        <v>17</v>
      </c>
      <c r="F1647" s="28" t="s">
        <v>909</v>
      </c>
      <c r="G1647" s="19" t="n">
        <v>0.0515</v>
      </c>
    </row>
    <row r="1648" customFormat="false" ht="15" hidden="false" customHeight="false" outlineLevel="0" collapsed="false">
      <c r="A1648" s="28" t="s">
        <v>182</v>
      </c>
      <c r="B1648" s="28" t="s">
        <v>183</v>
      </c>
      <c r="C1648" s="28" t="s">
        <v>174</v>
      </c>
      <c r="D1648" s="23" t="n">
        <v>5</v>
      </c>
      <c r="E1648" s="23" t="n">
        <v>17</v>
      </c>
      <c r="F1648" s="28" t="s">
        <v>910</v>
      </c>
      <c r="G1648" s="19" t="n">
        <v>0.0519</v>
      </c>
    </row>
    <row r="1649" customFormat="false" ht="15" hidden="false" customHeight="false" outlineLevel="0" collapsed="false">
      <c r="A1649" s="28" t="s">
        <v>182</v>
      </c>
      <c r="B1649" s="28" t="s">
        <v>183</v>
      </c>
      <c r="C1649" s="28" t="s">
        <v>174</v>
      </c>
      <c r="D1649" s="23" t="n">
        <v>5</v>
      </c>
      <c r="E1649" s="23" t="n">
        <v>17</v>
      </c>
      <c r="F1649" s="28" t="s">
        <v>911</v>
      </c>
      <c r="G1649" s="19" t="n">
        <v>0.053</v>
      </c>
    </row>
    <row r="1650" customFormat="false" ht="15" hidden="false" customHeight="false" outlineLevel="0" collapsed="false">
      <c r="A1650" s="28" t="s">
        <v>182</v>
      </c>
      <c r="B1650" s="28" t="s">
        <v>183</v>
      </c>
      <c r="C1650" s="28" t="s">
        <v>174</v>
      </c>
      <c r="D1650" s="23" t="n">
        <v>5</v>
      </c>
      <c r="E1650" s="23" t="n">
        <v>17</v>
      </c>
      <c r="F1650" s="28" t="s">
        <v>912</v>
      </c>
      <c r="G1650" s="19" t="n">
        <v>0.0544</v>
      </c>
    </row>
    <row r="1651" customFormat="false" ht="15" hidden="false" customHeight="false" outlineLevel="0" collapsed="false">
      <c r="A1651" s="28" t="s">
        <v>182</v>
      </c>
      <c r="B1651" s="28" t="s">
        <v>183</v>
      </c>
      <c r="C1651" s="28" t="s">
        <v>174</v>
      </c>
      <c r="D1651" s="23" t="n">
        <v>5</v>
      </c>
      <c r="E1651" s="23" t="n">
        <v>17</v>
      </c>
      <c r="F1651" s="28" t="s">
        <v>913</v>
      </c>
      <c r="G1651" s="19" t="n">
        <v>0.0593</v>
      </c>
    </row>
    <row r="1652" customFormat="false" ht="15" hidden="false" customHeight="false" outlineLevel="0" collapsed="false">
      <c r="A1652" s="28" t="s">
        <v>182</v>
      </c>
      <c r="B1652" s="28" t="s">
        <v>183</v>
      </c>
      <c r="C1652" s="28" t="s">
        <v>174</v>
      </c>
      <c r="D1652" s="23" t="n">
        <v>5</v>
      </c>
      <c r="E1652" s="23" t="n">
        <v>17</v>
      </c>
      <c r="F1652" s="28" t="s">
        <v>914</v>
      </c>
      <c r="G1652" s="19" t="n">
        <v>0.0591</v>
      </c>
    </row>
    <row r="1653" customFormat="false" ht="15" hidden="false" customHeight="false" outlineLevel="0" collapsed="false">
      <c r="A1653" s="28" t="s">
        <v>182</v>
      </c>
      <c r="B1653" s="28" t="s">
        <v>183</v>
      </c>
      <c r="C1653" s="28" t="s">
        <v>174</v>
      </c>
      <c r="D1653" s="23" t="n">
        <v>5</v>
      </c>
      <c r="E1653" s="23" t="n">
        <v>17</v>
      </c>
      <c r="F1653" s="28" t="s">
        <v>915</v>
      </c>
      <c r="G1653" s="19" t="n">
        <v>0.0749</v>
      </c>
    </row>
    <row r="1654" customFormat="false" ht="15" hidden="false" customHeight="false" outlineLevel="0" collapsed="false">
      <c r="A1654" s="28" t="s">
        <v>182</v>
      </c>
      <c r="B1654" s="28" t="s">
        <v>183</v>
      </c>
      <c r="C1654" s="28" t="s">
        <v>174</v>
      </c>
      <c r="D1654" s="23" t="n">
        <v>5</v>
      </c>
      <c r="E1654" s="23" t="n">
        <v>18</v>
      </c>
      <c r="F1654" s="28" t="s">
        <v>904</v>
      </c>
      <c r="G1654" s="19" t="n">
        <v>0.0463</v>
      </c>
    </row>
    <row r="1655" customFormat="false" ht="15" hidden="false" customHeight="false" outlineLevel="0" collapsed="false">
      <c r="A1655" s="28" t="s">
        <v>182</v>
      </c>
      <c r="B1655" s="28" t="s">
        <v>183</v>
      </c>
      <c r="C1655" s="28" t="s">
        <v>174</v>
      </c>
      <c r="D1655" s="23" t="n">
        <v>5</v>
      </c>
      <c r="E1655" s="23" t="n">
        <v>18</v>
      </c>
      <c r="F1655" s="28" t="s">
        <v>551</v>
      </c>
      <c r="G1655" s="19" t="n">
        <v>0.0775</v>
      </c>
    </row>
    <row r="1656" customFormat="false" ht="15" hidden="false" customHeight="false" outlineLevel="0" collapsed="false">
      <c r="A1656" s="28" t="s">
        <v>182</v>
      </c>
      <c r="B1656" s="28" t="s">
        <v>183</v>
      </c>
      <c r="C1656" s="28" t="s">
        <v>174</v>
      </c>
      <c r="D1656" s="23" t="n">
        <v>5</v>
      </c>
      <c r="E1656" s="23" t="n">
        <v>18</v>
      </c>
      <c r="F1656" s="28" t="s">
        <v>451</v>
      </c>
      <c r="G1656" s="19" t="n">
        <v>0.0461</v>
      </c>
    </row>
    <row r="1657" customFormat="false" ht="15" hidden="false" customHeight="false" outlineLevel="0" collapsed="false">
      <c r="A1657" s="28" t="s">
        <v>182</v>
      </c>
      <c r="B1657" s="28" t="s">
        <v>183</v>
      </c>
      <c r="C1657" s="28" t="s">
        <v>174</v>
      </c>
      <c r="D1657" s="23" t="n">
        <v>5</v>
      </c>
      <c r="E1657" s="23" t="n">
        <v>18</v>
      </c>
      <c r="F1657" s="28" t="s">
        <v>905</v>
      </c>
      <c r="G1657" s="19" t="n">
        <v>0.0487</v>
      </c>
    </row>
    <row r="1658" customFormat="false" ht="15" hidden="false" customHeight="false" outlineLevel="0" collapsed="false">
      <c r="A1658" s="28" t="s">
        <v>182</v>
      </c>
      <c r="B1658" s="28" t="s">
        <v>183</v>
      </c>
      <c r="C1658" s="28" t="s">
        <v>174</v>
      </c>
      <c r="D1658" s="23" t="n">
        <v>5</v>
      </c>
      <c r="E1658" s="23" t="n">
        <v>18</v>
      </c>
      <c r="F1658" s="28" t="s">
        <v>906</v>
      </c>
      <c r="G1658" s="19" t="n">
        <v>0.0501</v>
      </c>
    </row>
    <row r="1659" customFormat="false" ht="15" hidden="false" customHeight="false" outlineLevel="0" collapsed="false">
      <c r="A1659" s="28" t="s">
        <v>182</v>
      </c>
      <c r="B1659" s="28" t="s">
        <v>183</v>
      </c>
      <c r="C1659" s="28" t="s">
        <v>174</v>
      </c>
      <c r="D1659" s="23" t="n">
        <v>5</v>
      </c>
      <c r="E1659" s="23" t="n">
        <v>18</v>
      </c>
      <c r="F1659" s="28" t="s">
        <v>907</v>
      </c>
      <c r="G1659" s="19" t="n">
        <v>0.0498</v>
      </c>
    </row>
    <row r="1660" customFormat="false" ht="15" hidden="false" customHeight="false" outlineLevel="0" collapsed="false">
      <c r="A1660" s="28" t="s">
        <v>182</v>
      </c>
      <c r="B1660" s="28" t="s">
        <v>183</v>
      </c>
      <c r="C1660" s="28" t="s">
        <v>174</v>
      </c>
      <c r="D1660" s="23" t="n">
        <v>5</v>
      </c>
      <c r="E1660" s="23" t="n">
        <v>18</v>
      </c>
      <c r="F1660" s="28" t="s">
        <v>908</v>
      </c>
      <c r="G1660" s="19" t="n">
        <v>0.0514</v>
      </c>
    </row>
    <row r="1661" customFormat="false" ht="15" hidden="false" customHeight="false" outlineLevel="0" collapsed="false">
      <c r="A1661" s="28" t="s">
        <v>182</v>
      </c>
      <c r="B1661" s="28" t="s">
        <v>183</v>
      </c>
      <c r="C1661" s="28" t="s">
        <v>174</v>
      </c>
      <c r="D1661" s="23" t="n">
        <v>5</v>
      </c>
      <c r="E1661" s="23" t="n">
        <v>18</v>
      </c>
      <c r="F1661" s="28" t="s">
        <v>909</v>
      </c>
      <c r="G1661" s="19" t="n">
        <v>0.0515</v>
      </c>
    </row>
    <row r="1662" customFormat="false" ht="15" hidden="false" customHeight="false" outlineLevel="0" collapsed="false">
      <c r="A1662" s="28" t="s">
        <v>182</v>
      </c>
      <c r="B1662" s="28" t="s">
        <v>183</v>
      </c>
      <c r="C1662" s="28" t="s">
        <v>174</v>
      </c>
      <c r="D1662" s="23" t="n">
        <v>5</v>
      </c>
      <c r="E1662" s="23" t="n">
        <v>18</v>
      </c>
      <c r="F1662" s="28" t="s">
        <v>910</v>
      </c>
      <c r="G1662" s="19" t="n">
        <v>0.0519</v>
      </c>
    </row>
    <row r="1663" customFormat="false" ht="15" hidden="false" customHeight="false" outlineLevel="0" collapsed="false">
      <c r="A1663" s="28" t="s">
        <v>182</v>
      </c>
      <c r="B1663" s="28" t="s">
        <v>183</v>
      </c>
      <c r="C1663" s="28" t="s">
        <v>174</v>
      </c>
      <c r="D1663" s="23" t="n">
        <v>5</v>
      </c>
      <c r="E1663" s="23" t="n">
        <v>18</v>
      </c>
      <c r="F1663" s="28" t="s">
        <v>911</v>
      </c>
      <c r="G1663" s="19" t="n">
        <v>0.053</v>
      </c>
    </row>
    <row r="1664" customFormat="false" ht="15" hidden="false" customHeight="false" outlineLevel="0" collapsed="false">
      <c r="A1664" s="28" t="s">
        <v>182</v>
      </c>
      <c r="B1664" s="28" t="s">
        <v>183</v>
      </c>
      <c r="C1664" s="28" t="s">
        <v>174</v>
      </c>
      <c r="D1664" s="23" t="n">
        <v>5</v>
      </c>
      <c r="E1664" s="23" t="n">
        <v>18</v>
      </c>
      <c r="F1664" s="28" t="s">
        <v>912</v>
      </c>
      <c r="G1664" s="19" t="n">
        <v>0.0544</v>
      </c>
    </row>
    <row r="1665" customFormat="false" ht="15" hidden="false" customHeight="false" outlineLevel="0" collapsed="false">
      <c r="A1665" s="28" t="s">
        <v>182</v>
      </c>
      <c r="B1665" s="28" t="s">
        <v>183</v>
      </c>
      <c r="C1665" s="28" t="s">
        <v>174</v>
      </c>
      <c r="D1665" s="23" t="n">
        <v>5</v>
      </c>
      <c r="E1665" s="23" t="n">
        <v>18</v>
      </c>
      <c r="F1665" s="28" t="s">
        <v>913</v>
      </c>
      <c r="G1665" s="19" t="n">
        <v>0.0593</v>
      </c>
    </row>
    <row r="1666" customFormat="false" ht="15" hidden="false" customHeight="false" outlineLevel="0" collapsed="false">
      <c r="A1666" s="28" t="s">
        <v>182</v>
      </c>
      <c r="B1666" s="28" t="s">
        <v>183</v>
      </c>
      <c r="C1666" s="28" t="s">
        <v>174</v>
      </c>
      <c r="D1666" s="23" t="n">
        <v>5</v>
      </c>
      <c r="E1666" s="23" t="n">
        <v>18</v>
      </c>
      <c r="F1666" s="28" t="s">
        <v>914</v>
      </c>
      <c r="G1666" s="19" t="n">
        <v>0.0591</v>
      </c>
    </row>
    <row r="1667" customFormat="false" ht="15" hidden="false" customHeight="false" outlineLevel="0" collapsed="false">
      <c r="A1667" s="28" t="s">
        <v>182</v>
      </c>
      <c r="B1667" s="28" t="s">
        <v>183</v>
      </c>
      <c r="C1667" s="28" t="s">
        <v>174</v>
      </c>
      <c r="D1667" s="23" t="n">
        <v>5</v>
      </c>
      <c r="E1667" s="23" t="n">
        <v>18</v>
      </c>
      <c r="F1667" s="28" t="s">
        <v>915</v>
      </c>
      <c r="G1667" s="19" t="n">
        <v>0.0749</v>
      </c>
    </row>
    <row r="1668" customFormat="false" ht="15" hidden="false" customHeight="false" outlineLevel="0" collapsed="false">
      <c r="A1668" s="28" t="s">
        <v>182</v>
      </c>
      <c r="B1668" s="28" t="s">
        <v>183</v>
      </c>
      <c r="C1668" s="28" t="s">
        <v>174</v>
      </c>
      <c r="D1668" s="23" t="n">
        <v>5</v>
      </c>
      <c r="E1668" s="23" t="n">
        <v>19</v>
      </c>
      <c r="F1668" s="28" t="s">
        <v>904</v>
      </c>
      <c r="G1668" s="19" t="n">
        <v>0.0463</v>
      </c>
    </row>
    <row r="1669" customFormat="false" ht="15" hidden="false" customHeight="false" outlineLevel="0" collapsed="false">
      <c r="A1669" s="28" t="s">
        <v>182</v>
      </c>
      <c r="B1669" s="28" t="s">
        <v>183</v>
      </c>
      <c r="C1669" s="28" t="s">
        <v>174</v>
      </c>
      <c r="D1669" s="23" t="n">
        <v>5</v>
      </c>
      <c r="E1669" s="23" t="n">
        <v>19</v>
      </c>
      <c r="F1669" s="28" t="s">
        <v>551</v>
      </c>
      <c r="G1669" s="19" t="n">
        <v>0.0775</v>
      </c>
    </row>
    <row r="1670" customFormat="false" ht="15" hidden="false" customHeight="false" outlineLevel="0" collapsed="false">
      <c r="A1670" s="28" t="s">
        <v>182</v>
      </c>
      <c r="B1670" s="28" t="s">
        <v>183</v>
      </c>
      <c r="C1670" s="28" t="s">
        <v>174</v>
      </c>
      <c r="D1670" s="23" t="n">
        <v>5</v>
      </c>
      <c r="E1670" s="23" t="n">
        <v>19</v>
      </c>
      <c r="F1670" s="28" t="s">
        <v>451</v>
      </c>
      <c r="G1670" s="19" t="n">
        <v>0.0461</v>
      </c>
    </row>
    <row r="1671" customFormat="false" ht="15" hidden="false" customHeight="false" outlineLevel="0" collapsed="false">
      <c r="A1671" s="28" t="s">
        <v>182</v>
      </c>
      <c r="B1671" s="28" t="s">
        <v>183</v>
      </c>
      <c r="C1671" s="28" t="s">
        <v>174</v>
      </c>
      <c r="D1671" s="23" t="n">
        <v>5</v>
      </c>
      <c r="E1671" s="23" t="n">
        <v>19</v>
      </c>
      <c r="F1671" s="28" t="s">
        <v>905</v>
      </c>
      <c r="G1671" s="19" t="n">
        <v>0.0487</v>
      </c>
    </row>
    <row r="1672" customFormat="false" ht="15" hidden="false" customHeight="false" outlineLevel="0" collapsed="false">
      <c r="A1672" s="28" t="s">
        <v>182</v>
      </c>
      <c r="B1672" s="28" t="s">
        <v>183</v>
      </c>
      <c r="C1672" s="28" t="s">
        <v>174</v>
      </c>
      <c r="D1672" s="23" t="n">
        <v>5</v>
      </c>
      <c r="E1672" s="23" t="n">
        <v>19</v>
      </c>
      <c r="F1672" s="28" t="s">
        <v>906</v>
      </c>
      <c r="G1672" s="19" t="n">
        <v>0.0501</v>
      </c>
    </row>
    <row r="1673" customFormat="false" ht="15" hidden="false" customHeight="false" outlineLevel="0" collapsed="false">
      <c r="A1673" s="28" t="s">
        <v>182</v>
      </c>
      <c r="B1673" s="28" t="s">
        <v>183</v>
      </c>
      <c r="C1673" s="28" t="s">
        <v>174</v>
      </c>
      <c r="D1673" s="23" t="n">
        <v>5</v>
      </c>
      <c r="E1673" s="23" t="n">
        <v>19</v>
      </c>
      <c r="F1673" s="28" t="s">
        <v>907</v>
      </c>
      <c r="G1673" s="19" t="n">
        <v>0.0498</v>
      </c>
    </row>
    <row r="1674" customFormat="false" ht="15" hidden="false" customHeight="false" outlineLevel="0" collapsed="false">
      <c r="A1674" s="28" t="s">
        <v>182</v>
      </c>
      <c r="B1674" s="28" t="s">
        <v>183</v>
      </c>
      <c r="C1674" s="28" t="s">
        <v>174</v>
      </c>
      <c r="D1674" s="23" t="n">
        <v>5</v>
      </c>
      <c r="E1674" s="23" t="n">
        <v>19</v>
      </c>
      <c r="F1674" s="28" t="s">
        <v>908</v>
      </c>
      <c r="G1674" s="19" t="n">
        <v>0.0514</v>
      </c>
    </row>
    <row r="1675" customFormat="false" ht="15" hidden="false" customHeight="false" outlineLevel="0" collapsed="false">
      <c r="A1675" s="28" t="s">
        <v>182</v>
      </c>
      <c r="B1675" s="28" t="s">
        <v>183</v>
      </c>
      <c r="C1675" s="28" t="s">
        <v>174</v>
      </c>
      <c r="D1675" s="23" t="n">
        <v>5</v>
      </c>
      <c r="E1675" s="23" t="n">
        <v>19</v>
      </c>
      <c r="F1675" s="28" t="s">
        <v>909</v>
      </c>
      <c r="G1675" s="19" t="n">
        <v>0.0515</v>
      </c>
    </row>
    <row r="1676" customFormat="false" ht="15" hidden="false" customHeight="false" outlineLevel="0" collapsed="false">
      <c r="A1676" s="28" t="s">
        <v>182</v>
      </c>
      <c r="B1676" s="28" t="s">
        <v>183</v>
      </c>
      <c r="C1676" s="28" t="s">
        <v>174</v>
      </c>
      <c r="D1676" s="23" t="n">
        <v>5</v>
      </c>
      <c r="E1676" s="23" t="n">
        <v>19</v>
      </c>
      <c r="F1676" s="28" t="s">
        <v>910</v>
      </c>
      <c r="G1676" s="19" t="n">
        <v>0.0519</v>
      </c>
    </row>
    <row r="1677" customFormat="false" ht="15" hidden="false" customHeight="false" outlineLevel="0" collapsed="false">
      <c r="A1677" s="28" t="s">
        <v>182</v>
      </c>
      <c r="B1677" s="28" t="s">
        <v>183</v>
      </c>
      <c r="C1677" s="28" t="s">
        <v>174</v>
      </c>
      <c r="D1677" s="23" t="n">
        <v>5</v>
      </c>
      <c r="E1677" s="23" t="n">
        <v>19</v>
      </c>
      <c r="F1677" s="28" t="s">
        <v>911</v>
      </c>
      <c r="G1677" s="19" t="n">
        <v>0.053</v>
      </c>
    </row>
    <row r="1678" customFormat="false" ht="15" hidden="false" customHeight="false" outlineLevel="0" collapsed="false">
      <c r="A1678" s="28" t="s">
        <v>182</v>
      </c>
      <c r="B1678" s="28" t="s">
        <v>183</v>
      </c>
      <c r="C1678" s="28" t="s">
        <v>174</v>
      </c>
      <c r="D1678" s="23" t="n">
        <v>5</v>
      </c>
      <c r="E1678" s="23" t="n">
        <v>19</v>
      </c>
      <c r="F1678" s="28" t="s">
        <v>912</v>
      </c>
      <c r="G1678" s="19" t="n">
        <v>0.0544</v>
      </c>
    </row>
    <row r="1679" customFormat="false" ht="15" hidden="false" customHeight="false" outlineLevel="0" collapsed="false">
      <c r="A1679" s="28" t="s">
        <v>182</v>
      </c>
      <c r="B1679" s="28" t="s">
        <v>183</v>
      </c>
      <c r="C1679" s="28" t="s">
        <v>174</v>
      </c>
      <c r="D1679" s="23" t="n">
        <v>5</v>
      </c>
      <c r="E1679" s="23" t="n">
        <v>19</v>
      </c>
      <c r="F1679" s="28" t="s">
        <v>913</v>
      </c>
      <c r="G1679" s="19" t="n">
        <v>0.0593</v>
      </c>
    </row>
    <row r="1680" customFormat="false" ht="15" hidden="false" customHeight="false" outlineLevel="0" collapsed="false">
      <c r="A1680" s="28" t="s">
        <v>182</v>
      </c>
      <c r="B1680" s="28" t="s">
        <v>183</v>
      </c>
      <c r="C1680" s="28" t="s">
        <v>174</v>
      </c>
      <c r="D1680" s="23" t="n">
        <v>5</v>
      </c>
      <c r="E1680" s="23" t="n">
        <v>19</v>
      </c>
      <c r="F1680" s="28" t="s">
        <v>914</v>
      </c>
      <c r="G1680" s="19" t="n">
        <v>0.0591</v>
      </c>
    </row>
    <row r="1681" customFormat="false" ht="15" hidden="false" customHeight="false" outlineLevel="0" collapsed="false">
      <c r="A1681" s="28" t="s">
        <v>182</v>
      </c>
      <c r="B1681" s="28" t="s">
        <v>183</v>
      </c>
      <c r="C1681" s="28" t="s">
        <v>174</v>
      </c>
      <c r="D1681" s="23" t="n">
        <v>5</v>
      </c>
      <c r="E1681" s="23" t="n">
        <v>19</v>
      </c>
      <c r="F1681" s="28" t="s">
        <v>915</v>
      </c>
      <c r="G1681" s="19" t="n">
        <v>0.0749</v>
      </c>
    </row>
    <row r="1682" customFormat="false" ht="15" hidden="false" customHeight="false" outlineLevel="0" collapsed="false">
      <c r="A1682" s="28" t="s">
        <v>182</v>
      </c>
      <c r="B1682" s="28" t="s">
        <v>183</v>
      </c>
      <c r="C1682" s="28" t="s">
        <v>174</v>
      </c>
      <c r="D1682" s="23" t="n">
        <v>5</v>
      </c>
      <c r="E1682" s="23" t="n">
        <v>20</v>
      </c>
      <c r="F1682" s="28" t="s">
        <v>904</v>
      </c>
      <c r="G1682" s="19" t="n">
        <v>0.0463</v>
      </c>
    </row>
    <row r="1683" customFormat="false" ht="15" hidden="false" customHeight="false" outlineLevel="0" collapsed="false">
      <c r="A1683" s="28" t="s">
        <v>182</v>
      </c>
      <c r="B1683" s="28" t="s">
        <v>183</v>
      </c>
      <c r="C1683" s="28" t="s">
        <v>174</v>
      </c>
      <c r="D1683" s="23" t="n">
        <v>5</v>
      </c>
      <c r="E1683" s="23" t="n">
        <v>20</v>
      </c>
      <c r="F1683" s="28" t="s">
        <v>551</v>
      </c>
      <c r="G1683" s="19" t="n">
        <v>0.0775</v>
      </c>
    </row>
    <row r="1684" customFormat="false" ht="15" hidden="false" customHeight="false" outlineLevel="0" collapsed="false">
      <c r="A1684" s="28" t="s">
        <v>182</v>
      </c>
      <c r="B1684" s="28" t="s">
        <v>183</v>
      </c>
      <c r="C1684" s="28" t="s">
        <v>174</v>
      </c>
      <c r="D1684" s="23" t="n">
        <v>5</v>
      </c>
      <c r="E1684" s="23" t="n">
        <v>20</v>
      </c>
      <c r="F1684" s="28" t="s">
        <v>451</v>
      </c>
      <c r="G1684" s="19" t="n">
        <v>0.0461</v>
      </c>
    </row>
    <row r="1685" customFormat="false" ht="15" hidden="false" customHeight="false" outlineLevel="0" collapsed="false">
      <c r="A1685" s="28" t="s">
        <v>182</v>
      </c>
      <c r="B1685" s="28" t="s">
        <v>183</v>
      </c>
      <c r="C1685" s="28" t="s">
        <v>174</v>
      </c>
      <c r="D1685" s="23" t="n">
        <v>5</v>
      </c>
      <c r="E1685" s="23" t="n">
        <v>20</v>
      </c>
      <c r="F1685" s="28" t="s">
        <v>905</v>
      </c>
      <c r="G1685" s="19" t="n">
        <v>0.0487</v>
      </c>
    </row>
    <row r="1686" customFormat="false" ht="15" hidden="false" customHeight="false" outlineLevel="0" collapsed="false">
      <c r="A1686" s="28" t="s">
        <v>182</v>
      </c>
      <c r="B1686" s="28" t="s">
        <v>183</v>
      </c>
      <c r="C1686" s="28" t="s">
        <v>174</v>
      </c>
      <c r="D1686" s="23" t="n">
        <v>5</v>
      </c>
      <c r="E1686" s="23" t="n">
        <v>20</v>
      </c>
      <c r="F1686" s="28" t="s">
        <v>906</v>
      </c>
      <c r="G1686" s="19" t="n">
        <v>0.0501</v>
      </c>
    </row>
    <row r="1687" customFormat="false" ht="15" hidden="false" customHeight="false" outlineLevel="0" collapsed="false">
      <c r="A1687" s="28" t="s">
        <v>182</v>
      </c>
      <c r="B1687" s="28" t="s">
        <v>183</v>
      </c>
      <c r="C1687" s="28" t="s">
        <v>174</v>
      </c>
      <c r="D1687" s="23" t="n">
        <v>5</v>
      </c>
      <c r="E1687" s="23" t="n">
        <v>20</v>
      </c>
      <c r="F1687" s="28" t="s">
        <v>907</v>
      </c>
      <c r="G1687" s="19" t="n">
        <v>0.0498</v>
      </c>
    </row>
    <row r="1688" customFormat="false" ht="15" hidden="false" customHeight="false" outlineLevel="0" collapsed="false">
      <c r="A1688" s="28" t="s">
        <v>182</v>
      </c>
      <c r="B1688" s="28" t="s">
        <v>183</v>
      </c>
      <c r="C1688" s="28" t="s">
        <v>174</v>
      </c>
      <c r="D1688" s="23" t="n">
        <v>5</v>
      </c>
      <c r="E1688" s="23" t="n">
        <v>20</v>
      </c>
      <c r="F1688" s="28" t="s">
        <v>908</v>
      </c>
      <c r="G1688" s="19" t="n">
        <v>0.0514</v>
      </c>
    </row>
    <row r="1689" customFormat="false" ht="15" hidden="false" customHeight="false" outlineLevel="0" collapsed="false">
      <c r="A1689" s="28" t="s">
        <v>182</v>
      </c>
      <c r="B1689" s="28" t="s">
        <v>183</v>
      </c>
      <c r="C1689" s="28" t="s">
        <v>174</v>
      </c>
      <c r="D1689" s="23" t="n">
        <v>5</v>
      </c>
      <c r="E1689" s="23" t="n">
        <v>20</v>
      </c>
      <c r="F1689" s="28" t="s">
        <v>909</v>
      </c>
      <c r="G1689" s="19" t="n">
        <v>0.0515</v>
      </c>
    </row>
    <row r="1690" customFormat="false" ht="15" hidden="false" customHeight="false" outlineLevel="0" collapsed="false">
      <c r="A1690" s="28" t="s">
        <v>182</v>
      </c>
      <c r="B1690" s="28" t="s">
        <v>183</v>
      </c>
      <c r="C1690" s="28" t="s">
        <v>174</v>
      </c>
      <c r="D1690" s="23" t="n">
        <v>5</v>
      </c>
      <c r="E1690" s="23" t="n">
        <v>20</v>
      </c>
      <c r="F1690" s="28" t="s">
        <v>910</v>
      </c>
      <c r="G1690" s="19" t="n">
        <v>0.0519</v>
      </c>
    </row>
    <row r="1691" customFormat="false" ht="15" hidden="false" customHeight="false" outlineLevel="0" collapsed="false">
      <c r="A1691" s="28" t="s">
        <v>182</v>
      </c>
      <c r="B1691" s="28" t="s">
        <v>183</v>
      </c>
      <c r="C1691" s="28" t="s">
        <v>174</v>
      </c>
      <c r="D1691" s="23" t="n">
        <v>5</v>
      </c>
      <c r="E1691" s="23" t="n">
        <v>20</v>
      </c>
      <c r="F1691" s="28" t="s">
        <v>911</v>
      </c>
      <c r="G1691" s="19" t="n">
        <v>0.053</v>
      </c>
    </row>
    <row r="1692" customFormat="false" ht="15" hidden="false" customHeight="false" outlineLevel="0" collapsed="false">
      <c r="A1692" s="28" t="s">
        <v>182</v>
      </c>
      <c r="B1692" s="28" t="s">
        <v>183</v>
      </c>
      <c r="C1692" s="28" t="s">
        <v>174</v>
      </c>
      <c r="D1692" s="23" t="n">
        <v>5</v>
      </c>
      <c r="E1692" s="23" t="n">
        <v>20</v>
      </c>
      <c r="F1692" s="28" t="s">
        <v>912</v>
      </c>
      <c r="G1692" s="19" t="n">
        <v>0.0544</v>
      </c>
    </row>
    <row r="1693" customFormat="false" ht="15" hidden="false" customHeight="false" outlineLevel="0" collapsed="false">
      <c r="A1693" s="28" t="s">
        <v>182</v>
      </c>
      <c r="B1693" s="28" t="s">
        <v>183</v>
      </c>
      <c r="C1693" s="28" t="s">
        <v>174</v>
      </c>
      <c r="D1693" s="23" t="n">
        <v>5</v>
      </c>
      <c r="E1693" s="23" t="n">
        <v>20</v>
      </c>
      <c r="F1693" s="28" t="s">
        <v>913</v>
      </c>
      <c r="G1693" s="19" t="n">
        <v>0.0593</v>
      </c>
    </row>
    <row r="1694" customFormat="false" ht="15" hidden="false" customHeight="false" outlineLevel="0" collapsed="false">
      <c r="A1694" s="28" t="s">
        <v>182</v>
      </c>
      <c r="B1694" s="28" t="s">
        <v>183</v>
      </c>
      <c r="C1694" s="28" t="s">
        <v>174</v>
      </c>
      <c r="D1694" s="23" t="n">
        <v>5</v>
      </c>
      <c r="E1694" s="23" t="n">
        <v>20</v>
      </c>
      <c r="F1694" s="28" t="s">
        <v>914</v>
      </c>
      <c r="G1694" s="19" t="n">
        <v>0.0591</v>
      </c>
    </row>
    <row r="1695" customFormat="false" ht="15" hidden="false" customHeight="false" outlineLevel="0" collapsed="false">
      <c r="A1695" s="28" t="s">
        <v>182</v>
      </c>
      <c r="B1695" s="28" t="s">
        <v>183</v>
      </c>
      <c r="C1695" s="28" t="s">
        <v>174</v>
      </c>
      <c r="D1695" s="23" t="n">
        <v>5</v>
      </c>
      <c r="E1695" s="23" t="n">
        <v>20</v>
      </c>
      <c r="F1695" s="28" t="s">
        <v>915</v>
      </c>
      <c r="G1695" s="19" t="n">
        <v>0.0749</v>
      </c>
    </row>
    <row r="1696" customFormat="false" ht="15" hidden="false" customHeight="false" outlineLevel="0" collapsed="false">
      <c r="A1696" s="28" t="s">
        <v>182</v>
      </c>
      <c r="B1696" s="28" t="s">
        <v>183</v>
      </c>
      <c r="C1696" s="28" t="s">
        <v>174</v>
      </c>
      <c r="D1696" s="23" t="n">
        <v>5</v>
      </c>
      <c r="E1696" s="23" t="n">
        <v>21</v>
      </c>
      <c r="F1696" s="28" t="s">
        <v>904</v>
      </c>
      <c r="G1696" s="19" t="n">
        <v>0.0463</v>
      </c>
    </row>
    <row r="1697" customFormat="false" ht="15" hidden="false" customHeight="false" outlineLevel="0" collapsed="false">
      <c r="A1697" s="28" t="s">
        <v>182</v>
      </c>
      <c r="B1697" s="28" t="s">
        <v>183</v>
      </c>
      <c r="C1697" s="28" t="s">
        <v>174</v>
      </c>
      <c r="D1697" s="23" t="n">
        <v>5</v>
      </c>
      <c r="E1697" s="23" t="n">
        <v>21</v>
      </c>
      <c r="F1697" s="28" t="s">
        <v>551</v>
      </c>
      <c r="G1697" s="19" t="n">
        <v>0.0775</v>
      </c>
    </row>
    <row r="1698" customFormat="false" ht="15" hidden="false" customHeight="false" outlineLevel="0" collapsed="false">
      <c r="A1698" s="28" t="s">
        <v>182</v>
      </c>
      <c r="B1698" s="28" t="s">
        <v>183</v>
      </c>
      <c r="C1698" s="28" t="s">
        <v>174</v>
      </c>
      <c r="D1698" s="23" t="n">
        <v>5</v>
      </c>
      <c r="E1698" s="23" t="n">
        <v>21</v>
      </c>
      <c r="F1698" s="28" t="s">
        <v>451</v>
      </c>
      <c r="G1698" s="19" t="n">
        <v>0.0461</v>
      </c>
    </row>
    <row r="1699" customFormat="false" ht="15" hidden="false" customHeight="false" outlineLevel="0" collapsed="false">
      <c r="A1699" s="28" t="s">
        <v>182</v>
      </c>
      <c r="B1699" s="28" t="s">
        <v>183</v>
      </c>
      <c r="C1699" s="28" t="s">
        <v>174</v>
      </c>
      <c r="D1699" s="23" t="n">
        <v>5</v>
      </c>
      <c r="E1699" s="23" t="n">
        <v>21</v>
      </c>
      <c r="F1699" s="28" t="s">
        <v>905</v>
      </c>
      <c r="G1699" s="19" t="n">
        <v>0.0487</v>
      </c>
    </row>
    <row r="1700" customFormat="false" ht="15" hidden="false" customHeight="false" outlineLevel="0" collapsed="false">
      <c r="A1700" s="28" t="s">
        <v>182</v>
      </c>
      <c r="B1700" s="28" t="s">
        <v>183</v>
      </c>
      <c r="C1700" s="28" t="s">
        <v>174</v>
      </c>
      <c r="D1700" s="23" t="n">
        <v>5</v>
      </c>
      <c r="E1700" s="23" t="n">
        <v>21</v>
      </c>
      <c r="F1700" s="28" t="s">
        <v>906</v>
      </c>
      <c r="G1700" s="19" t="n">
        <v>0.0501</v>
      </c>
    </row>
    <row r="1701" customFormat="false" ht="15" hidden="false" customHeight="false" outlineLevel="0" collapsed="false">
      <c r="A1701" s="28" t="s">
        <v>182</v>
      </c>
      <c r="B1701" s="28" t="s">
        <v>183</v>
      </c>
      <c r="C1701" s="28" t="s">
        <v>174</v>
      </c>
      <c r="D1701" s="23" t="n">
        <v>5</v>
      </c>
      <c r="E1701" s="23" t="n">
        <v>21</v>
      </c>
      <c r="F1701" s="28" t="s">
        <v>907</v>
      </c>
      <c r="G1701" s="19" t="n">
        <v>0.0498</v>
      </c>
    </row>
    <row r="1702" customFormat="false" ht="15" hidden="false" customHeight="false" outlineLevel="0" collapsed="false">
      <c r="A1702" s="28" t="s">
        <v>182</v>
      </c>
      <c r="B1702" s="28" t="s">
        <v>183</v>
      </c>
      <c r="C1702" s="28" t="s">
        <v>174</v>
      </c>
      <c r="D1702" s="23" t="n">
        <v>5</v>
      </c>
      <c r="E1702" s="23" t="n">
        <v>21</v>
      </c>
      <c r="F1702" s="28" t="s">
        <v>908</v>
      </c>
      <c r="G1702" s="19" t="n">
        <v>0.0514</v>
      </c>
    </row>
    <row r="1703" customFormat="false" ht="15" hidden="false" customHeight="false" outlineLevel="0" collapsed="false">
      <c r="A1703" s="28" t="s">
        <v>182</v>
      </c>
      <c r="B1703" s="28" t="s">
        <v>183</v>
      </c>
      <c r="C1703" s="28" t="s">
        <v>174</v>
      </c>
      <c r="D1703" s="23" t="n">
        <v>5</v>
      </c>
      <c r="E1703" s="23" t="n">
        <v>21</v>
      </c>
      <c r="F1703" s="28" t="s">
        <v>909</v>
      </c>
      <c r="G1703" s="19" t="n">
        <v>0.0515</v>
      </c>
    </row>
    <row r="1704" customFormat="false" ht="15" hidden="false" customHeight="false" outlineLevel="0" collapsed="false">
      <c r="A1704" s="28" t="s">
        <v>182</v>
      </c>
      <c r="B1704" s="28" t="s">
        <v>183</v>
      </c>
      <c r="C1704" s="28" t="s">
        <v>174</v>
      </c>
      <c r="D1704" s="23" t="n">
        <v>5</v>
      </c>
      <c r="E1704" s="23" t="n">
        <v>21</v>
      </c>
      <c r="F1704" s="28" t="s">
        <v>910</v>
      </c>
      <c r="G1704" s="19" t="n">
        <v>0.0519</v>
      </c>
    </row>
    <row r="1705" customFormat="false" ht="15" hidden="false" customHeight="false" outlineLevel="0" collapsed="false">
      <c r="A1705" s="28" t="s">
        <v>182</v>
      </c>
      <c r="B1705" s="28" t="s">
        <v>183</v>
      </c>
      <c r="C1705" s="28" t="s">
        <v>174</v>
      </c>
      <c r="D1705" s="23" t="n">
        <v>5</v>
      </c>
      <c r="E1705" s="23" t="n">
        <v>21</v>
      </c>
      <c r="F1705" s="28" t="s">
        <v>911</v>
      </c>
      <c r="G1705" s="19" t="n">
        <v>0.053</v>
      </c>
    </row>
    <row r="1706" customFormat="false" ht="15" hidden="false" customHeight="false" outlineLevel="0" collapsed="false">
      <c r="A1706" s="28" t="s">
        <v>182</v>
      </c>
      <c r="B1706" s="28" t="s">
        <v>183</v>
      </c>
      <c r="C1706" s="28" t="s">
        <v>174</v>
      </c>
      <c r="D1706" s="23" t="n">
        <v>5</v>
      </c>
      <c r="E1706" s="23" t="n">
        <v>21</v>
      </c>
      <c r="F1706" s="28" t="s">
        <v>912</v>
      </c>
      <c r="G1706" s="19" t="n">
        <v>0.0544</v>
      </c>
    </row>
    <row r="1707" customFormat="false" ht="15" hidden="false" customHeight="false" outlineLevel="0" collapsed="false">
      <c r="A1707" s="28" t="s">
        <v>182</v>
      </c>
      <c r="B1707" s="28" t="s">
        <v>183</v>
      </c>
      <c r="C1707" s="28" t="s">
        <v>174</v>
      </c>
      <c r="D1707" s="23" t="n">
        <v>5</v>
      </c>
      <c r="E1707" s="23" t="n">
        <v>21</v>
      </c>
      <c r="F1707" s="28" t="s">
        <v>913</v>
      </c>
      <c r="G1707" s="19" t="n">
        <v>0.0593</v>
      </c>
    </row>
    <row r="1708" customFormat="false" ht="15" hidden="false" customHeight="false" outlineLevel="0" collapsed="false">
      <c r="A1708" s="28" t="s">
        <v>182</v>
      </c>
      <c r="B1708" s="28" t="s">
        <v>183</v>
      </c>
      <c r="C1708" s="28" t="s">
        <v>174</v>
      </c>
      <c r="D1708" s="23" t="n">
        <v>5</v>
      </c>
      <c r="E1708" s="23" t="n">
        <v>21</v>
      </c>
      <c r="F1708" s="28" t="s">
        <v>914</v>
      </c>
      <c r="G1708" s="19" t="n">
        <v>0.0591</v>
      </c>
    </row>
    <row r="1709" customFormat="false" ht="15" hidden="false" customHeight="false" outlineLevel="0" collapsed="false">
      <c r="A1709" s="28" t="s">
        <v>182</v>
      </c>
      <c r="B1709" s="28" t="s">
        <v>183</v>
      </c>
      <c r="C1709" s="28" t="s">
        <v>174</v>
      </c>
      <c r="D1709" s="23" t="n">
        <v>5</v>
      </c>
      <c r="E1709" s="23" t="n">
        <v>21</v>
      </c>
      <c r="F1709" s="28" t="s">
        <v>915</v>
      </c>
      <c r="G1709" s="19" t="n">
        <v>0.0749</v>
      </c>
    </row>
    <row r="1710" customFormat="false" ht="15" hidden="false" customHeight="false" outlineLevel="0" collapsed="false">
      <c r="A1710" s="28" t="s">
        <v>182</v>
      </c>
      <c r="B1710" s="28" t="s">
        <v>183</v>
      </c>
      <c r="C1710" s="28" t="s">
        <v>174</v>
      </c>
      <c r="D1710" s="23" t="n">
        <v>5</v>
      </c>
      <c r="E1710" s="23" t="n">
        <v>22</v>
      </c>
      <c r="F1710" s="28" t="s">
        <v>904</v>
      </c>
      <c r="G1710" s="19" t="n">
        <v>0.0463</v>
      </c>
    </row>
    <row r="1711" customFormat="false" ht="15" hidden="false" customHeight="false" outlineLevel="0" collapsed="false">
      <c r="A1711" s="28" t="s">
        <v>182</v>
      </c>
      <c r="B1711" s="28" t="s">
        <v>183</v>
      </c>
      <c r="C1711" s="28" t="s">
        <v>174</v>
      </c>
      <c r="D1711" s="23" t="n">
        <v>5</v>
      </c>
      <c r="E1711" s="23" t="n">
        <v>22</v>
      </c>
      <c r="F1711" s="28" t="s">
        <v>551</v>
      </c>
      <c r="G1711" s="19" t="n">
        <v>0.0775</v>
      </c>
    </row>
    <row r="1712" customFormat="false" ht="15" hidden="false" customHeight="false" outlineLevel="0" collapsed="false">
      <c r="A1712" s="28" t="s">
        <v>182</v>
      </c>
      <c r="B1712" s="28" t="s">
        <v>183</v>
      </c>
      <c r="C1712" s="28" t="s">
        <v>174</v>
      </c>
      <c r="D1712" s="23" t="n">
        <v>5</v>
      </c>
      <c r="E1712" s="23" t="n">
        <v>22</v>
      </c>
      <c r="F1712" s="28" t="s">
        <v>451</v>
      </c>
      <c r="G1712" s="19" t="n">
        <v>0.0461</v>
      </c>
    </row>
    <row r="1713" customFormat="false" ht="15" hidden="false" customHeight="false" outlineLevel="0" collapsed="false">
      <c r="A1713" s="28" t="s">
        <v>182</v>
      </c>
      <c r="B1713" s="28" t="s">
        <v>183</v>
      </c>
      <c r="C1713" s="28" t="s">
        <v>174</v>
      </c>
      <c r="D1713" s="23" t="n">
        <v>5</v>
      </c>
      <c r="E1713" s="23" t="n">
        <v>22</v>
      </c>
      <c r="F1713" s="28" t="s">
        <v>905</v>
      </c>
      <c r="G1713" s="19" t="n">
        <v>0.0487</v>
      </c>
    </row>
    <row r="1714" customFormat="false" ht="15" hidden="false" customHeight="false" outlineLevel="0" collapsed="false">
      <c r="A1714" s="28" t="s">
        <v>182</v>
      </c>
      <c r="B1714" s="28" t="s">
        <v>183</v>
      </c>
      <c r="C1714" s="28" t="s">
        <v>174</v>
      </c>
      <c r="D1714" s="23" t="n">
        <v>5</v>
      </c>
      <c r="E1714" s="23" t="n">
        <v>22</v>
      </c>
      <c r="F1714" s="28" t="s">
        <v>906</v>
      </c>
      <c r="G1714" s="19" t="n">
        <v>0.0501</v>
      </c>
    </row>
    <row r="1715" customFormat="false" ht="15" hidden="false" customHeight="false" outlineLevel="0" collapsed="false">
      <c r="A1715" s="28" t="s">
        <v>182</v>
      </c>
      <c r="B1715" s="28" t="s">
        <v>183</v>
      </c>
      <c r="C1715" s="28" t="s">
        <v>174</v>
      </c>
      <c r="D1715" s="23" t="n">
        <v>5</v>
      </c>
      <c r="E1715" s="23" t="n">
        <v>22</v>
      </c>
      <c r="F1715" s="28" t="s">
        <v>907</v>
      </c>
      <c r="G1715" s="19" t="n">
        <v>0.0498</v>
      </c>
    </row>
    <row r="1716" customFormat="false" ht="15" hidden="false" customHeight="false" outlineLevel="0" collapsed="false">
      <c r="A1716" s="28" t="s">
        <v>182</v>
      </c>
      <c r="B1716" s="28" t="s">
        <v>183</v>
      </c>
      <c r="C1716" s="28" t="s">
        <v>174</v>
      </c>
      <c r="D1716" s="23" t="n">
        <v>5</v>
      </c>
      <c r="E1716" s="23" t="n">
        <v>22</v>
      </c>
      <c r="F1716" s="28" t="s">
        <v>908</v>
      </c>
      <c r="G1716" s="19" t="n">
        <v>0.0514</v>
      </c>
    </row>
    <row r="1717" customFormat="false" ht="15" hidden="false" customHeight="false" outlineLevel="0" collapsed="false">
      <c r="A1717" s="28" t="s">
        <v>182</v>
      </c>
      <c r="B1717" s="28" t="s">
        <v>183</v>
      </c>
      <c r="C1717" s="28" t="s">
        <v>174</v>
      </c>
      <c r="D1717" s="23" t="n">
        <v>5</v>
      </c>
      <c r="E1717" s="23" t="n">
        <v>22</v>
      </c>
      <c r="F1717" s="28" t="s">
        <v>909</v>
      </c>
      <c r="G1717" s="19" t="n">
        <v>0.0515</v>
      </c>
    </row>
    <row r="1718" customFormat="false" ht="15" hidden="false" customHeight="false" outlineLevel="0" collapsed="false">
      <c r="A1718" s="28" t="s">
        <v>182</v>
      </c>
      <c r="B1718" s="28" t="s">
        <v>183</v>
      </c>
      <c r="C1718" s="28" t="s">
        <v>174</v>
      </c>
      <c r="D1718" s="23" t="n">
        <v>5</v>
      </c>
      <c r="E1718" s="23" t="n">
        <v>22</v>
      </c>
      <c r="F1718" s="28" t="s">
        <v>910</v>
      </c>
      <c r="G1718" s="19" t="n">
        <v>0.0519</v>
      </c>
    </row>
    <row r="1719" customFormat="false" ht="15" hidden="false" customHeight="false" outlineLevel="0" collapsed="false">
      <c r="A1719" s="28" t="s">
        <v>182</v>
      </c>
      <c r="B1719" s="28" t="s">
        <v>183</v>
      </c>
      <c r="C1719" s="28" t="s">
        <v>174</v>
      </c>
      <c r="D1719" s="23" t="n">
        <v>5</v>
      </c>
      <c r="E1719" s="23" t="n">
        <v>22</v>
      </c>
      <c r="F1719" s="28" t="s">
        <v>911</v>
      </c>
      <c r="G1719" s="19" t="n">
        <v>0.053</v>
      </c>
    </row>
    <row r="1720" customFormat="false" ht="15" hidden="false" customHeight="false" outlineLevel="0" collapsed="false">
      <c r="A1720" s="28" t="s">
        <v>182</v>
      </c>
      <c r="B1720" s="28" t="s">
        <v>183</v>
      </c>
      <c r="C1720" s="28" t="s">
        <v>174</v>
      </c>
      <c r="D1720" s="23" t="n">
        <v>5</v>
      </c>
      <c r="E1720" s="23" t="n">
        <v>22</v>
      </c>
      <c r="F1720" s="28" t="s">
        <v>912</v>
      </c>
      <c r="G1720" s="19" t="n">
        <v>0.0544</v>
      </c>
    </row>
    <row r="1721" customFormat="false" ht="15" hidden="false" customHeight="false" outlineLevel="0" collapsed="false">
      <c r="A1721" s="28" t="s">
        <v>182</v>
      </c>
      <c r="B1721" s="28" t="s">
        <v>183</v>
      </c>
      <c r="C1721" s="28" t="s">
        <v>174</v>
      </c>
      <c r="D1721" s="23" t="n">
        <v>5</v>
      </c>
      <c r="E1721" s="23" t="n">
        <v>22</v>
      </c>
      <c r="F1721" s="28" t="s">
        <v>913</v>
      </c>
      <c r="G1721" s="19" t="n">
        <v>0.0593</v>
      </c>
    </row>
    <row r="1722" customFormat="false" ht="15" hidden="false" customHeight="false" outlineLevel="0" collapsed="false">
      <c r="A1722" s="28" t="s">
        <v>182</v>
      </c>
      <c r="B1722" s="28" t="s">
        <v>183</v>
      </c>
      <c r="C1722" s="28" t="s">
        <v>174</v>
      </c>
      <c r="D1722" s="23" t="n">
        <v>5</v>
      </c>
      <c r="E1722" s="23" t="n">
        <v>22</v>
      </c>
      <c r="F1722" s="28" t="s">
        <v>914</v>
      </c>
      <c r="G1722" s="19" t="n">
        <v>0.0591</v>
      </c>
    </row>
    <row r="1723" customFormat="false" ht="15" hidden="false" customHeight="false" outlineLevel="0" collapsed="false">
      <c r="A1723" s="28" t="s">
        <v>182</v>
      </c>
      <c r="B1723" s="28" t="s">
        <v>183</v>
      </c>
      <c r="C1723" s="28" t="s">
        <v>174</v>
      </c>
      <c r="D1723" s="23" t="n">
        <v>5</v>
      </c>
      <c r="E1723" s="23" t="n">
        <v>22</v>
      </c>
      <c r="F1723" s="28" t="s">
        <v>915</v>
      </c>
      <c r="G1723" s="19" t="n">
        <v>0.0749</v>
      </c>
    </row>
    <row r="1724" customFormat="false" ht="15" hidden="false" customHeight="false" outlineLevel="0" collapsed="false">
      <c r="A1724" s="28" t="s">
        <v>182</v>
      </c>
      <c r="B1724" s="28" t="s">
        <v>183</v>
      </c>
      <c r="C1724" s="28" t="s">
        <v>174</v>
      </c>
      <c r="D1724" s="23" t="n">
        <v>5</v>
      </c>
      <c r="E1724" s="23" t="n">
        <v>23</v>
      </c>
      <c r="F1724" s="28" t="s">
        <v>904</v>
      </c>
      <c r="G1724" s="19" t="n">
        <v>0.0463</v>
      </c>
    </row>
    <row r="1725" customFormat="false" ht="15" hidden="false" customHeight="false" outlineLevel="0" collapsed="false">
      <c r="A1725" s="28" t="s">
        <v>182</v>
      </c>
      <c r="B1725" s="28" t="s">
        <v>183</v>
      </c>
      <c r="C1725" s="28" t="s">
        <v>174</v>
      </c>
      <c r="D1725" s="23" t="n">
        <v>5</v>
      </c>
      <c r="E1725" s="23" t="n">
        <v>23</v>
      </c>
      <c r="F1725" s="28" t="s">
        <v>551</v>
      </c>
      <c r="G1725" s="19" t="n">
        <v>0.0775</v>
      </c>
    </row>
    <row r="1726" customFormat="false" ht="15" hidden="false" customHeight="false" outlineLevel="0" collapsed="false">
      <c r="A1726" s="28" t="s">
        <v>182</v>
      </c>
      <c r="B1726" s="28" t="s">
        <v>183</v>
      </c>
      <c r="C1726" s="28" t="s">
        <v>174</v>
      </c>
      <c r="D1726" s="23" t="n">
        <v>5</v>
      </c>
      <c r="E1726" s="23" t="n">
        <v>23</v>
      </c>
      <c r="F1726" s="28" t="s">
        <v>451</v>
      </c>
      <c r="G1726" s="19" t="n">
        <v>0.0461</v>
      </c>
    </row>
    <row r="1727" customFormat="false" ht="15" hidden="false" customHeight="false" outlineLevel="0" collapsed="false">
      <c r="A1727" s="28" t="s">
        <v>182</v>
      </c>
      <c r="B1727" s="28" t="s">
        <v>183</v>
      </c>
      <c r="C1727" s="28" t="s">
        <v>174</v>
      </c>
      <c r="D1727" s="23" t="n">
        <v>5</v>
      </c>
      <c r="E1727" s="23" t="n">
        <v>23</v>
      </c>
      <c r="F1727" s="28" t="s">
        <v>905</v>
      </c>
      <c r="G1727" s="19" t="n">
        <v>0.0487</v>
      </c>
    </row>
    <row r="1728" customFormat="false" ht="15" hidden="false" customHeight="false" outlineLevel="0" collapsed="false">
      <c r="A1728" s="28" t="s">
        <v>182</v>
      </c>
      <c r="B1728" s="28" t="s">
        <v>183</v>
      </c>
      <c r="C1728" s="28" t="s">
        <v>174</v>
      </c>
      <c r="D1728" s="23" t="n">
        <v>5</v>
      </c>
      <c r="E1728" s="23" t="n">
        <v>23</v>
      </c>
      <c r="F1728" s="28" t="s">
        <v>906</v>
      </c>
      <c r="G1728" s="19" t="n">
        <v>0.0501</v>
      </c>
    </row>
    <row r="1729" customFormat="false" ht="15" hidden="false" customHeight="false" outlineLevel="0" collapsed="false">
      <c r="A1729" s="28" t="s">
        <v>182</v>
      </c>
      <c r="B1729" s="28" t="s">
        <v>183</v>
      </c>
      <c r="C1729" s="28" t="s">
        <v>174</v>
      </c>
      <c r="D1729" s="23" t="n">
        <v>5</v>
      </c>
      <c r="E1729" s="23" t="n">
        <v>23</v>
      </c>
      <c r="F1729" s="28" t="s">
        <v>907</v>
      </c>
      <c r="G1729" s="19" t="n">
        <v>0.0498</v>
      </c>
    </row>
    <row r="1730" customFormat="false" ht="15" hidden="false" customHeight="false" outlineLevel="0" collapsed="false">
      <c r="A1730" s="28" t="s">
        <v>182</v>
      </c>
      <c r="B1730" s="28" t="s">
        <v>183</v>
      </c>
      <c r="C1730" s="28" t="s">
        <v>174</v>
      </c>
      <c r="D1730" s="23" t="n">
        <v>5</v>
      </c>
      <c r="E1730" s="23" t="n">
        <v>23</v>
      </c>
      <c r="F1730" s="28" t="s">
        <v>908</v>
      </c>
      <c r="G1730" s="19" t="n">
        <v>0.0514</v>
      </c>
    </row>
    <row r="1731" customFormat="false" ht="15" hidden="false" customHeight="false" outlineLevel="0" collapsed="false">
      <c r="A1731" s="28" t="s">
        <v>182</v>
      </c>
      <c r="B1731" s="28" t="s">
        <v>183</v>
      </c>
      <c r="C1731" s="28" t="s">
        <v>174</v>
      </c>
      <c r="D1731" s="23" t="n">
        <v>5</v>
      </c>
      <c r="E1731" s="23" t="n">
        <v>23</v>
      </c>
      <c r="F1731" s="28" t="s">
        <v>909</v>
      </c>
      <c r="G1731" s="19" t="n">
        <v>0.0515</v>
      </c>
    </row>
    <row r="1732" customFormat="false" ht="15" hidden="false" customHeight="false" outlineLevel="0" collapsed="false">
      <c r="A1732" s="28" t="s">
        <v>182</v>
      </c>
      <c r="B1732" s="28" t="s">
        <v>183</v>
      </c>
      <c r="C1732" s="28" t="s">
        <v>174</v>
      </c>
      <c r="D1732" s="23" t="n">
        <v>5</v>
      </c>
      <c r="E1732" s="23" t="n">
        <v>23</v>
      </c>
      <c r="F1732" s="28" t="s">
        <v>910</v>
      </c>
      <c r="G1732" s="19" t="n">
        <v>0.0519</v>
      </c>
    </row>
    <row r="1733" customFormat="false" ht="15" hidden="false" customHeight="false" outlineLevel="0" collapsed="false">
      <c r="A1733" s="28" t="s">
        <v>182</v>
      </c>
      <c r="B1733" s="28" t="s">
        <v>183</v>
      </c>
      <c r="C1733" s="28" t="s">
        <v>174</v>
      </c>
      <c r="D1733" s="23" t="n">
        <v>5</v>
      </c>
      <c r="E1733" s="23" t="n">
        <v>23</v>
      </c>
      <c r="F1733" s="28" t="s">
        <v>911</v>
      </c>
      <c r="G1733" s="19" t="n">
        <v>0.053</v>
      </c>
    </row>
    <row r="1734" customFormat="false" ht="15" hidden="false" customHeight="false" outlineLevel="0" collapsed="false">
      <c r="A1734" s="28" t="s">
        <v>182</v>
      </c>
      <c r="B1734" s="28" t="s">
        <v>183</v>
      </c>
      <c r="C1734" s="28" t="s">
        <v>174</v>
      </c>
      <c r="D1734" s="23" t="n">
        <v>5</v>
      </c>
      <c r="E1734" s="23" t="n">
        <v>23</v>
      </c>
      <c r="F1734" s="28" t="s">
        <v>912</v>
      </c>
      <c r="G1734" s="19" t="n">
        <v>0.0544</v>
      </c>
    </row>
    <row r="1735" customFormat="false" ht="15" hidden="false" customHeight="false" outlineLevel="0" collapsed="false">
      <c r="A1735" s="28" t="s">
        <v>182</v>
      </c>
      <c r="B1735" s="28" t="s">
        <v>183</v>
      </c>
      <c r="C1735" s="28" t="s">
        <v>174</v>
      </c>
      <c r="D1735" s="23" t="n">
        <v>5</v>
      </c>
      <c r="E1735" s="23" t="n">
        <v>23</v>
      </c>
      <c r="F1735" s="28" t="s">
        <v>913</v>
      </c>
      <c r="G1735" s="19" t="n">
        <v>0.0593</v>
      </c>
    </row>
    <row r="1736" customFormat="false" ht="15" hidden="false" customHeight="false" outlineLevel="0" collapsed="false">
      <c r="A1736" s="28" t="s">
        <v>182</v>
      </c>
      <c r="B1736" s="28" t="s">
        <v>183</v>
      </c>
      <c r="C1736" s="28" t="s">
        <v>174</v>
      </c>
      <c r="D1736" s="23" t="n">
        <v>5</v>
      </c>
      <c r="E1736" s="23" t="n">
        <v>23</v>
      </c>
      <c r="F1736" s="28" t="s">
        <v>914</v>
      </c>
      <c r="G1736" s="19" t="n">
        <v>0.0591</v>
      </c>
    </row>
    <row r="1737" customFormat="false" ht="15" hidden="false" customHeight="false" outlineLevel="0" collapsed="false">
      <c r="A1737" s="28" t="s">
        <v>182</v>
      </c>
      <c r="B1737" s="28" t="s">
        <v>183</v>
      </c>
      <c r="C1737" s="28" t="s">
        <v>174</v>
      </c>
      <c r="D1737" s="23" t="n">
        <v>5</v>
      </c>
      <c r="E1737" s="23" t="n">
        <v>23</v>
      </c>
      <c r="F1737" s="28" t="s">
        <v>915</v>
      </c>
      <c r="G1737" s="19" t="n">
        <v>0.0749</v>
      </c>
    </row>
    <row r="1738" customFormat="false" ht="15" hidden="false" customHeight="false" outlineLevel="0" collapsed="false">
      <c r="A1738" s="28" t="s">
        <v>182</v>
      </c>
      <c r="B1738" s="28" t="s">
        <v>183</v>
      </c>
      <c r="C1738" s="28" t="s">
        <v>174</v>
      </c>
      <c r="D1738" s="23" t="n">
        <v>5</v>
      </c>
      <c r="E1738" s="23" t="n">
        <v>24</v>
      </c>
      <c r="F1738" s="28" t="s">
        <v>904</v>
      </c>
      <c r="G1738" s="19" t="n">
        <v>0.0463</v>
      </c>
    </row>
    <row r="1739" customFormat="false" ht="15" hidden="false" customHeight="false" outlineLevel="0" collapsed="false">
      <c r="A1739" s="28" t="s">
        <v>182</v>
      </c>
      <c r="B1739" s="28" t="s">
        <v>183</v>
      </c>
      <c r="C1739" s="28" t="s">
        <v>174</v>
      </c>
      <c r="D1739" s="23" t="n">
        <v>5</v>
      </c>
      <c r="E1739" s="23" t="n">
        <v>24</v>
      </c>
      <c r="F1739" s="28" t="s">
        <v>551</v>
      </c>
      <c r="G1739" s="19" t="n">
        <v>0.0775</v>
      </c>
    </row>
    <row r="1740" customFormat="false" ht="15" hidden="false" customHeight="false" outlineLevel="0" collapsed="false">
      <c r="A1740" s="28" t="s">
        <v>182</v>
      </c>
      <c r="B1740" s="28" t="s">
        <v>183</v>
      </c>
      <c r="C1740" s="28" t="s">
        <v>174</v>
      </c>
      <c r="D1740" s="23" t="n">
        <v>5</v>
      </c>
      <c r="E1740" s="23" t="n">
        <v>24</v>
      </c>
      <c r="F1740" s="28" t="s">
        <v>451</v>
      </c>
      <c r="G1740" s="19" t="n">
        <v>0.0461</v>
      </c>
    </row>
    <row r="1741" customFormat="false" ht="15" hidden="false" customHeight="false" outlineLevel="0" collapsed="false">
      <c r="A1741" s="28" t="s">
        <v>182</v>
      </c>
      <c r="B1741" s="28" t="s">
        <v>183</v>
      </c>
      <c r="C1741" s="28" t="s">
        <v>174</v>
      </c>
      <c r="D1741" s="23" t="n">
        <v>5</v>
      </c>
      <c r="E1741" s="23" t="n">
        <v>24</v>
      </c>
      <c r="F1741" s="28" t="s">
        <v>905</v>
      </c>
      <c r="G1741" s="19" t="n">
        <v>0.0487</v>
      </c>
    </row>
    <row r="1742" customFormat="false" ht="15" hidden="false" customHeight="false" outlineLevel="0" collapsed="false">
      <c r="A1742" s="28" t="s">
        <v>182</v>
      </c>
      <c r="B1742" s="28" t="s">
        <v>183</v>
      </c>
      <c r="C1742" s="28" t="s">
        <v>174</v>
      </c>
      <c r="D1742" s="23" t="n">
        <v>5</v>
      </c>
      <c r="E1742" s="23" t="n">
        <v>24</v>
      </c>
      <c r="F1742" s="28" t="s">
        <v>906</v>
      </c>
      <c r="G1742" s="19" t="n">
        <v>0.0501</v>
      </c>
    </row>
    <row r="1743" customFormat="false" ht="15" hidden="false" customHeight="false" outlineLevel="0" collapsed="false">
      <c r="A1743" s="28" t="s">
        <v>182</v>
      </c>
      <c r="B1743" s="28" t="s">
        <v>183</v>
      </c>
      <c r="C1743" s="28" t="s">
        <v>174</v>
      </c>
      <c r="D1743" s="23" t="n">
        <v>5</v>
      </c>
      <c r="E1743" s="23" t="n">
        <v>24</v>
      </c>
      <c r="F1743" s="28" t="s">
        <v>907</v>
      </c>
      <c r="G1743" s="19" t="n">
        <v>0.0498</v>
      </c>
    </row>
    <row r="1744" customFormat="false" ht="15" hidden="false" customHeight="false" outlineLevel="0" collapsed="false">
      <c r="A1744" s="28" t="s">
        <v>182</v>
      </c>
      <c r="B1744" s="28" t="s">
        <v>183</v>
      </c>
      <c r="C1744" s="28" t="s">
        <v>174</v>
      </c>
      <c r="D1744" s="23" t="n">
        <v>5</v>
      </c>
      <c r="E1744" s="23" t="n">
        <v>24</v>
      </c>
      <c r="F1744" s="28" t="s">
        <v>908</v>
      </c>
      <c r="G1744" s="19" t="n">
        <v>0.0514</v>
      </c>
    </row>
    <row r="1745" customFormat="false" ht="15" hidden="false" customHeight="false" outlineLevel="0" collapsed="false">
      <c r="A1745" s="28" t="s">
        <v>182</v>
      </c>
      <c r="B1745" s="28" t="s">
        <v>183</v>
      </c>
      <c r="C1745" s="28" t="s">
        <v>174</v>
      </c>
      <c r="D1745" s="23" t="n">
        <v>5</v>
      </c>
      <c r="E1745" s="23" t="n">
        <v>24</v>
      </c>
      <c r="F1745" s="28" t="s">
        <v>909</v>
      </c>
      <c r="G1745" s="19" t="n">
        <v>0.0515</v>
      </c>
    </row>
    <row r="1746" customFormat="false" ht="15" hidden="false" customHeight="false" outlineLevel="0" collapsed="false">
      <c r="A1746" s="28" t="s">
        <v>182</v>
      </c>
      <c r="B1746" s="28" t="s">
        <v>183</v>
      </c>
      <c r="C1746" s="28" t="s">
        <v>174</v>
      </c>
      <c r="D1746" s="23" t="n">
        <v>5</v>
      </c>
      <c r="E1746" s="23" t="n">
        <v>24</v>
      </c>
      <c r="F1746" s="28" t="s">
        <v>910</v>
      </c>
      <c r="G1746" s="19" t="n">
        <v>0.0519</v>
      </c>
    </row>
    <row r="1747" customFormat="false" ht="15" hidden="false" customHeight="false" outlineLevel="0" collapsed="false">
      <c r="A1747" s="28" t="s">
        <v>182</v>
      </c>
      <c r="B1747" s="28" t="s">
        <v>183</v>
      </c>
      <c r="C1747" s="28" t="s">
        <v>174</v>
      </c>
      <c r="D1747" s="23" t="n">
        <v>5</v>
      </c>
      <c r="E1747" s="23" t="n">
        <v>24</v>
      </c>
      <c r="F1747" s="28" t="s">
        <v>911</v>
      </c>
      <c r="G1747" s="19" t="n">
        <v>0.053</v>
      </c>
    </row>
    <row r="1748" customFormat="false" ht="15" hidden="false" customHeight="false" outlineLevel="0" collapsed="false">
      <c r="A1748" s="28" t="s">
        <v>182</v>
      </c>
      <c r="B1748" s="28" t="s">
        <v>183</v>
      </c>
      <c r="C1748" s="28" t="s">
        <v>174</v>
      </c>
      <c r="D1748" s="23" t="n">
        <v>5</v>
      </c>
      <c r="E1748" s="23" t="n">
        <v>24</v>
      </c>
      <c r="F1748" s="28" t="s">
        <v>912</v>
      </c>
      <c r="G1748" s="19" t="n">
        <v>0.0544</v>
      </c>
    </row>
    <row r="1749" customFormat="false" ht="15" hidden="false" customHeight="false" outlineLevel="0" collapsed="false">
      <c r="A1749" s="28" t="s">
        <v>182</v>
      </c>
      <c r="B1749" s="28" t="s">
        <v>183</v>
      </c>
      <c r="C1749" s="28" t="s">
        <v>174</v>
      </c>
      <c r="D1749" s="23" t="n">
        <v>5</v>
      </c>
      <c r="E1749" s="23" t="n">
        <v>24</v>
      </c>
      <c r="F1749" s="28" t="s">
        <v>913</v>
      </c>
      <c r="G1749" s="19" t="n">
        <v>0.0593</v>
      </c>
    </row>
    <row r="1750" customFormat="false" ht="15" hidden="false" customHeight="false" outlineLevel="0" collapsed="false">
      <c r="A1750" s="28" t="s">
        <v>182</v>
      </c>
      <c r="B1750" s="28" t="s">
        <v>183</v>
      </c>
      <c r="C1750" s="28" t="s">
        <v>174</v>
      </c>
      <c r="D1750" s="23" t="n">
        <v>5</v>
      </c>
      <c r="E1750" s="23" t="n">
        <v>24</v>
      </c>
      <c r="F1750" s="28" t="s">
        <v>914</v>
      </c>
      <c r="G1750" s="19" t="n">
        <v>0.0591</v>
      </c>
    </row>
    <row r="1751" customFormat="false" ht="15" hidden="false" customHeight="false" outlineLevel="0" collapsed="false">
      <c r="A1751" s="28" t="s">
        <v>182</v>
      </c>
      <c r="B1751" s="28" t="s">
        <v>183</v>
      </c>
      <c r="C1751" s="28" t="s">
        <v>174</v>
      </c>
      <c r="D1751" s="23" t="n">
        <v>5</v>
      </c>
      <c r="E1751" s="23" t="n">
        <v>24</v>
      </c>
      <c r="F1751" s="28" t="s">
        <v>915</v>
      </c>
      <c r="G1751" s="19" t="n">
        <v>0.0749</v>
      </c>
    </row>
    <row r="1752" customFormat="false" ht="15" hidden="false" customHeight="false" outlineLevel="0" collapsed="false">
      <c r="A1752" s="28" t="s">
        <v>184</v>
      </c>
      <c r="B1752" s="28" t="s">
        <v>185</v>
      </c>
      <c r="C1752" s="28" t="s">
        <v>174</v>
      </c>
      <c r="D1752" s="23" t="n">
        <v>6</v>
      </c>
      <c r="E1752" s="23" t="n">
        <v>0</v>
      </c>
      <c r="F1752" s="28" t="s">
        <v>904</v>
      </c>
      <c r="G1752" s="19" t="n">
        <v>0.0563</v>
      </c>
    </row>
    <row r="1753" customFormat="false" ht="15" hidden="false" customHeight="false" outlineLevel="0" collapsed="false">
      <c r="A1753" s="28" t="s">
        <v>184</v>
      </c>
      <c r="B1753" s="28" t="s">
        <v>185</v>
      </c>
      <c r="C1753" s="28" t="s">
        <v>174</v>
      </c>
      <c r="D1753" s="23" t="n">
        <v>6</v>
      </c>
      <c r="E1753" s="23" t="n">
        <v>0</v>
      </c>
      <c r="F1753" s="28" t="s">
        <v>551</v>
      </c>
      <c r="G1753" s="19" t="n">
        <v>0.0875</v>
      </c>
    </row>
    <row r="1754" customFormat="false" ht="15" hidden="false" customHeight="false" outlineLevel="0" collapsed="false">
      <c r="A1754" s="28" t="s">
        <v>184</v>
      </c>
      <c r="B1754" s="28" t="s">
        <v>185</v>
      </c>
      <c r="C1754" s="28" t="s">
        <v>174</v>
      </c>
      <c r="D1754" s="23" t="n">
        <v>6</v>
      </c>
      <c r="E1754" s="23" t="n">
        <v>0</v>
      </c>
      <c r="F1754" s="28" t="s">
        <v>451</v>
      </c>
      <c r="G1754" s="19" t="n">
        <v>0.0561</v>
      </c>
    </row>
    <row r="1755" customFormat="false" ht="15" hidden="false" customHeight="false" outlineLevel="0" collapsed="false">
      <c r="A1755" s="28" t="s">
        <v>184</v>
      </c>
      <c r="B1755" s="28" t="s">
        <v>185</v>
      </c>
      <c r="C1755" s="28" t="s">
        <v>174</v>
      </c>
      <c r="D1755" s="23" t="n">
        <v>6</v>
      </c>
      <c r="E1755" s="23" t="n">
        <v>0</v>
      </c>
      <c r="F1755" s="28" t="s">
        <v>905</v>
      </c>
      <c r="G1755" s="19" t="n">
        <v>0.0587</v>
      </c>
    </row>
    <row r="1756" customFormat="false" ht="15" hidden="false" customHeight="false" outlineLevel="0" collapsed="false">
      <c r="A1756" s="28" t="s">
        <v>184</v>
      </c>
      <c r="B1756" s="28" t="s">
        <v>185</v>
      </c>
      <c r="C1756" s="28" t="s">
        <v>174</v>
      </c>
      <c r="D1756" s="23" t="n">
        <v>6</v>
      </c>
      <c r="E1756" s="23" t="n">
        <v>0</v>
      </c>
      <c r="F1756" s="28" t="s">
        <v>906</v>
      </c>
      <c r="G1756" s="19" t="n">
        <v>0.0601</v>
      </c>
    </row>
    <row r="1757" customFormat="false" ht="15" hidden="false" customHeight="false" outlineLevel="0" collapsed="false">
      <c r="A1757" s="28" t="s">
        <v>184</v>
      </c>
      <c r="B1757" s="28" t="s">
        <v>185</v>
      </c>
      <c r="C1757" s="28" t="s">
        <v>174</v>
      </c>
      <c r="D1757" s="23" t="n">
        <v>6</v>
      </c>
      <c r="E1757" s="23" t="n">
        <v>0</v>
      </c>
      <c r="F1757" s="28" t="s">
        <v>907</v>
      </c>
      <c r="G1757" s="19" t="n">
        <v>0.0598</v>
      </c>
    </row>
    <row r="1758" customFormat="false" ht="15" hidden="false" customHeight="false" outlineLevel="0" collapsed="false">
      <c r="A1758" s="28" t="s">
        <v>184</v>
      </c>
      <c r="B1758" s="28" t="s">
        <v>185</v>
      </c>
      <c r="C1758" s="28" t="s">
        <v>174</v>
      </c>
      <c r="D1758" s="23" t="n">
        <v>6</v>
      </c>
      <c r="E1758" s="23" t="n">
        <v>0</v>
      </c>
      <c r="F1758" s="28" t="s">
        <v>908</v>
      </c>
      <c r="G1758" s="19" t="n">
        <v>0.0614</v>
      </c>
    </row>
    <row r="1759" customFormat="false" ht="15" hidden="false" customHeight="false" outlineLevel="0" collapsed="false">
      <c r="A1759" s="28" t="s">
        <v>184</v>
      </c>
      <c r="B1759" s="28" t="s">
        <v>185</v>
      </c>
      <c r="C1759" s="28" t="s">
        <v>174</v>
      </c>
      <c r="D1759" s="23" t="n">
        <v>6</v>
      </c>
      <c r="E1759" s="23" t="n">
        <v>0</v>
      </c>
      <c r="F1759" s="28" t="s">
        <v>909</v>
      </c>
      <c r="G1759" s="19" t="n">
        <v>0.0615</v>
      </c>
    </row>
    <row r="1760" customFormat="false" ht="15" hidden="false" customHeight="false" outlineLevel="0" collapsed="false">
      <c r="A1760" s="28" t="s">
        <v>184</v>
      </c>
      <c r="B1760" s="28" t="s">
        <v>185</v>
      </c>
      <c r="C1760" s="28" t="s">
        <v>174</v>
      </c>
      <c r="D1760" s="23" t="n">
        <v>6</v>
      </c>
      <c r="E1760" s="23" t="n">
        <v>0</v>
      </c>
      <c r="F1760" s="28" t="s">
        <v>910</v>
      </c>
      <c r="G1760" s="19" t="n">
        <v>0.0619</v>
      </c>
    </row>
    <row r="1761" customFormat="false" ht="15" hidden="false" customHeight="false" outlineLevel="0" collapsed="false">
      <c r="A1761" s="28" t="s">
        <v>184</v>
      </c>
      <c r="B1761" s="28" t="s">
        <v>185</v>
      </c>
      <c r="C1761" s="28" t="s">
        <v>174</v>
      </c>
      <c r="D1761" s="23" t="n">
        <v>6</v>
      </c>
      <c r="E1761" s="23" t="n">
        <v>0</v>
      </c>
      <c r="F1761" s="28" t="s">
        <v>911</v>
      </c>
      <c r="G1761" s="19" t="n">
        <v>0.063</v>
      </c>
    </row>
    <row r="1762" customFormat="false" ht="15" hidden="false" customHeight="false" outlineLevel="0" collapsed="false">
      <c r="A1762" s="28" t="s">
        <v>184</v>
      </c>
      <c r="B1762" s="28" t="s">
        <v>185</v>
      </c>
      <c r="C1762" s="28" t="s">
        <v>174</v>
      </c>
      <c r="D1762" s="23" t="n">
        <v>6</v>
      </c>
      <c r="E1762" s="23" t="n">
        <v>0</v>
      </c>
      <c r="F1762" s="28" t="s">
        <v>912</v>
      </c>
      <c r="G1762" s="19" t="n">
        <v>0.0644</v>
      </c>
    </row>
    <row r="1763" customFormat="false" ht="15" hidden="false" customHeight="false" outlineLevel="0" collapsed="false">
      <c r="A1763" s="28" t="s">
        <v>184</v>
      </c>
      <c r="B1763" s="28" t="s">
        <v>185</v>
      </c>
      <c r="C1763" s="28" t="s">
        <v>174</v>
      </c>
      <c r="D1763" s="23" t="n">
        <v>6</v>
      </c>
      <c r="E1763" s="23" t="n">
        <v>0</v>
      </c>
      <c r="F1763" s="28" t="s">
        <v>913</v>
      </c>
      <c r="G1763" s="19" t="n">
        <v>0.0693</v>
      </c>
    </row>
    <row r="1764" customFormat="false" ht="15" hidden="false" customHeight="false" outlineLevel="0" collapsed="false">
      <c r="A1764" s="28" t="s">
        <v>184</v>
      </c>
      <c r="B1764" s="28" t="s">
        <v>185</v>
      </c>
      <c r="C1764" s="28" t="s">
        <v>174</v>
      </c>
      <c r="D1764" s="23" t="n">
        <v>6</v>
      </c>
      <c r="E1764" s="23" t="n">
        <v>0</v>
      </c>
      <c r="F1764" s="28" t="s">
        <v>914</v>
      </c>
      <c r="G1764" s="19" t="n">
        <v>0.0691</v>
      </c>
    </row>
    <row r="1765" customFormat="false" ht="15" hidden="false" customHeight="false" outlineLevel="0" collapsed="false">
      <c r="A1765" s="28" t="s">
        <v>184</v>
      </c>
      <c r="B1765" s="28" t="s">
        <v>185</v>
      </c>
      <c r="C1765" s="28" t="s">
        <v>174</v>
      </c>
      <c r="D1765" s="23" t="n">
        <v>6</v>
      </c>
      <c r="E1765" s="23" t="n">
        <v>0</v>
      </c>
      <c r="F1765" s="28" t="s">
        <v>915</v>
      </c>
      <c r="G1765" s="19" t="n">
        <v>0.0849</v>
      </c>
    </row>
    <row r="1766" customFormat="false" ht="15" hidden="false" customHeight="false" outlineLevel="0" collapsed="false">
      <c r="A1766" s="28" t="s">
        <v>184</v>
      </c>
      <c r="B1766" s="28" t="s">
        <v>185</v>
      </c>
      <c r="C1766" s="28" t="s">
        <v>174</v>
      </c>
      <c r="D1766" s="23" t="n">
        <v>6</v>
      </c>
      <c r="E1766" s="23" t="n">
        <v>1</v>
      </c>
      <c r="F1766" s="28" t="s">
        <v>904</v>
      </c>
      <c r="G1766" s="19" t="n">
        <v>0.0563</v>
      </c>
    </row>
    <row r="1767" customFormat="false" ht="15" hidden="false" customHeight="false" outlineLevel="0" collapsed="false">
      <c r="A1767" s="28" t="s">
        <v>184</v>
      </c>
      <c r="B1767" s="28" t="s">
        <v>185</v>
      </c>
      <c r="C1767" s="28" t="s">
        <v>174</v>
      </c>
      <c r="D1767" s="23" t="n">
        <v>6</v>
      </c>
      <c r="E1767" s="23" t="n">
        <v>1</v>
      </c>
      <c r="F1767" s="28" t="s">
        <v>551</v>
      </c>
      <c r="G1767" s="19" t="n">
        <v>0.0875</v>
      </c>
    </row>
    <row r="1768" customFormat="false" ht="15" hidden="false" customHeight="false" outlineLevel="0" collapsed="false">
      <c r="A1768" s="28" t="s">
        <v>184</v>
      </c>
      <c r="B1768" s="28" t="s">
        <v>185</v>
      </c>
      <c r="C1768" s="28" t="s">
        <v>174</v>
      </c>
      <c r="D1768" s="23" t="n">
        <v>6</v>
      </c>
      <c r="E1768" s="23" t="n">
        <v>1</v>
      </c>
      <c r="F1768" s="28" t="s">
        <v>451</v>
      </c>
      <c r="G1768" s="19" t="n">
        <v>0.0561</v>
      </c>
    </row>
    <row r="1769" customFormat="false" ht="15" hidden="false" customHeight="false" outlineLevel="0" collapsed="false">
      <c r="A1769" s="28" t="s">
        <v>184</v>
      </c>
      <c r="B1769" s="28" t="s">
        <v>185</v>
      </c>
      <c r="C1769" s="28" t="s">
        <v>174</v>
      </c>
      <c r="D1769" s="23" t="n">
        <v>6</v>
      </c>
      <c r="E1769" s="23" t="n">
        <v>1</v>
      </c>
      <c r="F1769" s="28" t="s">
        <v>905</v>
      </c>
      <c r="G1769" s="19" t="n">
        <v>0.0587</v>
      </c>
    </row>
    <row r="1770" customFormat="false" ht="15" hidden="false" customHeight="false" outlineLevel="0" collapsed="false">
      <c r="A1770" s="28" t="s">
        <v>184</v>
      </c>
      <c r="B1770" s="28" t="s">
        <v>185</v>
      </c>
      <c r="C1770" s="28" t="s">
        <v>174</v>
      </c>
      <c r="D1770" s="23" t="n">
        <v>6</v>
      </c>
      <c r="E1770" s="23" t="n">
        <v>1</v>
      </c>
      <c r="F1770" s="28" t="s">
        <v>906</v>
      </c>
      <c r="G1770" s="19" t="n">
        <v>0.0601</v>
      </c>
    </row>
    <row r="1771" customFormat="false" ht="15" hidden="false" customHeight="false" outlineLevel="0" collapsed="false">
      <c r="A1771" s="28" t="s">
        <v>184</v>
      </c>
      <c r="B1771" s="28" t="s">
        <v>185</v>
      </c>
      <c r="C1771" s="28" t="s">
        <v>174</v>
      </c>
      <c r="D1771" s="23" t="n">
        <v>6</v>
      </c>
      <c r="E1771" s="23" t="n">
        <v>1</v>
      </c>
      <c r="F1771" s="28" t="s">
        <v>907</v>
      </c>
      <c r="G1771" s="19" t="n">
        <v>0.0598</v>
      </c>
    </row>
    <row r="1772" customFormat="false" ht="15" hidden="false" customHeight="false" outlineLevel="0" collapsed="false">
      <c r="A1772" s="28" t="s">
        <v>184</v>
      </c>
      <c r="B1772" s="28" t="s">
        <v>185</v>
      </c>
      <c r="C1772" s="28" t="s">
        <v>174</v>
      </c>
      <c r="D1772" s="23" t="n">
        <v>6</v>
      </c>
      <c r="E1772" s="23" t="n">
        <v>1</v>
      </c>
      <c r="F1772" s="28" t="s">
        <v>908</v>
      </c>
      <c r="G1772" s="19" t="n">
        <v>0.0614</v>
      </c>
    </row>
    <row r="1773" customFormat="false" ht="15" hidden="false" customHeight="false" outlineLevel="0" collapsed="false">
      <c r="A1773" s="28" t="s">
        <v>184</v>
      </c>
      <c r="B1773" s="28" t="s">
        <v>185</v>
      </c>
      <c r="C1773" s="28" t="s">
        <v>174</v>
      </c>
      <c r="D1773" s="23" t="n">
        <v>6</v>
      </c>
      <c r="E1773" s="23" t="n">
        <v>1</v>
      </c>
      <c r="F1773" s="28" t="s">
        <v>909</v>
      </c>
      <c r="G1773" s="19" t="n">
        <v>0.0615</v>
      </c>
    </row>
    <row r="1774" customFormat="false" ht="15" hidden="false" customHeight="false" outlineLevel="0" collapsed="false">
      <c r="A1774" s="28" t="s">
        <v>184</v>
      </c>
      <c r="B1774" s="28" t="s">
        <v>185</v>
      </c>
      <c r="C1774" s="28" t="s">
        <v>174</v>
      </c>
      <c r="D1774" s="23" t="n">
        <v>6</v>
      </c>
      <c r="E1774" s="23" t="n">
        <v>1</v>
      </c>
      <c r="F1774" s="28" t="s">
        <v>910</v>
      </c>
      <c r="G1774" s="19" t="n">
        <v>0.0619</v>
      </c>
    </row>
    <row r="1775" customFormat="false" ht="15" hidden="false" customHeight="false" outlineLevel="0" collapsed="false">
      <c r="A1775" s="28" t="s">
        <v>184</v>
      </c>
      <c r="B1775" s="28" t="s">
        <v>185</v>
      </c>
      <c r="C1775" s="28" t="s">
        <v>174</v>
      </c>
      <c r="D1775" s="23" t="n">
        <v>6</v>
      </c>
      <c r="E1775" s="23" t="n">
        <v>1</v>
      </c>
      <c r="F1775" s="28" t="s">
        <v>911</v>
      </c>
      <c r="G1775" s="19" t="n">
        <v>0.063</v>
      </c>
    </row>
    <row r="1776" customFormat="false" ht="15" hidden="false" customHeight="false" outlineLevel="0" collapsed="false">
      <c r="A1776" s="28" t="s">
        <v>184</v>
      </c>
      <c r="B1776" s="28" t="s">
        <v>185</v>
      </c>
      <c r="C1776" s="28" t="s">
        <v>174</v>
      </c>
      <c r="D1776" s="23" t="n">
        <v>6</v>
      </c>
      <c r="E1776" s="23" t="n">
        <v>1</v>
      </c>
      <c r="F1776" s="28" t="s">
        <v>912</v>
      </c>
      <c r="G1776" s="19" t="n">
        <v>0.0644</v>
      </c>
    </row>
    <row r="1777" customFormat="false" ht="15" hidden="false" customHeight="false" outlineLevel="0" collapsed="false">
      <c r="A1777" s="28" t="s">
        <v>184</v>
      </c>
      <c r="B1777" s="28" t="s">
        <v>185</v>
      </c>
      <c r="C1777" s="28" t="s">
        <v>174</v>
      </c>
      <c r="D1777" s="23" t="n">
        <v>6</v>
      </c>
      <c r="E1777" s="23" t="n">
        <v>1</v>
      </c>
      <c r="F1777" s="28" t="s">
        <v>913</v>
      </c>
      <c r="G1777" s="19" t="n">
        <v>0.0693</v>
      </c>
    </row>
    <row r="1778" customFormat="false" ht="15" hidden="false" customHeight="false" outlineLevel="0" collapsed="false">
      <c r="A1778" s="28" t="s">
        <v>184</v>
      </c>
      <c r="B1778" s="28" t="s">
        <v>185</v>
      </c>
      <c r="C1778" s="28" t="s">
        <v>174</v>
      </c>
      <c r="D1778" s="23" t="n">
        <v>6</v>
      </c>
      <c r="E1778" s="23" t="n">
        <v>1</v>
      </c>
      <c r="F1778" s="28" t="s">
        <v>914</v>
      </c>
      <c r="G1778" s="19" t="n">
        <v>0.0691</v>
      </c>
    </row>
    <row r="1779" customFormat="false" ht="15" hidden="false" customHeight="false" outlineLevel="0" collapsed="false">
      <c r="A1779" s="28" t="s">
        <v>184</v>
      </c>
      <c r="B1779" s="28" t="s">
        <v>185</v>
      </c>
      <c r="C1779" s="28" t="s">
        <v>174</v>
      </c>
      <c r="D1779" s="23" t="n">
        <v>6</v>
      </c>
      <c r="E1779" s="23" t="n">
        <v>1</v>
      </c>
      <c r="F1779" s="28" t="s">
        <v>915</v>
      </c>
      <c r="G1779" s="19" t="n">
        <v>0.0849</v>
      </c>
    </row>
    <row r="1780" customFormat="false" ht="15" hidden="false" customHeight="false" outlineLevel="0" collapsed="false">
      <c r="A1780" s="28" t="s">
        <v>184</v>
      </c>
      <c r="B1780" s="28" t="s">
        <v>185</v>
      </c>
      <c r="C1780" s="28" t="s">
        <v>174</v>
      </c>
      <c r="D1780" s="23" t="n">
        <v>6</v>
      </c>
      <c r="E1780" s="23" t="n">
        <v>2</v>
      </c>
      <c r="F1780" s="28" t="s">
        <v>904</v>
      </c>
      <c r="G1780" s="19" t="n">
        <v>0.0563</v>
      </c>
    </row>
    <row r="1781" customFormat="false" ht="15" hidden="false" customHeight="false" outlineLevel="0" collapsed="false">
      <c r="A1781" s="28" t="s">
        <v>184</v>
      </c>
      <c r="B1781" s="28" t="s">
        <v>185</v>
      </c>
      <c r="C1781" s="28" t="s">
        <v>174</v>
      </c>
      <c r="D1781" s="23" t="n">
        <v>6</v>
      </c>
      <c r="E1781" s="23" t="n">
        <v>2</v>
      </c>
      <c r="F1781" s="28" t="s">
        <v>551</v>
      </c>
      <c r="G1781" s="19" t="n">
        <v>0.0875</v>
      </c>
    </row>
    <row r="1782" customFormat="false" ht="15" hidden="false" customHeight="false" outlineLevel="0" collapsed="false">
      <c r="A1782" s="28" t="s">
        <v>184</v>
      </c>
      <c r="B1782" s="28" t="s">
        <v>185</v>
      </c>
      <c r="C1782" s="28" t="s">
        <v>174</v>
      </c>
      <c r="D1782" s="23" t="n">
        <v>6</v>
      </c>
      <c r="E1782" s="23" t="n">
        <v>2</v>
      </c>
      <c r="F1782" s="28" t="s">
        <v>451</v>
      </c>
      <c r="G1782" s="19" t="n">
        <v>0.0561</v>
      </c>
    </row>
    <row r="1783" customFormat="false" ht="15" hidden="false" customHeight="false" outlineLevel="0" collapsed="false">
      <c r="A1783" s="28" t="s">
        <v>184</v>
      </c>
      <c r="B1783" s="28" t="s">
        <v>185</v>
      </c>
      <c r="C1783" s="28" t="s">
        <v>174</v>
      </c>
      <c r="D1783" s="23" t="n">
        <v>6</v>
      </c>
      <c r="E1783" s="23" t="n">
        <v>2</v>
      </c>
      <c r="F1783" s="28" t="s">
        <v>905</v>
      </c>
      <c r="G1783" s="19" t="n">
        <v>0.0587</v>
      </c>
    </row>
    <row r="1784" customFormat="false" ht="15" hidden="false" customHeight="false" outlineLevel="0" collapsed="false">
      <c r="A1784" s="28" t="s">
        <v>184</v>
      </c>
      <c r="B1784" s="28" t="s">
        <v>185</v>
      </c>
      <c r="C1784" s="28" t="s">
        <v>174</v>
      </c>
      <c r="D1784" s="23" t="n">
        <v>6</v>
      </c>
      <c r="E1784" s="23" t="n">
        <v>2</v>
      </c>
      <c r="F1784" s="28" t="s">
        <v>906</v>
      </c>
      <c r="G1784" s="19" t="n">
        <v>0.0601</v>
      </c>
    </row>
    <row r="1785" customFormat="false" ht="15" hidden="false" customHeight="false" outlineLevel="0" collapsed="false">
      <c r="A1785" s="28" t="s">
        <v>184</v>
      </c>
      <c r="B1785" s="28" t="s">
        <v>185</v>
      </c>
      <c r="C1785" s="28" t="s">
        <v>174</v>
      </c>
      <c r="D1785" s="23" t="n">
        <v>6</v>
      </c>
      <c r="E1785" s="23" t="n">
        <v>2</v>
      </c>
      <c r="F1785" s="28" t="s">
        <v>907</v>
      </c>
      <c r="G1785" s="19" t="n">
        <v>0.0598</v>
      </c>
    </row>
    <row r="1786" customFormat="false" ht="15" hidden="false" customHeight="false" outlineLevel="0" collapsed="false">
      <c r="A1786" s="28" t="s">
        <v>184</v>
      </c>
      <c r="B1786" s="28" t="s">
        <v>185</v>
      </c>
      <c r="C1786" s="28" t="s">
        <v>174</v>
      </c>
      <c r="D1786" s="23" t="n">
        <v>6</v>
      </c>
      <c r="E1786" s="23" t="n">
        <v>2</v>
      </c>
      <c r="F1786" s="28" t="s">
        <v>908</v>
      </c>
      <c r="G1786" s="19" t="n">
        <v>0.0614</v>
      </c>
    </row>
    <row r="1787" customFormat="false" ht="15" hidden="false" customHeight="false" outlineLevel="0" collapsed="false">
      <c r="A1787" s="28" t="s">
        <v>184</v>
      </c>
      <c r="B1787" s="28" t="s">
        <v>185</v>
      </c>
      <c r="C1787" s="28" t="s">
        <v>174</v>
      </c>
      <c r="D1787" s="23" t="n">
        <v>6</v>
      </c>
      <c r="E1787" s="23" t="n">
        <v>2</v>
      </c>
      <c r="F1787" s="28" t="s">
        <v>909</v>
      </c>
      <c r="G1787" s="19" t="n">
        <v>0.0615</v>
      </c>
    </row>
    <row r="1788" customFormat="false" ht="15" hidden="false" customHeight="false" outlineLevel="0" collapsed="false">
      <c r="A1788" s="28" t="s">
        <v>184</v>
      </c>
      <c r="B1788" s="28" t="s">
        <v>185</v>
      </c>
      <c r="C1788" s="28" t="s">
        <v>174</v>
      </c>
      <c r="D1788" s="23" t="n">
        <v>6</v>
      </c>
      <c r="E1788" s="23" t="n">
        <v>2</v>
      </c>
      <c r="F1788" s="28" t="s">
        <v>910</v>
      </c>
      <c r="G1788" s="19" t="n">
        <v>0.0619</v>
      </c>
    </row>
    <row r="1789" customFormat="false" ht="15" hidden="false" customHeight="false" outlineLevel="0" collapsed="false">
      <c r="A1789" s="28" t="s">
        <v>184</v>
      </c>
      <c r="B1789" s="28" t="s">
        <v>185</v>
      </c>
      <c r="C1789" s="28" t="s">
        <v>174</v>
      </c>
      <c r="D1789" s="23" t="n">
        <v>6</v>
      </c>
      <c r="E1789" s="23" t="n">
        <v>2</v>
      </c>
      <c r="F1789" s="28" t="s">
        <v>911</v>
      </c>
      <c r="G1789" s="19" t="n">
        <v>0.063</v>
      </c>
    </row>
    <row r="1790" customFormat="false" ht="15" hidden="false" customHeight="false" outlineLevel="0" collapsed="false">
      <c r="A1790" s="28" t="s">
        <v>184</v>
      </c>
      <c r="B1790" s="28" t="s">
        <v>185</v>
      </c>
      <c r="C1790" s="28" t="s">
        <v>174</v>
      </c>
      <c r="D1790" s="23" t="n">
        <v>6</v>
      </c>
      <c r="E1790" s="23" t="n">
        <v>2</v>
      </c>
      <c r="F1790" s="28" t="s">
        <v>912</v>
      </c>
      <c r="G1790" s="19" t="n">
        <v>0.0644</v>
      </c>
    </row>
    <row r="1791" customFormat="false" ht="15" hidden="false" customHeight="false" outlineLevel="0" collapsed="false">
      <c r="A1791" s="28" t="s">
        <v>184</v>
      </c>
      <c r="B1791" s="28" t="s">
        <v>185</v>
      </c>
      <c r="C1791" s="28" t="s">
        <v>174</v>
      </c>
      <c r="D1791" s="23" t="n">
        <v>6</v>
      </c>
      <c r="E1791" s="23" t="n">
        <v>2</v>
      </c>
      <c r="F1791" s="28" t="s">
        <v>913</v>
      </c>
      <c r="G1791" s="19" t="n">
        <v>0.0693</v>
      </c>
    </row>
    <row r="1792" customFormat="false" ht="15" hidden="false" customHeight="false" outlineLevel="0" collapsed="false">
      <c r="A1792" s="28" t="s">
        <v>184</v>
      </c>
      <c r="B1792" s="28" t="s">
        <v>185</v>
      </c>
      <c r="C1792" s="28" t="s">
        <v>174</v>
      </c>
      <c r="D1792" s="23" t="n">
        <v>6</v>
      </c>
      <c r="E1792" s="23" t="n">
        <v>2</v>
      </c>
      <c r="F1792" s="28" t="s">
        <v>914</v>
      </c>
      <c r="G1792" s="19" t="n">
        <v>0.0691</v>
      </c>
    </row>
    <row r="1793" customFormat="false" ht="15" hidden="false" customHeight="false" outlineLevel="0" collapsed="false">
      <c r="A1793" s="28" t="s">
        <v>184</v>
      </c>
      <c r="B1793" s="28" t="s">
        <v>185</v>
      </c>
      <c r="C1793" s="28" t="s">
        <v>174</v>
      </c>
      <c r="D1793" s="23" t="n">
        <v>6</v>
      </c>
      <c r="E1793" s="23" t="n">
        <v>2</v>
      </c>
      <c r="F1793" s="28" t="s">
        <v>915</v>
      </c>
      <c r="G1793" s="19" t="n">
        <v>0.0849</v>
      </c>
    </row>
    <row r="1794" customFormat="false" ht="15" hidden="false" customHeight="false" outlineLevel="0" collapsed="false">
      <c r="A1794" s="28" t="s">
        <v>184</v>
      </c>
      <c r="B1794" s="28" t="s">
        <v>185</v>
      </c>
      <c r="C1794" s="28" t="s">
        <v>174</v>
      </c>
      <c r="D1794" s="23" t="n">
        <v>6</v>
      </c>
      <c r="E1794" s="23" t="n">
        <v>3</v>
      </c>
      <c r="F1794" s="28" t="s">
        <v>904</v>
      </c>
      <c r="G1794" s="19" t="n">
        <v>0.0563</v>
      </c>
    </row>
    <row r="1795" customFormat="false" ht="15" hidden="false" customHeight="false" outlineLevel="0" collapsed="false">
      <c r="A1795" s="28" t="s">
        <v>184</v>
      </c>
      <c r="B1795" s="28" t="s">
        <v>185</v>
      </c>
      <c r="C1795" s="28" t="s">
        <v>174</v>
      </c>
      <c r="D1795" s="23" t="n">
        <v>6</v>
      </c>
      <c r="E1795" s="23" t="n">
        <v>3</v>
      </c>
      <c r="F1795" s="28" t="s">
        <v>551</v>
      </c>
      <c r="G1795" s="19" t="n">
        <v>0.0875</v>
      </c>
    </row>
    <row r="1796" customFormat="false" ht="15" hidden="false" customHeight="false" outlineLevel="0" collapsed="false">
      <c r="A1796" s="28" t="s">
        <v>184</v>
      </c>
      <c r="B1796" s="28" t="s">
        <v>185</v>
      </c>
      <c r="C1796" s="28" t="s">
        <v>174</v>
      </c>
      <c r="D1796" s="23" t="n">
        <v>6</v>
      </c>
      <c r="E1796" s="23" t="n">
        <v>3</v>
      </c>
      <c r="F1796" s="28" t="s">
        <v>451</v>
      </c>
      <c r="G1796" s="19" t="n">
        <v>0.0561</v>
      </c>
    </row>
    <row r="1797" customFormat="false" ht="15" hidden="false" customHeight="false" outlineLevel="0" collapsed="false">
      <c r="A1797" s="28" t="s">
        <v>184</v>
      </c>
      <c r="B1797" s="28" t="s">
        <v>185</v>
      </c>
      <c r="C1797" s="28" t="s">
        <v>174</v>
      </c>
      <c r="D1797" s="23" t="n">
        <v>6</v>
      </c>
      <c r="E1797" s="23" t="n">
        <v>3</v>
      </c>
      <c r="F1797" s="28" t="s">
        <v>905</v>
      </c>
      <c r="G1797" s="19" t="n">
        <v>0.0587</v>
      </c>
    </row>
    <row r="1798" customFormat="false" ht="15" hidden="false" customHeight="false" outlineLevel="0" collapsed="false">
      <c r="A1798" s="28" t="s">
        <v>184</v>
      </c>
      <c r="B1798" s="28" t="s">
        <v>185</v>
      </c>
      <c r="C1798" s="28" t="s">
        <v>174</v>
      </c>
      <c r="D1798" s="23" t="n">
        <v>6</v>
      </c>
      <c r="E1798" s="23" t="n">
        <v>3</v>
      </c>
      <c r="F1798" s="28" t="s">
        <v>906</v>
      </c>
      <c r="G1798" s="19" t="n">
        <v>0.0601</v>
      </c>
    </row>
    <row r="1799" customFormat="false" ht="15" hidden="false" customHeight="false" outlineLevel="0" collapsed="false">
      <c r="A1799" s="28" t="s">
        <v>184</v>
      </c>
      <c r="B1799" s="28" t="s">
        <v>185</v>
      </c>
      <c r="C1799" s="28" t="s">
        <v>174</v>
      </c>
      <c r="D1799" s="23" t="n">
        <v>6</v>
      </c>
      <c r="E1799" s="23" t="n">
        <v>3</v>
      </c>
      <c r="F1799" s="28" t="s">
        <v>907</v>
      </c>
      <c r="G1799" s="19" t="n">
        <v>0.0598</v>
      </c>
    </row>
    <row r="1800" customFormat="false" ht="15" hidden="false" customHeight="false" outlineLevel="0" collapsed="false">
      <c r="A1800" s="28" t="s">
        <v>184</v>
      </c>
      <c r="B1800" s="28" t="s">
        <v>185</v>
      </c>
      <c r="C1800" s="28" t="s">
        <v>174</v>
      </c>
      <c r="D1800" s="23" t="n">
        <v>6</v>
      </c>
      <c r="E1800" s="23" t="n">
        <v>3</v>
      </c>
      <c r="F1800" s="28" t="s">
        <v>908</v>
      </c>
      <c r="G1800" s="19" t="n">
        <v>0.0614</v>
      </c>
    </row>
    <row r="1801" customFormat="false" ht="15" hidden="false" customHeight="false" outlineLevel="0" collapsed="false">
      <c r="A1801" s="28" t="s">
        <v>184</v>
      </c>
      <c r="B1801" s="28" t="s">
        <v>185</v>
      </c>
      <c r="C1801" s="28" t="s">
        <v>174</v>
      </c>
      <c r="D1801" s="23" t="n">
        <v>6</v>
      </c>
      <c r="E1801" s="23" t="n">
        <v>3</v>
      </c>
      <c r="F1801" s="28" t="s">
        <v>909</v>
      </c>
      <c r="G1801" s="19" t="n">
        <v>0.0615</v>
      </c>
    </row>
    <row r="1802" customFormat="false" ht="15" hidden="false" customHeight="false" outlineLevel="0" collapsed="false">
      <c r="A1802" s="28" t="s">
        <v>184</v>
      </c>
      <c r="B1802" s="28" t="s">
        <v>185</v>
      </c>
      <c r="C1802" s="28" t="s">
        <v>174</v>
      </c>
      <c r="D1802" s="23" t="n">
        <v>6</v>
      </c>
      <c r="E1802" s="23" t="n">
        <v>3</v>
      </c>
      <c r="F1802" s="28" t="s">
        <v>910</v>
      </c>
      <c r="G1802" s="19" t="n">
        <v>0.0619</v>
      </c>
    </row>
    <row r="1803" customFormat="false" ht="15" hidden="false" customHeight="false" outlineLevel="0" collapsed="false">
      <c r="A1803" s="28" t="s">
        <v>184</v>
      </c>
      <c r="B1803" s="28" t="s">
        <v>185</v>
      </c>
      <c r="C1803" s="28" t="s">
        <v>174</v>
      </c>
      <c r="D1803" s="23" t="n">
        <v>6</v>
      </c>
      <c r="E1803" s="23" t="n">
        <v>3</v>
      </c>
      <c r="F1803" s="28" t="s">
        <v>911</v>
      </c>
      <c r="G1803" s="19" t="n">
        <v>0.063</v>
      </c>
    </row>
    <row r="1804" customFormat="false" ht="15" hidden="false" customHeight="false" outlineLevel="0" collapsed="false">
      <c r="A1804" s="28" t="s">
        <v>184</v>
      </c>
      <c r="B1804" s="28" t="s">
        <v>185</v>
      </c>
      <c r="C1804" s="28" t="s">
        <v>174</v>
      </c>
      <c r="D1804" s="23" t="n">
        <v>6</v>
      </c>
      <c r="E1804" s="23" t="n">
        <v>3</v>
      </c>
      <c r="F1804" s="28" t="s">
        <v>912</v>
      </c>
      <c r="G1804" s="19" t="n">
        <v>0.0644</v>
      </c>
    </row>
    <row r="1805" customFormat="false" ht="15" hidden="false" customHeight="false" outlineLevel="0" collapsed="false">
      <c r="A1805" s="28" t="s">
        <v>184</v>
      </c>
      <c r="B1805" s="28" t="s">
        <v>185</v>
      </c>
      <c r="C1805" s="28" t="s">
        <v>174</v>
      </c>
      <c r="D1805" s="23" t="n">
        <v>6</v>
      </c>
      <c r="E1805" s="23" t="n">
        <v>3</v>
      </c>
      <c r="F1805" s="28" t="s">
        <v>913</v>
      </c>
      <c r="G1805" s="19" t="n">
        <v>0.0693</v>
      </c>
    </row>
    <row r="1806" customFormat="false" ht="15" hidden="false" customHeight="false" outlineLevel="0" collapsed="false">
      <c r="A1806" s="28" t="s">
        <v>184</v>
      </c>
      <c r="B1806" s="28" t="s">
        <v>185</v>
      </c>
      <c r="C1806" s="28" t="s">
        <v>174</v>
      </c>
      <c r="D1806" s="23" t="n">
        <v>6</v>
      </c>
      <c r="E1806" s="23" t="n">
        <v>3</v>
      </c>
      <c r="F1806" s="28" t="s">
        <v>914</v>
      </c>
      <c r="G1806" s="19" t="n">
        <v>0.0691</v>
      </c>
    </row>
    <row r="1807" customFormat="false" ht="15" hidden="false" customHeight="false" outlineLevel="0" collapsed="false">
      <c r="A1807" s="28" t="s">
        <v>184</v>
      </c>
      <c r="B1807" s="28" t="s">
        <v>185</v>
      </c>
      <c r="C1807" s="28" t="s">
        <v>174</v>
      </c>
      <c r="D1807" s="23" t="n">
        <v>6</v>
      </c>
      <c r="E1807" s="23" t="n">
        <v>3</v>
      </c>
      <c r="F1807" s="28" t="s">
        <v>915</v>
      </c>
      <c r="G1807" s="19" t="n">
        <v>0.0849</v>
      </c>
    </row>
    <row r="1808" customFormat="false" ht="15" hidden="false" customHeight="false" outlineLevel="0" collapsed="false">
      <c r="A1808" s="28" t="s">
        <v>184</v>
      </c>
      <c r="B1808" s="28" t="s">
        <v>185</v>
      </c>
      <c r="C1808" s="28" t="s">
        <v>174</v>
      </c>
      <c r="D1808" s="23" t="n">
        <v>6</v>
      </c>
      <c r="E1808" s="23" t="n">
        <v>4</v>
      </c>
      <c r="F1808" s="28" t="s">
        <v>904</v>
      </c>
      <c r="G1808" s="19" t="n">
        <v>0.0563</v>
      </c>
    </row>
    <row r="1809" customFormat="false" ht="15" hidden="false" customHeight="false" outlineLevel="0" collapsed="false">
      <c r="A1809" s="28" t="s">
        <v>184</v>
      </c>
      <c r="B1809" s="28" t="s">
        <v>185</v>
      </c>
      <c r="C1809" s="28" t="s">
        <v>174</v>
      </c>
      <c r="D1809" s="23" t="n">
        <v>6</v>
      </c>
      <c r="E1809" s="23" t="n">
        <v>4</v>
      </c>
      <c r="F1809" s="28" t="s">
        <v>551</v>
      </c>
      <c r="G1809" s="19" t="n">
        <v>0.0875</v>
      </c>
    </row>
    <row r="1810" customFormat="false" ht="15" hidden="false" customHeight="false" outlineLevel="0" collapsed="false">
      <c r="A1810" s="28" t="s">
        <v>184</v>
      </c>
      <c r="B1810" s="28" t="s">
        <v>185</v>
      </c>
      <c r="C1810" s="28" t="s">
        <v>174</v>
      </c>
      <c r="D1810" s="23" t="n">
        <v>6</v>
      </c>
      <c r="E1810" s="23" t="n">
        <v>4</v>
      </c>
      <c r="F1810" s="28" t="s">
        <v>451</v>
      </c>
      <c r="G1810" s="19" t="n">
        <v>0.0561</v>
      </c>
    </row>
    <row r="1811" customFormat="false" ht="15" hidden="false" customHeight="false" outlineLevel="0" collapsed="false">
      <c r="A1811" s="28" t="s">
        <v>184</v>
      </c>
      <c r="B1811" s="28" t="s">
        <v>185</v>
      </c>
      <c r="C1811" s="28" t="s">
        <v>174</v>
      </c>
      <c r="D1811" s="23" t="n">
        <v>6</v>
      </c>
      <c r="E1811" s="23" t="n">
        <v>4</v>
      </c>
      <c r="F1811" s="28" t="s">
        <v>905</v>
      </c>
      <c r="G1811" s="19" t="n">
        <v>0.0587</v>
      </c>
    </row>
    <row r="1812" customFormat="false" ht="15" hidden="false" customHeight="false" outlineLevel="0" collapsed="false">
      <c r="A1812" s="28" t="s">
        <v>184</v>
      </c>
      <c r="B1812" s="28" t="s">
        <v>185</v>
      </c>
      <c r="C1812" s="28" t="s">
        <v>174</v>
      </c>
      <c r="D1812" s="23" t="n">
        <v>6</v>
      </c>
      <c r="E1812" s="23" t="n">
        <v>4</v>
      </c>
      <c r="F1812" s="28" t="s">
        <v>906</v>
      </c>
      <c r="G1812" s="19" t="n">
        <v>0.0601</v>
      </c>
    </row>
    <row r="1813" customFormat="false" ht="15" hidden="false" customHeight="false" outlineLevel="0" collapsed="false">
      <c r="A1813" s="28" t="s">
        <v>184</v>
      </c>
      <c r="B1813" s="28" t="s">
        <v>185</v>
      </c>
      <c r="C1813" s="28" t="s">
        <v>174</v>
      </c>
      <c r="D1813" s="23" t="n">
        <v>6</v>
      </c>
      <c r="E1813" s="23" t="n">
        <v>4</v>
      </c>
      <c r="F1813" s="28" t="s">
        <v>907</v>
      </c>
      <c r="G1813" s="19" t="n">
        <v>0.0598</v>
      </c>
    </row>
    <row r="1814" customFormat="false" ht="15" hidden="false" customHeight="false" outlineLevel="0" collapsed="false">
      <c r="A1814" s="28" t="s">
        <v>184</v>
      </c>
      <c r="B1814" s="28" t="s">
        <v>185</v>
      </c>
      <c r="C1814" s="28" t="s">
        <v>174</v>
      </c>
      <c r="D1814" s="23" t="n">
        <v>6</v>
      </c>
      <c r="E1814" s="23" t="n">
        <v>4</v>
      </c>
      <c r="F1814" s="28" t="s">
        <v>908</v>
      </c>
      <c r="G1814" s="19" t="n">
        <v>0.0614</v>
      </c>
    </row>
    <row r="1815" customFormat="false" ht="15" hidden="false" customHeight="false" outlineLevel="0" collapsed="false">
      <c r="A1815" s="28" t="s">
        <v>184</v>
      </c>
      <c r="B1815" s="28" t="s">
        <v>185</v>
      </c>
      <c r="C1815" s="28" t="s">
        <v>174</v>
      </c>
      <c r="D1815" s="23" t="n">
        <v>6</v>
      </c>
      <c r="E1815" s="23" t="n">
        <v>4</v>
      </c>
      <c r="F1815" s="28" t="s">
        <v>909</v>
      </c>
      <c r="G1815" s="19" t="n">
        <v>0.0615</v>
      </c>
    </row>
    <row r="1816" customFormat="false" ht="15" hidden="false" customHeight="false" outlineLevel="0" collapsed="false">
      <c r="A1816" s="28" t="s">
        <v>184</v>
      </c>
      <c r="B1816" s="28" t="s">
        <v>185</v>
      </c>
      <c r="C1816" s="28" t="s">
        <v>174</v>
      </c>
      <c r="D1816" s="23" t="n">
        <v>6</v>
      </c>
      <c r="E1816" s="23" t="n">
        <v>4</v>
      </c>
      <c r="F1816" s="28" t="s">
        <v>910</v>
      </c>
      <c r="G1816" s="19" t="n">
        <v>0.0619</v>
      </c>
    </row>
    <row r="1817" customFormat="false" ht="15" hidden="false" customHeight="false" outlineLevel="0" collapsed="false">
      <c r="A1817" s="28" t="s">
        <v>184</v>
      </c>
      <c r="B1817" s="28" t="s">
        <v>185</v>
      </c>
      <c r="C1817" s="28" t="s">
        <v>174</v>
      </c>
      <c r="D1817" s="23" t="n">
        <v>6</v>
      </c>
      <c r="E1817" s="23" t="n">
        <v>4</v>
      </c>
      <c r="F1817" s="28" t="s">
        <v>911</v>
      </c>
      <c r="G1817" s="19" t="n">
        <v>0.063</v>
      </c>
    </row>
    <row r="1818" customFormat="false" ht="15" hidden="false" customHeight="false" outlineLevel="0" collapsed="false">
      <c r="A1818" s="28" t="s">
        <v>184</v>
      </c>
      <c r="B1818" s="28" t="s">
        <v>185</v>
      </c>
      <c r="C1818" s="28" t="s">
        <v>174</v>
      </c>
      <c r="D1818" s="23" t="n">
        <v>6</v>
      </c>
      <c r="E1818" s="23" t="n">
        <v>4</v>
      </c>
      <c r="F1818" s="28" t="s">
        <v>912</v>
      </c>
      <c r="G1818" s="19" t="n">
        <v>0.0644</v>
      </c>
    </row>
    <row r="1819" customFormat="false" ht="15" hidden="false" customHeight="false" outlineLevel="0" collapsed="false">
      <c r="A1819" s="28" t="s">
        <v>184</v>
      </c>
      <c r="B1819" s="28" t="s">
        <v>185</v>
      </c>
      <c r="C1819" s="28" t="s">
        <v>174</v>
      </c>
      <c r="D1819" s="23" t="n">
        <v>6</v>
      </c>
      <c r="E1819" s="23" t="n">
        <v>4</v>
      </c>
      <c r="F1819" s="28" t="s">
        <v>913</v>
      </c>
      <c r="G1819" s="19" t="n">
        <v>0.0693</v>
      </c>
    </row>
    <row r="1820" customFormat="false" ht="15" hidden="false" customHeight="false" outlineLevel="0" collapsed="false">
      <c r="A1820" s="28" t="s">
        <v>184</v>
      </c>
      <c r="B1820" s="28" t="s">
        <v>185</v>
      </c>
      <c r="C1820" s="28" t="s">
        <v>174</v>
      </c>
      <c r="D1820" s="23" t="n">
        <v>6</v>
      </c>
      <c r="E1820" s="23" t="n">
        <v>4</v>
      </c>
      <c r="F1820" s="28" t="s">
        <v>914</v>
      </c>
      <c r="G1820" s="19" t="n">
        <v>0.0691</v>
      </c>
    </row>
    <row r="1821" customFormat="false" ht="15" hidden="false" customHeight="false" outlineLevel="0" collapsed="false">
      <c r="A1821" s="28" t="s">
        <v>184</v>
      </c>
      <c r="B1821" s="28" t="s">
        <v>185</v>
      </c>
      <c r="C1821" s="28" t="s">
        <v>174</v>
      </c>
      <c r="D1821" s="23" t="n">
        <v>6</v>
      </c>
      <c r="E1821" s="23" t="n">
        <v>4</v>
      </c>
      <c r="F1821" s="28" t="s">
        <v>915</v>
      </c>
      <c r="G1821" s="19" t="n">
        <v>0.0849</v>
      </c>
    </row>
    <row r="1822" customFormat="false" ht="15" hidden="false" customHeight="false" outlineLevel="0" collapsed="false">
      <c r="A1822" s="28" t="s">
        <v>184</v>
      </c>
      <c r="B1822" s="28" t="s">
        <v>185</v>
      </c>
      <c r="C1822" s="28" t="s">
        <v>174</v>
      </c>
      <c r="D1822" s="23" t="n">
        <v>6</v>
      </c>
      <c r="E1822" s="23" t="n">
        <v>5</v>
      </c>
      <c r="F1822" s="28" t="s">
        <v>904</v>
      </c>
      <c r="G1822" s="19" t="n">
        <v>0.0563</v>
      </c>
    </row>
    <row r="1823" customFormat="false" ht="15" hidden="false" customHeight="false" outlineLevel="0" collapsed="false">
      <c r="A1823" s="28" t="s">
        <v>184</v>
      </c>
      <c r="B1823" s="28" t="s">
        <v>185</v>
      </c>
      <c r="C1823" s="28" t="s">
        <v>174</v>
      </c>
      <c r="D1823" s="23" t="n">
        <v>6</v>
      </c>
      <c r="E1823" s="23" t="n">
        <v>5</v>
      </c>
      <c r="F1823" s="28" t="s">
        <v>551</v>
      </c>
      <c r="G1823" s="19" t="n">
        <v>0.0875</v>
      </c>
    </row>
    <row r="1824" customFormat="false" ht="15" hidden="false" customHeight="false" outlineLevel="0" collapsed="false">
      <c r="A1824" s="28" t="s">
        <v>184</v>
      </c>
      <c r="B1824" s="28" t="s">
        <v>185</v>
      </c>
      <c r="C1824" s="28" t="s">
        <v>174</v>
      </c>
      <c r="D1824" s="23" t="n">
        <v>6</v>
      </c>
      <c r="E1824" s="23" t="n">
        <v>5</v>
      </c>
      <c r="F1824" s="28" t="s">
        <v>451</v>
      </c>
      <c r="G1824" s="19" t="n">
        <v>0.0561</v>
      </c>
    </row>
    <row r="1825" customFormat="false" ht="15" hidden="false" customHeight="false" outlineLevel="0" collapsed="false">
      <c r="A1825" s="28" t="s">
        <v>184</v>
      </c>
      <c r="B1825" s="28" t="s">
        <v>185</v>
      </c>
      <c r="C1825" s="28" t="s">
        <v>174</v>
      </c>
      <c r="D1825" s="23" t="n">
        <v>6</v>
      </c>
      <c r="E1825" s="23" t="n">
        <v>5</v>
      </c>
      <c r="F1825" s="28" t="s">
        <v>905</v>
      </c>
      <c r="G1825" s="19" t="n">
        <v>0.0587</v>
      </c>
    </row>
    <row r="1826" customFormat="false" ht="15" hidden="false" customHeight="false" outlineLevel="0" collapsed="false">
      <c r="A1826" s="28" t="s">
        <v>184</v>
      </c>
      <c r="B1826" s="28" t="s">
        <v>185</v>
      </c>
      <c r="C1826" s="28" t="s">
        <v>174</v>
      </c>
      <c r="D1826" s="23" t="n">
        <v>6</v>
      </c>
      <c r="E1826" s="23" t="n">
        <v>5</v>
      </c>
      <c r="F1826" s="28" t="s">
        <v>906</v>
      </c>
      <c r="G1826" s="19" t="n">
        <v>0.0601</v>
      </c>
    </row>
    <row r="1827" customFormat="false" ht="15" hidden="false" customHeight="false" outlineLevel="0" collapsed="false">
      <c r="A1827" s="28" t="s">
        <v>184</v>
      </c>
      <c r="B1827" s="28" t="s">
        <v>185</v>
      </c>
      <c r="C1827" s="28" t="s">
        <v>174</v>
      </c>
      <c r="D1827" s="23" t="n">
        <v>6</v>
      </c>
      <c r="E1827" s="23" t="n">
        <v>5</v>
      </c>
      <c r="F1827" s="28" t="s">
        <v>907</v>
      </c>
      <c r="G1827" s="19" t="n">
        <v>0.0598</v>
      </c>
    </row>
    <row r="1828" customFormat="false" ht="15" hidden="false" customHeight="false" outlineLevel="0" collapsed="false">
      <c r="A1828" s="28" t="s">
        <v>184</v>
      </c>
      <c r="B1828" s="28" t="s">
        <v>185</v>
      </c>
      <c r="C1828" s="28" t="s">
        <v>174</v>
      </c>
      <c r="D1828" s="23" t="n">
        <v>6</v>
      </c>
      <c r="E1828" s="23" t="n">
        <v>5</v>
      </c>
      <c r="F1828" s="28" t="s">
        <v>908</v>
      </c>
      <c r="G1828" s="19" t="n">
        <v>0.0614</v>
      </c>
    </row>
    <row r="1829" customFormat="false" ht="15" hidden="false" customHeight="false" outlineLevel="0" collapsed="false">
      <c r="A1829" s="28" t="s">
        <v>184</v>
      </c>
      <c r="B1829" s="28" t="s">
        <v>185</v>
      </c>
      <c r="C1829" s="28" t="s">
        <v>174</v>
      </c>
      <c r="D1829" s="23" t="n">
        <v>6</v>
      </c>
      <c r="E1829" s="23" t="n">
        <v>5</v>
      </c>
      <c r="F1829" s="28" t="s">
        <v>909</v>
      </c>
      <c r="G1829" s="19" t="n">
        <v>0.0615</v>
      </c>
    </row>
    <row r="1830" customFormat="false" ht="15" hidden="false" customHeight="false" outlineLevel="0" collapsed="false">
      <c r="A1830" s="28" t="s">
        <v>184</v>
      </c>
      <c r="B1830" s="28" t="s">
        <v>185</v>
      </c>
      <c r="C1830" s="28" t="s">
        <v>174</v>
      </c>
      <c r="D1830" s="23" t="n">
        <v>6</v>
      </c>
      <c r="E1830" s="23" t="n">
        <v>5</v>
      </c>
      <c r="F1830" s="28" t="s">
        <v>910</v>
      </c>
      <c r="G1830" s="19" t="n">
        <v>0.0619</v>
      </c>
    </row>
    <row r="1831" customFormat="false" ht="15" hidden="false" customHeight="false" outlineLevel="0" collapsed="false">
      <c r="A1831" s="28" t="s">
        <v>184</v>
      </c>
      <c r="B1831" s="28" t="s">
        <v>185</v>
      </c>
      <c r="C1831" s="28" t="s">
        <v>174</v>
      </c>
      <c r="D1831" s="23" t="n">
        <v>6</v>
      </c>
      <c r="E1831" s="23" t="n">
        <v>5</v>
      </c>
      <c r="F1831" s="28" t="s">
        <v>911</v>
      </c>
      <c r="G1831" s="19" t="n">
        <v>0.063</v>
      </c>
    </row>
    <row r="1832" customFormat="false" ht="15" hidden="false" customHeight="false" outlineLevel="0" collapsed="false">
      <c r="A1832" s="28" t="s">
        <v>184</v>
      </c>
      <c r="B1832" s="28" t="s">
        <v>185</v>
      </c>
      <c r="C1832" s="28" t="s">
        <v>174</v>
      </c>
      <c r="D1832" s="23" t="n">
        <v>6</v>
      </c>
      <c r="E1832" s="23" t="n">
        <v>5</v>
      </c>
      <c r="F1832" s="28" t="s">
        <v>912</v>
      </c>
      <c r="G1832" s="19" t="n">
        <v>0.0644</v>
      </c>
    </row>
    <row r="1833" customFormat="false" ht="15" hidden="false" customHeight="false" outlineLevel="0" collapsed="false">
      <c r="A1833" s="28" t="s">
        <v>184</v>
      </c>
      <c r="B1833" s="28" t="s">
        <v>185</v>
      </c>
      <c r="C1833" s="28" t="s">
        <v>174</v>
      </c>
      <c r="D1833" s="23" t="n">
        <v>6</v>
      </c>
      <c r="E1833" s="23" t="n">
        <v>5</v>
      </c>
      <c r="F1833" s="28" t="s">
        <v>913</v>
      </c>
      <c r="G1833" s="19" t="n">
        <v>0.0693</v>
      </c>
    </row>
    <row r="1834" customFormat="false" ht="15" hidden="false" customHeight="false" outlineLevel="0" collapsed="false">
      <c r="A1834" s="28" t="s">
        <v>184</v>
      </c>
      <c r="B1834" s="28" t="s">
        <v>185</v>
      </c>
      <c r="C1834" s="28" t="s">
        <v>174</v>
      </c>
      <c r="D1834" s="23" t="n">
        <v>6</v>
      </c>
      <c r="E1834" s="23" t="n">
        <v>5</v>
      </c>
      <c r="F1834" s="28" t="s">
        <v>914</v>
      </c>
      <c r="G1834" s="19" t="n">
        <v>0.0691</v>
      </c>
    </row>
    <row r="1835" customFormat="false" ht="15" hidden="false" customHeight="false" outlineLevel="0" collapsed="false">
      <c r="A1835" s="28" t="s">
        <v>184</v>
      </c>
      <c r="B1835" s="28" t="s">
        <v>185</v>
      </c>
      <c r="C1835" s="28" t="s">
        <v>174</v>
      </c>
      <c r="D1835" s="23" t="n">
        <v>6</v>
      </c>
      <c r="E1835" s="23" t="n">
        <v>5</v>
      </c>
      <c r="F1835" s="28" t="s">
        <v>915</v>
      </c>
      <c r="G1835" s="19" t="n">
        <v>0.0849</v>
      </c>
    </row>
    <row r="1836" customFormat="false" ht="15" hidden="false" customHeight="false" outlineLevel="0" collapsed="false">
      <c r="A1836" s="28" t="s">
        <v>184</v>
      </c>
      <c r="B1836" s="28" t="s">
        <v>185</v>
      </c>
      <c r="C1836" s="28" t="s">
        <v>174</v>
      </c>
      <c r="D1836" s="23" t="n">
        <v>6</v>
      </c>
      <c r="E1836" s="23" t="n">
        <v>6</v>
      </c>
      <c r="F1836" s="28" t="s">
        <v>904</v>
      </c>
      <c r="G1836" s="19" t="n">
        <v>0.0563</v>
      </c>
    </row>
    <row r="1837" customFormat="false" ht="15" hidden="false" customHeight="false" outlineLevel="0" collapsed="false">
      <c r="A1837" s="28" t="s">
        <v>184</v>
      </c>
      <c r="B1837" s="28" t="s">
        <v>185</v>
      </c>
      <c r="C1837" s="28" t="s">
        <v>174</v>
      </c>
      <c r="D1837" s="23" t="n">
        <v>6</v>
      </c>
      <c r="E1837" s="23" t="n">
        <v>6</v>
      </c>
      <c r="F1837" s="28" t="s">
        <v>551</v>
      </c>
      <c r="G1837" s="19" t="n">
        <v>0.0875</v>
      </c>
    </row>
    <row r="1838" customFormat="false" ht="15" hidden="false" customHeight="false" outlineLevel="0" collapsed="false">
      <c r="A1838" s="28" t="s">
        <v>184</v>
      </c>
      <c r="B1838" s="28" t="s">
        <v>185</v>
      </c>
      <c r="C1838" s="28" t="s">
        <v>174</v>
      </c>
      <c r="D1838" s="23" t="n">
        <v>6</v>
      </c>
      <c r="E1838" s="23" t="n">
        <v>6</v>
      </c>
      <c r="F1838" s="28" t="s">
        <v>451</v>
      </c>
      <c r="G1838" s="19" t="n">
        <v>0.0561</v>
      </c>
    </row>
    <row r="1839" customFormat="false" ht="15" hidden="false" customHeight="false" outlineLevel="0" collapsed="false">
      <c r="A1839" s="28" t="s">
        <v>184</v>
      </c>
      <c r="B1839" s="28" t="s">
        <v>185</v>
      </c>
      <c r="C1839" s="28" t="s">
        <v>174</v>
      </c>
      <c r="D1839" s="23" t="n">
        <v>6</v>
      </c>
      <c r="E1839" s="23" t="n">
        <v>6</v>
      </c>
      <c r="F1839" s="28" t="s">
        <v>905</v>
      </c>
      <c r="G1839" s="19" t="n">
        <v>0.0587</v>
      </c>
    </row>
    <row r="1840" customFormat="false" ht="15" hidden="false" customHeight="false" outlineLevel="0" collapsed="false">
      <c r="A1840" s="28" t="s">
        <v>184</v>
      </c>
      <c r="B1840" s="28" t="s">
        <v>185</v>
      </c>
      <c r="C1840" s="28" t="s">
        <v>174</v>
      </c>
      <c r="D1840" s="23" t="n">
        <v>6</v>
      </c>
      <c r="E1840" s="23" t="n">
        <v>6</v>
      </c>
      <c r="F1840" s="28" t="s">
        <v>906</v>
      </c>
      <c r="G1840" s="19" t="n">
        <v>0.0601</v>
      </c>
    </row>
    <row r="1841" customFormat="false" ht="15" hidden="false" customHeight="false" outlineLevel="0" collapsed="false">
      <c r="A1841" s="28" t="s">
        <v>184</v>
      </c>
      <c r="B1841" s="28" t="s">
        <v>185</v>
      </c>
      <c r="C1841" s="28" t="s">
        <v>174</v>
      </c>
      <c r="D1841" s="23" t="n">
        <v>6</v>
      </c>
      <c r="E1841" s="23" t="n">
        <v>6</v>
      </c>
      <c r="F1841" s="28" t="s">
        <v>907</v>
      </c>
      <c r="G1841" s="19" t="n">
        <v>0.0598</v>
      </c>
    </row>
    <row r="1842" customFormat="false" ht="15" hidden="false" customHeight="false" outlineLevel="0" collapsed="false">
      <c r="A1842" s="28" t="s">
        <v>184</v>
      </c>
      <c r="B1842" s="28" t="s">
        <v>185</v>
      </c>
      <c r="C1842" s="28" t="s">
        <v>174</v>
      </c>
      <c r="D1842" s="23" t="n">
        <v>6</v>
      </c>
      <c r="E1842" s="23" t="n">
        <v>6</v>
      </c>
      <c r="F1842" s="28" t="s">
        <v>908</v>
      </c>
      <c r="G1842" s="19" t="n">
        <v>0.0614</v>
      </c>
    </row>
    <row r="1843" customFormat="false" ht="15" hidden="false" customHeight="false" outlineLevel="0" collapsed="false">
      <c r="A1843" s="28" t="s">
        <v>184</v>
      </c>
      <c r="B1843" s="28" t="s">
        <v>185</v>
      </c>
      <c r="C1843" s="28" t="s">
        <v>174</v>
      </c>
      <c r="D1843" s="23" t="n">
        <v>6</v>
      </c>
      <c r="E1843" s="23" t="n">
        <v>6</v>
      </c>
      <c r="F1843" s="28" t="s">
        <v>909</v>
      </c>
      <c r="G1843" s="19" t="n">
        <v>0.0615</v>
      </c>
    </row>
    <row r="1844" customFormat="false" ht="15" hidden="false" customHeight="false" outlineLevel="0" collapsed="false">
      <c r="A1844" s="28" t="s">
        <v>184</v>
      </c>
      <c r="B1844" s="28" t="s">
        <v>185</v>
      </c>
      <c r="C1844" s="28" t="s">
        <v>174</v>
      </c>
      <c r="D1844" s="23" t="n">
        <v>6</v>
      </c>
      <c r="E1844" s="23" t="n">
        <v>6</v>
      </c>
      <c r="F1844" s="28" t="s">
        <v>910</v>
      </c>
      <c r="G1844" s="19" t="n">
        <v>0.0619</v>
      </c>
    </row>
    <row r="1845" customFormat="false" ht="15" hidden="false" customHeight="false" outlineLevel="0" collapsed="false">
      <c r="A1845" s="28" t="s">
        <v>184</v>
      </c>
      <c r="B1845" s="28" t="s">
        <v>185</v>
      </c>
      <c r="C1845" s="28" t="s">
        <v>174</v>
      </c>
      <c r="D1845" s="23" t="n">
        <v>6</v>
      </c>
      <c r="E1845" s="23" t="n">
        <v>6</v>
      </c>
      <c r="F1845" s="28" t="s">
        <v>911</v>
      </c>
      <c r="G1845" s="19" t="n">
        <v>0.063</v>
      </c>
    </row>
    <row r="1846" customFormat="false" ht="15" hidden="false" customHeight="false" outlineLevel="0" collapsed="false">
      <c r="A1846" s="28" t="s">
        <v>184</v>
      </c>
      <c r="B1846" s="28" t="s">
        <v>185</v>
      </c>
      <c r="C1846" s="28" t="s">
        <v>174</v>
      </c>
      <c r="D1846" s="23" t="n">
        <v>6</v>
      </c>
      <c r="E1846" s="23" t="n">
        <v>6</v>
      </c>
      <c r="F1846" s="28" t="s">
        <v>912</v>
      </c>
      <c r="G1846" s="19" t="n">
        <v>0.0644</v>
      </c>
    </row>
    <row r="1847" customFormat="false" ht="15" hidden="false" customHeight="false" outlineLevel="0" collapsed="false">
      <c r="A1847" s="28" t="s">
        <v>184</v>
      </c>
      <c r="B1847" s="28" t="s">
        <v>185</v>
      </c>
      <c r="C1847" s="28" t="s">
        <v>174</v>
      </c>
      <c r="D1847" s="23" t="n">
        <v>6</v>
      </c>
      <c r="E1847" s="23" t="n">
        <v>6</v>
      </c>
      <c r="F1847" s="28" t="s">
        <v>913</v>
      </c>
      <c r="G1847" s="19" t="n">
        <v>0.0693</v>
      </c>
    </row>
    <row r="1848" customFormat="false" ht="15" hidden="false" customHeight="false" outlineLevel="0" collapsed="false">
      <c r="A1848" s="28" t="s">
        <v>184</v>
      </c>
      <c r="B1848" s="28" t="s">
        <v>185</v>
      </c>
      <c r="C1848" s="28" t="s">
        <v>174</v>
      </c>
      <c r="D1848" s="23" t="n">
        <v>6</v>
      </c>
      <c r="E1848" s="23" t="n">
        <v>6</v>
      </c>
      <c r="F1848" s="28" t="s">
        <v>914</v>
      </c>
      <c r="G1848" s="19" t="n">
        <v>0.0691</v>
      </c>
    </row>
    <row r="1849" customFormat="false" ht="15" hidden="false" customHeight="false" outlineLevel="0" collapsed="false">
      <c r="A1849" s="28" t="s">
        <v>184</v>
      </c>
      <c r="B1849" s="28" t="s">
        <v>185</v>
      </c>
      <c r="C1849" s="28" t="s">
        <v>174</v>
      </c>
      <c r="D1849" s="23" t="n">
        <v>6</v>
      </c>
      <c r="E1849" s="23" t="n">
        <v>6</v>
      </c>
      <c r="F1849" s="28" t="s">
        <v>915</v>
      </c>
      <c r="G1849" s="19" t="n">
        <v>0.0849</v>
      </c>
    </row>
    <row r="1850" customFormat="false" ht="15" hidden="false" customHeight="false" outlineLevel="0" collapsed="false">
      <c r="A1850" s="28" t="s">
        <v>184</v>
      </c>
      <c r="B1850" s="28" t="s">
        <v>185</v>
      </c>
      <c r="C1850" s="28" t="s">
        <v>174</v>
      </c>
      <c r="D1850" s="23" t="n">
        <v>6</v>
      </c>
      <c r="E1850" s="23" t="n">
        <v>7</v>
      </c>
      <c r="F1850" s="28" t="s">
        <v>904</v>
      </c>
      <c r="G1850" s="19" t="n">
        <v>0.0563</v>
      </c>
    </row>
    <row r="1851" customFormat="false" ht="15" hidden="false" customHeight="false" outlineLevel="0" collapsed="false">
      <c r="A1851" s="28" t="s">
        <v>184</v>
      </c>
      <c r="B1851" s="28" t="s">
        <v>185</v>
      </c>
      <c r="C1851" s="28" t="s">
        <v>174</v>
      </c>
      <c r="D1851" s="23" t="n">
        <v>6</v>
      </c>
      <c r="E1851" s="23" t="n">
        <v>7</v>
      </c>
      <c r="F1851" s="28" t="s">
        <v>551</v>
      </c>
      <c r="G1851" s="19" t="n">
        <v>0.0875</v>
      </c>
    </row>
    <row r="1852" customFormat="false" ht="15" hidden="false" customHeight="false" outlineLevel="0" collapsed="false">
      <c r="A1852" s="28" t="s">
        <v>184</v>
      </c>
      <c r="B1852" s="28" t="s">
        <v>185</v>
      </c>
      <c r="C1852" s="28" t="s">
        <v>174</v>
      </c>
      <c r="D1852" s="23" t="n">
        <v>6</v>
      </c>
      <c r="E1852" s="23" t="n">
        <v>7</v>
      </c>
      <c r="F1852" s="28" t="s">
        <v>451</v>
      </c>
      <c r="G1852" s="19" t="n">
        <v>0.0561</v>
      </c>
    </row>
    <row r="1853" customFormat="false" ht="15" hidden="false" customHeight="false" outlineLevel="0" collapsed="false">
      <c r="A1853" s="28" t="s">
        <v>184</v>
      </c>
      <c r="B1853" s="28" t="s">
        <v>185</v>
      </c>
      <c r="C1853" s="28" t="s">
        <v>174</v>
      </c>
      <c r="D1853" s="23" t="n">
        <v>6</v>
      </c>
      <c r="E1853" s="23" t="n">
        <v>7</v>
      </c>
      <c r="F1853" s="28" t="s">
        <v>905</v>
      </c>
      <c r="G1853" s="19" t="n">
        <v>0.0587</v>
      </c>
    </row>
    <row r="1854" customFormat="false" ht="15" hidden="false" customHeight="false" outlineLevel="0" collapsed="false">
      <c r="A1854" s="28" t="s">
        <v>184</v>
      </c>
      <c r="B1854" s="28" t="s">
        <v>185</v>
      </c>
      <c r="C1854" s="28" t="s">
        <v>174</v>
      </c>
      <c r="D1854" s="23" t="n">
        <v>6</v>
      </c>
      <c r="E1854" s="23" t="n">
        <v>7</v>
      </c>
      <c r="F1854" s="28" t="s">
        <v>906</v>
      </c>
      <c r="G1854" s="19" t="n">
        <v>0.0601</v>
      </c>
    </row>
    <row r="1855" customFormat="false" ht="15" hidden="false" customHeight="false" outlineLevel="0" collapsed="false">
      <c r="A1855" s="28" t="s">
        <v>184</v>
      </c>
      <c r="B1855" s="28" t="s">
        <v>185</v>
      </c>
      <c r="C1855" s="28" t="s">
        <v>174</v>
      </c>
      <c r="D1855" s="23" t="n">
        <v>6</v>
      </c>
      <c r="E1855" s="23" t="n">
        <v>7</v>
      </c>
      <c r="F1855" s="28" t="s">
        <v>907</v>
      </c>
      <c r="G1855" s="19" t="n">
        <v>0.0598</v>
      </c>
    </row>
    <row r="1856" customFormat="false" ht="15" hidden="false" customHeight="false" outlineLevel="0" collapsed="false">
      <c r="A1856" s="28" t="s">
        <v>184</v>
      </c>
      <c r="B1856" s="28" t="s">
        <v>185</v>
      </c>
      <c r="C1856" s="28" t="s">
        <v>174</v>
      </c>
      <c r="D1856" s="23" t="n">
        <v>6</v>
      </c>
      <c r="E1856" s="23" t="n">
        <v>7</v>
      </c>
      <c r="F1856" s="28" t="s">
        <v>908</v>
      </c>
      <c r="G1856" s="19" t="n">
        <v>0.0614</v>
      </c>
    </row>
    <row r="1857" customFormat="false" ht="15" hidden="false" customHeight="false" outlineLevel="0" collapsed="false">
      <c r="A1857" s="28" t="s">
        <v>184</v>
      </c>
      <c r="B1857" s="28" t="s">
        <v>185</v>
      </c>
      <c r="C1857" s="28" t="s">
        <v>174</v>
      </c>
      <c r="D1857" s="23" t="n">
        <v>6</v>
      </c>
      <c r="E1857" s="23" t="n">
        <v>7</v>
      </c>
      <c r="F1857" s="28" t="s">
        <v>909</v>
      </c>
      <c r="G1857" s="19" t="n">
        <v>0.0615</v>
      </c>
    </row>
    <row r="1858" customFormat="false" ht="15" hidden="false" customHeight="false" outlineLevel="0" collapsed="false">
      <c r="A1858" s="28" t="s">
        <v>184</v>
      </c>
      <c r="B1858" s="28" t="s">
        <v>185</v>
      </c>
      <c r="C1858" s="28" t="s">
        <v>174</v>
      </c>
      <c r="D1858" s="23" t="n">
        <v>6</v>
      </c>
      <c r="E1858" s="23" t="n">
        <v>7</v>
      </c>
      <c r="F1858" s="28" t="s">
        <v>910</v>
      </c>
      <c r="G1858" s="19" t="n">
        <v>0.0619</v>
      </c>
    </row>
    <row r="1859" customFormat="false" ht="15" hidden="false" customHeight="false" outlineLevel="0" collapsed="false">
      <c r="A1859" s="28" t="s">
        <v>184</v>
      </c>
      <c r="B1859" s="28" t="s">
        <v>185</v>
      </c>
      <c r="C1859" s="28" t="s">
        <v>174</v>
      </c>
      <c r="D1859" s="23" t="n">
        <v>6</v>
      </c>
      <c r="E1859" s="23" t="n">
        <v>7</v>
      </c>
      <c r="F1859" s="28" t="s">
        <v>911</v>
      </c>
      <c r="G1859" s="19" t="n">
        <v>0.063</v>
      </c>
    </row>
    <row r="1860" customFormat="false" ht="15" hidden="false" customHeight="false" outlineLevel="0" collapsed="false">
      <c r="A1860" s="28" t="s">
        <v>184</v>
      </c>
      <c r="B1860" s="28" t="s">
        <v>185</v>
      </c>
      <c r="C1860" s="28" t="s">
        <v>174</v>
      </c>
      <c r="D1860" s="23" t="n">
        <v>6</v>
      </c>
      <c r="E1860" s="23" t="n">
        <v>7</v>
      </c>
      <c r="F1860" s="28" t="s">
        <v>912</v>
      </c>
      <c r="G1860" s="19" t="n">
        <v>0.0644</v>
      </c>
    </row>
    <row r="1861" customFormat="false" ht="15" hidden="false" customHeight="false" outlineLevel="0" collapsed="false">
      <c r="A1861" s="28" t="s">
        <v>184</v>
      </c>
      <c r="B1861" s="28" t="s">
        <v>185</v>
      </c>
      <c r="C1861" s="28" t="s">
        <v>174</v>
      </c>
      <c r="D1861" s="23" t="n">
        <v>6</v>
      </c>
      <c r="E1861" s="23" t="n">
        <v>7</v>
      </c>
      <c r="F1861" s="28" t="s">
        <v>913</v>
      </c>
      <c r="G1861" s="19" t="n">
        <v>0.0693</v>
      </c>
    </row>
    <row r="1862" customFormat="false" ht="15" hidden="false" customHeight="false" outlineLevel="0" collapsed="false">
      <c r="A1862" s="28" t="s">
        <v>184</v>
      </c>
      <c r="B1862" s="28" t="s">
        <v>185</v>
      </c>
      <c r="C1862" s="28" t="s">
        <v>174</v>
      </c>
      <c r="D1862" s="23" t="n">
        <v>6</v>
      </c>
      <c r="E1862" s="23" t="n">
        <v>7</v>
      </c>
      <c r="F1862" s="28" t="s">
        <v>914</v>
      </c>
      <c r="G1862" s="19" t="n">
        <v>0.0691</v>
      </c>
    </row>
    <row r="1863" customFormat="false" ht="15" hidden="false" customHeight="false" outlineLevel="0" collapsed="false">
      <c r="A1863" s="28" t="s">
        <v>184</v>
      </c>
      <c r="B1863" s="28" t="s">
        <v>185</v>
      </c>
      <c r="C1863" s="28" t="s">
        <v>174</v>
      </c>
      <c r="D1863" s="23" t="n">
        <v>6</v>
      </c>
      <c r="E1863" s="23" t="n">
        <v>7</v>
      </c>
      <c r="F1863" s="28" t="s">
        <v>915</v>
      </c>
      <c r="G1863" s="19" t="n">
        <v>0.0849</v>
      </c>
    </row>
    <row r="1864" customFormat="false" ht="15" hidden="false" customHeight="false" outlineLevel="0" collapsed="false">
      <c r="A1864" s="28" t="s">
        <v>184</v>
      </c>
      <c r="B1864" s="28" t="s">
        <v>185</v>
      </c>
      <c r="C1864" s="28" t="s">
        <v>174</v>
      </c>
      <c r="D1864" s="23" t="n">
        <v>6</v>
      </c>
      <c r="E1864" s="23" t="n">
        <v>8</v>
      </c>
      <c r="F1864" s="28" t="s">
        <v>904</v>
      </c>
      <c r="G1864" s="19" t="n">
        <v>0.0563</v>
      </c>
    </row>
    <row r="1865" customFormat="false" ht="15" hidden="false" customHeight="false" outlineLevel="0" collapsed="false">
      <c r="A1865" s="28" t="s">
        <v>184</v>
      </c>
      <c r="B1865" s="28" t="s">
        <v>185</v>
      </c>
      <c r="C1865" s="28" t="s">
        <v>174</v>
      </c>
      <c r="D1865" s="23" t="n">
        <v>6</v>
      </c>
      <c r="E1865" s="23" t="n">
        <v>8</v>
      </c>
      <c r="F1865" s="28" t="s">
        <v>551</v>
      </c>
      <c r="G1865" s="19" t="n">
        <v>0.0875</v>
      </c>
    </row>
    <row r="1866" customFormat="false" ht="15" hidden="false" customHeight="false" outlineLevel="0" collapsed="false">
      <c r="A1866" s="28" t="s">
        <v>184</v>
      </c>
      <c r="B1866" s="28" t="s">
        <v>185</v>
      </c>
      <c r="C1866" s="28" t="s">
        <v>174</v>
      </c>
      <c r="D1866" s="23" t="n">
        <v>6</v>
      </c>
      <c r="E1866" s="23" t="n">
        <v>8</v>
      </c>
      <c r="F1866" s="28" t="s">
        <v>451</v>
      </c>
      <c r="G1866" s="19" t="n">
        <v>0.0561</v>
      </c>
    </row>
    <row r="1867" customFormat="false" ht="15" hidden="false" customHeight="false" outlineLevel="0" collapsed="false">
      <c r="A1867" s="28" t="s">
        <v>184</v>
      </c>
      <c r="B1867" s="28" t="s">
        <v>185</v>
      </c>
      <c r="C1867" s="28" t="s">
        <v>174</v>
      </c>
      <c r="D1867" s="23" t="n">
        <v>6</v>
      </c>
      <c r="E1867" s="23" t="n">
        <v>8</v>
      </c>
      <c r="F1867" s="28" t="s">
        <v>905</v>
      </c>
      <c r="G1867" s="19" t="n">
        <v>0.0587</v>
      </c>
    </row>
    <row r="1868" customFormat="false" ht="15" hidden="false" customHeight="false" outlineLevel="0" collapsed="false">
      <c r="A1868" s="28" t="s">
        <v>184</v>
      </c>
      <c r="B1868" s="28" t="s">
        <v>185</v>
      </c>
      <c r="C1868" s="28" t="s">
        <v>174</v>
      </c>
      <c r="D1868" s="23" t="n">
        <v>6</v>
      </c>
      <c r="E1868" s="23" t="n">
        <v>8</v>
      </c>
      <c r="F1868" s="28" t="s">
        <v>906</v>
      </c>
      <c r="G1868" s="19" t="n">
        <v>0.0601</v>
      </c>
    </row>
    <row r="1869" customFormat="false" ht="15" hidden="false" customHeight="false" outlineLevel="0" collapsed="false">
      <c r="A1869" s="28" t="s">
        <v>184</v>
      </c>
      <c r="B1869" s="28" t="s">
        <v>185</v>
      </c>
      <c r="C1869" s="28" t="s">
        <v>174</v>
      </c>
      <c r="D1869" s="23" t="n">
        <v>6</v>
      </c>
      <c r="E1869" s="23" t="n">
        <v>8</v>
      </c>
      <c r="F1869" s="28" t="s">
        <v>907</v>
      </c>
      <c r="G1869" s="19" t="n">
        <v>0.0598</v>
      </c>
    </row>
    <row r="1870" customFormat="false" ht="15" hidden="false" customHeight="false" outlineLevel="0" collapsed="false">
      <c r="A1870" s="28" t="s">
        <v>184</v>
      </c>
      <c r="B1870" s="28" t="s">
        <v>185</v>
      </c>
      <c r="C1870" s="28" t="s">
        <v>174</v>
      </c>
      <c r="D1870" s="23" t="n">
        <v>6</v>
      </c>
      <c r="E1870" s="23" t="n">
        <v>8</v>
      </c>
      <c r="F1870" s="28" t="s">
        <v>908</v>
      </c>
      <c r="G1870" s="19" t="n">
        <v>0.0614</v>
      </c>
    </row>
    <row r="1871" customFormat="false" ht="15" hidden="false" customHeight="false" outlineLevel="0" collapsed="false">
      <c r="A1871" s="28" t="s">
        <v>184</v>
      </c>
      <c r="B1871" s="28" t="s">
        <v>185</v>
      </c>
      <c r="C1871" s="28" t="s">
        <v>174</v>
      </c>
      <c r="D1871" s="23" t="n">
        <v>6</v>
      </c>
      <c r="E1871" s="23" t="n">
        <v>8</v>
      </c>
      <c r="F1871" s="28" t="s">
        <v>909</v>
      </c>
      <c r="G1871" s="19" t="n">
        <v>0.0615</v>
      </c>
    </row>
    <row r="1872" customFormat="false" ht="15" hidden="false" customHeight="false" outlineLevel="0" collapsed="false">
      <c r="A1872" s="28" t="s">
        <v>184</v>
      </c>
      <c r="B1872" s="28" t="s">
        <v>185</v>
      </c>
      <c r="C1872" s="28" t="s">
        <v>174</v>
      </c>
      <c r="D1872" s="23" t="n">
        <v>6</v>
      </c>
      <c r="E1872" s="23" t="n">
        <v>8</v>
      </c>
      <c r="F1872" s="28" t="s">
        <v>910</v>
      </c>
      <c r="G1872" s="19" t="n">
        <v>0.0619</v>
      </c>
    </row>
    <row r="1873" customFormat="false" ht="15" hidden="false" customHeight="false" outlineLevel="0" collapsed="false">
      <c r="A1873" s="28" t="s">
        <v>184</v>
      </c>
      <c r="B1873" s="28" t="s">
        <v>185</v>
      </c>
      <c r="C1873" s="28" t="s">
        <v>174</v>
      </c>
      <c r="D1873" s="23" t="n">
        <v>6</v>
      </c>
      <c r="E1873" s="23" t="n">
        <v>8</v>
      </c>
      <c r="F1873" s="28" t="s">
        <v>911</v>
      </c>
      <c r="G1873" s="19" t="n">
        <v>0.063</v>
      </c>
    </row>
    <row r="1874" customFormat="false" ht="15" hidden="false" customHeight="false" outlineLevel="0" collapsed="false">
      <c r="A1874" s="28" t="s">
        <v>184</v>
      </c>
      <c r="B1874" s="28" t="s">
        <v>185</v>
      </c>
      <c r="C1874" s="28" t="s">
        <v>174</v>
      </c>
      <c r="D1874" s="23" t="n">
        <v>6</v>
      </c>
      <c r="E1874" s="23" t="n">
        <v>8</v>
      </c>
      <c r="F1874" s="28" t="s">
        <v>912</v>
      </c>
      <c r="G1874" s="19" t="n">
        <v>0.0644</v>
      </c>
    </row>
    <row r="1875" customFormat="false" ht="15" hidden="false" customHeight="false" outlineLevel="0" collapsed="false">
      <c r="A1875" s="28" t="s">
        <v>184</v>
      </c>
      <c r="B1875" s="28" t="s">
        <v>185</v>
      </c>
      <c r="C1875" s="28" t="s">
        <v>174</v>
      </c>
      <c r="D1875" s="23" t="n">
        <v>6</v>
      </c>
      <c r="E1875" s="23" t="n">
        <v>8</v>
      </c>
      <c r="F1875" s="28" t="s">
        <v>913</v>
      </c>
      <c r="G1875" s="19" t="n">
        <v>0.0693</v>
      </c>
    </row>
    <row r="1876" customFormat="false" ht="15" hidden="false" customHeight="false" outlineLevel="0" collapsed="false">
      <c r="A1876" s="28" t="s">
        <v>184</v>
      </c>
      <c r="B1876" s="28" t="s">
        <v>185</v>
      </c>
      <c r="C1876" s="28" t="s">
        <v>174</v>
      </c>
      <c r="D1876" s="23" t="n">
        <v>6</v>
      </c>
      <c r="E1876" s="23" t="n">
        <v>8</v>
      </c>
      <c r="F1876" s="28" t="s">
        <v>914</v>
      </c>
      <c r="G1876" s="19" t="n">
        <v>0.0691</v>
      </c>
    </row>
    <row r="1877" customFormat="false" ht="15" hidden="false" customHeight="false" outlineLevel="0" collapsed="false">
      <c r="A1877" s="28" t="s">
        <v>184</v>
      </c>
      <c r="B1877" s="28" t="s">
        <v>185</v>
      </c>
      <c r="C1877" s="28" t="s">
        <v>174</v>
      </c>
      <c r="D1877" s="23" t="n">
        <v>6</v>
      </c>
      <c r="E1877" s="23" t="n">
        <v>8</v>
      </c>
      <c r="F1877" s="28" t="s">
        <v>915</v>
      </c>
      <c r="G1877" s="19" t="n">
        <v>0.0849</v>
      </c>
    </row>
    <row r="1878" customFormat="false" ht="15" hidden="false" customHeight="false" outlineLevel="0" collapsed="false">
      <c r="A1878" s="28" t="s">
        <v>184</v>
      </c>
      <c r="B1878" s="28" t="s">
        <v>185</v>
      </c>
      <c r="C1878" s="28" t="s">
        <v>174</v>
      </c>
      <c r="D1878" s="23" t="n">
        <v>6</v>
      </c>
      <c r="E1878" s="23" t="n">
        <v>9</v>
      </c>
      <c r="F1878" s="28" t="s">
        <v>904</v>
      </c>
      <c r="G1878" s="19" t="n">
        <v>0.0563</v>
      </c>
    </row>
    <row r="1879" customFormat="false" ht="15" hidden="false" customHeight="false" outlineLevel="0" collapsed="false">
      <c r="A1879" s="28" t="s">
        <v>184</v>
      </c>
      <c r="B1879" s="28" t="s">
        <v>185</v>
      </c>
      <c r="C1879" s="28" t="s">
        <v>174</v>
      </c>
      <c r="D1879" s="23" t="n">
        <v>6</v>
      </c>
      <c r="E1879" s="23" t="n">
        <v>9</v>
      </c>
      <c r="F1879" s="28" t="s">
        <v>551</v>
      </c>
      <c r="G1879" s="19" t="n">
        <v>0.0875</v>
      </c>
    </row>
    <row r="1880" customFormat="false" ht="15" hidden="false" customHeight="false" outlineLevel="0" collapsed="false">
      <c r="A1880" s="28" t="s">
        <v>184</v>
      </c>
      <c r="B1880" s="28" t="s">
        <v>185</v>
      </c>
      <c r="C1880" s="28" t="s">
        <v>174</v>
      </c>
      <c r="D1880" s="23" t="n">
        <v>6</v>
      </c>
      <c r="E1880" s="23" t="n">
        <v>9</v>
      </c>
      <c r="F1880" s="28" t="s">
        <v>451</v>
      </c>
      <c r="G1880" s="19" t="n">
        <v>0.0561</v>
      </c>
    </row>
    <row r="1881" customFormat="false" ht="15" hidden="false" customHeight="false" outlineLevel="0" collapsed="false">
      <c r="A1881" s="28" t="s">
        <v>184</v>
      </c>
      <c r="B1881" s="28" t="s">
        <v>185</v>
      </c>
      <c r="C1881" s="28" t="s">
        <v>174</v>
      </c>
      <c r="D1881" s="23" t="n">
        <v>6</v>
      </c>
      <c r="E1881" s="23" t="n">
        <v>9</v>
      </c>
      <c r="F1881" s="28" t="s">
        <v>905</v>
      </c>
      <c r="G1881" s="19" t="n">
        <v>0.0587</v>
      </c>
    </row>
    <row r="1882" customFormat="false" ht="15" hidden="false" customHeight="false" outlineLevel="0" collapsed="false">
      <c r="A1882" s="28" t="s">
        <v>184</v>
      </c>
      <c r="B1882" s="28" t="s">
        <v>185</v>
      </c>
      <c r="C1882" s="28" t="s">
        <v>174</v>
      </c>
      <c r="D1882" s="23" t="n">
        <v>6</v>
      </c>
      <c r="E1882" s="23" t="n">
        <v>9</v>
      </c>
      <c r="F1882" s="28" t="s">
        <v>906</v>
      </c>
      <c r="G1882" s="19" t="n">
        <v>0.0601</v>
      </c>
    </row>
    <row r="1883" customFormat="false" ht="15" hidden="false" customHeight="false" outlineLevel="0" collapsed="false">
      <c r="A1883" s="28" t="s">
        <v>184</v>
      </c>
      <c r="B1883" s="28" t="s">
        <v>185</v>
      </c>
      <c r="C1883" s="28" t="s">
        <v>174</v>
      </c>
      <c r="D1883" s="23" t="n">
        <v>6</v>
      </c>
      <c r="E1883" s="23" t="n">
        <v>9</v>
      </c>
      <c r="F1883" s="28" t="s">
        <v>907</v>
      </c>
      <c r="G1883" s="19" t="n">
        <v>0.0598</v>
      </c>
    </row>
    <row r="1884" customFormat="false" ht="15" hidden="false" customHeight="false" outlineLevel="0" collapsed="false">
      <c r="A1884" s="28" t="s">
        <v>184</v>
      </c>
      <c r="B1884" s="28" t="s">
        <v>185</v>
      </c>
      <c r="C1884" s="28" t="s">
        <v>174</v>
      </c>
      <c r="D1884" s="23" t="n">
        <v>6</v>
      </c>
      <c r="E1884" s="23" t="n">
        <v>9</v>
      </c>
      <c r="F1884" s="28" t="s">
        <v>908</v>
      </c>
      <c r="G1884" s="19" t="n">
        <v>0.0614</v>
      </c>
    </row>
    <row r="1885" customFormat="false" ht="15" hidden="false" customHeight="false" outlineLevel="0" collapsed="false">
      <c r="A1885" s="28" t="s">
        <v>184</v>
      </c>
      <c r="B1885" s="28" t="s">
        <v>185</v>
      </c>
      <c r="C1885" s="28" t="s">
        <v>174</v>
      </c>
      <c r="D1885" s="23" t="n">
        <v>6</v>
      </c>
      <c r="E1885" s="23" t="n">
        <v>9</v>
      </c>
      <c r="F1885" s="28" t="s">
        <v>909</v>
      </c>
      <c r="G1885" s="19" t="n">
        <v>0.0615</v>
      </c>
    </row>
    <row r="1886" customFormat="false" ht="15" hidden="false" customHeight="false" outlineLevel="0" collapsed="false">
      <c r="A1886" s="28" t="s">
        <v>184</v>
      </c>
      <c r="B1886" s="28" t="s">
        <v>185</v>
      </c>
      <c r="C1886" s="28" t="s">
        <v>174</v>
      </c>
      <c r="D1886" s="23" t="n">
        <v>6</v>
      </c>
      <c r="E1886" s="23" t="n">
        <v>9</v>
      </c>
      <c r="F1886" s="28" t="s">
        <v>910</v>
      </c>
      <c r="G1886" s="19" t="n">
        <v>0.0619</v>
      </c>
    </row>
    <row r="1887" customFormat="false" ht="15" hidden="false" customHeight="false" outlineLevel="0" collapsed="false">
      <c r="A1887" s="28" t="s">
        <v>184</v>
      </c>
      <c r="B1887" s="28" t="s">
        <v>185</v>
      </c>
      <c r="C1887" s="28" t="s">
        <v>174</v>
      </c>
      <c r="D1887" s="23" t="n">
        <v>6</v>
      </c>
      <c r="E1887" s="23" t="n">
        <v>9</v>
      </c>
      <c r="F1887" s="28" t="s">
        <v>911</v>
      </c>
      <c r="G1887" s="19" t="n">
        <v>0.063</v>
      </c>
    </row>
    <row r="1888" customFormat="false" ht="15" hidden="false" customHeight="false" outlineLevel="0" collapsed="false">
      <c r="A1888" s="28" t="s">
        <v>184</v>
      </c>
      <c r="B1888" s="28" t="s">
        <v>185</v>
      </c>
      <c r="C1888" s="28" t="s">
        <v>174</v>
      </c>
      <c r="D1888" s="23" t="n">
        <v>6</v>
      </c>
      <c r="E1888" s="23" t="n">
        <v>9</v>
      </c>
      <c r="F1888" s="28" t="s">
        <v>912</v>
      </c>
      <c r="G1888" s="19" t="n">
        <v>0.0644</v>
      </c>
    </row>
    <row r="1889" customFormat="false" ht="15" hidden="false" customHeight="false" outlineLevel="0" collapsed="false">
      <c r="A1889" s="28" t="s">
        <v>184</v>
      </c>
      <c r="B1889" s="28" t="s">
        <v>185</v>
      </c>
      <c r="C1889" s="28" t="s">
        <v>174</v>
      </c>
      <c r="D1889" s="23" t="n">
        <v>6</v>
      </c>
      <c r="E1889" s="23" t="n">
        <v>9</v>
      </c>
      <c r="F1889" s="28" t="s">
        <v>913</v>
      </c>
      <c r="G1889" s="19" t="n">
        <v>0.0693</v>
      </c>
    </row>
    <row r="1890" customFormat="false" ht="15" hidden="false" customHeight="false" outlineLevel="0" collapsed="false">
      <c r="A1890" s="28" t="s">
        <v>184</v>
      </c>
      <c r="B1890" s="28" t="s">
        <v>185</v>
      </c>
      <c r="C1890" s="28" t="s">
        <v>174</v>
      </c>
      <c r="D1890" s="23" t="n">
        <v>6</v>
      </c>
      <c r="E1890" s="23" t="n">
        <v>9</v>
      </c>
      <c r="F1890" s="28" t="s">
        <v>914</v>
      </c>
      <c r="G1890" s="19" t="n">
        <v>0.0691</v>
      </c>
    </row>
    <row r="1891" customFormat="false" ht="15" hidden="false" customHeight="false" outlineLevel="0" collapsed="false">
      <c r="A1891" s="28" t="s">
        <v>184</v>
      </c>
      <c r="B1891" s="28" t="s">
        <v>185</v>
      </c>
      <c r="C1891" s="28" t="s">
        <v>174</v>
      </c>
      <c r="D1891" s="23" t="n">
        <v>6</v>
      </c>
      <c r="E1891" s="23" t="n">
        <v>9</v>
      </c>
      <c r="F1891" s="28" t="s">
        <v>915</v>
      </c>
      <c r="G1891" s="19" t="n">
        <v>0.0849</v>
      </c>
    </row>
    <row r="1892" customFormat="false" ht="15" hidden="false" customHeight="false" outlineLevel="0" collapsed="false">
      <c r="A1892" s="28" t="s">
        <v>184</v>
      </c>
      <c r="B1892" s="28" t="s">
        <v>185</v>
      </c>
      <c r="C1892" s="28" t="s">
        <v>174</v>
      </c>
      <c r="D1892" s="23" t="n">
        <v>6</v>
      </c>
      <c r="E1892" s="23" t="n">
        <v>10</v>
      </c>
      <c r="F1892" s="28" t="s">
        <v>904</v>
      </c>
      <c r="G1892" s="19" t="n">
        <v>0.0563</v>
      </c>
    </row>
    <row r="1893" customFormat="false" ht="15" hidden="false" customHeight="false" outlineLevel="0" collapsed="false">
      <c r="A1893" s="28" t="s">
        <v>184</v>
      </c>
      <c r="B1893" s="28" t="s">
        <v>185</v>
      </c>
      <c r="C1893" s="28" t="s">
        <v>174</v>
      </c>
      <c r="D1893" s="23" t="n">
        <v>6</v>
      </c>
      <c r="E1893" s="23" t="n">
        <v>10</v>
      </c>
      <c r="F1893" s="28" t="s">
        <v>551</v>
      </c>
      <c r="G1893" s="19" t="n">
        <v>0.0875</v>
      </c>
    </row>
    <row r="1894" customFormat="false" ht="15" hidden="false" customHeight="false" outlineLevel="0" collapsed="false">
      <c r="A1894" s="28" t="s">
        <v>184</v>
      </c>
      <c r="B1894" s="28" t="s">
        <v>185</v>
      </c>
      <c r="C1894" s="28" t="s">
        <v>174</v>
      </c>
      <c r="D1894" s="23" t="n">
        <v>6</v>
      </c>
      <c r="E1894" s="23" t="n">
        <v>10</v>
      </c>
      <c r="F1894" s="28" t="s">
        <v>451</v>
      </c>
      <c r="G1894" s="19" t="n">
        <v>0.0561</v>
      </c>
    </row>
    <row r="1895" customFormat="false" ht="15" hidden="false" customHeight="false" outlineLevel="0" collapsed="false">
      <c r="A1895" s="28" t="s">
        <v>184</v>
      </c>
      <c r="B1895" s="28" t="s">
        <v>185</v>
      </c>
      <c r="C1895" s="28" t="s">
        <v>174</v>
      </c>
      <c r="D1895" s="23" t="n">
        <v>6</v>
      </c>
      <c r="E1895" s="23" t="n">
        <v>10</v>
      </c>
      <c r="F1895" s="28" t="s">
        <v>905</v>
      </c>
      <c r="G1895" s="19" t="n">
        <v>0.0587</v>
      </c>
    </row>
    <row r="1896" customFormat="false" ht="15" hidden="false" customHeight="false" outlineLevel="0" collapsed="false">
      <c r="A1896" s="28" t="s">
        <v>184</v>
      </c>
      <c r="B1896" s="28" t="s">
        <v>185</v>
      </c>
      <c r="C1896" s="28" t="s">
        <v>174</v>
      </c>
      <c r="D1896" s="23" t="n">
        <v>6</v>
      </c>
      <c r="E1896" s="23" t="n">
        <v>10</v>
      </c>
      <c r="F1896" s="28" t="s">
        <v>906</v>
      </c>
      <c r="G1896" s="19" t="n">
        <v>0.0601</v>
      </c>
    </row>
    <row r="1897" customFormat="false" ht="15" hidden="false" customHeight="false" outlineLevel="0" collapsed="false">
      <c r="A1897" s="28" t="s">
        <v>184</v>
      </c>
      <c r="B1897" s="28" t="s">
        <v>185</v>
      </c>
      <c r="C1897" s="28" t="s">
        <v>174</v>
      </c>
      <c r="D1897" s="23" t="n">
        <v>6</v>
      </c>
      <c r="E1897" s="23" t="n">
        <v>10</v>
      </c>
      <c r="F1897" s="28" t="s">
        <v>907</v>
      </c>
      <c r="G1897" s="19" t="n">
        <v>0.0598</v>
      </c>
    </row>
    <row r="1898" customFormat="false" ht="15" hidden="false" customHeight="false" outlineLevel="0" collapsed="false">
      <c r="A1898" s="28" t="s">
        <v>184</v>
      </c>
      <c r="B1898" s="28" t="s">
        <v>185</v>
      </c>
      <c r="C1898" s="28" t="s">
        <v>174</v>
      </c>
      <c r="D1898" s="23" t="n">
        <v>6</v>
      </c>
      <c r="E1898" s="23" t="n">
        <v>10</v>
      </c>
      <c r="F1898" s="28" t="s">
        <v>908</v>
      </c>
      <c r="G1898" s="19" t="n">
        <v>0.0614</v>
      </c>
    </row>
    <row r="1899" customFormat="false" ht="15" hidden="false" customHeight="false" outlineLevel="0" collapsed="false">
      <c r="A1899" s="28" t="s">
        <v>184</v>
      </c>
      <c r="B1899" s="28" t="s">
        <v>185</v>
      </c>
      <c r="C1899" s="28" t="s">
        <v>174</v>
      </c>
      <c r="D1899" s="23" t="n">
        <v>6</v>
      </c>
      <c r="E1899" s="23" t="n">
        <v>10</v>
      </c>
      <c r="F1899" s="28" t="s">
        <v>909</v>
      </c>
      <c r="G1899" s="19" t="n">
        <v>0.0615</v>
      </c>
    </row>
    <row r="1900" customFormat="false" ht="15" hidden="false" customHeight="false" outlineLevel="0" collapsed="false">
      <c r="A1900" s="28" t="s">
        <v>184</v>
      </c>
      <c r="B1900" s="28" t="s">
        <v>185</v>
      </c>
      <c r="C1900" s="28" t="s">
        <v>174</v>
      </c>
      <c r="D1900" s="23" t="n">
        <v>6</v>
      </c>
      <c r="E1900" s="23" t="n">
        <v>10</v>
      </c>
      <c r="F1900" s="28" t="s">
        <v>910</v>
      </c>
      <c r="G1900" s="19" t="n">
        <v>0.0619</v>
      </c>
    </row>
    <row r="1901" customFormat="false" ht="15" hidden="false" customHeight="false" outlineLevel="0" collapsed="false">
      <c r="A1901" s="28" t="s">
        <v>184</v>
      </c>
      <c r="B1901" s="28" t="s">
        <v>185</v>
      </c>
      <c r="C1901" s="28" t="s">
        <v>174</v>
      </c>
      <c r="D1901" s="23" t="n">
        <v>6</v>
      </c>
      <c r="E1901" s="23" t="n">
        <v>10</v>
      </c>
      <c r="F1901" s="28" t="s">
        <v>911</v>
      </c>
      <c r="G1901" s="19" t="n">
        <v>0.063</v>
      </c>
    </row>
    <row r="1902" customFormat="false" ht="15" hidden="false" customHeight="false" outlineLevel="0" collapsed="false">
      <c r="A1902" s="28" t="s">
        <v>184</v>
      </c>
      <c r="B1902" s="28" t="s">
        <v>185</v>
      </c>
      <c r="C1902" s="28" t="s">
        <v>174</v>
      </c>
      <c r="D1902" s="23" t="n">
        <v>6</v>
      </c>
      <c r="E1902" s="23" t="n">
        <v>10</v>
      </c>
      <c r="F1902" s="28" t="s">
        <v>912</v>
      </c>
      <c r="G1902" s="19" t="n">
        <v>0.0644</v>
      </c>
    </row>
    <row r="1903" customFormat="false" ht="15" hidden="false" customHeight="false" outlineLevel="0" collapsed="false">
      <c r="A1903" s="28" t="s">
        <v>184</v>
      </c>
      <c r="B1903" s="28" t="s">
        <v>185</v>
      </c>
      <c r="C1903" s="28" t="s">
        <v>174</v>
      </c>
      <c r="D1903" s="23" t="n">
        <v>6</v>
      </c>
      <c r="E1903" s="23" t="n">
        <v>10</v>
      </c>
      <c r="F1903" s="28" t="s">
        <v>913</v>
      </c>
      <c r="G1903" s="19" t="n">
        <v>0.0693</v>
      </c>
    </row>
    <row r="1904" customFormat="false" ht="15" hidden="false" customHeight="false" outlineLevel="0" collapsed="false">
      <c r="A1904" s="28" t="s">
        <v>184</v>
      </c>
      <c r="B1904" s="28" t="s">
        <v>185</v>
      </c>
      <c r="C1904" s="28" t="s">
        <v>174</v>
      </c>
      <c r="D1904" s="23" t="n">
        <v>6</v>
      </c>
      <c r="E1904" s="23" t="n">
        <v>10</v>
      </c>
      <c r="F1904" s="28" t="s">
        <v>914</v>
      </c>
      <c r="G1904" s="19" t="n">
        <v>0.0691</v>
      </c>
    </row>
    <row r="1905" customFormat="false" ht="15" hidden="false" customHeight="false" outlineLevel="0" collapsed="false">
      <c r="A1905" s="28" t="s">
        <v>184</v>
      </c>
      <c r="B1905" s="28" t="s">
        <v>185</v>
      </c>
      <c r="C1905" s="28" t="s">
        <v>174</v>
      </c>
      <c r="D1905" s="23" t="n">
        <v>6</v>
      </c>
      <c r="E1905" s="23" t="n">
        <v>10</v>
      </c>
      <c r="F1905" s="28" t="s">
        <v>915</v>
      </c>
      <c r="G1905" s="19" t="n">
        <v>0.0849</v>
      </c>
    </row>
    <row r="1906" customFormat="false" ht="15" hidden="false" customHeight="false" outlineLevel="0" collapsed="false">
      <c r="A1906" s="28" t="s">
        <v>184</v>
      </c>
      <c r="B1906" s="28" t="s">
        <v>185</v>
      </c>
      <c r="C1906" s="28" t="s">
        <v>174</v>
      </c>
      <c r="D1906" s="23" t="n">
        <v>6</v>
      </c>
      <c r="E1906" s="23" t="n">
        <v>11</v>
      </c>
      <c r="F1906" s="28" t="s">
        <v>904</v>
      </c>
      <c r="G1906" s="19" t="n">
        <v>0.0563</v>
      </c>
    </row>
    <row r="1907" customFormat="false" ht="15" hidden="false" customHeight="false" outlineLevel="0" collapsed="false">
      <c r="A1907" s="28" t="s">
        <v>184</v>
      </c>
      <c r="B1907" s="28" t="s">
        <v>185</v>
      </c>
      <c r="C1907" s="28" t="s">
        <v>174</v>
      </c>
      <c r="D1907" s="23" t="n">
        <v>6</v>
      </c>
      <c r="E1907" s="23" t="n">
        <v>11</v>
      </c>
      <c r="F1907" s="28" t="s">
        <v>551</v>
      </c>
      <c r="G1907" s="19" t="n">
        <v>0.0875</v>
      </c>
    </row>
    <row r="1908" customFormat="false" ht="15" hidden="false" customHeight="false" outlineLevel="0" collapsed="false">
      <c r="A1908" s="28" t="s">
        <v>184</v>
      </c>
      <c r="B1908" s="28" t="s">
        <v>185</v>
      </c>
      <c r="C1908" s="28" t="s">
        <v>174</v>
      </c>
      <c r="D1908" s="23" t="n">
        <v>6</v>
      </c>
      <c r="E1908" s="23" t="n">
        <v>11</v>
      </c>
      <c r="F1908" s="28" t="s">
        <v>451</v>
      </c>
      <c r="G1908" s="19" t="n">
        <v>0.0561</v>
      </c>
    </row>
    <row r="1909" customFormat="false" ht="15" hidden="false" customHeight="false" outlineLevel="0" collapsed="false">
      <c r="A1909" s="28" t="s">
        <v>184</v>
      </c>
      <c r="B1909" s="28" t="s">
        <v>185</v>
      </c>
      <c r="C1909" s="28" t="s">
        <v>174</v>
      </c>
      <c r="D1909" s="23" t="n">
        <v>6</v>
      </c>
      <c r="E1909" s="23" t="n">
        <v>11</v>
      </c>
      <c r="F1909" s="28" t="s">
        <v>905</v>
      </c>
      <c r="G1909" s="19" t="n">
        <v>0.0587</v>
      </c>
    </row>
    <row r="1910" customFormat="false" ht="15" hidden="false" customHeight="false" outlineLevel="0" collapsed="false">
      <c r="A1910" s="28" t="s">
        <v>184</v>
      </c>
      <c r="B1910" s="28" t="s">
        <v>185</v>
      </c>
      <c r="C1910" s="28" t="s">
        <v>174</v>
      </c>
      <c r="D1910" s="23" t="n">
        <v>6</v>
      </c>
      <c r="E1910" s="23" t="n">
        <v>11</v>
      </c>
      <c r="F1910" s="28" t="s">
        <v>906</v>
      </c>
      <c r="G1910" s="19" t="n">
        <v>0.0601</v>
      </c>
    </row>
    <row r="1911" customFormat="false" ht="15" hidden="false" customHeight="false" outlineLevel="0" collapsed="false">
      <c r="A1911" s="28" t="s">
        <v>184</v>
      </c>
      <c r="B1911" s="28" t="s">
        <v>185</v>
      </c>
      <c r="C1911" s="28" t="s">
        <v>174</v>
      </c>
      <c r="D1911" s="23" t="n">
        <v>6</v>
      </c>
      <c r="E1911" s="23" t="n">
        <v>11</v>
      </c>
      <c r="F1911" s="28" t="s">
        <v>907</v>
      </c>
      <c r="G1911" s="19" t="n">
        <v>0.0598</v>
      </c>
    </row>
    <row r="1912" customFormat="false" ht="15" hidden="false" customHeight="false" outlineLevel="0" collapsed="false">
      <c r="A1912" s="28" t="s">
        <v>184</v>
      </c>
      <c r="B1912" s="28" t="s">
        <v>185</v>
      </c>
      <c r="C1912" s="28" t="s">
        <v>174</v>
      </c>
      <c r="D1912" s="23" t="n">
        <v>6</v>
      </c>
      <c r="E1912" s="23" t="n">
        <v>11</v>
      </c>
      <c r="F1912" s="28" t="s">
        <v>908</v>
      </c>
      <c r="G1912" s="19" t="n">
        <v>0.0614</v>
      </c>
    </row>
    <row r="1913" customFormat="false" ht="15" hidden="false" customHeight="false" outlineLevel="0" collapsed="false">
      <c r="A1913" s="28" t="s">
        <v>184</v>
      </c>
      <c r="B1913" s="28" t="s">
        <v>185</v>
      </c>
      <c r="C1913" s="28" t="s">
        <v>174</v>
      </c>
      <c r="D1913" s="23" t="n">
        <v>6</v>
      </c>
      <c r="E1913" s="23" t="n">
        <v>11</v>
      </c>
      <c r="F1913" s="28" t="s">
        <v>909</v>
      </c>
      <c r="G1913" s="19" t="n">
        <v>0.0615</v>
      </c>
    </row>
    <row r="1914" customFormat="false" ht="15" hidden="false" customHeight="false" outlineLevel="0" collapsed="false">
      <c r="A1914" s="28" t="s">
        <v>184</v>
      </c>
      <c r="B1914" s="28" t="s">
        <v>185</v>
      </c>
      <c r="C1914" s="28" t="s">
        <v>174</v>
      </c>
      <c r="D1914" s="23" t="n">
        <v>6</v>
      </c>
      <c r="E1914" s="23" t="n">
        <v>11</v>
      </c>
      <c r="F1914" s="28" t="s">
        <v>910</v>
      </c>
      <c r="G1914" s="19" t="n">
        <v>0.0619</v>
      </c>
    </row>
    <row r="1915" customFormat="false" ht="15" hidden="false" customHeight="false" outlineLevel="0" collapsed="false">
      <c r="A1915" s="28" t="s">
        <v>184</v>
      </c>
      <c r="B1915" s="28" t="s">
        <v>185</v>
      </c>
      <c r="C1915" s="28" t="s">
        <v>174</v>
      </c>
      <c r="D1915" s="23" t="n">
        <v>6</v>
      </c>
      <c r="E1915" s="23" t="n">
        <v>11</v>
      </c>
      <c r="F1915" s="28" t="s">
        <v>911</v>
      </c>
      <c r="G1915" s="19" t="n">
        <v>0.063</v>
      </c>
    </row>
    <row r="1916" customFormat="false" ht="15" hidden="false" customHeight="false" outlineLevel="0" collapsed="false">
      <c r="A1916" s="28" t="s">
        <v>184</v>
      </c>
      <c r="B1916" s="28" t="s">
        <v>185</v>
      </c>
      <c r="C1916" s="28" t="s">
        <v>174</v>
      </c>
      <c r="D1916" s="23" t="n">
        <v>6</v>
      </c>
      <c r="E1916" s="23" t="n">
        <v>11</v>
      </c>
      <c r="F1916" s="28" t="s">
        <v>912</v>
      </c>
      <c r="G1916" s="19" t="n">
        <v>0.0644</v>
      </c>
    </row>
    <row r="1917" customFormat="false" ht="15" hidden="false" customHeight="false" outlineLevel="0" collapsed="false">
      <c r="A1917" s="28" t="s">
        <v>184</v>
      </c>
      <c r="B1917" s="28" t="s">
        <v>185</v>
      </c>
      <c r="C1917" s="28" t="s">
        <v>174</v>
      </c>
      <c r="D1917" s="23" t="n">
        <v>6</v>
      </c>
      <c r="E1917" s="23" t="n">
        <v>11</v>
      </c>
      <c r="F1917" s="28" t="s">
        <v>913</v>
      </c>
      <c r="G1917" s="19" t="n">
        <v>0.0693</v>
      </c>
    </row>
    <row r="1918" customFormat="false" ht="15" hidden="false" customHeight="false" outlineLevel="0" collapsed="false">
      <c r="A1918" s="28" t="s">
        <v>184</v>
      </c>
      <c r="B1918" s="28" t="s">
        <v>185</v>
      </c>
      <c r="C1918" s="28" t="s">
        <v>174</v>
      </c>
      <c r="D1918" s="23" t="n">
        <v>6</v>
      </c>
      <c r="E1918" s="23" t="n">
        <v>11</v>
      </c>
      <c r="F1918" s="28" t="s">
        <v>914</v>
      </c>
      <c r="G1918" s="19" t="n">
        <v>0.0691</v>
      </c>
    </row>
    <row r="1919" customFormat="false" ht="15" hidden="false" customHeight="false" outlineLevel="0" collapsed="false">
      <c r="A1919" s="28" t="s">
        <v>184</v>
      </c>
      <c r="B1919" s="28" t="s">
        <v>185</v>
      </c>
      <c r="C1919" s="28" t="s">
        <v>174</v>
      </c>
      <c r="D1919" s="23" t="n">
        <v>6</v>
      </c>
      <c r="E1919" s="23" t="n">
        <v>11</v>
      </c>
      <c r="F1919" s="28" t="s">
        <v>915</v>
      </c>
      <c r="G1919" s="19" t="n">
        <v>0.0849</v>
      </c>
    </row>
    <row r="1920" customFormat="false" ht="15" hidden="false" customHeight="false" outlineLevel="0" collapsed="false">
      <c r="A1920" s="28" t="s">
        <v>184</v>
      </c>
      <c r="B1920" s="28" t="s">
        <v>185</v>
      </c>
      <c r="C1920" s="28" t="s">
        <v>174</v>
      </c>
      <c r="D1920" s="23" t="n">
        <v>6</v>
      </c>
      <c r="E1920" s="23" t="n">
        <v>12</v>
      </c>
      <c r="F1920" s="28" t="s">
        <v>904</v>
      </c>
      <c r="G1920" s="19" t="n">
        <v>0.0563</v>
      </c>
    </row>
    <row r="1921" customFormat="false" ht="15" hidden="false" customHeight="false" outlineLevel="0" collapsed="false">
      <c r="A1921" s="28" t="s">
        <v>184</v>
      </c>
      <c r="B1921" s="28" t="s">
        <v>185</v>
      </c>
      <c r="C1921" s="28" t="s">
        <v>174</v>
      </c>
      <c r="D1921" s="23" t="n">
        <v>6</v>
      </c>
      <c r="E1921" s="23" t="n">
        <v>12</v>
      </c>
      <c r="F1921" s="28" t="s">
        <v>551</v>
      </c>
      <c r="G1921" s="19" t="n">
        <v>0.0875</v>
      </c>
    </row>
    <row r="1922" customFormat="false" ht="15" hidden="false" customHeight="false" outlineLevel="0" collapsed="false">
      <c r="A1922" s="28" t="s">
        <v>184</v>
      </c>
      <c r="B1922" s="28" t="s">
        <v>185</v>
      </c>
      <c r="C1922" s="28" t="s">
        <v>174</v>
      </c>
      <c r="D1922" s="23" t="n">
        <v>6</v>
      </c>
      <c r="E1922" s="23" t="n">
        <v>12</v>
      </c>
      <c r="F1922" s="28" t="s">
        <v>451</v>
      </c>
      <c r="G1922" s="19" t="n">
        <v>0.0561</v>
      </c>
    </row>
    <row r="1923" customFormat="false" ht="15" hidden="false" customHeight="false" outlineLevel="0" collapsed="false">
      <c r="A1923" s="28" t="s">
        <v>184</v>
      </c>
      <c r="B1923" s="28" t="s">
        <v>185</v>
      </c>
      <c r="C1923" s="28" t="s">
        <v>174</v>
      </c>
      <c r="D1923" s="23" t="n">
        <v>6</v>
      </c>
      <c r="E1923" s="23" t="n">
        <v>12</v>
      </c>
      <c r="F1923" s="28" t="s">
        <v>905</v>
      </c>
      <c r="G1923" s="19" t="n">
        <v>0.0587</v>
      </c>
    </row>
    <row r="1924" customFormat="false" ht="15" hidden="false" customHeight="false" outlineLevel="0" collapsed="false">
      <c r="A1924" s="28" t="s">
        <v>184</v>
      </c>
      <c r="B1924" s="28" t="s">
        <v>185</v>
      </c>
      <c r="C1924" s="28" t="s">
        <v>174</v>
      </c>
      <c r="D1924" s="23" t="n">
        <v>6</v>
      </c>
      <c r="E1924" s="23" t="n">
        <v>12</v>
      </c>
      <c r="F1924" s="28" t="s">
        <v>906</v>
      </c>
      <c r="G1924" s="19" t="n">
        <v>0.0601</v>
      </c>
    </row>
    <row r="1925" customFormat="false" ht="15" hidden="false" customHeight="false" outlineLevel="0" collapsed="false">
      <c r="A1925" s="28" t="s">
        <v>184</v>
      </c>
      <c r="B1925" s="28" t="s">
        <v>185</v>
      </c>
      <c r="C1925" s="28" t="s">
        <v>174</v>
      </c>
      <c r="D1925" s="23" t="n">
        <v>6</v>
      </c>
      <c r="E1925" s="23" t="n">
        <v>12</v>
      </c>
      <c r="F1925" s="28" t="s">
        <v>907</v>
      </c>
      <c r="G1925" s="19" t="n">
        <v>0.0598</v>
      </c>
    </row>
    <row r="1926" customFormat="false" ht="15" hidden="false" customHeight="false" outlineLevel="0" collapsed="false">
      <c r="A1926" s="28" t="s">
        <v>184</v>
      </c>
      <c r="B1926" s="28" t="s">
        <v>185</v>
      </c>
      <c r="C1926" s="28" t="s">
        <v>174</v>
      </c>
      <c r="D1926" s="23" t="n">
        <v>6</v>
      </c>
      <c r="E1926" s="23" t="n">
        <v>12</v>
      </c>
      <c r="F1926" s="28" t="s">
        <v>908</v>
      </c>
      <c r="G1926" s="19" t="n">
        <v>0.0614</v>
      </c>
    </row>
    <row r="1927" customFormat="false" ht="15" hidden="false" customHeight="false" outlineLevel="0" collapsed="false">
      <c r="A1927" s="28" t="s">
        <v>184</v>
      </c>
      <c r="B1927" s="28" t="s">
        <v>185</v>
      </c>
      <c r="C1927" s="28" t="s">
        <v>174</v>
      </c>
      <c r="D1927" s="23" t="n">
        <v>6</v>
      </c>
      <c r="E1927" s="23" t="n">
        <v>12</v>
      </c>
      <c r="F1927" s="28" t="s">
        <v>909</v>
      </c>
      <c r="G1927" s="19" t="n">
        <v>0.0615</v>
      </c>
    </row>
    <row r="1928" customFormat="false" ht="15" hidden="false" customHeight="false" outlineLevel="0" collapsed="false">
      <c r="A1928" s="28" t="s">
        <v>184</v>
      </c>
      <c r="B1928" s="28" t="s">
        <v>185</v>
      </c>
      <c r="C1928" s="28" t="s">
        <v>174</v>
      </c>
      <c r="D1928" s="23" t="n">
        <v>6</v>
      </c>
      <c r="E1928" s="23" t="n">
        <v>12</v>
      </c>
      <c r="F1928" s="28" t="s">
        <v>910</v>
      </c>
      <c r="G1928" s="19" t="n">
        <v>0.0619</v>
      </c>
    </row>
    <row r="1929" customFormat="false" ht="15" hidden="false" customHeight="false" outlineLevel="0" collapsed="false">
      <c r="A1929" s="28" t="s">
        <v>184</v>
      </c>
      <c r="B1929" s="28" t="s">
        <v>185</v>
      </c>
      <c r="C1929" s="28" t="s">
        <v>174</v>
      </c>
      <c r="D1929" s="23" t="n">
        <v>6</v>
      </c>
      <c r="E1929" s="23" t="n">
        <v>12</v>
      </c>
      <c r="F1929" s="28" t="s">
        <v>911</v>
      </c>
      <c r="G1929" s="19" t="n">
        <v>0.063</v>
      </c>
    </row>
    <row r="1930" customFormat="false" ht="15" hidden="false" customHeight="false" outlineLevel="0" collapsed="false">
      <c r="A1930" s="28" t="s">
        <v>184</v>
      </c>
      <c r="B1930" s="28" t="s">
        <v>185</v>
      </c>
      <c r="C1930" s="28" t="s">
        <v>174</v>
      </c>
      <c r="D1930" s="23" t="n">
        <v>6</v>
      </c>
      <c r="E1930" s="23" t="n">
        <v>12</v>
      </c>
      <c r="F1930" s="28" t="s">
        <v>912</v>
      </c>
      <c r="G1930" s="19" t="n">
        <v>0.0644</v>
      </c>
    </row>
    <row r="1931" customFormat="false" ht="15" hidden="false" customHeight="false" outlineLevel="0" collapsed="false">
      <c r="A1931" s="28" t="s">
        <v>184</v>
      </c>
      <c r="B1931" s="28" t="s">
        <v>185</v>
      </c>
      <c r="C1931" s="28" t="s">
        <v>174</v>
      </c>
      <c r="D1931" s="23" t="n">
        <v>6</v>
      </c>
      <c r="E1931" s="23" t="n">
        <v>12</v>
      </c>
      <c r="F1931" s="28" t="s">
        <v>913</v>
      </c>
      <c r="G1931" s="19" t="n">
        <v>0.0693</v>
      </c>
    </row>
    <row r="1932" customFormat="false" ht="15" hidden="false" customHeight="false" outlineLevel="0" collapsed="false">
      <c r="A1932" s="28" t="s">
        <v>184</v>
      </c>
      <c r="B1932" s="28" t="s">
        <v>185</v>
      </c>
      <c r="C1932" s="28" t="s">
        <v>174</v>
      </c>
      <c r="D1932" s="23" t="n">
        <v>6</v>
      </c>
      <c r="E1932" s="23" t="n">
        <v>12</v>
      </c>
      <c r="F1932" s="28" t="s">
        <v>914</v>
      </c>
      <c r="G1932" s="19" t="n">
        <v>0.0691</v>
      </c>
    </row>
    <row r="1933" customFormat="false" ht="15" hidden="false" customHeight="false" outlineLevel="0" collapsed="false">
      <c r="A1933" s="28" t="s">
        <v>184</v>
      </c>
      <c r="B1933" s="28" t="s">
        <v>185</v>
      </c>
      <c r="C1933" s="28" t="s">
        <v>174</v>
      </c>
      <c r="D1933" s="23" t="n">
        <v>6</v>
      </c>
      <c r="E1933" s="23" t="n">
        <v>12</v>
      </c>
      <c r="F1933" s="28" t="s">
        <v>915</v>
      </c>
      <c r="G1933" s="19" t="n">
        <v>0.0849</v>
      </c>
    </row>
    <row r="1934" customFormat="false" ht="15" hidden="false" customHeight="false" outlineLevel="0" collapsed="false">
      <c r="A1934" s="28" t="s">
        <v>184</v>
      </c>
      <c r="B1934" s="28" t="s">
        <v>185</v>
      </c>
      <c r="C1934" s="28" t="s">
        <v>174</v>
      </c>
      <c r="D1934" s="23" t="n">
        <v>6</v>
      </c>
      <c r="E1934" s="23" t="n">
        <v>13</v>
      </c>
      <c r="F1934" s="28" t="s">
        <v>904</v>
      </c>
      <c r="G1934" s="19" t="n">
        <v>0.0563</v>
      </c>
    </row>
    <row r="1935" customFormat="false" ht="15" hidden="false" customHeight="false" outlineLevel="0" collapsed="false">
      <c r="A1935" s="28" t="s">
        <v>184</v>
      </c>
      <c r="B1935" s="28" t="s">
        <v>185</v>
      </c>
      <c r="C1935" s="28" t="s">
        <v>174</v>
      </c>
      <c r="D1935" s="23" t="n">
        <v>6</v>
      </c>
      <c r="E1935" s="23" t="n">
        <v>13</v>
      </c>
      <c r="F1935" s="28" t="s">
        <v>551</v>
      </c>
      <c r="G1935" s="19" t="n">
        <v>0.0875</v>
      </c>
    </row>
    <row r="1936" customFormat="false" ht="15" hidden="false" customHeight="false" outlineLevel="0" collapsed="false">
      <c r="A1936" s="28" t="s">
        <v>184</v>
      </c>
      <c r="B1936" s="28" t="s">
        <v>185</v>
      </c>
      <c r="C1936" s="28" t="s">
        <v>174</v>
      </c>
      <c r="D1936" s="23" t="n">
        <v>6</v>
      </c>
      <c r="E1936" s="23" t="n">
        <v>13</v>
      </c>
      <c r="F1936" s="28" t="s">
        <v>451</v>
      </c>
      <c r="G1936" s="19" t="n">
        <v>0.0561</v>
      </c>
    </row>
    <row r="1937" customFormat="false" ht="15" hidden="false" customHeight="false" outlineLevel="0" collapsed="false">
      <c r="A1937" s="28" t="s">
        <v>184</v>
      </c>
      <c r="B1937" s="28" t="s">
        <v>185</v>
      </c>
      <c r="C1937" s="28" t="s">
        <v>174</v>
      </c>
      <c r="D1937" s="23" t="n">
        <v>6</v>
      </c>
      <c r="E1937" s="23" t="n">
        <v>13</v>
      </c>
      <c r="F1937" s="28" t="s">
        <v>905</v>
      </c>
      <c r="G1937" s="19" t="n">
        <v>0.0587</v>
      </c>
    </row>
    <row r="1938" customFormat="false" ht="15" hidden="false" customHeight="false" outlineLevel="0" collapsed="false">
      <c r="A1938" s="28" t="s">
        <v>184</v>
      </c>
      <c r="B1938" s="28" t="s">
        <v>185</v>
      </c>
      <c r="C1938" s="28" t="s">
        <v>174</v>
      </c>
      <c r="D1938" s="23" t="n">
        <v>6</v>
      </c>
      <c r="E1938" s="23" t="n">
        <v>13</v>
      </c>
      <c r="F1938" s="28" t="s">
        <v>906</v>
      </c>
      <c r="G1938" s="19" t="n">
        <v>0.0601</v>
      </c>
    </row>
    <row r="1939" customFormat="false" ht="15" hidden="false" customHeight="false" outlineLevel="0" collapsed="false">
      <c r="A1939" s="28" t="s">
        <v>184</v>
      </c>
      <c r="B1939" s="28" t="s">
        <v>185</v>
      </c>
      <c r="C1939" s="28" t="s">
        <v>174</v>
      </c>
      <c r="D1939" s="23" t="n">
        <v>6</v>
      </c>
      <c r="E1939" s="23" t="n">
        <v>13</v>
      </c>
      <c r="F1939" s="28" t="s">
        <v>907</v>
      </c>
      <c r="G1939" s="19" t="n">
        <v>0.0598</v>
      </c>
    </row>
    <row r="1940" customFormat="false" ht="15" hidden="false" customHeight="false" outlineLevel="0" collapsed="false">
      <c r="A1940" s="28" t="s">
        <v>184</v>
      </c>
      <c r="B1940" s="28" t="s">
        <v>185</v>
      </c>
      <c r="C1940" s="28" t="s">
        <v>174</v>
      </c>
      <c r="D1940" s="23" t="n">
        <v>6</v>
      </c>
      <c r="E1940" s="23" t="n">
        <v>13</v>
      </c>
      <c r="F1940" s="28" t="s">
        <v>908</v>
      </c>
      <c r="G1940" s="19" t="n">
        <v>0.0614</v>
      </c>
    </row>
    <row r="1941" customFormat="false" ht="15" hidden="false" customHeight="false" outlineLevel="0" collapsed="false">
      <c r="A1941" s="28" t="s">
        <v>184</v>
      </c>
      <c r="B1941" s="28" t="s">
        <v>185</v>
      </c>
      <c r="C1941" s="28" t="s">
        <v>174</v>
      </c>
      <c r="D1941" s="23" t="n">
        <v>6</v>
      </c>
      <c r="E1941" s="23" t="n">
        <v>13</v>
      </c>
      <c r="F1941" s="28" t="s">
        <v>909</v>
      </c>
      <c r="G1941" s="19" t="n">
        <v>0.0615</v>
      </c>
    </row>
    <row r="1942" customFormat="false" ht="15" hidden="false" customHeight="false" outlineLevel="0" collapsed="false">
      <c r="A1942" s="28" t="s">
        <v>184</v>
      </c>
      <c r="B1942" s="28" t="s">
        <v>185</v>
      </c>
      <c r="C1942" s="28" t="s">
        <v>174</v>
      </c>
      <c r="D1942" s="23" t="n">
        <v>6</v>
      </c>
      <c r="E1942" s="23" t="n">
        <v>13</v>
      </c>
      <c r="F1942" s="28" t="s">
        <v>910</v>
      </c>
      <c r="G1942" s="19" t="n">
        <v>0.0619</v>
      </c>
    </row>
    <row r="1943" customFormat="false" ht="15" hidden="false" customHeight="false" outlineLevel="0" collapsed="false">
      <c r="A1943" s="28" t="s">
        <v>184</v>
      </c>
      <c r="B1943" s="28" t="s">
        <v>185</v>
      </c>
      <c r="C1943" s="28" t="s">
        <v>174</v>
      </c>
      <c r="D1943" s="23" t="n">
        <v>6</v>
      </c>
      <c r="E1943" s="23" t="n">
        <v>13</v>
      </c>
      <c r="F1943" s="28" t="s">
        <v>911</v>
      </c>
      <c r="G1943" s="19" t="n">
        <v>0.063</v>
      </c>
    </row>
    <row r="1944" customFormat="false" ht="15" hidden="false" customHeight="false" outlineLevel="0" collapsed="false">
      <c r="A1944" s="28" t="s">
        <v>184</v>
      </c>
      <c r="B1944" s="28" t="s">
        <v>185</v>
      </c>
      <c r="C1944" s="28" t="s">
        <v>174</v>
      </c>
      <c r="D1944" s="23" t="n">
        <v>6</v>
      </c>
      <c r="E1944" s="23" t="n">
        <v>13</v>
      </c>
      <c r="F1944" s="28" t="s">
        <v>912</v>
      </c>
      <c r="G1944" s="19" t="n">
        <v>0.0644</v>
      </c>
    </row>
    <row r="1945" customFormat="false" ht="15" hidden="false" customHeight="false" outlineLevel="0" collapsed="false">
      <c r="A1945" s="28" t="s">
        <v>184</v>
      </c>
      <c r="B1945" s="28" t="s">
        <v>185</v>
      </c>
      <c r="C1945" s="28" t="s">
        <v>174</v>
      </c>
      <c r="D1945" s="23" t="n">
        <v>6</v>
      </c>
      <c r="E1945" s="23" t="n">
        <v>13</v>
      </c>
      <c r="F1945" s="28" t="s">
        <v>913</v>
      </c>
      <c r="G1945" s="19" t="n">
        <v>0.0693</v>
      </c>
    </row>
    <row r="1946" customFormat="false" ht="15" hidden="false" customHeight="false" outlineLevel="0" collapsed="false">
      <c r="A1946" s="28" t="s">
        <v>184</v>
      </c>
      <c r="B1946" s="28" t="s">
        <v>185</v>
      </c>
      <c r="C1946" s="28" t="s">
        <v>174</v>
      </c>
      <c r="D1946" s="23" t="n">
        <v>6</v>
      </c>
      <c r="E1946" s="23" t="n">
        <v>13</v>
      </c>
      <c r="F1946" s="28" t="s">
        <v>914</v>
      </c>
      <c r="G1946" s="19" t="n">
        <v>0.0691</v>
      </c>
    </row>
    <row r="1947" customFormat="false" ht="15" hidden="false" customHeight="false" outlineLevel="0" collapsed="false">
      <c r="A1947" s="28" t="s">
        <v>184</v>
      </c>
      <c r="B1947" s="28" t="s">
        <v>185</v>
      </c>
      <c r="C1947" s="28" t="s">
        <v>174</v>
      </c>
      <c r="D1947" s="23" t="n">
        <v>6</v>
      </c>
      <c r="E1947" s="23" t="n">
        <v>13</v>
      </c>
      <c r="F1947" s="28" t="s">
        <v>915</v>
      </c>
      <c r="G1947" s="19" t="n">
        <v>0.0849</v>
      </c>
    </row>
    <row r="1948" customFormat="false" ht="15" hidden="false" customHeight="false" outlineLevel="0" collapsed="false">
      <c r="A1948" s="28" t="s">
        <v>184</v>
      </c>
      <c r="B1948" s="28" t="s">
        <v>185</v>
      </c>
      <c r="C1948" s="28" t="s">
        <v>174</v>
      </c>
      <c r="D1948" s="23" t="n">
        <v>6</v>
      </c>
      <c r="E1948" s="23" t="n">
        <v>14</v>
      </c>
      <c r="F1948" s="28" t="s">
        <v>904</v>
      </c>
      <c r="G1948" s="19" t="n">
        <v>0.0563</v>
      </c>
    </row>
    <row r="1949" customFormat="false" ht="15" hidden="false" customHeight="false" outlineLevel="0" collapsed="false">
      <c r="A1949" s="28" t="s">
        <v>184</v>
      </c>
      <c r="B1949" s="28" t="s">
        <v>185</v>
      </c>
      <c r="C1949" s="28" t="s">
        <v>174</v>
      </c>
      <c r="D1949" s="23" t="n">
        <v>6</v>
      </c>
      <c r="E1949" s="23" t="n">
        <v>14</v>
      </c>
      <c r="F1949" s="28" t="s">
        <v>551</v>
      </c>
      <c r="G1949" s="19" t="n">
        <v>0.0875</v>
      </c>
    </row>
    <row r="1950" customFormat="false" ht="15" hidden="false" customHeight="false" outlineLevel="0" collapsed="false">
      <c r="A1950" s="28" t="s">
        <v>184</v>
      </c>
      <c r="B1950" s="28" t="s">
        <v>185</v>
      </c>
      <c r="C1950" s="28" t="s">
        <v>174</v>
      </c>
      <c r="D1950" s="23" t="n">
        <v>6</v>
      </c>
      <c r="E1950" s="23" t="n">
        <v>14</v>
      </c>
      <c r="F1950" s="28" t="s">
        <v>451</v>
      </c>
      <c r="G1950" s="19" t="n">
        <v>0.0561</v>
      </c>
    </row>
    <row r="1951" customFormat="false" ht="15" hidden="false" customHeight="false" outlineLevel="0" collapsed="false">
      <c r="A1951" s="28" t="s">
        <v>184</v>
      </c>
      <c r="B1951" s="28" t="s">
        <v>185</v>
      </c>
      <c r="C1951" s="28" t="s">
        <v>174</v>
      </c>
      <c r="D1951" s="23" t="n">
        <v>6</v>
      </c>
      <c r="E1951" s="23" t="n">
        <v>14</v>
      </c>
      <c r="F1951" s="28" t="s">
        <v>905</v>
      </c>
      <c r="G1951" s="19" t="n">
        <v>0.0587</v>
      </c>
    </row>
    <row r="1952" customFormat="false" ht="15" hidden="false" customHeight="false" outlineLevel="0" collapsed="false">
      <c r="A1952" s="28" t="s">
        <v>184</v>
      </c>
      <c r="B1952" s="28" t="s">
        <v>185</v>
      </c>
      <c r="C1952" s="28" t="s">
        <v>174</v>
      </c>
      <c r="D1952" s="23" t="n">
        <v>6</v>
      </c>
      <c r="E1952" s="23" t="n">
        <v>14</v>
      </c>
      <c r="F1952" s="28" t="s">
        <v>906</v>
      </c>
      <c r="G1952" s="19" t="n">
        <v>0.0601</v>
      </c>
    </row>
    <row r="1953" customFormat="false" ht="15" hidden="false" customHeight="false" outlineLevel="0" collapsed="false">
      <c r="A1953" s="28" t="s">
        <v>184</v>
      </c>
      <c r="B1953" s="28" t="s">
        <v>185</v>
      </c>
      <c r="C1953" s="28" t="s">
        <v>174</v>
      </c>
      <c r="D1953" s="23" t="n">
        <v>6</v>
      </c>
      <c r="E1953" s="23" t="n">
        <v>14</v>
      </c>
      <c r="F1953" s="28" t="s">
        <v>907</v>
      </c>
      <c r="G1953" s="19" t="n">
        <v>0.0598</v>
      </c>
    </row>
    <row r="1954" customFormat="false" ht="15" hidden="false" customHeight="false" outlineLevel="0" collapsed="false">
      <c r="A1954" s="28" t="s">
        <v>184</v>
      </c>
      <c r="B1954" s="28" t="s">
        <v>185</v>
      </c>
      <c r="C1954" s="28" t="s">
        <v>174</v>
      </c>
      <c r="D1954" s="23" t="n">
        <v>6</v>
      </c>
      <c r="E1954" s="23" t="n">
        <v>14</v>
      </c>
      <c r="F1954" s="28" t="s">
        <v>908</v>
      </c>
      <c r="G1954" s="19" t="n">
        <v>0.0614</v>
      </c>
    </row>
    <row r="1955" customFormat="false" ht="15" hidden="false" customHeight="false" outlineLevel="0" collapsed="false">
      <c r="A1955" s="28" t="s">
        <v>184</v>
      </c>
      <c r="B1955" s="28" t="s">
        <v>185</v>
      </c>
      <c r="C1955" s="28" t="s">
        <v>174</v>
      </c>
      <c r="D1955" s="23" t="n">
        <v>6</v>
      </c>
      <c r="E1955" s="23" t="n">
        <v>14</v>
      </c>
      <c r="F1955" s="28" t="s">
        <v>909</v>
      </c>
      <c r="G1955" s="19" t="n">
        <v>0.0615</v>
      </c>
    </row>
    <row r="1956" customFormat="false" ht="15" hidden="false" customHeight="false" outlineLevel="0" collapsed="false">
      <c r="A1956" s="28" t="s">
        <v>184</v>
      </c>
      <c r="B1956" s="28" t="s">
        <v>185</v>
      </c>
      <c r="C1956" s="28" t="s">
        <v>174</v>
      </c>
      <c r="D1956" s="23" t="n">
        <v>6</v>
      </c>
      <c r="E1956" s="23" t="n">
        <v>14</v>
      </c>
      <c r="F1956" s="28" t="s">
        <v>910</v>
      </c>
      <c r="G1956" s="19" t="n">
        <v>0.0619</v>
      </c>
    </row>
    <row r="1957" customFormat="false" ht="15" hidden="false" customHeight="false" outlineLevel="0" collapsed="false">
      <c r="A1957" s="28" t="s">
        <v>184</v>
      </c>
      <c r="B1957" s="28" t="s">
        <v>185</v>
      </c>
      <c r="C1957" s="28" t="s">
        <v>174</v>
      </c>
      <c r="D1957" s="23" t="n">
        <v>6</v>
      </c>
      <c r="E1957" s="23" t="n">
        <v>14</v>
      </c>
      <c r="F1957" s="28" t="s">
        <v>911</v>
      </c>
      <c r="G1957" s="19" t="n">
        <v>0.063</v>
      </c>
    </row>
    <row r="1958" customFormat="false" ht="15" hidden="false" customHeight="false" outlineLevel="0" collapsed="false">
      <c r="A1958" s="28" t="s">
        <v>184</v>
      </c>
      <c r="B1958" s="28" t="s">
        <v>185</v>
      </c>
      <c r="C1958" s="28" t="s">
        <v>174</v>
      </c>
      <c r="D1958" s="23" t="n">
        <v>6</v>
      </c>
      <c r="E1958" s="23" t="n">
        <v>14</v>
      </c>
      <c r="F1958" s="28" t="s">
        <v>912</v>
      </c>
      <c r="G1958" s="19" t="n">
        <v>0.0644</v>
      </c>
    </row>
    <row r="1959" customFormat="false" ht="15" hidden="false" customHeight="false" outlineLevel="0" collapsed="false">
      <c r="A1959" s="28" t="s">
        <v>184</v>
      </c>
      <c r="B1959" s="28" t="s">
        <v>185</v>
      </c>
      <c r="C1959" s="28" t="s">
        <v>174</v>
      </c>
      <c r="D1959" s="23" t="n">
        <v>6</v>
      </c>
      <c r="E1959" s="23" t="n">
        <v>14</v>
      </c>
      <c r="F1959" s="28" t="s">
        <v>913</v>
      </c>
      <c r="G1959" s="19" t="n">
        <v>0.0693</v>
      </c>
    </row>
    <row r="1960" customFormat="false" ht="15" hidden="false" customHeight="false" outlineLevel="0" collapsed="false">
      <c r="A1960" s="28" t="s">
        <v>184</v>
      </c>
      <c r="B1960" s="28" t="s">
        <v>185</v>
      </c>
      <c r="C1960" s="28" t="s">
        <v>174</v>
      </c>
      <c r="D1960" s="23" t="n">
        <v>6</v>
      </c>
      <c r="E1960" s="23" t="n">
        <v>14</v>
      </c>
      <c r="F1960" s="28" t="s">
        <v>914</v>
      </c>
      <c r="G1960" s="19" t="n">
        <v>0.0691</v>
      </c>
    </row>
    <row r="1961" customFormat="false" ht="15" hidden="false" customHeight="false" outlineLevel="0" collapsed="false">
      <c r="A1961" s="28" t="s">
        <v>184</v>
      </c>
      <c r="B1961" s="28" t="s">
        <v>185</v>
      </c>
      <c r="C1961" s="28" t="s">
        <v>174</v>
      </c>
      <c r="D1961" s="23" t="n">
        <v>6</v>
      </c>
      <c r="E1961" s="23" t="n">
        <v>14</v>
      </c>
      <c r="F1961" s="28" t="s">
        <v>915</v>
      </c>
      <c r="G1961" s="19" t="n">
        <v>0.0849</v>
      </c>
    </row>
    <row r="1962" customFormat="false" ht="15" hidden="false" customHeight="false" outlineLevel="0" collapsed="false">
      <c r="A1962" s="28" t="s">
        <v>184</v>
      </c>
      <c r="B1962" s="28" t="s">
        <v>185</v>
      </c>
      <c r="C1962" s="28" t="s">
        <v>174</v>
      </c>
      <c r="D1962" s="23" t="n">
        <v>6</v>
      </c>
      <c r="E1962" s="23" t="n">
        <v>15</v>
      </c>
      <c r="F1962" s="28" t="s">
        <v>904</v>
      </c>
      <c r="G1962" s="19" t="n">
        <v>0.0563</v>
      </c>
    </row>
    <row r="1963" customFormat="false" ht="15" hidden="false" customHeight="false" outlineLevel="0" collapsed="false">
      <c r="A1963" s="28" t="s">
        <v>184</v>
      </c>
      <c r="B1963" s="28" t="s">
        <v>185</v>
      </c>
      <c r="C1963" s="28" t="s">
        <v>174</v>
      </c>
      <c r="D1963" s="23" t="n">
        <v>6</v>
      </c>
      <c r="E1963" s="23" t="n">
        <v>15</v>
      </c>
      <c r="F1963" s="28" t="s">
        <v>551</v>
      </c>
      <c r="G1963" s="19" t="n">
        <v>0.0875</v>
      </c>
    </row>
    <row r="1964" customFormat="false" ht="15" hidden="false" customHeight="false" outlineLevel="0" collapsed="false">
      <c r="A1964" s="28" t="s">
        <v>184</v>
      </c>
      <c r="B1964" s="28" t="s">
        <v>185</v>
      </c>
      <c r="C1964" s="28" t="s">
        <v>174</v>
      </c>
      <c r="D1964" s="23" t="n">
        <v>6</v>
      </c>
      <c r="E1964" s="23" t="n">
        <v>15</v>
      </c>
      <c r="F1964" s="28" t="s">
        <v>451</v>
      </c>
      <c r="G1964" s="19" t="n">
        <v>0.0561</v>
      </c>
    </row>
    <row r="1965" customFormat="false" ht="15" hidden="false" customHeight="false" outlineLevel="0" collapsed="false">
      <c r="A1965" s="28" t="s">
        <v>184</v>
      </c>
      <c r="B1965" s="28" t="s">
        <v>185</v>
      </c>
      <c r="C1965" s="28" t="s">
        <v>174</v>
      </c>
      <c r="D1965" s="23" t="n">
        <v>6</v>
      </c>
      <c r="E1965" s="23" t="n">
        <v>15</v>
      </c>
      <c r="F1965" s="28" t="s">
        <v>905</v>
      </c>
      <c r="G1965" s="19" t="n">
        <v>0.0587</v>
      </c>
    </row>
    <row r="1966" customFormat="false" ht="15" hidden="false" customHeight="false" outlineLevel="0" collapsed="false">
      <c r="A1966" s="28" t="s">
        <v>184</v>
      </c>
      <c r="B1966" s="28" t="s">
        <v>185</v>
      </c>
      <c r="C1966" s="28" t="s">
        <v>174</v>
      </c>
      <c r="D1966" s="23" t="n">
        <v>6</v>
      </c>
      <c r="E1966" s="23" t="n">
        <v>15</v>
      </c>
      <c r="F1966" s="28" t="s">
        <v>906</v>
      </c>
      <c r="G1966" s="19" t="n">
        <v>0.0601</v>
      </c>
    </row>
    <row r="1967" customFormat="false" ht="15" hidden="false" customHeight="false" outlineLevel="0" collapsed="false">
      <c r="A1967" s="28" t="s">
        <v>184</v>
      </c>
      <c r="B1967" s="28" t="s">
        <v>185</v>
      </c>
      <c r="C1967" s="28" t="s">
        <v>174</v>
      </c>
      <c r="D1967" s="23" t="n">
        <v>6</v>
      </c>
      <c r="E1967" s="23" t="n">
        <v>15</v>
      </c>
      <c r="F1967" s="28" t="s">
        <v>907</v>
      </c>
      <c r="G1967" s="19" t="n">
        <v>0.0598</v>
      </c>
    </row>
    <row r="1968" customFormat="false" ht="15" hidden="false" customHeight="false" outlineLevel="0" collapsed="false">
      <c r="A1968" s="28" t="s">
        <v>184</v>
      </c>
      <c r="B1968" s="28" t="s">
        <v>185</v>
      </c>
      <c r="C1968" s="28" t="s">
        <v>174</v>
      </c>
      <c r="D1968" s="23" t="n">
        <v>6</v>
      </c>
      <c r="E1968" s="23" t="n">
        <v>15</v>
      </c>
      <c r="F1968" s="28" t="s">
        <v>908</v>
      </c>
      <c r="G1968" s="19" t="n">
        <v>0.0614</v>
      </c>
    </row>
    <row r="1969" customFormat="false" ht="15" hidden="false" customHeight="false" outlineLevel="0" collapsed="false">
      <c r="A1969" s="28" t="s">
        <v>184</v>
      </c>
      <c r="B1969" s="28" t="s">
        <v>185</v>
      </c>
      <c r="C1969" s="28" t="s">
        <v>174</v>
      </c>
      <c r="D1969" s="23" t="n">
        <v>6</v>
      </c>
      <c r="E1969" s="23" t="n">
        <v>15</v>
      </c>
      <c r="F1969" s="28" t="s">
        <v>909</v>
      </c>
      <c r="G1969" s="19" t="n">
        <v>0.0615</v>
      </c>
    </row>
    <row r="1970" customFormat="false" ht="15" hidden="false" customHeight="false" outlineLevel="0" collapsed="false">
      <c r="A1970" s="28" t="s">
        <v>184</v>
      </c>
      <c r="B1970" s="28" t="s">
        <v>185</v>
      </c>
      <c r="C1970" s="28" t="s">
        <v>174</v>
      </c>
      <c r="D1970" s="23" t="n">
        <v>6</v>
      </c>
      <c r="E1970" s="23" t="n">
        <v>15</v>
      </c>
      <c r="F1970" s="28" t="s">
        <v>910</v>
      </c>
      <c r="G1970" s="19" t="n">
        <v>0.0619</v>
      </c>
    </row>
    <row r="1971" customFormat="false" ht="15" hidden="false" customHeight="false" outlineLevel="0" collapsed="false">
      <c r="A1971" s="28" t="s">
        <v>184</v>
      </c>
      <c r="B1971" s="28" t="s">
        <v>185</v>
      </c>
      <c r="C1971" s="28" t="s">
        <v>174</v>
      </c>
      <c r="D1971" s="23" t="n">
        <v>6</v>
      </c>
      <c r="E1971" s="23" t="n">
        <v>15</v>
      </c>
      <c r="F1971" s="28" t="s">
        <v>911</v>
      </c>
      <c r="G1971" s="19" t="n">
        <v>0.063</v>
      </c>
    </row>
    <row r="1972" customFormat="false" ht="15" hidden="false" customHeight="false" outlineLevel="0" collapsed="false">
      <c r="A1972" s="28" t="s">
        <v>184</v>
      </c>
      <c r="B1972" s="28" t="s">
        <v>185</v>
      </c>
      <c r="C1972" s="28" t="s">
        <v>174</v>
      </c>
      <c r="D1972" s="23" t="n">
        <v>6</v>
      </c>
      <c r="E1972" s="23" t="n">
        <v>15</v>
      </c>
      <c r="F1972" s="28" t="s">
        <v>912</v>
      </c>
      <c r="G1972" s="19" t="n">
        <v>0.0644</v>
      </c>
    </row>
    <row r="1973" customFormat="false" ht="15" hidden="false" customHeight="false" outlineLevel="0" collapsed="false">
      <c r="A1973" s="28" t="s">
        <v>184</v>
      </c>
      <c r="B1973" s="28" t="s">
        <v>185</v>
      </c>
      <c r="C1973" s="28" t="s">
        <v>174</v>
      </c>
      <c r="D1973" s="23" t="n">
        <v>6</v>
      </c>
      <c r="E1973" s="23" t="n">
        <v>15</v>
      </c>
      <c r="F1973" s="28" t="s">
        <v>913</v>
      </c>
      <c r="G1973" s="19" t="n">
        <v>0.0693</v>
      </c>
    </row>
    <row r="1974" customFormat="false" ht="15" hidden="false" customHeight="false" outlineLevel="0" collapsed="false">
      <c r="A1974" s="28" t="s">
        <v>184</v>
      </c>
      <c r="B1974" s="28" t="s">
        <v>185</v>
      </c>
      <c r="C1974" s="28" t="s">
        <v>174</v>
      </c>
      <c r="D1974" s="23" t="n">
        <v>6</v>
      </c>
      <c r="E1974" s="23" t="n">
        <v>15</v>
      </c>
      <c r="F1974" s="28" t="s">
        <v>914</v>
      </c>
      <c r="G1974" s="19" t="n">
        <v>0.0691</v>
      </c>
    </row>
    <row r="1975" customFormat="false" ht="15" hidden="false" customHeight="false" outlineLevel="0" collapsed="false">
      <c r="A1975" s="28" t="s">
        <v>184</v>
      </c>
      <c r="B1975" s="28" t="s">
        <v>185</v>
      </c>
      <c r="C1975" s="28" t="s">
        <v>174</v>
      </c>
      <c r="D1975" s="23" t="n">
        <v>6</v>
      </c>
      <c r="E1975" s="23" t="n">
        <v>15</v>
      </c>
      <c r="F1975" s="28" t="s">
        <v>915</v>
      </c>
      <c r="G1975" s="19" t="n">
        <v>0.0849</v>
      </c>
    </row>
    <row r="1976" customFormat="false" ht="15" hidden="false" customHeight="false" outlineLevel="0" collapsed="false">
      <c r="A1976" s="28" t="s">
        <v>184</v>
      </c>
      <c r="B1976" s="28" t="s">
        <v>185</v>
      </c>
      <c r="C1976" s="28" t="s">
        <v>174</v>
      </c>
      <c r="D1976" s="23" t="n">
        <v>6</v>
      </c>
      <c r="E1976" s="23" t="n">
        <v>16</v>
      </c>
      <c r="F1976" s="28" t="s">
        <v>904</v>
      </c>
      <c r="G1976" s="19" t="n">
        <v>0.0563</v>
      </c>
    </row>
    <row r="1977" customFormat="false" ht="15" hidden="false" customHeight="false" outlineLevel="0" collapsed="false">
      <c r="A1977" s="28" t="s">
        <v>184</v>
      </c>
      <c r="B1977" s="28" t="s">
        <v>185</v>
      </c>
      <c r="C1977" s="28" t="s">
        <v>174</v>
      </c>
      <c r="D1977" s="23" t="n">
        <v>6</v>
      </c>
      <c r="E1977" s="23" t="n">
        <v>16</v>
      </c>
      <c r="F1977" s="28" t="s">
        <v>551</v>
      </c>
      <c r="G1977" s="19" t="n">
        <v>0.0875</v>
      </c>
    </row>
    <row r="1978" customFormat="false" ht="15" hidden="false" customHeight="false" outlineLevel="0" collapsed="false">
      <c r="A1978" s="28" t="s">
        <v>184</v>
      </c>
      <c r="B1978" s="28" t="s">
        <v>185</v>
      </c>
      <c r="C1978" s="28" t="s">
        <v>174</v>
      </c>
      <c r="D1978" s="23" t="n">
        <v>6</v>
      </c>
      <c r="E1978" s="23" t="n">
        <v>16</v>
      </c>
      <c r="F1978" s="28" t="s">
        <v>451</v>
      </c>
      <c r="G1978" s="19" t="n">
        <v>0.0561</v>
      </c>
    </row>
    <row r="1979" customFormat="false" ht="15" hidden="false" customHeight="false" outlineLevel="0" collapsed="false">
      <c r="A1979" s="28" t="s">
        <v>184</v>
      </c>
      <c r="B1979" s="28" t="s">
        <v>185</v>
      </c>
      <c r="C1979" s="28" t="s">
        <v>174</v>
      </c>
      <c r="D1979" s="23" t="n">
        <v>6</v>
      </c>
      <c r="E1979" s="23" t="n">
        <v>16</v>
      </c>
      <c r="F1979" s="28" t="s">
        <v>905</v>
      </c>
      <c r="G1979" s="19" t="n">
        <v>0.0587</v>
      </c>
    </row>
    <row r="1980" customFormat="false" ht="15" hidden="false" customHeight="false" outlineLevel="0" collapsed="false">
      <c r="A1980" s="28" t="s">
        <v>184</v>
      </c>
      <c r="B1980" s="28" t="s">
        <v>185</v>
      </c>
      <c r="C1980" s="28" t="s">
        <v>174</v>
      </c>
      <c r="D1980" s="23" t="n">
        <v>6</v>
      </c>
      <c r="E1980" s="23" t="n">
        <v>16</v>
      </c>
      <c r="F1980" s="28" t="s">
        <v>906</v>
      </c>
      <c r="G1980" s="19" t="n">
        <v>0.0601</v>
      </c>
    </row>
    <row r="1981" customFormat="false" ht="15" hidden="false" customHeight="false" outlineLevel="0" collapsed="false">
      <c r="A1981" s="28" t="s">
        <v>184</v>
      </c>
      <c r="B1981" s="28" t="s">
        <v>185</v>
      </c>
      <c r="C1981" s="28" t="s">
        <v>174</v>
      </c>
      <c r="D1981" s="23" t="n">
        <v>6</v>
      </c>
      <c r="E1981" s="23" t="n">
        <v>16</v>
      </c>
      <c r="F1981" s="28" t="s">
        <v>907</v>
      </c>
      <c r="G1981" s="19" t="n">
        <v>0.0598</v>
      </c>
    </row>
    <row r="1982" customFormat="false" ht="15" hidden="false" customHeight="false" outlineLevel="0" collapsed="false">
      <c r="A1982" s="28" t="s">
        <v>184</v>
      </c>
      <c r="B1982" s="28" t="s">
        <v>185</v>
      </c>
      <c r="C1982" s="28" t="s">
        <v>174</v>
      </c>
      <c r="D1982" s="23" t="n">
        <v>6</v>
      </c>
      <c r="E1982" s="23" t="n">
        <v>16</v>
      </c>
      <c r="F1982" s="28" t="s">
        <v>908</v>
      </c>
      <c r="G1982" s="19" t="n">
        <v>0.0614</v>
      </c>
    </row>
    <row r="1983" customFormat="false" ht="15" hidden="false" customHeight="false" outlineLevel="0" collapsed="false">
      <c r="A1983" s="28" t="s">
        <v>184</v>
      </c>
      <c r="B1983" s="28" t="s">
        <v>185</v>
      </c>
      <c r="C1983" s="28" t="s">
        <v>174</v>
      </c>
      <c r="D1983" s="23" t="n">
        <v>6</v>
      </c>
      <c r="E1983" s="23" t="n">
        <v>16</v>
      </c>
      <c r="F1983" s="28" t="s">
        <v>909</v>
      </c>
      <c r="G1983" s="19" t="n">
        <v>0.0615</v>
      </c>
    </row>
    <row r="1984" customFormat="false" ht="15" hidden="false" customHeight="false" outlineLevel="0" collapsed="false">
      <c r="A1984" s="28" t="s">
        <v>184</v>
      </c>
      <c r="B1984" s="28" t="s">
        <v>185</v>
      </c>
      <c r="C1984" s="28" t="s">
        <v>174</v>
      </c>
      <c r="D1984" s="23" t="n">
        <v>6</v>
      </c>
      <c r="E1984" s="23" t="n">
        <v>16</v>
      </c>
      <c r="F1984" s="28" t="s">
        <v>910</v>
      </c>
      <c r="G1984" s="19" t="n">
        <v>0.0619</v>
      </c>
    </row>
    <row r="1985" customFormat="false" ht="15" hidden="false" customHeight="false" outlineLevel="0" collapsed="false">
      <c r="A1985" s="28" t="s">
        <v>184</v>
      </c>
      <c r="B1985" s="28" t="s">
        <v>185</v>
      </c>
      <c r="C1985" s="28" t="s">
        <v>174</v>
      </c>
      <c r="D1985" s="23" t="n">
        <v>6</v>
      </c>
      <c r="E1985" s="23" t="n">
        <v>16</v>
      </c>
      <c r="F1985" s="28" t="s">
        <v>911</v>
      </c>
      <c r="G1985" s="19" t="n">
        <v>0.063</v>
      </c>
    </row>
    <row r="1986" customFormat="false" ht="15" hidden="false" customHeight="false" outlineLevel="0" collapsed="false">
      <c r="A1986" s="28" t="s">
        <v>184</v>
      </c>
      <c r="B1986" s="28" t="s">
        <v>185</v>
      </c>
      <c r="C1986" s="28" t="s">
        <v>174</v>
      </c>
      <c r="D1986" s="23" t="n">
        <v>6</v>
      </c>
      <c r="E1986" s="23" t="n">
        <v>16</v>
      </c>
      <c r="F1986" s="28" t="s">
        <v>912</v>
      </c>
      <c r="G1986" s="19" t="n">
        <v>0.0644</v>
      </c>
    </row>
    <row r="1987" customFormat="false" ht="15" hidden="false" customHeight="false" outlineLevel="0" collapsed="false">
      <c r="A1987" s="28" t="s">
        <v>184</v>
      </c>
      <c r="B1987" s="28" t="s">
        <v>185</v>
      </c>
      <c r="C1987" s="28" t="s">
        <v>174</v>
      </c>
      <c r="D1987" s="23" t="n">
        <v>6</v>
      </c>
      <c r="E1987" s="23" t="n">
        <v>16</v>
      </c>
      <c r="F1987" s="28" t="s">
        <v>913</v>
      </c>
      <c r="G1987" s="19" t="n">
        <v>0.0693</v>
      </c>
    </row>
    <row r="1988" customFormat="false" ht="15" hidden="false" customHeight="false" outlineLevel="0" collapsed="false">
      <c r="A1988" s="28" t="s">
        <v>184</v>
      </c>
      <c r="B1988" s="28" t="s">
        <v>185</v>
      </c>
      <c r="C1988" s="28" t="s">
        <v>174</v>
      </c>
      <c r="D1988" s="23" t="n">
        <v>6</v>
      </c>
      <c r="E1988" s="23" t="n">
        <v>16</v>
      </c>
      <c r="F1988" s="28" t="s">
        <v>914</v>
      </c>
      <c r="G1988" s="19" t="n">
        <v>0.0691</v>
      </c>
    </row>
    <row r="1989" customFormat="false" ht="15" hidden="false" customHeight="false" outlineLevel="0" collapsed="false">
      <c r="A1989" s="28" t="s">
        <v>184</v>
      </c>
      <c r="B1989" s="28" t="s">
        <v>185</v>
      </c>
      <c r="C1989" s="28" t="s">
        <v>174</v>
      </c>
      <c r="D1989" s="23" t="n">
        <v>6</v>
      </c>
      <c r="E1989" s="23" t="n">
        <v>16</v>
      </c>
      <c r="F1989" s="28" t="s">
        <v>915</v>
      </c>
      <c r="G1989" s="19" t="n">
        <v>0.0849</v>
      </c>
    </row>
    <row r="1990" customFormat="false" ht="15" hidden="false" customHeight="false" outlineLevel="0" collapsed="false">
      <c r="A1990" s="28" t="s">
        <v>184</v>
      </c>
      <c r="B1990" s="28" t="s">
        <v>185</v>
      </c>
      <c r="C1990" s="28" t="s">
        <v>174</v>
      </c>
      <c r="D1990" s="23" t="n">
        <v>6</v>
      </c>
      <c r="E1990" s="23" t="n">
        <v>17</v>
      </c>
      <c r="F1990" s="28" t="s">
        <v>904</v>
      </c>
      <c r="G1990" s="19" t="n">
        <v>0.0563</v>
      </c>
    </row>
    <row r="1991" customFormat="false" ht="15" hidden="false" customHeight="false" outlineLevel="0" collapsed="false">
      <c r="A1991" s="28" t="s">
        <v>184</v>
      </c>
      <c r="B1991" s="28" t="s">
        <v>185</v>
      </c>
      <c r="C1991" s="28" t="s">
        <v>174</v>
      </c>
      <c r="D1991" s="23" t="n">
        <v>6</v>
      </c>
      <c r="E1991" s="23" t="n">
        <v>17</v>
      </c>
      <c r="F1991" s="28" t="s">
        <v>551</v>
      </c>
      <c r="G1991" s="19" t="n">
        <v>0.0875</v>
      </c>
    </row>
    <row r="1992" customFormat="false" ht="15" hidden="false" customHeight="false" outlineLevel="0" collapsed="false">
      <c r="A1992" s="28" t="s">
        <v>184</v>
      </c>
      <c r="B1992" s="28" t="s">
        <v>185</v>
      </c>
      <c r="C1992" s="28" t="s">
        <v>174</v>
      </c>
      <c r="D1992" s="23" t="n">
        <v>6</v>
      </c>
      <c r="E1992" s="23" t="n">
        <v>17</v>
      </c>
      <c r="F1992" s="28" t="s">
        <v>451</v>
      </c>
      <c r="G1992" s="19" t="n">
        <v>0.0561</v>
      </c>
    </row>
    <row r="1993" customFormat="false" ht="15" hidden="false" customHeight="false" outlineLevel="0" collapsed="false">
      <c r="A1993" s="28" t="s">
        <v>184</v>
      </c>
      <c r="B1993" s="28" t="s">
        <v>185</v>
      </c>
      <c r="C1993" s="28" t="s">
        <v>174</v>
      </c>
      <c r="D1993" s="23" t="n">
        <v>6</v>
      </c>
      <c r="E1993" s="23" t="n">
        <v>17</v>
      </c>
      <c r="F1993" s="28" t="s">
        <v>905</v>
      </c>
      <c r="G1993" s="19" t="n">
        <v>0.0587</v>
      </c>
    </row>
    <row r="1994" customFormat="false" ht="15" hidden="false" customHeight="false" outlineLevel="0" collapsed="false">
      <c r="A1994" s="28" t="s">
        <v>184</v>
      </c>
      <c r="B1994" s="28" t="s">
        <v>185</v>
      </c>
      <c r="C1994" s="28" t="s">
        <v>174</v>
      </c>
      <c r="D1994" s="23" t="n">
        <v>6</v>
      </c>
      <c r="E1994" s="23" t="n">
        <v>17</v>
      </c>
      <c r="F1994" s="28" t="s">
        <v>906</v>
      </c>
      <c r="G1994" s="19" t="n">
        <v>0.0601</v>
      </c>
    </row>
    <row r="1995" customFormat="false" ht="15" hidden="false" customHeight="false" outlineLevel="0" collapsed="false">
      <c r="A1995" s="28" t="s">
        <v>184</v>
      </c>
      <c r="B1995" s="28" t="s">
        <v>185</v>
      </c>
      <c r="C1995" s="28" t="s">
        <v>174</v>
      </c>
      <c r="D1995" s="23" t="n">
        <v>6</v>
      </c>
      <c r="E1995" s="23" t="n">
        <v>17</v>
      </c>
      <c r="F1995" s="28" t="s">
        <v>907</v>
      </c>
      <c r="G1995" s="19" t="n">
        <v>0.0598</v>
      </c>
    </row>
    <row r="1996" customFormat="false" ht="15" hidden="false" customHeight="false" outlineLevel="0" collapsed="false">
      <c r="A1996" s="28" t="s">
        <v>184</v>
      </c>
      <c r="B1996" s="28" t="s">
        <v>185</v>
      </c>
      <c r="C1996" s="28" t="s">
        <v>174</v>
      </c>
      <c r="D1996" s="23" t="n">
        <v>6</v>
      </c>
      <c r="E1996" s="23" t="n">
        <v>17</v>
      </c>
      <c r="F1996" s="28" t="s">
        <v>908</v>
      </c>
      <c r="G1996" s="19" t="n">
        <v>0.0614</v>
      </c>
    </row>
    <row r="1997" customFormat="false" ht="15" hidden="false" customHeight="false" outlineLevel="0" collapsed="false">
      <c r="A1997" s="28" t="s">
        <v>184</v>
      </c>
      <c r="B1997" s="28" t="s">
        <v>185</v>
      </c>
      <c r="C1997" s="28" t="s">
        <v>174</v>
      </c>
      <c r="D1997" s="23" t="n">
        <v>6</v>
      </c>
      <c r="E1997" s="23" t="n">
        <v>17</v>
      </c>
      <c r="F1997" s="28" t="s">
        <v>909</v>
      </c>
      <c r="G1997" s="19" t="n">
        <v>0.0615</v>
      </c>
    </row>
    <row r="1998" customFormat="false" ht="15" hidden="false" customHeight="false" outlineLevel="0" collapsed="false">
      <c r="A1998" s="28" t="s">
        <v>184</v>
      </c>
      <c r="B1998" s="28" t="s">
        <v>185</v>
      </c>
      <c r="C1998" s="28" t="s">
        <v>174</v>
      </c>
      <c r="D1998" s="23" t="n">
        <v>6</v>
      </c>
      <c r="E1998" s="23" t="n">
        <v>17</v>
      </c>
      <c r="F1998" s="28" t="s">
        <v>910</v>
      </c>
      <c r="G1998" s="19" t="n">
        <v>0.0619</v>
      </c>
    </row>
    <row r="1999" customFormat="false" ht="15" hidden="false" customHeight="false" outlineLevel="0" collapsed="false">
      <c r="A1999" s="28" t="s">
        <v>184</v>
      </c>
      <c r="B1999" s="28" t="s">
        <v>185</v>
      </c>
      <c r="C1999" s="28" t="s">
        <v>174</v>
      </c>
      <c r="D1999" s="23" t="n">
        <v>6</v>
      </c>
      <c r="E1999" s="23" t="n">
        <v>17</v>
      </c>
      <c r="F1999" s="28" t="s">
        <v>911</v>
      </c>
      <c r="G1999" s="19" t="n">
        <v>0.063</v>
      </c>
    </row>
    <row r="2000" customFormat="false" ht="15" hidden="false" customHeight="false" outlineLevel="0" collapsed="false">
      <c r="A2000" s="28" t="s">
        <v>184</v>
      </c>
      <c r="B2000" s="28" t="s">
        <v>185</v>
      </c>
      <c r="C2000" s="28" t="s">
        <v>174</v>
      </c>
      <c r="D2000" s="23" t="n">
        <v>6</v>
      </c>
      <c r="E2000" s="23" t="n">
        <v>17</v>
      </c>
      <c r="F2000" s="28" t="s">
        <v>912</v>
      </c>
      <c r="G2000" s="19" t="n">
        <v>0.0644</v>
      </c>
    </row>
    <row r="2001" customFormat="false" ht="15" hidden="false" customHeight="false" outlineLevel="0" collapsed="false">
      <c r="A2001" s="28" t="s">
        <v>184</v>
      </c>
      <c r="B2001" s="28" t="s">
        <v>185</v>
      </c>
      <c r="C2001" s="28" t="s">
        <v>174</v>
      </c>
      <c r="D2001" s="23" t="n">
        <v>6</v>
      </c>
      <c r="E2001" s="23" t="n">
        <v>17</v>
      </c>
      <c r="F2001" s="28" t="s">
        <v>913</v>
      </c>
      <c r="G2001" s="19" t="n">
        <v>0.0693</v>
      </c>
    </row>
    <row r="2002" customFormat="false" ht="15" hidden="false" customHeight="false" outlineLevel="0" collapsed="false">
      <c r="A2002" s="28" t="s">
        <v>184</v>
      </c>
      <c r="B2002" s="28" t="s">
        <v>185</v>
      </c>
      <c r="C2002" s="28" t="s">
        <v>174</v>
      </c>
      <c r="D2002" s="23" t="n">
        <v>6</v>
      </c>
      <c r="E2002" s="23" t="n">
        <v>17</v>
      </c>
      <c r="F2002" s="28" t="s">
        <v>914</v>
      </c>
      <c r="G2002" s="19" t="n">
        <v>0.0691</v>
      </c>
    </row>
    <row r="2003" customFormat="false" ht="15" hidden="false" customHeight="false" outlineLevel="0" collapsed="false">
      <c r="A2003" s="28" t="s">
        <v>184</v>
      </c>
      <c r="B2003" s="28" t="s">
        <v>185</v>
      </c>
      <c r="C2003" s="28" t="s">
        <v>174</v>
      </c>
      <c r="D2003" s="23" t="n">
        <v>6</v>
      </c>
      <c r="E2003" s="23" t="n">
        <v>17</v>
      </c>
      <c r="F2003" s="28" t="s">
        <v>915</v>
      </c>
      <c r="G2003" s="19" t="n">
        <v>0.0849</v>
      </c>
    </row>
    <row r="2004" customFormat="false" ht="15" hidden="false" customHeight="false" outlineLevel="0" collapsed="false">
      <c r="A2004" s="28" t="s">
        <v>184</v>
      </c>
      <c r="B2004" s="28" t="s">
        <v>185</v>
      </c>
      <c r="C2004" s="28" t="s">
        <v>174</v>
      </c>
      <c r="D2004" s="23" t="n">
        <v>6</v>
      </c>
      <c r="E2004" s="23" t="n">
        <v>18</v>
      </c>
      <c r="F2004" s="28" t="s">
        <v>904</v>
      </c>
      <c r="G2004" s="19" t="n">
        <v>0.0563</v>
      </c>
    </row>
    <row r="2005" customFormat="false" ht="15" hidden="false" customHeight="false" outlineLevel="0" collapsed="false">
      <c r="A2005" s="28" t="s">
        <v>184</v>
      </c>
      <c r="B2005" s="28" t="s">
        <v>185</v>
      </c>
      <c r="C2005" s="28" t="s">
        <v>174</v>
      </c>
      <c r="D2005" s="23" t="n">
        <v>6</v>
      </c>
      <c r="E2005" s="23" t="n">
        <v>18</v>
      </c>
      <c r="F2005" s="28" t="s">
        <v>551</v>
      </c>
      <c r="G2005" s="19" t="n">
        <v>0.0875</v>
      </c>
    </row>
    <row r="2006" customFormat="false" ht="15" hidden="false" customHeight="false" outlineLevel="0" collapsed="false">
      <c r="A2006" s="28" t="s">
        <v>184</v>
      </c>
      <c r="B2006" s="28" t="s">
        <v>185</v>
      </c>
      <c r="C2006" s="28" t="s">
        <v>174</v>
      </c>
      <c r="D2006" s="23" t="n">
        <v>6</v>
      </c>
      <c r="E2006" s="23" t="n">
        <v>18</v>
      </c>
      <c r="F2006" s="28" t="s">
        <v>451</v>
      </c>
      <c r="G2006" s="19" t="n">
        <v>0.0561</v>
      </c>
    </row>
    <row r="2007" customFormat="false" ht="15" hidden="false" customHeight="false" outlineLevel="0" collapsed="false">
      <c r="A2007" s="28" t="s">
        <v>184</v>
      </c>
      <c r="B2007" s="28" t="s">
        <v>185</v>
      </c>
      <c r="C2007" s="28" t="s">
        <v>174</v>
      </c>
      <c r="D2007" s="23" t="n">
        <v>6</v>
      </c>
      <c r="E2007" s="23" t="n">
        <v>18</v>
      </c>
      <c r="F2007" s="28" t="s">
        <v>905</v>
      </c>
      <c r="G2007" s="19" t="n">
        <v>0.0587</v>
      </c>
    </row>
    <row r="2008" customFormat="false" ht="15" hidden="false" customHeight="false" outlineLevel="0" collapsed="false">
      <c r="A2008" s="28" t="s">
        <v>184</v>
      </c>
      <c r="B2008" s="28" t="s">
        <v>185</v>
      </c>
      <c r="C2008" s="28" t="s">
        <v>174</v>
      </c>
      <c r="D2008" s="23" t="n">
        <v>6</v>
      </c>
      <c r="E2008" s="23" t="n">
        <v>18</v>
      </c>
      <c r="F2008" s="28" t="s">
        <v>906</v>
      </c>
      <c r="G2008" s="19" t="n">
        <v>0.0601</v>
      </c>
    </row>
    <row r="2009" customFormat="false" ht="15" hidden="false" customHeight="false" outlineLevel="0" collapsed="false">
      <c r="A2009" s="28" t="s">
        <v>184</v>
      </c>
      <c r="B2009" s="28" t="s">
        <v>185</v>
      </c>
      <c r="C2009" s="28" t="s">
        <v>174</v>
      </c>
      <c r="D2009" s="23" t="n">
        <v>6</v>
      </c>
      <c r="E2009" s="23" t="n">
        <v>18</v>
      </c>
      <c r="F2009" s="28" t="s">
        <v>907</v>
      </c>
      <c r="G2009" s="19" t="n">
        <v>0.0598</v>
      </c>
    </row>
    <row r="2010" customFormat="false" ht="15" hidden="false" customHeight="false" outlineLevel="0" collapsed="false">
      <c r="A2010" s="28" t="s">
        <v>184</v>
      </c>
      <c r="B2010" s="28" t="s">
        <v>185</v>
      </c>
      <c r="C2010" s="28" t="s">
        <v>174</v>
      </c>
      <c r="D2010" s="23" t="n">
        <v>6</v>
      </c>
      <c r="E2010" s="23" t="n">
        <v>18</v>
      </c>
      <c r="F2010" s="28" t="s">
        <v>908</v>
      </c>
      <c r="G2010" s="19" t="n">
        <v>0.0614</v>
      </c>
    </row>
    <row r="2011" customFormat="false" ht="15" hidden="false" customHeight="false" outlineLevel="0" collapsed="false">
      <c r="A2011" s="28" t="s">
        <v>184</v>
      </c>
      <c r="B2011" s="28" t="s">
        <v>185</v>
      </c>
      <c r="C2011" s="28" t="s">
        <v>174</v>
      </c>
      <c r="D2011" s="23" t="n">
        <v>6</v>
      </c>
      <c r="E2011" s="23" t="n">
        <v>18</v>
      </c>
      <c r="F2011" s="28" t="s">
        <v>909</v>
      </c>
      <c r="G2011" s="19" t="n">
        <v>0.0615</v>
      </c>
    </row>
    <row r="2012" customFormat="false" ht="15" hidden="false" customHeight="false" outlineLevel="0" collapsed="false">
      <c r="A2012" s="28" t="s">
        <v>184</v>
      </c>
      <c r="B2012" s="28" t="s">
        <v>185</v>
      </c>
      <c r="C2012" s="28" t="s">
        <v>174</v>
      </c>
      <c r="D2012" s="23" t="n">
        <v>6</v>
      </c>
      <c r="E2012" s="23" t="n">
        <v>18</v>
      </c>
      <c r="F2012" s="28" t="s">
        <v>910</v>
      </c>
      <c r="G2012" s="19" t="n">
        <v>0.0619</v>
      </c>
    </row>
    <row r="2013" customFormat="false" ht="15" hidden="false" customHeight="false" outlineLevel="0" collapsed="false">
      <c r="A2013" s="28" t="s">
        <v>184</v>
      </c>
      <c r="B2013" s="28" t="s">
        <v>185</v>
      </c>
      <c r="C2013" s="28" t="s">
        <v>174</v>
      </c>
      <c r="D2013" s="23" t="n">
        <v>6</v>
      </c>
      <c r="E2013" s="23" t="n">
        <v>18</v>
      </c>
      <c r="F2013" s="28" t="s">
        <v>911</v>
      </c>
      <c r="G2013" s="19" t="n">
        <v>0.063</v>
      </c>
    </row>
    <row r="2014" customFormat="false" ht="15" hidden="false" customHeight="false" outlineLevel="0" collapsed="false">
      <c r="A2014" s="28" t="s">
        <v>184</v>
      </c>
      <c r="B2014" s="28" t="s">
        <v>185</v>
      </c>
      <c r="C2014" s="28" t="s">
        <v>174</v>
      </c>
      <c r="D2014" s="23" t="n">
        <v>6</v>
      </c>
      <c r="E2014" s="23" t="n">
        <v>18</v>
      </c>
      <c r="F2014" s="28" t="s">
        <v>912</v>
      </c>
      <c r="G2014" s="19" t="n">
        <v>0.0644</v>
      </c>
    </row>
    <row r="2015" customFormat="false" ht="15" hidden="false" customHeight="false" outlineLevel="0" collapsed="false">
      <c r="A2015" s="28" t="s">
        <v>184</v>
      </c>
      <c r="B2015" s="28" t="s">
        <v>185</v>
      </c>
      <c r="C2015" s="28" t="s">
        <v>174</v>
      </c>
      <c r="D2015" s="23" t="n">
        <v>6</v>
      </c>
      <c r="E2015" s="23" t="n">
        <v>18</v>
      </c>
      <c r="F2015" s="28" t="s">
        <v>913</v>
      </c>
      <c r="G2015" s="19" t="n">
        <v>0.0693</v>
      </c>
    </row>
    <row r="2016" customFormat="false" ht="15" hidden="false" customHeight="false" outlineLevel="0" collapsed="false">
      <c r="A2016" s="28" t="s">
        <v>184</v>
      </c>
      <c r="B2016" s="28" t="s">
        <v>185</v>
      </c>
      <c r="C2016" s="28" t="s">
        <v>174</v>
      </c>
      <c r="D2016" s="23" t="n">
        <v>6</v>
      </c>
      <c r="E2016" s="23" t="n">
        <v>18</v>
      </c>
      <c r="F2016" s="28" t="s">
        <v>914</v>
      </c>
      <c r="G2016" s="19" t="n">
        <v>0.0691</v>
      </c>
    </row>
    <row r="2017" customFormat="false" ht="15" hidden="false" customHeight="false" outlineLevel="0" collapsed="false">
      <c r="A2017" s="28" t="s">
        <v>184</v>
      </c>
      <c r="B2017" s="28" t="s">
        <v>185</v>
      </c>
      <c r="C2017" s="28" t="s">
        <v>174</v>
      </c>
      <c r="D2017" s="23" t="n">
        <v>6</v>
      </c>
      <c r="E2017" s="23" t="n">
        <v>18</v>
      </c>
      <c r="F2017" s="28" t="s">
        <v>915</v>
      </c>
      <c r="G2017" s="19" t="n">
        <v>0.0849</v>
      </c>
    </row>
    <row r="2018" customFormat="false" ht="15" hidden="false" customHeight="false" outlineLevel="0" collapsed="false">
      <c r="A2018" s="28" t="s">
        <v>184</v>
      </c>
      <c r="B2018" s="28" t="s">
        <v>185</v>
      </c>
      <c r="C2018" s="28" t="s">
        <v>174</v>
      </c>
      <c r="D2018" s="23" t="n">
        <v>6</v>
      </c>
      <c r="E2018" s="23" t="n">
        <v>19</v>
      </c>
      <c r="F2018" s="28" t="s">
        <v>904</v>
      </c>
      <c r="G2018" s="19" t="n">
        <v>0.0563</v>
      </c>
    </row>
    <row r="2019" customFormat="false" ht="15" hidden="false" customHeight="false" outlineLevel="0" collapsed="false">
      <c r="A2019" s="28" t="s">
        <v>184</v>
      </c>
      <c r="B2019" s="28" t="s">
        <v>185</v>
      </c>
      <c r="C2019" s="28" t="s">
        <v>174</v>
      </c>
      <c r="D2019" s="23" t="n">
        <v>6</v>
      </c>
      <c r="E2019" s="23" t="n">
        <v>19</v>
      </c>
      <c r="F2019" s="28" t="s">
        <v>551</v>
      </c>
      <c r="G2019" s="19" t="n">
        <v>0.0875</v>
      </c>
    </row>
    <row r="2020" customFormat="false" ht="15" hidden="false" customHeight="false" outlineLevel="0" collapsed="false">
      <c r="A2020" s="28" t="s">
        <v>184</v>
      </c>
      <c r="B2020" s="28" t="s">
        <v>185</v>
      </c>
      <c r="C2020" s="28" t="s">
        <v>174</v>
      </c>
      <c r="D2020" s="23" t="n">
        <v>6</v>
      </c>
      <c r="E2020" s="23" t="n">
        <v>19</v>
      </c>
      <c r="F2020" s="28" t="s">
        <v>451</v>
      </c>
      <c r="G2020" s="19" t="n">
        <v>0.0561</v>
      </c>
    </row>
    <row r="2021" customFormat="false" ht="15" hidden="false" customHeight="false" outlineLevel="0" collapsed="false">
      <c r="A2021" s="28" t="s">
        <v>184</v>
      </c>
      <c r="B2021" s="28" t="s">
        <v>185</v>
      </c>
      <c r="C2021" s="28" t="s">
        <v>174</v>
      </c>
      <c r="D2021" s="23" t="n">
        <v>6</v>
      </c>
      <c r="E2021" s="23" t="n">
        <v>19</v>
      </c>
      <c r="F2021" s="28" t="s">
        <v>905</v>
      </c>
      <c r="G2021" s="19" t="n">
        <v>0.0587</v>
      </c>
    </row>
    <row r="2022" customFormat="false" ht="15" hidden="false" customHeight="false" outlineLevel="0" collapsed="false">
      <c r="A2022" s="28" t="s">
        <v>184</v>
      </c>
      <c r="B2022" s="28" t="s">
        <v>185</v>
      </c>
      <c r="C2022" s="28" t="s">
        <v>174</v>
      </c>
      <c r="D2022" s="23" t="n">
        <v>6</v>
      </c>
      <c r="E2022" s="23" t="n">
        <v>19</v>
      </c>
      <c r="F2022" s="28" t="s">
        <v>906</v>
      </c>
      <c r="G2022" s="19" t="n">
        <v>0.0601</v>
      </c>
    </row>
    <row r="2023" customFormat="false" ht="15" hidden="false" customHeight="false" outlineLevel="0" collapsed="false">
      <c r="A2023" s="28" t="s">
        <v>184</v>
      </c>
      <c r="B2023" s="28" t="s">
        <v>185</v>
      </c>
      <c r="C2023" s="28" t="s">
        <v>174</v>
      </c>
      <c r="D2023" s="23" t="n">
        <v>6</v>
      </c>
      <c r="E2023" s="23" t="n">
        <v>19</v>
      </c>
      <c r="F2023" s="28" t="s">
        <v>907</v>
      </c>
      <c r="G2023" s="19" t="n">
        <v>0.0598</v>
      </c>
    </row>
    <row r="2024" customFormat="false" ht="15" hidden="false" customHeight="false" outlineLevel="0" collapsed="false">
      <c r="A2024" s="28" t="s">
        <v>184</v>
      </c>
      <c r="B2024" s="28" t="s">
        <v>185</v>
      </c>
      <c r="C2024" s="28" t="s">
        <v>174</v>
      </c>
      <c r="D2024" s="23" t="n">
        <v>6</v>
      </c>
      <c r="E2024" s="23" t="n">
        <v>19</v>
      </c>
      <c r="F2024" s="28" t="s">
        <v>908</v>
      </c>
      <c r="G2024" s="19" t="n">
        <v>0.0614</v>
      </c>
    </row>
    <row r="2025" customFormat="false" ht="15" hidden="false" customHeight="false" outlineLevel="0" collapsed="false">
      <c r="A2025" s="28" t="s">
        <v>184</v>
      </c>
      <c r="B2025" s="28" t="s">
        <v>185</v>
      </c>
      <c r="C2025" s="28" t="s">
        <v>174</v>
      </c>
      <c r="D2025" s="23" t="n">
        <v>6</v>
      </c>
      <c r="E2025" s="23" t="n">
        <v>19</v>
      </c>
      <c r="F2025" s="28" t="s">
        <v>909</v>
      </c>
      <c r="G2025" s="19" t="n">
        <v>0.0615</v>
      </c>
    </row>
    <row r="2026" customFormat="false" ht="15" hidden="false" customHeight="false" outlineLevel="0" collapsed="false">
      <c r="A2026" s="28" t="s">
        <v>184</v>
      </c>
      <c r="B2026" s="28" t="s">
        <v>185</v>
      </c>
      <c r="C2026" s="28" t="s">
        <v>174</v>
      </c>
      <c r="D2026" s="23" t="n">
        <v>6</v>
      </c>
      <c r="E2026" s="23" t="n">
        <v>19</v>
      </c>
      <c r="F2026" s="28" t="s">
        <v>910</v>
      </c>
      <c r="G2026" s="19" t="n">
        <v>0.0619</v>
      </c>
    </row>
    <row r="2027" customFormat="false" ht="15" hidden="false" customHeight="false" outlineLevel="0" collapsed="false">
      <c r="A2027" s="28" t="s">
        <v>184</v>
      </c>
      <c r="B2027" s="28" t="s">
        <v>185</v>
      </c>
      <c r="C2027" s="28" t="s">
        <v>174</v>
      </c>
      <c r="D2027" s="23" t="n">
        <v>6</v>
      </c>
      <c r="E2027" s="23" t="n">
        <v>19</v>
      </c>
      <c r="F2027" s="28" t="s">
        <v>911</v>
      </c>
      <c r="G2027" s="19" t="n">
        <v>0.063</v>
      </c>
    </row>
    <row r="2028" customFormat="false" ht="15" hidden="false" customHeight="false" outlineLevel="0" collapsed="false">
      <c r="A2028" s="28" t="s">
        <v>184</v>
      </c>
      <c r="B2028" s="28" t="s">
        <v>185</v>
      </c>
      <c r="C2028" s="28" t="s">
        <v>174</v>
      </c>
      <c r="D2028" s="23" t="n">
        <v>6</v>
      </c>
      <c r="E2028" s="23" t="n">
        <v>19</v>
      </c>
      <c r="F2028" s="28" t="s">
        <v>912</v>
      </c>
      <c r="G2028" s="19" t="n">
        <v>0.0644</v>
      </c>
    </row>
    <row r="2029" customFormat="false" ht="15" hidden="false" customHeight="false" outlineLevel="0" collapsed="false">
      <c r="A2029" s="28" t="s">
        <v>184</v>
      </c>
      <c r="B2029" s="28" t="s">
        <v>185</v>
      </c>
      <c r="C2029" s="28" t="s">
        <v>174</v>
      </c>
      <c r="D2029" s="23" t="n">
        <v>6</v>
      </c>
      <c r="E2029" s="23" t="n">
        <v>19</v>
      </c>
      <c r="F2029" s="28" t="s">
        <v>913</v>
      </c>
      <c r="G2029" s="19" t="n">
        <v>0.0693</v>
      </c>
    </row>
    <row r="2030" customFormat="false" ht="15" hidden="false" customHeight="false" outlineLevel="0" collapsed="false">
      <c r="A2030" s="28" t="s">
        <v>184</v>
      </c>
      <c r="B2030" s="28" t="s">
        <v>185</v>
      </c>
      <c r="C2030" s="28" t="s">
        <v>174</v>
      </c>
      <c r="D2030" s="23" t="n">
        <v>6</v>
      </c>
      <c r="E2030" s="23" t="n">
        <v>19</v>
      </c>
      <c r="F2030" s="28" t="s">
        <v>914</v>
      </c>
      <c r="G2030" s="19" t="n">
        <v>0.0691</v>
      </c>
    </row>
    <row r="2031" customFormat="false" ht="15" hidden="false" customHeight="false" outlineLevel="0" collapsed="false">
      <c r="A2031" s="28" t="s">
        <v>184</v>
      </c>
      <c r="B2031" s="28" t="s">
        <v>185</v>
      </c>
      <c r="C2031" s="28" t="s">
        <v>174</v>
      </c>
      <c r="D2031" s="23" t="n">
        <v>6</v>
      </c>
      <c r="E2031" s="23" t="n">
        <v>19</v>
      </c>
      <c r="F2031" s="28" t="s">
        <v>915</v>
      </c>
      <c r="G2031" s="19" t="n">
        <v>0.0849</v>
      </c>
    </row>
    <row r="2032" customFormat="false" ht="15" hidden="false" customHeight="false" outlineLevel="0" collapsed="false">
      <c r="A2032" s="28" t="s">
        <v>184</v>
      </c>
      <c r="B2032" s="28" t="s">
        <v>185</v>
      </c>
      <c r="C2032" s="28" t="s">
        <v>174</v>
      </c>
      <c r="D2032" s="23" t="n">
        <v>6</v>
      </c>
      <c r="E2032" s="23" t="n">
        <v>20</v>
      </c>
      <c r="F2032" s="28" t="s">
        <v>904</v>
      </c>
      <c r="G2032" s="19" t="n">
        <v>0.0563</v>
      </c>
    </row>
    <row r="2033" customFormat="false" ht="15" hidden="false" customHeight="false" outlineLevel="0" collapsed="false">
      <c r="A2033" s="28" t="s">
        <v>184</v>
      </c>
      <c r="B2033" s="28" t="s">
        <v>185</v>
      </c>
      <c r="C2033" s="28" t="s">
        <v>174</v>
      </c>
      <c r="D2033" s="23" t="n">
        <v>6</v>
      </c>
      <c r="E2033" s="23" t="n">
        <v>20</v>
      </c>
      <c r="F2033" s="28" t="s">
        <v>551</v>
      </c>
      <c r="G2033" s="19" t="n">
        <v>0.0875</v>
      </c>
    </row>
    <row r="2034" customFormat="false" ht="15" hidden="false" customHeight="false" outlineLevel="0" collapsed="false">
      <c r="A2034" s="28" t="s">
        <v>184</v>
      </c>
      <c r="B2034" s="28" t="s">
        <v>185</v>
      </c>
      <c r="C2034" s="28" t="s">
        <v>174</v>
      </c>
      <c r="D2034" s="23" t="n">
        <v>6</v>
      </c>
      <c r="E2034" s="23" t="n">
        <v>20</v>
      </c>
      <c r="F2034" s="28" t="s">
        <v>451</v>
      </c>
      <c r="G2034" s="19" t="n">
        <v>0.0561</v>
      </c>
    </row>
    <row r="2035" customFormat="false" ht="15" hidden="false" customHeight="false" outlineLevel="0" collapsed="false">
      <c r="A2035" s="28" t="s">
        <v>184</v>
      </c>
      <c r="B2035" s="28" t="s">
        <v>185</v>
      </c>
      <c r="C2035" s="28" t="s">
        <v>174</v>
      </c>
      <c r="D2035" s="23" t="n">
        <v>6</v>
      </c>
      <c r="E2035" s="23" t="n">
        <v>20</v>
      </c>
      <c r="F2035" s="28" t="s">
        <v>905</v>
      </c>
      <c r="G2035" s="19" t="n">
        <v>0.0587</v>
      </c>
    </row>
    <row r="2036" customFormat="false" ht="15" hidden="false" customHeight="false" outlineLevel="0" collapsed="false">
      <c r="A2036" s="28" t="s">
        <v>184</v>
      </c>
      <c r="B2036" s="28" t="s">
        <v>185</v>
      </c>
      <c r="C2036" s="28" t="s">
        <v>174</v>
      </c>
      <c r="D2036" s="23" t="n">
        <v>6</v>
      </c>
      <c r="E2036" s="23" t="n">
        <v>20</v>
      </c>
      <c r="F2036" s="28" t="s">
        <v>906</v>
      </c>
      <c r="G2036" s="19" t="n">
        <v>0.0601</v>
      </c>
    </row>
    <row r="2037" customFormat="false" ht="15" hidden="false" customHeight="false" outlineLevel="0" collapsed="false">
      <c r="A2037" s="28" t="s">
        <v>184</v>
      </c>
      <c r="B2037" s="28" t="s">
        <v>185</v>
      </c>
      <c r="C2037" s="28" t="s">
        <v>174</v>
      </c>
      <c r="D2037" s="23" t="n">
        <v>6</v>
      </c>
      <c r="E2037" s="23" t="n">
        <v>20</v>
      </c>
      <c r="F2037" s="28" t="s">
        <v>907</v>
      </c>
      <c r="G2037" s="19" t="n">
        <v>0.0598</v>
      </c>
    </row>
    <row r="2038" customFormat="false" ht="15" hidden="false" customHeight="false" outlineLevel="0" collapsed="false">
      <c r="A2038" s="28" t="s">
        <v>184</v>
      </c>
      <c r="B2038" s="28" t="s">
        <v>185</v>
      </c>
      <c r="C2038" s="28" t="s">
        <v>174</v>
      </c>
      <c r="D2038" s="23" t="n">
        <v>6</v>
      </c>
      <c r="E2038" s="23" t="n">
        <v>20</v>
      </c>
      <c r="F2038" s="28" t="s">
        <v>908</v>
      </c>
      <c r="G2038" s="19" t="n">
        <v>0.0614</v>
      </c>
    </row>
    <row r="2039" customFormat="false" ht="15" hidden="false" customHeight="false" outlineLevel="0" collapsed="false">
      <c r="A2039" s="28" t="s">
        <v>184</v>
      </c>
      <c r="B2039" s="28" t="s">
        <v>185</v>
      </c>
      <c r="C2039" s="28" t="s">
        <v>174</v>
      </c>
      <c r="D2039" s="23" t="n">
        <v>6</v>
      </c>
      <c r="E2039" s="23" t="n">
        <v>20</v>
      </c>
      <c r="F2039" s="28" t="s">
        <v>909</v>
      </c>
      <c r="G2039" s="19" t="n">
        <v>0.0615</v>
      </c>
    </row>
    <row r="2040" customFormat="false" ht="15" hidden="false" customHeight="false" outlineLevel="0" collapsed="false">
      <c r="A2040" s="28" t="s">
        <v>184</v>
      </c>
      <c r="B2040" s="28" t="s">
        <v>185</v>
      </c>
      <c r="C2040" s="28" t="s">
        <v>174</v>
      </c>
      <c r="D2040" s="23" t="n">
        <v>6</v>
      </c>
      <c r="E2040" s="23" t="n">
        <v>20</v>
      </c>
      <c r="F2040" s="28" t="s">
        <v>910</v>
      </c>
      <c r="G2040" s="19" t="n">
        <v>0.0619</v>
      </c>
    </row>
    <row r="2041" customFormat="false" ht="15" hidden="false" customHeight="false" outlineLevel="0" collapsed="false">
      <c r="A2041" s="28" t="s">
        <v>184</v>
      </c>
      <c r="B2041" s="28" t="s">
        <v>185</v>
      </c>
      <c r="C2041" s="28" t="s">
        <v>174</v>
      </c>
      <c r="D2041" s="23" t="n">
        <v>6</v>
      </c>
      <c r="E2041" s="23" t="n">
        <v>20</v>
      </c>
      <c r="F2041" s="28" t="s">
        <v>911</v>
      </c>
      <c r="G2041" s="19" t="n">
        <v>0.063</v>
      </c>
    </row>
    <row r="2042" customFormat="false" ht="15" hidden="false" customHeight="false" outlineLevel="0" collapsed="false">
      <c r="A2042" s="28" t="s">
        <v>184</v>
      </c>
      <c r="B2042" s="28" t="s">
        <v>185</v>
      </c>
      <c r="C2042" s="28" t="s">
        <v>174</v>
      </c>
      <c r="D2042" s="23" t="n">
        <v>6</v>
      </c>
      <c r="E2042" s="23" t="n">
        <v>20</v>
      </c>
      <c r="F2042" s="28" t="s">
        <v>912</v>
      </c>
      <c r="G2042" s="19" t="n">
        <v>0.0644</v>
      </c>
    </row>
    <row r="2043" customFormat="false" ht="15" hidden="false" customHeight="false" outlineLevel="0" collapsed="false">
      <c r="A2043" s="28" t="s">
        <v>184</v>
      </c>
      <c r="B2043" s="28" t="s">
        <v>185</v>
      </c>
      <c r="C2043" s="28" t="s">
        <v>174</v>
      </c>
      <c r="D2043" s="23" t="n">
        <v>6</v>
      </c>
      <c r="E2043" s="23" t="n">
        <v>20</v>
      </c>
      <c r="F2043" s="28" t="s">
        <v>913</v>
      </c>
      <c r="G2043" s="19" t="n">
        <v>0.0693</v>
      </c>
    </row>
    <row r="2044" customFormat="false" ht="15" hidden="false" customHeight="false" outlineLevel="0" collapsed="false">
      <c r="A2044" s="28" t="s">
        <v>184</v>
      </c>
      <c r="B2044" s="28" t="s">
        <v>185</v>
      </c>
      <c r="C2044" s="28" t="s">
        <v>174</v>
      </c>
      <c r="D2044" s="23" t="n">
        <v>6</v>
      </c>
      <c r="E2044" s="23" t="n">
        <v>20</v>
      </c>
      <c r="F2044" s="28" t="s">
        <v>914</v>
      </c>
      <c r="G2044" s="19" t="n">
        <v>0.0691</v>
      </c>
    </row>
    <row r="2045" customFormat="false" ht="15" hidden="false" customHeight="false" outlineLevel="0" collapsed="false">
      <c r="A2045" s="28" t="s">
        <v>184</v>
      </c>
      <c r="B2045" s="28" t="s">
        <v>185</v>
      </c>
      <c r="C2045" s="28" t="s">
        <v>174</v>
      </c>
      <c r="D2045" s="23" t="n">
        <v>6</v>
      </c>
      <c r="E2045" s="23" t="n">
        <v>20</v>
      </c>
      <c r="F2045" s="28" t="s">
        <v>915</v>
      </c>
      <c r="G2045" s="19" t="n">
        <v>0.0849</v>
      </c>
    </row>
    <row r="2046" customFormat="false" ht="15" hidden="false" customHeight="false" outlineLevel="0" collapsed="false">
      <c r="A2046" s="28" t="s">
        <v>184</v>
      </c>
      <c r="B2046" s="28" t="s">
        <v>185</v>
      </c>
      <c r="C2046" s="28" t="s">
        <v>174</v>
      </c>
      <c r="D2046" s="23" t="n">
        <v>6</v>
      </c>
      <c r="E2046" s="23" t="n">
        <v>21</v>
      </c>
      <c r="F2046" s="28" t="s">
        <v>904</v>
      </c>
      <c r="G2046" s="19" t="n">
        <v>0.0563</v>
      </c>
    </row>
    <row r="2047" customFormat="false" ht="15" hidden="false" customHeight="false" outlineLevel="0" collapsed="false">
      <c r="A2047" s="28" t="s">
        <v>184</v>
      </c>
      <c r="B2047" s="28" t="s">
        <v>185</v>
      </c>
      <c r="C2047" s="28" t="s">
        <v>174</v>
      </c>
      <c r="D2047" s="23" t="n">
        <v>6</v>
      </c>
      <c r="E2047" s="23" t="n">
        <v>21</v>
      </c>
      <c r="F2047" s="28" t="s">
        <v>551</v>
      </c>
      <c r="G2047" s="19" t="n">
        <v>0.0875</v>
      </c>
    </row>
    <row r="2048" customFormat="false" ht="15" hidden="false" customHeight="false" outlineLevel="0" collapsed="false">
      <c r="A2048" s="28" t="s">
        <v>184</v>
      </c>
      <c r="B2048" s="28" t="s">
        <v>185</v>
      </c>
      <c r="C2048" s="28" t="s">
        <v>174</v>
      </c>
      <c r="D2048" s="23" t="n">
        <v>6</v>
      </c>
      <c r="E2048" s="23" t="n">
        <v>21</v>
      </c>
      <c r="F2048" s="28" t="s">
        <v>451</v>
      </c>
      <c r="G2048" s="19" t="n">
        <v>0.0561</v>
      </c>
    </row>
    <row r="2049" customFormat="false" ht="15" hidden="false" customHeight="false" outlineLevel="0" collapsed="false">
      <c r="A2049" s="28" t="s">
        <v>184</v>
      </c>
      <c r="B2049" s="28" t="s">
        <v>185</v>
      </c>
      <c r="C2049" s="28" t="s">
        <v>174</v>
      </c>
      <c r="D2049" s="23" t="n">
        <v>6</v>
      </c>
      <c r="E2049" s="23" t="n">
        <v>21</v>
      </c>
      <c r="F2049" s="28" t="s">
        <v>905</v>
      </c>
      <c r="G2049" s="19" t="n">
        <v>0.0587</v>
      </c>
    </row>
    <row r="2050" customFormat="false" ht="15" hidden="false" customHeight="false" outlineLevel="0" collapsed="false">
      <c r="A2050" s="28" t="s">
        <v>184</v>
      </c>
      <c r="B2050" s="28" t="s">
        <v>185</v>
      </c>
      <c r="C2050" s="28" t="s">
        <v>174</v>
      </c>
      <c r="D2050" s="23" t="n">
        <v>6</v>
      </c>
      <c r="E2050" s="23" t="n">
        <v>21</v>
      </c>
      <c r="F2050" s="28" t="s">
        <v>906</v>
      </c>
      <c r="G2050" s="19" t="n">
        <v>0.0601</v>
      </c>
    </row>
    <row r="2051" customFormat="false" ht="15" hidden="false" customHeight="false" outlineLevel="0" collapsed="false">
      <c r="A2051" s="28" t="s">
        <v>184</v>
      </c>
      <c r="B2051" s="28" t="s">
        <v>185</v>
      </c>
      <c r="C2051" s="28" t="s">
        <v>174</v>
      </c>
      <c r="D2051" s="23" t="n">
        <v>6</v>
      </c>
      <c r="E2051" s="23" t="n">
        <v>21</v>
      </c>
      <c r="F2051" s="28" t="s">
        <v>907</v>
      </c>
      <c r="G2051" s="19" t="n">
        <v>0.0598</v>
      </c>
    </row>
    <row r="2052" customFormat="false" ht="15" hidden="false" customHeight="false" outlineLevel="0" collapsed="false">
      <c r="A2052" s="28" t="s">
        <v>184</v>
      </c>
      <c r="B2052" s="28" t="s">
        <v>185</v>
      </c>
      <c r="C2052" s="28" t="s">
        <v>174</v>
      </c>
      <c r="D2052" s="23" t="n">
        <v>6</v>
      </c>
      <c r="E2052" s="23" t="n">
        <v>21</v>
      </c>
      <c r="F2052" s="28" t="s">
        <v>908</v>
      </c>
      <c r="G2052" s="19" t="n">
        <v>0.0614</v>
      </c>
    </row>
    <row r="2053" customFormat="false" ht="15" hidden="false" customHeight="false" outlineLevel="0" collapsed="false">
      <c r="A2053" s="28" t="s">
        <v>184</v>
      </c>
      <c r="B2053" s="28" t="s">
        <v>185</v>
      </c>
      <c r="C2053" s="28" t="s">
        <v>174</v>
      </c>
      <c r="D2053" s="23" t="n">
        <v>6</v>
      </c>
      <c r="E2053" s="23" t="n">
        <v>21</v>
      </c>
      <c r="F2053" s="28" t="s">
        <v>909</v>
      </c>
      <c r="G2053" s="19" t="n">
        <v>0.0615</v>
      </c>
    </row>
    <row r="2054" customFormat="false" ht="15" hidden="false" customHeight="false" outlineLevel="0" collapsed="false">
      <c r="A2054" s="28" t="s">
        <v>184</v>
      </c>
      <c r="B2054" s="28" t="s">
        <v>185</v>
      </c>
      <c r="C2054" s="28" t="s">
        <v>174</v>
      </c>
      <c r="D2054" s="23" t="n">
        <v>6</v>
      </c>
      <c r="E2054" s="23" t="n">
        <v>21</v>
      </c>
      <c r="F2054" s="28" t="s">
        <v>910</v>
      </c>
      <c r="G2054" s="19" t="n">
        <v>0.0619</v>
      </c>
    </row>
    <row r="2055" customFormat="false" ht="15" hidden="false" customHeight="false" outlineLevel="0" collapsed="false">
      <c r="A2055" s="28" t="s">
        <v>184</v>
      </c>
      <c r="B2055" s="28" t="s">
        <v>185</v>
      </c>
      <c r="C2055" s="28" t="s">
        <v>174</v>
      </c>
      <c r="D2055" s="23" t="n">
        <v>6</v>
      </c>
      <c r="E2055" s="23" t="n">
        <v>21</v>
      </c>
      <c r="F2055" s="28" t="s">
        <v>911</v>
      </c>
      <c r="G2055" s="19" t="n">
        <v>0.063</v>
      </c>
    </row>
    <row r="2056" customFormat="false" ht="15" hidden="false" customHeight="false" outlineLevel="0" collapsed="false">
      <c r="A2056" s="28" t="s">
        <v>184</v>
      </c>
      <c r="B2056" s="28" t="s">
        <v>185</v>
      </c>
      <c r="C2056" s="28" t="s">
        <v>174</v>
      </c>
      <c r="D2056" s="23" t="n">
        <v>6</v>
      </c>
      <c r="E2056" s="23" t="n">
        <v>21</v>
      </c>
      <c r="F2056" s="28" t="s">
        <v>912</v>
      </c>
      <c r="G2056" s="19" t="n">
        <v>0.0644</v>
      </c>
    </row>
    <row r="2057" customFormat="false" ht="15" hidden="false" customHeight="false" outlineLevel="0" collapsed="false">
      <c r="A2057" s="28" t="s">
        <v>184</v>
      </c>
      <c r="B2057" s="28" t="s">
        <v>185</v>
      </c>
      <c r="C2057" s="28" t="s">
        <v>174</v>
      </c>
      <c r="D2057" s="23" t="n">
        <v>6</v>
      </c>
      <c r="E2057" s="23" t="n">
        <v>21</v>
      </c>
      <c r="F2057" s="28" t="s">
        <v>913</v>
      </c>
      <c r="G2057" s="19" t="n">
        <v>0.0693</v>
      </c>
    </row>
    <row r="2058" customFormat="false" ht="15" hidden="false" customHeight="false" outlineLevel="0" collapsed="false">
      <c r="A2058" s="28" t="s">
        <v>184</v>
      </c>
      <c r="B2058" s="28" t="s">
        <v>185</v>
      </c>
      <c r="C2058" s="28" t="s">
        <v>174</v>
      </c>
      <c r="D2058" s="23" t="n">
        <v>6</v>
      </c>
      <c r="E2058" s="23" t="n">
        <v>21</v>
      </c>
      <c r="F2058" s="28" t="s">
        <v>914</v>
      </c>
      <c r="G2058" s="19" t="n">
        <v>0.0691</v>
      </c>
    </row>
    <row r="2059" customFormat="false" ht="15" hidden="false" customHeight="false" outlineLevel="0" collapsed="false">
      <c r="A2059" s="28" t="s">
        <v>184</v>
      </c>
      <c r="B2059" s="28" t="s">
        <v>185</v>
      </c>
      <c r="C2059" s="28" t="s">
        <v>174</v>
      </c>
      <c r="D2059" s="23" t="n">
        <v>6</v>
      </c>
      <c r="E2059" s="23" t="n">
        <v>21</v>
      </c>
      <c r="F2059" s="28" t="s">
        <v>915</v>
      </c>
      <c r="G2059" s="19" t="n">
        <v>0.0849</v>
      </c>
    </row>
    <row r="2060" customFormat="false" ht="15" hidden="false" customHeight="false" outlineLevel="0" collapsed="false">
      <c r="A2060" s="28" t="s">
        <v>184</v>
      </c>
      <c r="B2060" s="28" t="s">
        <v>185</v>
      </c>
      <c r="C2060" s="28" t="s">
        <v>174</v>
      </c>
      <c r="D2060" s="23" t="n">
        <v>6</v>
      </c>
      <c r="E2060" s="23" t="n">
        <v>22</v>
      </c>
      <c r="F2060" s="28" t="s">
        <v>904</v>
      </c>
      <c r="G2060" s="19" t="n">
        <v>0.0563</v>
      </c>
    </row>
    <row r="2061" customFormat="false" ht="15" hidden="false" customHeight="false" outlineLevel="0" collapsed="false">
      <c r="A2061" s="28" t="s">
        <v>184</v>
      </c>
      <c r="B2061" s="28" t="s">
        <v>185</v>
      </c>
      <c r="C2061" s="28" t="s">
        <v>174</v>
      </c>
      <c r="D2061" s="23" t="n">
        <v>6</v>
      </c>
      <c r="E2061" s="23" t="n">
        <v>22</v>
      </c>
      <c r="F2061" s="28" t="s">
        <v>551</v>
      </c>
      <c r="G2061" s="19" t="n">
        <v>0.0875</v>
      </c>
    </row>
    <row r="2062" customFormat="false" ht="15" hidden="false" customHeight="false" outlineLevel="0" collapsed="false">
      <c r="A2062" s="28" t="s">
        <v>184</v>
      </c>
      <c r="B2062" s="28" t="s">
        <v>185</v>
      </c>
      <c r="C2062" s="28" t="s">
        <v>174</v>
      </c>
      <c r="D2062" s="23" t="n">
        <v>6</v>
      </c>
      <c r="E2062" s="23" t="n">
        <v>22</v>
      </c>
      <c r="F2062" s="28" t="s">
        <v>451</v>
      </c>
      <c r="G2062" s="19" t="n">
        <v>0.0561</v>
      </c>
    </row>
    <row r="2063" customFormat="false" ht="15" hidden="false" customHeight="false" outlineLevel="0" collapsed="false">
      <c r="A2063" s="28" t="s">
        <v>184</v>
      </c>
      <c r="B2063" s="28" t="s">
        <v>185</v>
      </c>
      <c r="C2063" s="28" t="s">
        <v>174</v>
      </c>
      <c r="D2063" s="23" t="n">
        <v>6</v>
      </c>
      <c r="E2063" s="23" t="n">
        <v>22</v>
      </c>
      <c r="F2063" s="28" t="s">
        <v>905</v>
      </c>
      <c r="G2063" s="19" t="n">
        <v>0.0587</v>
      </c>
    </row>
    <row r="2064" customFormat="false" ht="15" hidden="false" customHeight="false" outlineLevel="0" collapsed="false">
      <c r="A2064" s="28" t="s">
        <v>184</v>
      </c>
      <c r="B2064" s="28" t="s">
        <v>185</v>
      </c>
      <c r="C2064" s="28" t="s">
        <v>174</v>
      </c>
      <c r="D2064" s="23" t="n">
        <v>6</v>
      </c>
      <c r="E2064" s="23" t="n">
        <v>22</v>
      </c>
      <c r="F2064" s="28" t="s">
        <v>906</v>
      </c>
      <c r="G2064" s="19" t="n">
        <v>0.0601</v>
      </c>
    </row>
    <row r="2065" customFormat="false" ht="15" hidden="false" customHeight="false" outlineLevel="0" collapsed="false">
      <c r="A2065" s="28" t="s">
        <v>184</v>
      </c>
      <c r="B2065" s="28" t="s">
        <v>185</v>
      </c>
      <c r="C2065" s="28" t="s">
        <v>174</v>
      </c>
      <c r="D2065" s="23" t="n">
        <v>6</v>
      </c>
      <c r="E2065" s="23" t="n">
        <v>22</v>
      </c>
      <c r="F2065" s="28" t="s">
        <v>907</v>
      </c>
      <c r="G2065" s="19" t="n">
        <v>0.0598</v>
      </c>
    </row>
    <row r="2066" customFormat="false" ht="15" hidden="false" customHeight="false" outlineLevel="0" collapsed="false">
      <c r="A2066" s="28" t="s">
        <v>184</v>
      </c>
      <c r="B2066" s="28" t="s">
        <v>185</v>
      </c>
      <c r="C2066" s="28" t="s">
        <v>174</v>
      </c>
      <c r="D2066" s="23" t="n">
        <v>6</v>
      </c>
      <c r="E2066" s="23" t="n">
        <v>22</v>
      </c>
      <c r="F2066" s="28" t="s">
        <v>908</v>
      </c>
      <c r="G2066" s="19" t="n">
        <v>0.0614</v>
      </c>
    </row>
    <row r="2067" customFormat="false" ht="15" hidden="false" customHeight="false" outlineLevel="0" collapsed="false">
      <c r="A2067" s="28" t="s">
        <v>184</v>
      </c>
      <c r="B2067" s="28" t="s">
        <v>185</v>
      </c>
      <c r="C2067" s="28" t="s">
        <v>174</v>
      </c>
      <c r="D2067" s="23" t="n">
        <v>6</v>
      </c>
      <c r="E2067" s="23" t="n">
        <v>22</v>
      </c>
      <c r="F2067" s="28" t="s">
        <v>909</v>
      </c>
      <c r="G2067" s="19" t="n">
        <v>0.0615</v>
      </c>
    </row>
    <row r="2068" customFormat="false" ht="15" hidden="false" customHeight="false" outlineLevel="0" collapsed="false">
      <c r="A2068" s="28" t="s">
        <v>184</v>
      </c>
      <c r="B2068" s="28" t="s">
        <v>185</v>
      </c>
      <c r="C2068" s="28" t="s">
        <v>174</v>
      </c>
      <c r="D2068" s="23" t="n">
        <v>6</v>
      </c>
      <c r="E2068" s="23" t="n">
        <v>22</v>
      </c>
      <c r="F2068" s="28" t="s">
        <v>910</v>
      </c>
      <c r="G2068" s="19" t="n">
        <v>0.0619</v>
      </c>
    </row>
    <row r="2069" customFormat="false" ht="15" hidden="false" customHeight="false" outlineLevel="0" collapsed="false">
      <c r="A2069" s="28" t="s">
        <v>184</v>
      </c>
      <c r="B2069" s="28" t="s">
        <v>185</v>
      </c>
      <c r="C2069" s="28" t="s">
        <v>174</v>
      </c>
      <c r="D2069" s="23" t="n">
        <v>6</v>
      </c>
      <c r="E2069" s="23" t="n">
        <v>22</v>
      </c>
      <c r="F2069" s="28" t="s">
        <v>911</v>
      </c>
      <c r="G2069" s="19" t="n">
        <v>0.063</v>
      </c>
    </row>
    <row r="2070" customFormat="false" ht="15" hidden="false" customHeight="false" outlineLevel="0" collapsed="false">
      <c r="A2070" s="28" t="s">
        <v>184</v>
      </c>
      <c r="B2070" s="28" t="s">
        <v>185</v>
      </c>
      <c r="C2070" s="28" t="s">
        <v>174</v>
      </c>
      <c r="D2070" s="23" t="n">
        <v>6</v>
      </c>
      <c r="E2070" s="23" t="n">
        <v>22</v>
      </c>
      <c r="F2070" s="28" t="s">
        <v>912</v>
      </c>
      <c r="G2070" s="19" t="n">
        <v>0.0644</v>
      </c>
    </row>
    <row r="2071" customFormat="false" ht="15" hidden="false" customHeight="false" outlineLevel="0" collapsed="false">
      <c r="A2071" s="28" t="s">
        <v>184</v>
      </c>
      <c r="B2071" s="28" t="s">
        <v>185</v>
      </c>
      <c r="C2071" s="28" t="s">
        <v>174</v>
      </c>
      <c r="D2071" s="23" t="n">
        <v>6</v>
      </c>
      <c r="E2071" s="23" t="n">
        <v>22</v>
      </c>
      <c r="F2071" s="28" t="s">
        <v>913</v>
      </c>
      <c r="G2071" s="19" t="n">
        <v>0.0693</v>
      </c>
    </row>
    <row r="2072" customFormat="false" ht="15" hidden="false" customHeight="false" outlineLevel="0" collapsed="false">
      <c r="A2072" s="28" t="s">
        <v>184</v>
      </c>
      <c r="B2072" s="28" t="s">
        <v>185</v>
      </c>
      <c r="C2072" s="28" t="s">
        <v>174</v>
      </c>
      <c r="D2072" s="23" t="n">
        <v>6</v>
      </c>
      <c r="E2072" s="23" t="n">
        <v>22</v>
      </c>
      <c r="F2072" s="28" t="s">
        <v>914</v>
      </c>
      <c r="G2072" s="19" t="n">
        <v>0.0691</v>
      </c>
    </row>
    <row r="2073" customFormat="false" ht="15" hidden="false" customHeight="false" outlineLevel="0" collapsed="false">
      <c r="A2073" s="28" t="s">
        <v>184</v>
      </c>
      <c r="B2073" s="28" t="s">
        <v>185</v>
      </c>
      <c r="C2073" s="28" t="s">
        <v>174</v>
      </c>
      <c r="D2073" s="23" t="n">
        <v>6</v>
      </c>
      <c r="E2073" s="23" t="n">
        <v>22</v>
      </c>
      <c r="F2073" s="28" t="s">
        <v>915</v>
      </c>
      <c r="G2073" s="19" t="n">
        <v>0.0849</v>
      </c>
    </row>
    <row r="2074" customFormat="false" ht="15" hidden="false" customHeight="false" outlineLevel="0" collapsed="false">
      <c r="A2074" s="28" t="s">
        <v>184</v>
      </c>
      <c r="B2074" s="28" t="s">
        <v>185</v>
      </c>
      <c r="C2074" s="28" t="s">
        <v>174</v>
      </c>
      <c r="D2074" s="23" t="n">
        <v>6</v>
      </c>
      <c r="E2074" s="23" t="n">
        <v>23</v>
      </c>
      <c r="F2074" s="28" t="s">
        <v>904</v>
      </c>
      <c r="G2074" s="19" t="n">
        <v>0.0563</v>
      </c>
    </row>
    <row r="2075" customFormat="false" ht="15" hidden="false" customHeight="false" outlineLevel="0" collapsed="false">
      <c r="A2075" s="28" t="s">
        <v>184</v>
      </c>
      <c r="B2075" s="28" t="s">
        <v>185</v>
      </c>
      <c r="C2075" s="28" t="s">
        <v>174</v>
      </c>
      <c r="D2075" s="23" t="n">
        <v>6</v>
      </c>
      <c r="E2075" s="23" t="n">
        <v>23</v>
      </c>
      <c r="F2075" s="28" t="s">
        <v>551</v>
      </c>
      <c r="G2075" s="19" t="n">
        <v>0.0875</v>
      </c>
    </row>
    <row r="2076" customFormat="false" ht="15" hidden="false" customHeight="false" outlineLevel="0" collapsed="false">
      <c r="A2076" s="28" t="s">
        <v>184</v>
      </c>
      <c r="B2076" s="28" t="s">
        <v>185</v>
      </c>
      <c r="C2076" s="28" t="s">
        <v>174</v>
      </c>
      <c r="D2076" s="23" t="n">
        <v>6</v>
      </c>
      <c r="E2076" s="23" t="n">
        <v>23</v>
      </c>
      <c r="F2076" s="28" t="s">
        <v>451</v>
      </c>
      <c r="G2076" s="19" t="n">
        <v>0.0561</v>
      </c>
    </row>
    <row r="2077" customFormat="false" ht="15" hidden="false" customHeight="false" outlineLevel="0" collapsed="false">
      <c r="A2077" s="28" t="s">
        <v>184</v>
      </c>
      <c r="B2077" s="28" t="s">
        <v>185</v>
      </c>
      <c r="C2077" s="28" t="s">
        <v>174</v>
      </c>
      <c r="D2077" s="23" t="n">
        <v>6</v>
      </c>
      <c r="E2077" s="23" t="n">
        <v>23</v>
      </c>
      <c r="F2077" s="28" t="s">
        <v>905</v>
      </c>
      <c r="G2077" s="19" t="n">
        <v>0.0587</v>
      </c>
    </row>
    <row r="2078" customFormat="false" ht="15" hidden="false" customHeight="false" outlineLevel="0" collapsed="false">
      <c r="A2078" s="28" t="s">
        <v>184</v>
      </c>
      <c r="B2078" s="28" t="s">
        <v>185</v>
      </c>
      <c r="C2078" s="28" t="s">
        <v>174</v>
      </c>
      <c r="D2078" s="23" t="n">
        <v>6</v>
      </c>
      <c r="E2078" s="23" t="n">
        <v>23</v>
      </c>
      <c r="F2078" s="28" t="s">
        <v>906</v>
      </c>
      <c r="G2078" s="19" t="n">
        <v>0.0601</v>
      </c>
    </row>
    <row r="2079" customFormat="false" ht="15" hidden="false" customHeight="false" outlineLevel="0" collapsed="false">
      <c r="A2079" s="28" t="s">
        <v>184</v>
      </c>
      <c r="B2079" s="28" t="s">
        <v>185</v>
      </c>
      <c r="C2079" s="28" t="s">
        <v>174</v>
      </c>
      <c r="D2079" s="23" t="n">
        <v>6</v>
      </c>
      <c r="E2079" s="23" t="n">
        <v>23</v>
      </c>
      <c r="F2079" s="28" t="s">
        <v>907</v>
      </c>
      <c r="G2079" s="19" t="n">
        <v>0.0598</v>
      </c>
    </row>
    <row r="2080" customFormat="false" ht="15" hidden="false" customHeight="false" outlineLevel="0" collapsed="false">
      <c r="A2080" s="28" t="s">
        <v>184</v>
      </c>
      <c r="B2080" s="28" t="s">
        <v>185</v>
      </c>
      <c r="C2080" s="28" t="s">
        <v>174</v>
      </c>
      <c r="D2080" s="23" t="n">
        <v>6</v>
      </c>
      <c r="E2080" s="23" t="n">
        <v>23</v>
      </c>
      <c r="F2080" s="28" t="s">
        <v>908</v>
      </c>
      <c r="G2080" s="19" t="n">
        <v>0.0614</v>
      </c>
    </row>
    <row r="2081" customFormat="false" ht="15" hidden="false" customHeight="false" outlineLevel="0" collapsed="false">
      <c r="A2081" s="28" t="s">
        <v>184</v>
      </c>
      <c r="B2081" s="28" t="s">
        <v>185</v>
      </c>
      <c r="C2081" s="28" t="s">
        <v>174</v>
      </c>
      <c r="D2081" s="23" t="n">
        <v>6</v>
      </c>
      <c r="E2081" s="23" t="n">
        <v>23</v>
      </c>
      <c r="F2081" s="28" t="s">
        <v>909</v>
      </c>
      <c r="G2081" s="19" t="n">
        <v>0.0615</v>
      </c>
    </row>
    <row r="2082" customFormat="false" ht="15" hidden="false" customHeight="false" outlineLevel="0" collapsed="false">
      <c r="A2082" s="28" t="s">
        <v>184</v>
      </c>
      <c r="B2082" s="28" t="s">
        <v>185</v>
      </c>
      <c r="C2082" s="28" t="s">
        <v>174</v>
      </c>
      <c r="D2082" s="23" t="n">
        <v>6</v>
      </c>
      <c r="E2082" s="23" t="n">
        <v>23</v>
      </c>
      <c r="F2082" s="28" t="s">
        <v>910</v>
      </c>
      <c r="G2082" s="19" t="n">
        <v>0.0619</v>
      </c>
    </row>
    <row r="2083" customFormat="false" ht="15" hidden="false" customHeight="false" outlineLevel="0" collapsed="false">
      <c r="A2083" s="28" t="s">
        <v>184</v>
      </c>
      <c r="B2083" s="28" t="s">
        <v>185</v>
      </c>
      <c r="C2083" s="28" t="s">
        <v>174</v>
      </c>
      <c r="D2083" s="23" t="n">
        <v>6</v>
      </c>
      <c r="E2083" s="23" t="n">
        <v>23</v>
      </c>
      <c r="F2083" s="28" t="s">
        <v>911</v>
      </c>
      <c r="G2083" s="19" t="n">
        <v>0.063</v>
      </c>
    </row>
    <row r="2084" customFormat="false" ht="15" hidden="false" customHeight="false" outlineLevel="0" collapsed="false">
      <c r="A2084" s="28" t="s">
        <v>184</v>
      </c>
      <c r="B2084" s="28" t="s">
        <v>185</v>
      </c>
      <c r="C2084" s="28" t="s">
        <v>174</v>
      </c>
      <c r="D2084" s="23" t="n">
        <v>6</v>
      </c>
      <c r="E2084" s="23" t="n">
        <v>23</v>
      </c>
      <c r="F2084" s="28" t="s">
        <v>912</v>
      </c>
      <c r="G2084" s="19" t="n">
        <v>0.0644</v>
      </c>
    </row>
    <row r="2085" customFormat="false" ht="15" hidden="false" customHeight="false" outlineLevel="0" collapsed="false">
      <c r="A2085" s="28" t="s">
        <v>184</v>
      </c>
      <c r="B2085" s="28" t="s">
        <v>185</v>
      </c>
      <c r="C2085" s="28" t="s">
        <v>174</v>
      </c>
      <c r="D2085" s="23" t="n">
        <v>6</v>
      </c>
      <c r="E2085" s="23" t="n">
        <v>23</v>
      </c>
      <c r="F2085" s="28" t="s">
        <v>913</v>
      </c>
      <c r="G2085" s="19" t="n">
        <v>0.0693</v>
      </c>
    </row>
    <row r="2086" customFormat="false" ht="15" hidden="false" customHeight="false" outlineLevel="0" collapsed="false">
      <c r="A2086" s="28" t="s">
        <v>184</v>
      </c>
      <c r="B2086" s="28" t="s">
        <v>185</v>
      </c>
      <c r="C2086" s="28" t="s">
        <v>174</v>
      </c>
      <c r="D2086" s="23" t="n">
        <v>6</v>
      </c>
      <c r="E2086" s="23" t="n">
        <v>23</v>
      </c>
      <c r="F2086" s="28" t="s">
        <v>914</v>
      </c>
      <c r="G2086" s="19" t="n">
        <v>0.0691</v>
      </c>
    </row>
    <row r="2087" customFormat="false" ht="15" hidden="false" customHeight="false" outlineLevel="0" collapsed="false">
      <c r="A2087" s="28" t="s">
        <v>184</v>
      </c>
      <c r="B2087" s="28" t="s">
        <v>185</v>
      </c>
      <c r="C2087" s="28" t="s">
        <v>174</v>
      </c>
      <c r="D2087" s="23" t="n">
        <v>6</v>
      </c>
      <c r="E2087" s="23" t="n">
        <v>23</v>
      </c>
      <c r="F2087" s="28" t="s">
        <v>915</v>
      </c>
      <c r="G2087" s="19" t="n">
        <v>0.0849</v>
      </c>
    </row>
    <row r="2088" customFormat="false" ht="15" hidden="false" customHeight="false" outlineLevel="0" collapsed="false">
      <c r="A2088" s="28" t="s">
        <v>184</v>
      </c>
      <c r="B2088" s="28" t="s">
        <v>185</v>
      </c>
      <c r="C2088" s="28" t="s">
        <v>174</v>
      </c>
      <c r="D2088" s="23" t="n">
        <v>6</v>
      </c>
      <c r="E2088" s="23" t="n">
        <v>24</v>
      </c>
      <c r="F2088" s="28" t="s">
        <v>904</v>
      </c>
      <c r="G2088" s="19" t="n">
        <v>0.0563</v>
      </c>
    </row>
    <row r="2089" customFormat="false" ht="15" hidden="false" customHeight="false" outlineLevel="0" collapsed="false">
      <c r="A2089" s="28" t="s">
        <v>184</v>
      </c>
      <c r="B2089" s="28" t="s">
        <v>185</v>
      </c>
      <c r="C2089" s="28" t="s">
        <v>174</v>
      </c>
      <c r="D2089" s="23" t="n">
        <v>6</v>
      </c>
      <c r="E2089" s="23" t="n">
        <v>24</v>
      </c>
      <c r="F2089" s="28" t="s">
        <v>551</v>
      </c>
      <c r="G2089" s="19" t="n">
        <v>0.0875</v>
      </c>
    </row>
    <row r="2090" customFormat="false" ht="15" hidden="false" customHeight="false" outlineLevel="0" collapsed="false">
      <c r="A2090" s="28" t="s">
        <v>184</v>
      </c>
      <c r="B2090" s="28" t="s">
        <v>185</v>
      </c>
      <c r="C2090" s="28" t="s">
        <v>174</v>
      </c>
      <c r="D2090" s="23" t="n">
        <v>6</v>
      </c>
      <c r="E2090" s="23" t="n">
        <v>24</v>
      </c>
      <c r="F2090" s="28" t="s">
        <v>451</v>
      </c>
      <c r="G2090" s="19" t="n">
        <v>0.0561</v>
      </c>
    </row>
    <row r="2091" customFormat="false" ht="15" hidden="false" customHeight="false" outlineLevel="0" collapsed="false">
      <c r="A2091" s="28" t="s">
        <v>184</v>
      </c>
      <c r="B2091" s="28" t="s">
        <v>185</v>
      </c>
      <c r="C2091" s="28" t="s">
        <v>174</v>
      </c>
      <c r="D2091" s="23" t="n">
        <v>6</v>
      </c>
      <c r="E2091" s="23" t="n">
        <v>24</v>
      </c>
      <c r="F2091" s="28" t="s">
        <v>905</v>
      </c>
      <c r="G2091" s="19" t="n">
        <v>0.0587</v>
      </c>
    </row>
    <row r="2092" customFormat="false" ht="15" hidden="false" customHeight="false" outlineLevel="0" collapsed="false">
      <c r="A2092" s="28" t="s">
        <v>184</v>
      </c>
      <c r="B2092" s="28" t="s">
        <v>185</v>
      </c>
      <c r="C2092" s="28" t="s">
        <v>174</v>
      </c>
      <c r="D2092" s="23" t="n">
        <v>6</v>
      </c>
      <c r="E2092" s="23" t="n">
        <v>24</v>
      </c>
      <c r="F2092" s="28" t="s">
        <v>906</v>
      </c>
      <c r="G2092" s="19" t="n">
        <v>0.0601</v>
      </c>
    </row>
    <row r="2093" customFormat="false" ht="15" hidden="false" customHeight="false" outlineLevel="0" collapsed="false">
      <c r="A2093" s="28" t="s">
        <v>184</v>
      </c>
      <c r="B2093" s="28" t="s">
        <v>185</v>
      </c>
      <c r="C2093" s="28" t="s">
        <v>174</v>
      </c>
      <c r="D2093" s="23" t="n">
        <v>6</v>
      </c>
      <c r="E2093" s="23" t="n">
        <v>24</v>
      </c>
      <c r="F2093" s="28" t="s">
        <v>907</v>
      </c>
      <c r="G2093" s="19" t="n">
        <v>0.0598</v>
      </c>
    </row>
    <row r="2094" customFormat="false" ht="15" hidden="false" customHeight="false" outlineLevel="0" collapsed="false">
      <c r="A2094" s="28" t="s">
        <v>184</v>
      </c>
      <c r="B2094" s="28" t="s">
        <v>185</v>
      </c>
      <c r="C2094" s="28" t="s">
        <v>174</v>
      </c>
      <c r="D2094" s="23" t="n">
        <v>6</v>
      </c>
      <c r="E2094" s="23" t="n">
        <v>24</v>
      </c>
      <c r="F2094" s="28" t="s">
        <v>908</v>
      </c>
      <c r="G2094" s="19" t="n">
        <v>0.0614</v>
      </c>
    </row>
    <row r="2095" customFormat="false" ht="15" hidden="false" customHeight="false" outlineLevel="0" collapsed="false">
      <c r="A2095" s="28" t="s">
        <v>184</v>
      </c>
      <c r="B2095" s="28" t="s">
        <v>185</v>
      </c>
      <c r="C2095" s="28" t="s">
        <v>174</v>
      </c>
      <c r="D2095" s="23" t="n">
        <v>6</v>
      </c>
      <c r="E2095" s="23" t="n">
        <v>24</v>
      </c>
      <c r="F2095" s="28" t="s">
        <v>909</v>
      </c>
      <c r="G2095" s="19" t="n">
        <v>0.0615</v>
      </c>
    </row>
    <row r="2096" customFormat="false" ht="15" hidden="false" customHeight="false" outlineLevel="0" collapsed="false">
      <c r="A2096" s="28" t="s">
        <v>184</v>
      </c>
      <c r="B2096" s="28" t="s">
        <v>185</v>
      </c>
      <c r="C2096" s="28" t="s">
        <v>174</v>
      </c>
      <c r="D2096" s="23" t="n">
        <v>6</v>
      </c>
      <c r="E2096" s="23" t="n">
        <v>24</v>
      </c>
      <c r="F2096" s="28" t="s">
        <v>910</v>
      </c>
      <c r="G2096" s="19" t="n">
        <v>0.0619</v>
      </c>
    </row>
    <row r="2097" customFormat="false" ht="15" hidden="false" customHeight="false" outlineLevel="0" collapsed="false">
      <c r="A2097" s="28" t="s">
        <v>184</v>
      </c>
      <c r="B2097" s="28" t="s">
        <v>185</v>
      </c>
      <c r="C2097" s="28" t="s">
        <v>174</v>
      </c>
      <c r="D2097" s="23" t="n">
        <v>6</v>
      </c>
      <c r="E2097" s="23" t="n">
        <v>24</v>
      </c>
      <c r="F2097" s="28" t="s">
        <v>911</v>
      </c>
      <c r="G2097" s="19" t="n">
        <v>0.063</v>
      </c>
    </row>
    <row r="2098" customFormat="false" ht="15" hidden="false" customHeight="false" outlineLevel="0" collapsed="false">
      <c r="A2098" s="28" t="s">
        <v>184</v>
      </c>
      <c r="B2098" s="28" t="s">
        <v>185</v>
      </c>
      <c r="C2098" s="28" t="s">
        <v>174</v>
      </c>
      <c r="D2098" s="23" t="n">
        <v>6</v>
      </c>
      <c r="E2098" s="23" t="n">
        <v>24</v>
      </c>
      <c r="F2098" s="28" t="s">
        <v>912</v>
      </c>
      <c r="G2098" s="19" t="n">
        <v>0.0644</v>
      </c>
    </row>
    <row r="2099" customFormat="false" ht="15" hidden="false" customHeight="false" outlineLevel="0" collapsed="false">
      <c r="A2099" s="28" t="s">
        <v>184</v>
      </c>
      <c r="B2099" s="28" t="s">
        <v>185</v>
      </c>
      <c r="C2099" s="28" t="s">
        <v>174</v>
      </c>
      <c r="D2099" s="23" t="n">
        <v>6</v>
      </c>
      <c r="E2099" s="23" t="n">
        <v>24</v>
      </c>
      <c r="F2099" s="28" t="s">
        <v>913</v>
      </c>
      <c r="G2099" s="19" t="n">
        <v>0.0693</v>
      </c>
    </row>
    <row r="2100" customFormat="false" ht="15" hidden="false" customHeight="false" outlineLevel="0" collapsed="false">
      <c r="A2100" s="28" t="s">
        <v>184</v>
      </c>
      <c r="B2100" s="28" t="s">
        <v>185</v>
      </c>
      <c r="C2100" s="28" t="s">
        <v>174</v>
      </c>
      <c r="D2100" s="23" t="n">
        <v>6</v>
      </c>
      <c r="E2100" s="23" t="n">
        <v>24</v>
      </c>
      <c r="F2100" s="28" t="s">
        <v>914</v>
      </c>
      <c r="G2100" s="19" t="n">
        <v>0.0691</v>
      </c>
    </row>
    <row r="2101" customFormat="false" ht="15" hidden="false" customHeight="false" outlineLevel="0" collapsed="false">
      <c r="A2101" s="28" t="s">
        <v>184</v>
      </c>
      <c r="B2101" s="28" t="s">
        <v>185</v>
      </c>
      <c r="C2101" s="28" t="s">
        <v>174</v>
      </c>
      <c r="D2101" s="23" t="n">
        <v>6</v>
      </c>
      <c r="E2101" s="23" t="n">
        <v>24</v>
      </c>
      <c r="F2101" s="28" t="s">
        <v>915</v>
      </c>
      <c r="G2101" s="19" t="n">
        <v>0.0849</v>
      </c>
    </row>
    <row r="2102" customFormat="false" ht="15" hidden="false" customHeight="false" outlineLevel="0" collapsed="false">
      <c r="A2102" s="28" t="s">
        <v>186</v>
      </c>
      <c r="B2102" s="28" t="s">
        <v>187</v>
      </c>
      <c r="C2102" s="28" t="s">
        <v>174</v>
      </c>
      <c r="D2102" s="23" t="n">
        <v>7</v>
      </c>
      <c r="E2102" s="23" t="n">
        <v>0</v>
      </c>
      <c r="F2102" s="28" t="s">
        <v>904</v>
      </c>
      <c r="G2102" s="19" t="n">
        <v>0.0663</v>
      </c>
    </row>
    <row r="2103" customFormat="false" ht="15" hidden="false" customHeight="false" outlineLevel="0" collapsed="false">
      <c r="A2103" s="28" t="s">
        <v>186</v>
      </c>
      <c r="B2103" s="28" t="s">
        <v>187</v>
      </c>
      <c r="C2103" s="28" t="s">
        <v>174</v>
      </c>
      <c r="D2103" s="23" t="n">
        <v>7</v>
      </c>
      <c r="E2103" s="23" t="n">
        <v>0</v>
      </c>
      <c r="F2103" s="28" t="s">
        <v>551</v>
      </c>
      <c r="G2103" s="19" t="n">
        <v>0.0975</v>
      </c>
    </row>
    <row r="2104" customFormat="false" ht="15" hidden="false" customHeight="false" outlineLevel="0" collapsed="false">
      <c r="A2104" s="28" t="s">
        <v>186</v>
      </c>
      <c r="B2104" s="28" t="s">
        <v>187</v>
      </c>
      <c r="C2104" s="28" t="s">
        <v>174</v>
      </c>
      <c r="D2104" s="23" t="n">
        <v>7</v>
      </c>
      <c r="E2104" s="23" t="n">
        <v>0</v>
      </c>
      <c r="F2104" s="28" t="s">
        <v>451</v>
      </c>
      <c r="G2104" s="19" t="n">
        <v>0.0661</v>
      </c>
    </row>
    <row r="2105" customFormat="false" ht="15" hidden="false" customHeight="false" outlineLevel="0" collapsed="false">
      <c r="A2105" s="28" t="s">
        <v>186</v>
      </c>
      <c r="B2105" s="28" t="s">
        <v>187</v>
      </c>
      <c r="C2105" s="28" t="s">
        <v>174</v>
      </c>
      <c r="D2105" s="23" t="n">
        <v>7</v>
      </c>
      <c r="E2105" s="23" t="n">
        <v>0</v>
      </c>
      <c r="F2105" s="28" t="s">
        <v>905</v>
      </c>
      <c r="G2105" s="19" t="n">
        <v>0.0687</v>
      </c>
    </row>
    <row r="2106" customFormat="false" ht="15" hidden="false" customHeight="false" outlineLevel="0" collapsed="false">
      <c r="A2106" s="28" t="s">
        <v>186</v>
      </c>
      <c r="B2106" s="28" t="s">
        <v>187</v>
      </c>
      <c r="C2106" s="28" t="s">
        <v>174</v>
      </c>
      <c r="D2106" s="23" t="n">
        <v>7</v>
      </c>
      <c r="E2106" s="23" t="n">
        <v>0</v>
      </c>
      <c r="F2106" s="28" t="s">
        <v>906</v>
      </c>
      <c r="G2106" s="19" t="n">
        <v>0.0701</v>
      </c>
    </row>
    <row r="2107" customFormat="false" ht="15" hidden="false" customHeight="false" outlineLevel="0" collapsed="false">
      <c r="A2107" s="28" t="s">
        <v>186</v>
      </c>
      <c r="B2107" s="28" t="s">
        <v>187</v>
      </c>
      <c r="C2107" s="28" t="s">
        <v>174</v>
      </c>
      <c r="D2107" s="23" t="n">
        <v>7</v>
      </c>
      <c r="E2107" s="23" t="n">
        <v>0</v>
      </c>
      <c r="F2107" s="28" t="s">
        <v>907</v>
      </c>
      <c r="G2107" s="19" t="n">
        <v>0.0698</v>
      </c>
    </row>
    <row r="2108" customFormat="false" ht="15" hidden="false" customHeight="false" outlineLevel="0" collapsed="false">
      <c r="A2108" s="28" t="s">
        <v>186</v>
      </c>
      <c r="B2108" s="28" t="s">
        <v>187</v>
      </c>
      <c r="C2108" s="28" t="s">
        <v>174</v>
      </c>
      <c r="D2108" s="23" t="n">
        <v>7</v>
      </c>
      <c r="E2108" s="23" t="n">
        <v>0</v>
      </c>
      <c r="F2108" s="28" t="s">
        <v>908</v>
      </c>
      <c r="G2108" s="19" t="n">
        <v>0.0714</v>
      </c>
    </row>
    <row r="2109" customFormat="false" ht="15" hidden="false" customHeight="false" outlineLevel="0" collapsed="false">
      <c r="A2109" s="28" t="s">
        <v>186</v>
      </c>
      <c r="B2109" s="28" t="s">
        <v>187</v>
      </c>
      <c r="C2109" s="28" t="s">
        <v>174</v>
      </c>
      <c r="D2109" s="23" t="n">
        <v>7</v>
      </c>
      <c r="E2109" s="23" t="n">
        <v>0</v>
      </c>
      <c r="F2109" s="28" t="s">
        <v>909</v>
      </c>
      <c r="G2109" s="19" t="n">
        <v>0.0715</v>
      </c>
    </row>
    <row r="2110" customFormat="false" ht="15" hidden="false" customHeight="false" outlineLevel="0" collapsed="false">
      <c r="A2110" s="28" t="s">
        <v>186</v>
      </c>
      <c r="B2110" s="28" t="s">
        <v>187</v>
      </c>
      <c r="C2110" s="28" t="s">
        <v>174</v>
      </c>
      <c r="D2110" s="23" t="n">
        <v>7</v>
      </c>
      <c r="E2110" s="23" t="n">
        <v>0</v>
      </c>
      <c r="F2110" s="28" t="s">
        <v>910</v>
      </c>
      <c r="G2110" s="19" t="n">
        <v>0.0719</v>
      </c>
    </row>
    <row r="2111" customFormat="false" ht="15" hidden="false" customHeight="false" outlineLevel="0" collapsed="false">
      <c r="A2111" s="28" t="s">
        <v>186</v>
      </c>
      <c r="B2111" s="28" t="s">
        <v>187</v>
      </c>
      <c r="C2111" s="28" t="s">
        <v>174</v>
      </c>
      <c r="D2111" s="23" t="n">
        <v>7</v>
      </c>
      <c r="E2111" s="23" t="n">
        <v>0</v>
      </c>
      <c r="F2111" s="28" t="s">
        <v>911</v>
      </c>
      <c r="G2111" s="19" t="n">
        <v>0.073</v>
      </c>
    </row>
    <row r="2112" customFormat="false" ht="15" hidden="false" customHeight="false" outlineLevel="0" collapsed="false">
      <c r="A2112" s="28" t="s">
        <v>186</v>
      </c>
      <c r="B2112" s="28" t="s">
        <v>187</v>
      </c>
      <c r="C2112" s="28" t="s">
        <v>174</v>
      </c>
      <c r="D2112" s="23" t="n">
        <v>7</v>
      </c>
      <c r="E2112" s="23" t="n">
        <v>0</v>
      </c>
      <c r="F2112" s="28" t="s">
        <v>912</v>
      </c>
      <c r="G2112" s="19" t="n">
        <v>0.0744</v>
      </c>
    </row>
    <row r="2113" customFormat="false" ht="15" hidden="false" customHeight="false" outlineLevel="0" collapsed="false">
      <c r="A2113" s="28" t="s">
        <v>186</v>
      </c>
      <c r="B2113" s="28" t="s">
        <v>187</v>
      </c>
      <c r="C2113" s="28" t="s">
        <v>174</v>
      </c>
      <c r="D2113" s="23" t="n">
        <v>7</v>
      </c>
      <c r="E2113" s="23" t="n">
        <v>0</v>
      </c>
      <c r="F2113" s="28" t="s">
        <v>913</v>
      </c>
      <c r="G2113" s="19" t="n">
        <v>0.0793</v>
      </c>
    </row>
    <row r="2114" customFormat="false" ht="15" hidden="false" customHeight="false" outlineLevel="0" collapsed="false">
      <c r="A2114" s="28" t="s">
        <v>186</v>
      </c>
      <c r="B2114" s="28" t="s">
        <v>187</v>
      </c>
      <c r="C2114" s="28" t="s">
        <v>174</v>
      </c>
      <c r="D2114" s="23" t="n">
        <v>7</v>
      </c>
      <c r="E2114" s="23" t="n">
        <v>0</v>
      </c>
      <c r="F2114" s="28" t="s">
        <v>914</v>
      </c>
      <c r="G2114" s="19" t="n">
        <v>0.0791</v>
      </c>
    </row>
    <row r="2115" customFormat="false" ht="15" hidden="false" customHeight="false" outlineLevel="0" collapsed="false">
      <c r="A2115" s="28" t="s">
        <v>186</v>
      </c>
      <c r="B2115" s="28" t="s">
        <v>187</v>
      </c>
      <c r="C2115" s="28" t="s">
        <v>174</v>
      </c>
      <c r="D2115" s="23" t="n">
        <v>7</v>
      </c>
      <c r="E2115" s="23" t="n">
        <v>0</v>
      </c>
      <c r="F2115" s="28" t="s">
        <v>915</v>
      </c>
      <c r="G2115" s="19" t="n">
        <v>0.0949</v>
      </c>
    </row>
    <row r="2116" customFormat="false" ht="15" hidden="false" customHeight="false" outlineLevel="0" collapsed="false">
      <c r="A2116" s="28" t="s">
        <v>186</v>
      </c>
      <c r="B2116" s="28" t="s">
        <v>187</v>
      </c>
      <c r="C2116" s="28" t="s">
        <v>174</v>
      </c>
      <c r="D2116" s="23" t="n">
        <v>7</v>
      </c>
      <c r="E2116" s="23" t="n">
        <v>1</v>
      </c>
      <c r="F2116" s="28" t="s">
        <v>904</v>
      </c>
      <c r="G2116" s="19" t="n">
        <v>0.0663</v>
      </c>
    </row>
    <row r="2117" customFormat="false" ht="15" hidden="false" customHeight="false" outlineLevel="0" collapsed="false">
      <c r="A2117" s="28" t="s">
        <v>186</v>
      </c>
      <c r="B2117" s="28" t="s">
        <v>187</v>
      </c>
      <c r="C2117" s="28" t="s">
        <v>174</v>
      </c>
      <c r="D2117" s="23" t="n">
        <v>7</v>
      </c>
      <c r="E2117" s="23" t="n">
        <v>1</v>
      </c>
      <c r="F2117" s="28" t="s">
        <v>551</v>
      </c>
      <c r="G2117" s="19" t="n">
        <v>0.0975</v>
      </c>
    </row>
    <row r="2118" customFormat="false" ht="15" hidden="false" customHeight="false" outlineLevel="0" collapsed="false">
      <c r="A2118" s="28" t="s">
        <v>186</v>
      </c>
      <c r="B2118" s="28" t="s">
        <v>187</v>
      </c>
      <c r="C2118" s="28" t="s">
        <v>174</v>
      </c>
      <c r="D2118" s="23" t="n">
        <v>7</v>
      </c>
      <c r="E2118" s="23" t="n">
        <v>1</v>
      </c>
      <c r="F2118" s="28" t="s">
        <v>451</v>
      </c>
      <c r="G2118" s="19" t="n">
        <v>0.0661</v>
      </c>
    </row>
    <row r="2119" customFormat="false" ht="15" hidden="false" customHeight="false" outlineLevel="0" collapsed="false">
      <c r="A2119" s="28" t="s">
        <v>186</v>
      </c>
      <c r="B2119" s="28" t="s">
        <v>187</v>
      </c>
      <c r="C2119" s="28" t="s">
        <v>174</v>
      </c>
      <c r="D2119" s="23" t="n">
        <v>7</v>
      </c>
      <c r="E2119" s="23" t="n">
        <v>1</v>
      </c>
      <c r="F2119" s="28" t="s">
        <v>905</v>
      </c>
      <c r="G2119" s="19" t="n">
        <v>0.0687</v>
      </c>
    </row>
    <row r="2120" customFormat="false" ht="15" hidden="false" customHeight="false" outlineLevel="0" collapsed="false">
      <c r="A2120" s="28" t="s">
        <v>186</v>
      </c>
      <c r="B2120" s="28" t="s">
        <v>187</v>
      </c>
      <c r="C2120" s="28" t="s">
        <v>174</v>
      </c>
      <c r="D2120" s="23" t="n">
        <v>7</v>
      </c>
      <c r="E2120" s="23" t="n">
        <v>1</v>
      </c>
      <c r="F2120" s="28" t="s">
        <v>906</v>
      </c>
      <c r="G2120" s="19" t="n">
        <v>0.0701</v>
      </c>
    </row>
    <row r="2121" customFormat="false" ht="15" hidden="false" customHeight="false" outlineLevel="0" collapsed="false">
      <c r="A2121" s="28" t="s">
        <v>186</v>
      </c>
      <c r="B2121" s="28" t="s">
        <v>187</v>
      </c>
      <c r="C2121" s="28" t="s">
        <v>174</v>
      </c>
      <c r="D2121" s="23" t="n">
        <v>7</v>
      </c>
      <c r="E2121" s="23" t="n">
        <v>1</v>
      </c>
      <c r="F2121" s="28" t="s">
        <v>907</v>
      </c>
      <c r="G2121" s="19" t="n">
        <v>0.0698</v>
      </c>
    </row>
    <row r="2122" customFormat="false" ht="15" hidden="false" customHeight="false" outlineLevel="0" collapsed="false">
      <c r="A2122" s="28" t="s">
        <v>186</v>
      </c>
      <c r="B2122" s="28" t="s">
        <v>187</v>
      </c>
      <c r="C2122" s="28" t="s">
        <v>174</v>
      </c>
      <c r="D2122" s="23" t="n">
        <v>7</v>
      </c>
      <c r="E2122" s="23" t="n">
        <v>1</v>
      </c>
      <c r="F2122" s="28" t="s">
        <v>908</v>
      </c>
      <c r="G2122" s="19" t="n">
        <v>0.0714</v>
      </c>
    </row>
    <row r="2123" customFormat="false" ht="15" hidden="false" customHeight="false" outlineLevel="0" collapsed="false">
      <c r="A2123" s="28" t="s">
        <v>186</v>
      </c>
      <c r="B2123" s="28" t="s">
        <v>187</v>
      </c>
      <c r="C2123" s="28" t="s">
        <v>174</v>
      </c>
      <c r="D2123" s="23" t="n">
        <v>7</v>
      </c>
      <c r="E2123" s="23" t="n">
        <v>1</v>
      </c>
      <c r="F2123" s="28" t="s">
        <v>909</v>
      </c>
      <c r="G2123" s="19" t="n">
        <v>0.0715</v>
      </c>
    </row>
    <row r="2124" customFormat="false" ht="15" hidden="false" customHeight="false" outlineLevel="0" collapsed="false">
      <c r="A2124" s="28" t="s">
        <v>186</v>
      </c>
      <c r="B2124" s="28" t="s">
        <v>187</v>
      </c>
      <c r="C2124" s="28" t="s">
        <v>174</v>
      </c>
      <c r="D2124" s="23" t="n">
        <v>7</v>
      </c>
      <c r="E2124" s="23" t="n">
        <v>1</v>
      </c>
      <c r="F2124" s="28" t="s">
        <v>910</v>
      </c>
      <c r="G2124" s="19" t="n">
        <v>0.0719</v>
      </c>
    </row>
    <row r="2125" customFormat="false" ht="15" hidden="false" customHeight="false" outlineLevel="0" collapsed="false">
      <c r="A2125" s="28" t="s">
        <v>186</v>
      </c>
      <c r="B2125" s="28" t="s">
        <v>187</v>
      </c>
      <c r="C2125" s="28" t="s">
        <v>174</v>
      </c>
      <c r="D2125" s="23" t="n">
        <v>7</v>
      </c>
      <c r="E2125" s="23" t="n">
        <v>1</v>
      </c>
      <c r="F2125" s="28" t="s">
        <v>911</v>
      </c>
      <c r="G2125" s="19" t="n">
        <v>0.073</v>
      </c>
    </row>
    <row r="2126" customFormat="false" ht="15" hidden="false" customHeight="false" outlineLevel="0" collapsed="false">
      <c r="A2126" s="28" t="s">
        <v>186</v>
      </c>
      <c r="B2126" s="28" t="s">
        <v>187</v>
      </c>
      <c r="C2126" s="28" t="s">
        <v>174</v>
      </c>
      <c r="D2126" s="23" t="n">
        <v>7</v>
      </c>
      <c r="E2126" s="23" t="n">
        <v>1</v>
      </c>
      <c r="F2126" s="28" t="s">
        <v>912</v>
      </c>
      <c r="G2126" s="19" t="n">
        <v>0.0744</v>
      </c>
    </row>
    <row r="2127" customFormat="false" ht="15" hidden="false" customHeight="false" outlineLevel="0" collapsed="false">
      <c r="A2127" s="28" t="s">
        <v>186</v>
      </c>
      <c r="B2127" s="28" t="s">
        <v>187</v>
      </c>
      <c r="C2127" s="28" t="s">
        <v>174</v>
      </c>
      <c r="D2127" s="23" t="n">
        <v>7</v>
      </c>
      <c r="E2127" s="23" t="n">
        <v>1</v>
      </c>
      <c r="F2127" s="28" t="s">
        <v>913</v>
      </c>
      <c r="G2127" s="19" t="n">
        <v>0.0793</v>
      </c>
    </row>
    <row r="2128" customFormat="false" ht="15" hidden="false" customHeight="false" outlineLevel="0" collapsed="false">
      <c r="A2128" s="28" t="s">
        <v>186</v>
      </c>
      <c r="B2128" s="28" t="s">
        <v>187</v>
      </c>
      <c r="C2128" s="28" t="s">
        <v>174</v>
      </c>
      <c r="D2128" s="23" t="n">
        <v>7</v>
      </c>
      <c r="E2128" s="23" t="n">
        <v>1</v>
      </c>
      <c r="F2128" s="28" t="s">
        <v>914</v>
      </c>
      <c r="G2128" s="19" t="n">
        <v>0.0791</v>
      </c>
    </row>
    <row r="2129" customFormat="false" ht="15" hidden="false" customHeight="false" outlineLevel="0" collapsed="false">
      <c r="A2129" s="28" t="s">
        <v>186</v>
      </c>
      <c r="B2129" s="28" t="s">
        <v>187</v>
      </c>
      <c r="C2129" s="28" t="s">
        <v>174</v>
      </c>
      <c r="D2129" s="23" t="n">
        <v>7</v>
      </c>
      <c r="E2129" s="23" t="n">
        <v>1</v>
      </c>
      <c r="F2129" s="28" t="s">
        <v>915</v>
      </c>
      <c r="G2129" s="19" t="n">
        <v>0.0949</v>
      </c>
    </row>
    <row r="2130" customFormat="false" ht="15" hidden="false" customHeight="false" outlineLevel="0" collapsed="false">
      <c r="A2130" s="28" t="s">
        <v>186</v>
      </c>
      <c r="B2130" s="28" t="s">
        <v>187</v>
      </c>
      <c r="C2130" s="28" t="s">
        <v>174</v>
      </c>
      <c r="D2130" s="23" t="n">
        <v>7</v>
      </c>
      <c r="E2130" s="23" t="n">
        <v>2</v>
      </c>
      <c r="F2130" s="28" t="s">
        <v>904</v>
      </c>
      <c r="G2130" s="19" t="n">
        <v>0.0663</v>
      </c>
    </row>
    <row r="2131" customFormat="false" ht="15" hidden="false" customHeight="false" outlineLevel="0" collapsed="false">
      <c r="A2131" s="28" t="s">
        <v>186</v>
      </c>
      <c r="B2131" s="28" t="s">
        <v>187</v>
      </c>
      <c r="C2131" s="28" t="s">
        <v>174</v>
      </c>
      <c r="D2131" s="23" t="n">
        <v>7</v>
      </c>
      <c r="E2131" s="23" t="n">
        <v>2</v>
      </c>
      <c r="F2131" s="28" t="s">
        <v>551</v>
      </c>
      <c r="G2131" s="19" t="n">
        <v>0.0975</v>
      </c>
    </row>
    <row r="2132" customFormat="false" ht="15" hidden="false" customHeight="false" outlineLevel="0" collapsed="false">
      <c r="A2132" s="28" t="s">
        <v>186</v>
      </c>
      <c r="B2132" s="28" t="s">
        <v>187</v>
      </c>
      <c r="C2132" s="28" t="s">
        <v>174</v>
      </c>
      <c r="D2132" s="23" t="n">
        <v>7</v>
      </c>
      <c r="E2132" s="23" t="n">
        <v>2</v>
      </c>
      <c r="F2132" s="28" t="s">
        <v>451</v>
      </c>
      <c r="G2132" s="19" t="n">
        <v>0.0661</v>
      </c>
    </row>
    <row r="2133" customFormat="false" ht="15" hidden="false" customHeight="false" outlineLevel="0" collapsed="false">
      <c r="A2133" s="28" t="s">
        <v>186</v>
      </c>
      <c r="B2133" s="28" t="s">
        <v>187</v>
      </c>
      <c r="C2133" s="28" t="s">
        <v>174</v>
      </c>
      <c r="D2133" s="23" t="n">
        <v>7</v>
      </c>
      <c r="E2133" s="23" t="n">
        <v>2</v>
      </c>
      <c r="F2133" s="28" t="s">
        <v>905</v>
      </c>
      <c r="G2133" s="19" t="n">
        <v>0.0687</v>
      </c>
    </row>
    <row r="2134" customFormat="false" ht="15" hidden="false" customHeight="false" outlineLevel="0" collapsed="false">
      <c r="A2134" s="28" t="s">
        <v>186</v>
      </c>
      <c r="B2134" s="28" t="s">
        <v>187</v>
      </c>
      <c r="C2134" s="28" t="s">
        <v>174</v>
      </c>
      <c r="D2134" s="23" t="n">
        <v>7</v>
      </c>
      <c r="E2134" s="23" t="n">
        <v>2</v>
      </c>
      <c r="F2134" s="28" t="s">
        <v>906</v>
      </c>
      <c r="G2134" s="19" t="n">
        <v>0.0701</v>
      </c>
    </row>
    <row r="2135" customFormat="false" ht="15" hidden="false" customHeight="false" outlineLevel="0" collapsed="false">
      <c r="A2135" s="28" t="s">
        <v>186</v>
      </c>
      <c r="B2135" s="28" t="s">
        <v>187</v>
      </c>
      <c r="C2135" s="28" t="s">
        <v>174</v>
      </c>
      <c r="D2135" s="23" t="n">
        <v>7</v>
      </c>
      <c r="E2135" s="23" t="n">
        <v>2</v>
      </c>
      <c r="F2135" s="28" t="s">
        <v>907</v>
      </c>
      <c r="G2135" s="19" t="n">
        <v>0.0698</v>
      </c>
    </row>
    <row r="2136" customFormat="false" ht="15" hidden="false" customHeight="false" outlineLevel="0" collapsed="false">
      <c r="A2136" s="28" t="s">
        <v>186</v>
      </c>
      <c r="B2136" s="28" t="s">
        <v>187</v>
      </c>
      <c r="C2136" s="28" t="s">
        <v>174</v>
      </c>
      <c r="D2136" s="23" t="n">
        <v>7</v>
      </c>
      <c r="E2136" s="23" t="n">
        <v>2</v>
      </c>
      <c r="F2136" s="28" t="s">
        <v>908</v>
      </c>
      <c r="G2136" s="19" t="n">
        <v>0.0714</v>
      </c>
    </row>
    <row r="2137" customFormat="false" ht="15" hidden="false" customHeight="false" outlineLevel="0" collapsed="false">
      <c r="A2137" s="28" t="s">
        <v>186</v>
      </c>
      <c r="B2137" s="28" t="s">
        <v>187</v>
      </c>
      <c r="C2137" s="28" t="s">
        <v>174</v>
      </c>
      <c r="D2137" s="23" t="n">
        <v>7</v>
      </c>
      <c r="E2137" s="23" t="n">
        <v>2</v>
      </c>
      <c r="F2137" s="28" t="s">
        <v>909</v>
      </c>
      <c r="G2137" s="19" t="n">
        <v>0.0715</v>
      </c>
    </row>
    <row r="2138" customFormat="false" ht="15" hidden="false" customHeight="false" outlineLevel="0" collapsed="false">
      <c r="A2138" s="28" t="s">
        <v>186</v>
      </c>
      <c r="B2138" s="28" t="s">
        <v>187</v>
      </c>
      <c r="C2138" s="28" t="s">
        <v>174</v>
      </c>
      <c r="D2138" s="23" t="n">
        <v>7</v>
      </c>
      <c r="E2138" s="23" t="n">
        <v>2</v>
      </c>
      <c r="F2138" s="28" t="s">
        <v>910</v>
      </c>
      <c r="G2138" s="19" t="n">
        <v>0.0719</v>
      </c>
    </row>
    <row r="2139" customFormat="false" ht="15" hidden="false" customHeight="false" outlineLevel="0" collapsed="false">
      <c r="A2139" s="28" t="s">
        <v>186</v>
      </c>
      <c r="B2139" s="28" t="s">
        <v>187</v>
      </c>
      <c r="C2139" s="28" t="s">
        <v>174</v>
      </c>
      <c r="D2139" s="23" t="n">
        <v>7</v>
      </c>
      <c r="E2139" s="23" t="n">
        <v>2</v>
      </c>
      <c r="F2139" s="28" t="s">
        <v>911</v>
      </c>
      <c r="G2139" s="19" t="n">
        <v>0.073</v>
      </c>
    </row>
    <row r="2140" customFormat="false" ht="15" hidden="false" customHeight="false" outlineLevel="0" collapsed="false">
      <c r="A2140" s="28" t="s">
        <v>186</v>
      </c>
      <c r="B2140" s="28" t="s">
        <v>187</v>
      </c>
      <c r="C2140" s="28" t="s">
        <v>174</v>
      </c>
      <c r="D2140" s="23" t="n">
        <v>7</v>
      </c>
      <c r="E2140" s="23" t="n">
        <v>2</v>
      </c>
      <c r="F2140" s="28" t="s">
        <v>912</v>
      </c>
      <c r="G2140" s="19" t="n">
        <v>0.0744</v>
      </c>
    </row>
    <row r="2141" customFormat="false" ht="15" hidden="false" customHeight="false" outlineLevel="0" collapsed="false">
      <c r="A2141" s="28" t="s">
        <v>186</v>
      </c>
      <c r="B2141" s="28" t="s">
        <v>187</v>
      </c>
      <c r="C2141" s="28" t="s">
        <v>174</v>
      </c>
      <c r="D2141" s="23" t="n">
        <v>7</v>
      </c>
      <c r="E2141" s="23" t="n">
        <v>2</v>
      </c>
      <c r="F2141" s="28" t="s">
        <v>913</v>
      </c>
      <c r="G2141" s="19" t="n">
        <v>0.0793</v>
      </c>
    </row>
    <row r="2142" customFormat="false" ht="15" hidden="false" customHeight="false" outlineLevel="0" collapsed="false">
      <c r="A2142" s="28" t="s">
        <v>186</v>
      </c>
      <c r="B2142" s="28" t="s">
        <v>187</v>
      </c>
      <c r="C2142" s="28" t="s">
        <v>174</v>
      </c>
      <c r="D2142" s="23" t="n">
        <v>7</v>
      </c>
      <c r="E2142" s="23" t="n">
        <v>2</v>
      </c>
      <c r="F2142" s="28" t="s">
        <v>914</v>
      </c>
      <c r="G2142" s="19" t="n">
        <v>0.0791</v>
      </c>
    </row>
    <row r="2143" customFormat="false" ht="15" hidden="false" customHeight="false" outlineLevel="0" collapsed="false">
      <c r="A2143" s="28" t="s">
        <v>186</v>
      </c>
      <c r="B2143" s="28" t="s">
        <v>187</v>
      </c>
      <c r="C2143" s="28" t="s">
        <v>174</v>
      </c>
      <c r="D2143" s="23" t="n">
        <v>7</v>
      </c>
      <c r="E2143" s="23" t="n">
        <v>2</v>
      </c>
      <c r="F2143" s="28" t="s">
        <v>915</v>
      </c>
      <c r="G2143" s="19" t="n">
        <v>0.0949</v>
      </c>
    </row>
    <row r="2144" customFormat="false" ht="15" hidden="false" customHeight="false" outlineLevel="0" collapsed="false">
      <c r="A2144" s="28" t="s">
        <v>186</v>
      </c>
      <c r="B2144" s="28" t="s">
        <v>187</v>
      </c>
      <c r="C2144" s="28" t="s">
        <v>174</v>
      </c>
      <c r="D2144" s="23" t="n">
        <v>7</v>
      </c>
      <c r="E2144" s="23" t="n">
        <v>3</v>
      </c>
      <c r="F2144" s="28" t="s">
        <v>904</v>
      </c>
      <c r="G2144" s="19" t="n">
        <v>0.0663</v>
      </c>
    </row>
    <row r="2145" customFormat="false" ht="15" hidden="false" customHeight="false" outlineLevel="0" collapsed="false">
      <c r="A2145" s="28" t="s">
        <v>186</v>
      </c>
      <c r="B2145" s="28" t="s">
        <v>187</v>
      </c>
      <c r="C2145" s="28" t="s">
        <v>174</v>
      </c>
      <c r="D2145" s="23" t="n">
        <v>7</v>
      </c>
      <c r="E2145" s="23" t="n">
        <v>3</v>
      </c>
      <c r="F2145" s="28" t="s">
        <v>551</v>
      </c>
      <c r="G2145" s="19" t="n">
        <v>0.0975</v>
      </c>
    </row>
    <row r="2146" customFormat="false" ht="15" hidden="false" customHeight="false" outlineLevel="0" collapsed="false">
      <c r="A2146" s="28" t="s">
        <v>186</v>
      </c>
      <c r="B2146" s="28" t="s">
        <v>187</v>
      </c>
      <c r="C2146" s="28" t="s">
        <v>174</v>
      </c>
      <c r="D2146" s="23" t="n">
        <v>7</v>
      </c>
      <c r="E2146" s="23" t="n">
        <v>3</v>
      </c>
      <c r="F2146" s="28" t="s">
        <v>451</v>
      </c>
      <c r="G2146" s="19" t="n">
        <v>0.0661</v>
      </c>
    </row>
    <row r="2147" customFormat="false" ht="15" hidden="false" customHeight="false" outlineLevel="0" collapsed="false">
      <c r="A2147" s="28" t="s">
        <v>186</v>
      </c>
      <c r="B2147" s="28" t="s">
        <v>187</v>
      </c>
      <c r="C2147" s="28" t="s">
        <v>174</v>
      </c>
      <c r="D2147" s="23" t="n">
        <v>7</v>
      </c>
      <c r="E2147" s="23" t="n">
        <v>3</v>
      </c>
      <c r="F2147" s="28" t="s">
        <v>905</v>
      </c>
      <c r="G2147" s="19" t="n">
        <v>0.0687</v>
      </c>
    </row>
    <row r="2148" customFormat="false" ht="15" hidden="false" customHeight="false" outlineLevel="0" collapsed="false">
      <c r="A2148" s="28" t="s">
        <v>186</v>
      </c>
      <c r="B2148" s="28" t="s">
        <v>187</v>
      </c>
      <c r="C2148" s="28" t="s">
        <v>174</v>
      </c>
      <c r="D2148" s="23" t="n">
        <v>7</v>
      </c>
      <c r="E2148" s="23" t="n">
        <v>3</v>
      </c>
      <c r="F2148" s="28" t="s">
        <v>906</v>
      </c>
      <c r="G2148" s="19" t="n">
        <v>0.0701</v>
      </c>
    </row>
    <row r="2149" customFormat="false" ht="15" hidden="false" customHeight="false" outlineLevel="0" collapsed="false">
      <c r="A2149" s="28" t="s">
        <v>186</v>
      </c>
      <c r="B2149" s="28" t="s">
        <v>187</v>
      </c>
      <c r="C2149" s="28" t="s">
        <v>174</v>
      </c>
      <c r="D2149" s="23" t="n">
        <v>7</v>
      </c>
      <c r="E2149" s="23" t="n">
        <v>3</v>
      </c>
      <c r="F2149" s="28" t="s">
        <v>907</v>
      </c>
      <c r="G2149" s="19" t="n">
        <v>0.0698</v>
      </c>
    </row>
    <row r="2150" customFormat="false" ht="15" hidden="false" customHeight="false" outlineLevel="0" collapsed="false">
      <c r="A2150" s="28" t="s">
        <v>186</v>
      </c>
      <c r="B2150" s="28" t="s">
        <v>187</v>
      </c>
      <c r="C2150" s="28" t="s">
        <v>174</v>
      </c>
      <c r="D2150" s="23" t="n">
        <v>7</v>
      </c>
      <c r="E2150" s="23" t="n">
        <v>3</v>
      </c>
      <c r="F2150" s="28" t="s">
        <v>908</v>
      </c>
      <c r="G2150" s="19" t="n">
        <v>0.0714</v>
      </c>
    </row>
    <row r="2151" customFormat="false" ht="15" hidden="false" customHeight="false" outlineLevel="0" collapsed="false">
      <c r="A2151" s="28" t="s">
        <v>186</v>
      </c>
      <c r="B2151" s="28" t="s">
        <v>187</v>
      </c>
      <c r="C2151" s="28" t="s">
        <v>174</v>
      </c>
      <c r="D2151" s="23" t="n">
        <v>7</v>
      </c>
      <c r="E2151" s="23" t="n">
        <v>3</v>
      </c>
      <c r="F2151" s="28" t="s">
        <v>909</v>
      </c>
      <c r="G2151" s="19" t="n">
        <v>0.0715</v>
      </c>
    </row>
    <row r="2152" customFormat="false" ht="15" hidden="false" customHeight="false" outlineLevel="0" collapsed="false">
      <c r="A2152" s="28" t="s">
        <v>186</v>
      </c>
      <c r="B2152" s="28" t="s">
        <v>187</v>
      </c>
      <c r="C2152" s="28" t="s">
        <v>174</v>
      </c>
      <c r="D2152" s="23" t="n">
        <v>7</v>
      </c>
      <c r="E2152" s="23" t="n">
        <v>3</v>
      </c>
      <c r="F2152" s="28" t="s">
        <v>910</v>
      </c>
      <c r="G2152" s="19" t="n">
        <v>0.0719</v>
      </c>
    </row>
    <row r="2153" customFormat="false" ht="15" hidden="false" customHeight="false" outlineLevel="0" collapsed="false">
      <c r="A2153" s="28" t="s">
        <v>186</v>
      </c>
      <c r="B2153" s="28" t="s">
        <v>187</v>
      </c>
      <c r="C2153" s="28" t="s">
        <v>174</v>
      </c>
      <c r="D2153" s="23" t="n">
        <v>7</v>
      </c>
      <c r="E2153" s="23" t="n">
        <v>3</v>
      </c>
      <c r="F2153" s="28" t="s">
        <v>911</v>
      </c>
      <c r="G2153" s="19" t="n">
        <v>0.073</v>
      </c>
    </row>
    <row r="2154" customFormat="false" ht="15" hidden="false" customHeight="false" outlineLevel="0" collapsed="false">
      <c r="A2154" s="28" t="s">
        <v>186</v>
      </c>
      <c r="B2154" s="28" t="s">
        <v>187</v>
      </c>
      <c r="C2154" s="28" t="s">
        <v>174</v>
      </c>
      <c r="D2154" s="23" t="n">
        <v>7</v>
      </c>
      <c r="E2154" s="23" t="n">
        <v>3</v>
      </c>
      <c r="F2154" s="28" t="s">
        <v>912</v>
      </c>
      <c r="G2154" s="19" t="n">
        <v>0.0744</v>
      </c>
    </row>
    <row r="2155" customFormat="false" ht="15" hidden="false" customHeight="false" outlineLevel="0" collapsed="false">
      <c r="A2155" s="28" t="s">
        <v>186</v>
      </c>
      <c r="B2155" s="28" t="s">
        <v>187</v>
      </c>
      <c r="C2155" s="28" t="s">
        <v>174</v>
      </c>
      <c r="D2155" s="23" t="n">
        <v>7</v>
      </c>
      <c r="E2155" s="23" t="n">
        <v>3</v>
      </c>
      <c r="F2155" s="28" t="s">
        <v>913</v>
      </c>
      <c r="G2155" s="19" t="n">
        <v>0.0793</v>
      </c>
    </row>
    <row r="2156" customFormat="false" ht="15" hidden="false" customHeight="false" outlineLevel="0" collapsed="false">
      <c r="A2156" s="28" t="s">
        <v>186</v>
      </c>
      <c r="B2156" s="28" t="s">
        <v>187</v>
      </c>
      <c r="C2156" s="28" t="s">
        <v>174</v>
      </c>
      <c r="D2156" s="23" t="n">
        <v>7</v>
      </c>
      <c r="E2156" s="23" t="n">
        <v>3</v>
      </c>
      <c r="F2156" s="28" t="s">
        <v>914</v>
      </c>
      <c r="G2156" s="19" t="n">
        <v>0.0791</v>
      </c>
    </row>
    <row r="2157" customFormat="false" ht="15" hidden="false" customHeight="false" outlineLevel="0" collapsed="false">
      <c r="A2157" s="28" t="s">
        <v>186</v>
      </c>
      <c r="B2157" s="28" t="s">
        <v>187</v>
      </c>
      <c r="C2157" s="28" t="s">
        <v>174</v>
      </c>
      <c r="D2157" s="23" t="n">
        <v>7</v>
      </c>
      <c r="E2157" s="23" t="n">
        <v>3</v>
      </c>
      <c r="F2157" s="28" t="s">
        <v>915</v>
      </c>
      <c r="G2157" s="19" t="n">
        <v>0.0949</v>
      </c>
    </row>
    <row r="2158" customFormat="false" ht="15" hidden="false" customHeight="false" outlineLevel="0" collapsed="false">
      <c r="A2158" s="28" t="s">
        <v>186</v>
      </c>
      <c r="B2158" s="28" t="s">
        <v>187</v>
      </c>
      <c r="C2158" s="28" t="s">
        <v>174</v>
      </c>
      <c r="D2158" s="23" t="n">
        <v>7</v>
      </c>
      <c r="E2158" s="23" t="n">
        <v>4</v>
      </c>
      <c r="F2158" s="28" t="s">
        <v>904</v>
      </c>
      <c r="G2158" s="19" t="n">
        <v>0.0663</v>
      </c>
    </row>
    <row r="2159" customFormat="false" ht="15" hidden="false" customHeight="false" outlineLevel="0" collapsed="false">
      <c r="A2159" s="28" t="s">
        <v>186</v>
      </c>
      <c r="B2159" s="28" t="s">
        <v>187</v>
      </c>
      <c r="C2159" s="28" t="s">
        <v>174</v>
      </c>
      <c r="D2159" s="23" t="n">
        <v>7</v>
      </c>
      <c r="E2159" s="23" t="n">
        <v>4</v>
      </c>
      <c r="F2159" s="28" t="s">
        <v>551</v>
      </c>
      <c r="G2159" s="19" t="n">
        <v>0.0975</v>
      </c>
    </row>
    <row r="2160" customFormat="false" ht="15" hidden="false" customHeight="false" outlineLevel="0" collapsed="false">
      <c r="A2160" s="28" t="s">
        <v>186</v>
      </c>
      <c r="B2160" s="28" t="s">
        <v>187</v>
      </c>
      <c r="C2160" s="28" t="s">
        <v>174</v>
      </c>
      <c r="D2160" s="23" t="n">
        <v>7</v>
      </c>
      <c r="E2160" s="23" t="n">
        <v>4</v>
      </c>
      <c r="F2160" s="28" t="s">
        <v>451</v>
      </c>
      <c r="G2160" s="19" t="n">
        <v>0.0661</v>
      </c>
    </row>
    <row r="2161" customFormat="false" ht="15" hidden="false" customHeight="false" outlineLevel="0" collapsed="false">
      <c r="A2161" s="28" t="s">
        <v>186</v>
      </c>
      <c r="B2161" s="28" t="s">
        <v>187</v>
      </c>
      <c r="C2161" s="28" t="s">
        <v>174</v>
      </c>
      <c r="D2161" s="23" t="n">
        <v>7</v>
      </c>
      <c r="E2161" s="23" t="n">
        <v>4</v>
      </c>
      <c r="F2161" s="28" t="s">
        <v>905</v>
      </c>
      <c r="G2161" s="19" t="n">
        <v>0.0687</v>
      </c>
    </row>
    <row r="2162" customFormat="false" ht="15" hidden="false" customHeight="false" outlineLevel="0" collapsed="false">
      <c r="A2162" s="28" t="s">
        <v>186</v>
      </c>
      <c r="B2162" s="28" t="s">
        <v>187</v>
      </c>
      <c r="C2162" s="28" t="s">
        <v>174</v>
      </c>
      <c r="D2162" s="23" t="n">
        <v>7</v>
      </c>
      <c r="E2162" s="23" t="n">
        <v>4</v>
      </c>
      <c r="F2162" s="28" t="s">
        <v>906</v>
      </c>
      <c r="G2162" s="19" t="n">
        <v>0.0701</v>
      </c>
    </row>
    <row r="2163" customFormat="false" ht="15" hidden="false" customHeight="false" outlineLevel="0" collapsed="false">
      <c r="A2163" s="28" t="s">
        <v>186</v>
      </c>
      <c r="B2163" s="28" t="s">
        <v>187</v>
      </c>
      <c r="C2163" s="28" t="s">
        <v>174</v>
      </c>
      <c r="D2163" s="23" t="n">
        <v>7</v>
      </c>
      <c r="E2163" s="23" t="n">
        <v>4</v>
      </c>
      <c r="F2163" s="28" t="s">
        <v>907</v>
      </c>
      <c r="G2163" s="19" t="n">
        <v>0.0698</v>
      </c>
    </row>
    <row r="2164" customFormat="false" ht="15" hidden="false" customHeight="false" outlineLevel="0" collapsed="false">
      <c r="A2164" s="28" t="s">
        <v>186</v>
      </c>
      <c r="B2164" s="28" t="s">
        <v>187</v>
      </c>
      <c r="C2164" s="28" t="s">
        <v>174</v>
      </c>
      <c r="D2164" s="23" t="n">
        <v>7</v>
      </c>
      <c r="E2164" s="23" t="n">
        <v>4</v>
      </c>
      <c r="F2164" s="28" t="s">
        <v>908</v>
      </c>
      <c r="G2164" s="19" t="n">
        <v>0.0714</v>
      </c>
    </row>
    <row r="2165" customFormat="false" ht="15" hidden="false" customHeight="false" outlineLevel="0" collapsed="false">
      <c r="A2165" s="28" t="s">
        <v>186</v>
      </c>
      <c r="B2165" s="28" t="s">
        <v>187</v>
      </c>
      <c r="C2165" s="28" t="s">
        <v>174</v>
      </c>
      <c r="D2165" s="23" t="n">
        <v>7</v>
      </c>
      <c r="E2165" s="23" t="n">
        <v>4</v>
      </c>
      <c r="F2165" s="28" t="s">
        <v>909</v>
      </c>
      <c r="G2165" s="19" t="n">
        <v>0.0715</v>
      </c>
    </row>
    <row r="2166" customFormat="false" ht="15" hidden="false" customHeight="false" outlineLevel="0" collapsed="false">
      <c r="A2166" s="28" t="s">
        <v>186</v>
      </c>
      <c r="B2166" s="28" t="s">
        <v>187</v>
      </c>
      <c r="C2166" s="28" t="s">
        <v>174</v>
      </c>
      <c r="D2166" s="23" t="n">
        <v>7</v>
      </c>
      <c r="E2166" s="23" t="n">
        <v>4</v>
      </c>
      <c r="F2166" s="28" t="s">
        <v>910</v>
      </c>
      <c r="G2166" s="19" t="n">
        <v>0.0719</v>
      </c>
    </row>
    <row r="2167" customFormat="false" ht="15" hidden="false" customHeight="false" outlineLevel="0" collapsed="false">
      <c r="A2167" s="28" t="s">
        <v>186</v>
      </c>
      <c r="B2167" s="28" t="s">
        <v>187</v>
      </c>
      <c r="C2167" s="28" t="s">
        <v>174</v>
      </c>
      <c r="D2167" s="23" t="n">
        <v>7</v>
      </c>
      <c r="E2167" s="23" t="n">
        <v>4</v>
      </c>
      <c r="F2167" s="28" t="s">
        <v>911</v>
      </c>
      <c r="G2167" s="19" t="n">
        <v>0.073</v>
      </c>
    </row>
    <row r="2168" customFormat="false" ht="15" hidden="false" customHeight="false" outlineLevel="0" collapsed="false">
      <c r="A2168" s="28" t="s">
        <v>186</v>
      </c>
      <c r="B2168" s="28" t="s">
        <v>187</v>
      </c>
      <c r="C2168" s="28" t="s">
        <v>174</v>
      </c>
      <c r="D2168" s="23" t="n">
        <v>7</v>
      </c>
      <c r="E2168" s="23" t="n">
        <v>4</v>
      </c>
      <c r="F2168" s="28" t="s">
        <v>912</v>
      </c>
      <c r="G2168" s="19" t="n">
        <v>0.0744</v>
      </c>
    </row>
    <row r="2169" customFormat="false" ht="15" hidden="false" customHeight="false" outlineLevel="0" collapsed="false">
      <c r="A2169" s="28" t="s">
        <v>186</v>
      </c>
      <c r="B2169" s="28" t="s">
        <v>187</v>
      </c>
      <c r="C2169" s="28" t="s">
        <v>174</v>
      </c>
      <c r="D2169" s="23" t="n">
        <v>7</v>
      </c>
      <c r="E2169" s="23" t="n">
        <v>4</v>
      </c>
      <c r="F2169" s="28" t="s">
        <v>913</v>
      </c>
      <c r="G2169" s="19" t="n">
        <v>0.0793</v>
      </c>
    </row>
    <row r="2170" customFormat="false" ht="15" hidden="false" customHeight="false" outlineLevel="0" collapsed="false">
      <c r="A2170" s="28" t="s">
        <v>186</v>
      </c>
      <c r="B2170" s="28" t="s">
        <v>187</v>
      </c>
      <c r="C2170" s="28" t="s">
        <v>174</v>
      </c>
      <c r="D2170" s="23" t="n">
        <v>7</v>
      </c>
      <c r="E2170" s="23" t="n">
        <v>4</v>
      </c>
      <c r="F2170" s="28" t="s">
        <v>914</v>
      </c>
      <c r="G2170" s="19" t="n">
        <v>0.0791</v>
      </c>
    </row>
    <row r="2171" customFormat="false" ht="15" hidden="false" customHeight="false" outlineLevel="0" collapsed="false">
      <c r="A2171" s="28" t="s">
        <v>186</v>
      </c>
      <c r="B2171" s="28" t="s">
        <v>187</v>
      </c>
      <c r="C2171" s="28" t="s">
        <v>174</v>
      </c>
      <c r="D2171" s="23" t="n">
        <v>7</v>
      </c>
      <c r="E2171" s="23" t="n">
        <v>4</v>
      </c>
      <c r="F2171" s="28" t="s">
        <v>915</v>
      </c>
      <c r="G2171" s="19" t="n">
        <v>0.0949</v>
      </c>
    </row>
    <row r="2172" customFormat="false" ht="15" hidden="false" customHeight="false" outlineLevel="0" collapsed="false">
      <c r="A2172" s="28" t="s">
        <v>186</v>
      </c>
      <c r="B2172" s="28" t="s">
        <v>187</v>
      </c>
      <c r="C2172" s="28" t="s">
        <v>174</v>
      </c>
      <c r="D2172" s="23" t="n">
        <v>7</v>
      </c>
      <c r="E2172" s="23" t="n">
        <v>5</v>
      </c>
      <c r="F2172" s="28" t="s">
        <v>904</v>
      </c>
      <c r="G2172" s="19" t="n">
        <v>0.0663</v>
      </c>
    </row>
    <row r="2173" customFormat="false" ht="15" hidden="false" customHeight="false" outlineLevel="0" collapsed="false">
      <c r="A2173" s="28" t="s">
        <v>186</v>
      </c>
      <c r="B2173" s="28" t="s">
        <v>187</v>
      </c>
      <c r="C2173" s="28" t="s">
        <v>174</v>
      </c>
      <c r="D2173" s="23" t="n">
        <v>7</v>
      </c>
      <c r="E2173" s="23" t="n">
        <v>5</v>
      </c>
      <c r="F2173" s="28" t="s">
        <v>551</v>
      </c>
      <c r="G2173" s="19" t="n">
        <v>0.0975</v>
      </c>
    </row>
    <row r="2174" customFormat="false" ht="15" hidden="false" customHeight="false" outlineLevel="0" collapsed="false">
      <c r="A2174" s="28" t="s">
        <v>186</v>
      </c>
      <c r="B2174" s="28" t="s">
        <v>187</v>
      </c>
      <c r="C2174" s="28" t="s">
        <v>174</v>
      </c>
      <c r="D2174" s="23" t="n">
        <v>7</v>
      </c>
      <c r="E2174" s="23" t="n">
        <v>5</v>
      </c>
      <c r="F2174" s="28" t="s">
        <v>451</v>
      </c>
      <c r="G2174" s="19" t="n">
        <v>0.0661</v>
      </c>
    </row>
    <row r="2175" customFormat="false" ht="15" hidden="false" customHeight="false" outlineLevel="0" collapsed="false">
      <c r="A2175" s="28" t="s">
        <v>186</v>
      </c>
      <c r="B2175" s="28" t="s">
        <v>187</v>
      </c>
      <c r="C2175" s="28" t="s">
        <v>174</v>
      </c>
      <c r="D2175" s="23" t="n">
        <v>7</v>
      </c>
      <c r="E2175" s="23" t="n">
        <v>5</v>
      </c>
      <c r="F2175" s="28" t="s">
        <v>905</v>
      </c>
      <c r="G2175" s="19" t="n">
        <v>0.0687</v>
      </c>
    </row>
    <row r="2176" customFormat="false" ht="15" hidden="false" customHeight="false" outlineLevel="0" collapsed="false">
      <c r="A2176" s="28" t="s">
        <v>186</v>
      </c>
      <c r="B2176" s="28" t="s">
        <v>187</v>
      </c>
      <c r="C2176" s="28" t="s">
        <v>174</v>
      </c>
      <c r="D2176" s="23" t="n">
        <v>7</v>
      </c>
      <c r="E2176" s="23" t="n">
        <v>5</v>
      </c>
      <c r="F2176" s="28" t="s">
        <v>906</v>
      </c>
      <c r="G2176" s="19" t="n">
        <v>0.0701</v>
      </c>
    </row>
    <row r="2177" customFormat="false" ht="15" hidden="false" customHeight="false" outlineLevel="0" collapsed="false">
      <c r="A2177" s="28" t="s">
        <v>186</v>
      </c>
      <c r="B2177" s="28" t="s">
        <v>187</v>
      </c>
      <c r="C2177" s="28" t="s">
        <v>174</v>
      </c>
      <c r="D2177" s="23" t="n">
        <v>7</v>
      </c>
      <c r="E2177" s="23" t="n">
        <v>5</v>
      </c>
      <c r="F2177" s="28" t="s">
        <v>907</v>
      </c>
      <c r="G2177" s="19" t="n">
        <v>0.0698</v>
      </c>
    </row>
    <row r="2178" customFormat="false" ht="15" hidden="false" customHeight="false" outlineLevel="0" collapsed="false">
      <c r="A2178" s="28" t="s">
        <v>186</v>
      </c>
      <c r="B2178" s="28" t="s">
        <v>187</v>
      </c>
      <c r="C2178" s="28" t="s">
        <v>174</v>
      </c>
      <c r="D2178" s="23" t="n">
        <v>7</v>
      </c>
      <c r="E2178" s="23" t="n">
        <v>5</v>
      </c>
      <c r="F2178" s="28" t="s">
        <v>908</v>
      </c>
      <c r="G2178" s="19" t="n">
        <v>0.0714</v>
      </c>
    </row>
    <row r="2179" customFormat="false" ht="15" hidden="false" customHeight="false" outlineLevel="0" collapsed="false">
      <c r="A2179" s="28" t="s">
        <v>186</v>
      </c>
      <c r="B2179" s="28" t="s">
        <v>187</v>
      </c>
      <c r="C2179" s="28" t="s">
        <v>174</v>
      </c>
      <c r="D2179" s="23" t="n">
        <v>7</v>
      </c>
      <c r="E2179" s="23" t="n">
        <v>5</v>
      </c>
      <c r="F2179" s="28" t="s">
        <v>909</v>
      </c>
      <c r="G2179" s="19" t="n">
        <v>0.0715</v>
      </c>
    </row>
    <row r="2180" customFormat="false" ht="15" hidden="false" customHeight="false" outlineLevel="0" collapsed="false">
      <c r="A2180" s="28" t="s">
        <v>186</v>
      </c>
      <c r="B2180" s="28" t="s">
        <v>187</v>
      </c>
      <c r="C2180" s="28" t="s">
        <v>174</v>
      </c>
      <c r="D2180" s="23" t="n">
        <v>7</v>
      </c>
      <c r="E2180" s="23" t="n">
        <v>5</v>
      </c>
      <c r="F2180" s="28" t="s">
        <v>910</v>
      </c>
      <c r="G2180" s="19" t="n">
        <v>0.0719</v>
      </c>
    </row>
    <row r="2181" customFormat="false" ht="15" hidden="false" customHeight="false" outlineLevel="0" collapsed="false">
      <c r="A2181" s="28" t="s">
        <v>186</v>
      </c>
      <c r="B2181" s="28" t="s">
        <v>187</v>
      </c>
      <c r="C2181" s="28" t="s">
        <v>174</v>
      </c>
      <c r="D2181" s="23" t="n">
        <v>7</v>
      </c>
      <c r="E2181" s="23" t="n">
        <v>5</v>
      </c>
      <c r="F2181" s="28" t="s">
        <v>911</v>
      </c>
      <c r="G2181" s="19" t="n">
        <v>0.073</v>
      </c>
    </row>
    <row r="2182" customFormat="false" ht="15" hidden="false" customHeight="false" outlineLevel="0" collapsed="false">
      <c r="A2182" s="28" t="s">
        <v>186</v>
      </c>
      <c r="B2182" s="28" t="s">
        <v>187</v>
      </c>
      <c r="C2182" s="28" t="s">
        <v>174</v>
      </c>
      <c r="D2182" s="23" t="n">
        <v>7</v>
      </c>
      <c r="E2182" s="23" t="n">
        <v>5</v>
      </c>
      <c r="F2182" s="28" t="s">
        <v>912</v>
      </c>
      <c r="G2182" s="19" t="n">
        <v>0.0744</v>
      </c>
    </row>
    <row r="2183" customFormat="false" ht="15" hidden="false" customHeight="false" outlineLevel="0" collapsed="false">
      <c r="A2183" s="28" t="s">
        <v>186</v>
      </c>
      <c r="B2183" s="28" t="s">
        <v>187</v>
      </c>
      <c r="C2183" s="28" t="s">
        <v>174</v>
      </c>
      <c r="D2183" s="23" t="n">
        <v>7</v>
      </c>
      <c r="E2183" s="23" t="n">
        <v>5</v>
      </c>
      <c r="F2183" s="28" t="s">
        <v>913</v>
      </c>
      <c r="G2183" s="19" t="n">
        <v>0.0793</v>
      </c>
    </row>
    <row r="2184" customFormat="false" ht="15" hidden="false" customHeight="false" outlineLevel="0" collapsed="false">
      <c r="A2184" s="28" t="s">
        <v>186</v>
      </c>
      <c r="B2184" s="28" t="s">
        <v>187</v>
      </c>
      <c r="C2184" s="28" t="s">
        <v>174</v>
      </c>
      <c r="D2184" s="23" t="n">
        <v>7</v>
      </c>
      <c r="E2184" s="23" t="n">
        <v>5</v>
      </c>
      <c r="F2184" s="28" t="s">
        <v>914</v>
      </c>
      <c r="G2184" s="19" t="n">
        <v>0.0791</v>
      </c>
    </row>
    <row r="2185" customFormat="false" ht="15" hidden="false" customHeight="false" outlineLevel="0" collapsed="false">
      <c r="A2185" s="28" t="s">
        <v>186</v>
      </c>
      <c r="B2185" s="28" t="s">
        <v>187</v>
      </c>
      <c r="C2185" s="28" t="s">
        <v>174</v>
      </c>
      <c r="D2185" s="23" t="n">
        <v>7</v>
      </c>
      <c r="E2185" s="23" t="n">
        <v>5</v>
      </c>
      <c r="F2185" s="28" t="s">
        <v>915</v>
      </c>
      <c r="G2185" s="19" t="n">
        <v>0.0949</v>
      </c>
    </row>
    <row r="2186" customFormat="false" ht="15" hidden="false" customHeight="false" outlineLevel="0" collapsed="false">
      <c r="A2186" s="28" t="s">
        <v>186</v>
      </c>
      <c r="B2186" s="28" t="s">
        <v>187</v>
      </c>
      <c r="C2186" s="28" t="s">
        <v>174</v>
      </c>
      <c r="D2186" s="23" t="n">
        <v>7</v>
      </c>
      <c r="E2186" s="23" t="n">
        <v>6</v>
      </c>
      <c r="F2186" s="28" t="s">
        <v>904</v>
      </c>
      <c r="G2186" s="19" t="n">
        <v>0.0663</v>
      </c>
    </row>
    <row r="2187" customFormat="false" ht="15" hidden="false" customHeight="false" outlineLevel="0" collapsed="false">
      <c r="A2187" s="28" t="s">
        <v>186</v>
      </c>
      <c r="B2187" s="28" t="s">
        <v>187</v>
      </c>
      <c r="C2187" s="28" t="s">
        <v>174</v>
      </c>
      <c r="D2187" s="23" t="n">
        <v>7</v>
      </c>
      <c r="E2187" s="23" t="n">
        <v>6</v>
      </c>
      <c r="F2187" s="28" t="s">
        <v>551</v>
      </c>
      <c r="G2187" s="19" t="n">
        <v>0.0975</v>
      </c>
    </row>
    <row r="2188" customFormat="false" ht="15" hidden="false" customHeight="false" outlineLevel="0" collapsed="false">
      <c r="A2188" s="28" t="s">
        <v>186</v>
      </c>
      <c r="B2188" s="28" t="s">
        <v>187</v>
      </c>
      <c r="C2188" s="28" t="s">
        <v>174</v>
      </c>
      <c r="D2188" s="23" t="n">
        <v>7</v>
      </c>
      <c r="E2188" s="23" t="n">
        <v>6</v>
      </c>
      <c r="F2188" s="28" t="s">
        <v>451</v>
      </c>
      <c r="G2188" s="19" t="n">
        <v>0.0661</v>
      </c>
    </row>
    <row r="2189" customFormat="false" ht="15" hidden="false" customHeight="false" outlineLevel="0" collapsed="false">
      <c r="A2189" s="28" t="s">
        <v>186</v>
      </c>
      <c r="B2189" s="28" t="s">
        <v>187</v>
      </c>
      <c r="C2189" s="28" t="s">
        <v>174</v>
      </c>
      <c r="D2189" s="23" t="n">
        <v>7</v>
      </c>
      <c r="E2189" s="23" t="n">
        <v>6</v>
      </c>
      <c r="F2189" s="28" t="s">
        <v>905</v>
      </c>
      <c r="G2189" s="19" t="n">
        <v>0.0687</v>
      </c>
    </row>
    <row r="2190" customFormat="false" ht="15" hidden="false" customHeight="false" outlineLevel="0" collapsed="false">
      <c r="A2190" s="28" t="s">
        <v>186</v>
      </c>
      <c r="B2190" s="28" t="s">
        <v>187</v>
      </c>
      <c r="C2190" s="28" t="s">
        <v>174</v>
      </c>
      <c r="D2190" s="23" t="n">
        <v>7</v>
      </c>
      <c r="E2190" s="23" t="n">
        <v>6</v>
      </c>
      <c r="F2190" s="28" t="s">
        <v>906</v>
      </c>
      <c r="G2190" s="19" t="n">
        <v>0.0701</v>
      </c>
    </row>
    <row r="2191" customFormat="false" ht="15" hidden="false" customHeight="false" outlineLevel="0" collapsed="false">
      <c r="A2191" s="28" t="s">
        <v>186</v>
      </c>
      <c r="B2191" s="28" t="s">
        <v>187</v>
      </c>
      <c r="C2191" s="28" t="s">
        <v>174</v>
      </c>
      <c r="D2191" s="23" t="n">
        <v>7</v>
      </c>
      <c r="E2191" s="23" t="n">
        <v>6</v>
      </c>
      <c r="F2191" s="28" t="s">
        <v>907</v>
      </c>
      <c r="G2191" s="19" t="n">
        <v>0.0698</v>
      </c>
    </row>
    <row r="2192" customFormat="false" ht="15" hidden="false" customHeight="false" outlineLevel="0" collapsed="false">
      <c r="A2192" s="28" t="s">
        <v>186</v>
      </c>
      <c r="B2192" s="28" t="s">
        <v>187</v>
      </c>
      <c r="C2192" s="28" t="s">
        <v>174</v>
      </c>
      <c r="D2192" s="23" t="n">
        <v>7</v>
      </c>
      <c r="E2192" s="23" t="n">
        <v>6</v>
      </c>
      <c r="F2192" s="28" t="s">
        <v>908</v>
      </c>
      <c r="G2192" s="19" t="n">
        <v>0.0714</v>
      </c>
    </row>
    <row r="2193" customFormat="false" ht="15" hidden="false" customHeight="false" outlineLevel="0" collapsed="false">
      <c r="A2193" s="28" t="s">
        <v>186</v>
      </c>
      <c r="B2193" s="28" t="s">
        <v>187</v>
      </c>
      <c r="C2193" s="28" t="s">
        <v>174</v>
      </c>
      <c r="D2193" s="23" t="n">
        <v>7</v>
      </c>
      <c r="E2193" s="23" t="n">
        <v>6</v>
      </c>
      <c r="F2193" s="28" t="s">
        <v>909</v>
      </c>
      <c r="G2193" s="19" t="n">
        <v>0.0715</v>
      </c>
    </row>
    <row r="2194" customFormat="false" ht="15" hidden="false" customHeight="false" outlineLevel="0" collapsed="false">
      <c r="A2194" s="28" t="s">
        <v>186</v>
      </c>
      <c r="B2194" s="28" t="s">
        <v>187</v>
      </c>
      <c r="C2194" s="28" t="s">
        <v>174</v>
      </c>
      <c r="D2194" s="23" t="n">
        <v>7</v>
      </c>
      <c r="E2194" s="23" t="n">
        <v>6</v>
      </c>
      <c r="F2194" s="28" t="s">
        <v>910</v>
      </c>
      <c r="G2194" s="19" t="n">
        <v>0.0719</v>
      </c>
    </row>
    <row r="2195" customFormat="false" ht="15" hidden="false" customHeight="false" outlineLevel="0" collapsed="false">
      <c r="A2195" s="28" t="s">
        <v>186</v>
      </c>
      <c r="B2195" s="28" t="s">
        <v>187</v>
      </c>
      <c r="C2195" s="28" t="s">
        <v>174</v>
      </c>
      <c r="D2195" s="23" t="n">
        <v>7</v>
      </c>
      <c r="E2195" s="23" t="n">
        <v>6</v>
      </c>
      <c r="F2195" s="28" t="s">
        <v>911</v>
      </c>
      <c r="G2195" s="19" t="n">
        <v>0.073</v>
      </c>
    </row>
    <row r="2196" customFormat="false" ht="15" hidden="false" customHeight="false" outlineLevel="0" collapsed="false">
      <c r="A2196" s="28" t="s">
        <v>186</v>
      </c>
      <c r="B2196" s="28" t="s">
        <v>187</v>
      </c>
      <c r="C2196" s="28" t="s">
        <v>174</v>
      </c>
      <c r="D2196" s="23" t="n">
        <v>7</v>
      </c>
      <c r="E2196" s="23" t="n">
        <v>6</v>
      </c>
      <c r="F2196" s="28" t="s">
        <v>912</v>
      </c>
      <c r="G2196" s="19" t="n">
        <v>0.0744</v>
      </c>
    </row>
    <row r="2197" customFormat="false" ht="15" hidden="false" customHeight="false" outlineLevel="0" collapsed="false">
      <c r="A2197" s="28" t="s">
        <v>186</v>
      </c>
      <c r="B2197" s="28" t="s">
        <v>187</v>
      </c>
      <c r="C2197" s="28" t="s">
        <v>174</v>
      </c>
      <c r="D2197" s="23" t="n">
        <v>7</v>
      </c>
      <c r="E2197" s="23" t="n">
        <v>6</v>
      </c>
      <c r="F2197" s="28" t="s">
        <v>913</v>
      </c>
      <c r="G2197" s="19" t="n">
        <v>0.0793</v>
      </c>
    </row>
    <row r="2198" customFormat="false" ht="15" hidden="false" customHeight="false" outlineLevel="0" collapsed="false">
      <c r="A2198" s="28" t="s">
        <v>186</v>
      </c>
      <c r="B2198" s="28" t="s">
        <v>187</v>
      </c>
      <c r="C2198" s="28" t="s">
        <v>174</v>
      </c>
      <c r="D2198" s="23" t="n">
        <v>7</v>
      </c>
      <c r="E2198" s="23" t="n">
        <v>6</v>
      </c>
      <c r="F2198" s="28" t="s">
        <v>914</v>
      </c>
      <c r="G2198" s="19" t="n">
        <v>0.0791</v>
      </c>
    </row>
    <row r="2199" customFormat="false" ht="15" hidden="false" customHeight="false" outlineLevel="0" collapsed="false">
      <c r="A2199" s="28" t="s">
        <v>186</v>
      </c>
      <c r="B2199" s="28" t="s">
        <v>187</v>
      </c>
      <c r="C2199" s="28" t="s">
        <v>174</v>
      </c>
      <c r="D2199" s="23" t="n">
        <v>7</v>
      </c>
      <c r="E2199" s="23" t="n">
        <v>6</v>
      </c>
      <c r="F2199" s="28" t="s">
        <v>915</v>
      </c>
      <c r="G2199" s="19" t="n">
        <v>0.0949</v>
      </c>
    </row>
    <row r="2200" customFormat="false" ht="15" hidden="false" customHeight="false" outlineLevel="0" collapsed="false">
      <c r="A2200" s="28" t="s">
        <v>186</v>
      </c>
      <c r="B2200" s="28" t="s">
        <v>187</v>
      </c>
      <c r="C2200" s="28" t="s">
        <v>174</v>
      </c>
      <c r="D2200" s="23" t="n">
        <v>7</v>
      </c>
      <c r="E2200" s="23" t="n">
        <v>7</v>
      </c>
      <c r="F2200" s="28" t="s">
        <v>904</v>
      </c>
      <c r="G2200" s="19" t="n">
        <v>0.0663</v>
      </c>
    </row>
    <row r="2201" customFormat="false" ht="15" hidden="false" customHeight="false" outlineLevel="0" collapsed="false">
      <c r="A2201" s="28" t="s">
        <v>186</v>
      </c>
      <c r="B2201" s="28" t="s">
        <v>187</v>
      </c>
      <c r="C2201" s="28" t="s">
        <v>174</v>
      </c>
      <c r="D2201" s="23" t="n">
        <v>7</v>
      </c>
      <c r="E2201" s="23" t="n">
        <v>7</v>
      </c>
      <c r="F2201" s="28" t="s">
        <v>551</v>
      </c>
      <c r="G2201" s="19" t="n">
        <v>0.0975</v>
      </c>
    </row>
    <row r="2202" customFormat="false" ht="15" hidden="false" customHeight="false" outlineLevel="0" collapsed="false">
      <c r="A2202" s="28" t="s">
        <v>186</v>
      </c>
      <c r="B2202" s="28" t="s">
        <v>187</v>
      </c>
      <c r="C2202" s="28" t="s">
        <v>174</v>
      </c>
      <c r="D2202" s="23" t="n">
        <v>7</v>
      </c>
      <c r="E2202" s="23" t="n">
        <v>7</v>
      </c>
      <c r="F2202" s="28" t="s">
        <v>451</v>
      </c>
      <c r="G2202" s="19" t="n">
        <v>0.0661</v>
      </c>
    </row>
    <row r="2203" customFormat="false" ht="15" hidden="false" customHeight="false" outlineLevel="0" collapsed="false">
      <c r="A2203" s="28" t="s">
        <v>186</v>
      </c>
      <c r="B2203" s="28" t="s">
        <v>187</v>
      </c>
      <c r="C2203" s="28" t="s">
        <v>174</v>
      </c>
      <c r="D2203" s="23" t="n">
        <v>7</v>
      </c>
      <c r="E2203" s="23" t="n">
        <v>7</v>
      </c>
      <c r="F2203" s="28" t="s">
        <v>905</v>
      </c>
      <c r="G2203" s="19" t="n">
        <v>0.0687</v>
      </c>
    </row>
    <row r="2204" customFormat="false" ht="15" hidden="false" customHeight="false" outlineLevel="0" collapsed="false">
      <c r="A2204" s="28" t="s">
        <v>186</v>
      </c>
      <c r="B2204" s="28" t="s">
        <v>187</v>
      </c>
      <c r="C2204" s="28" t="s">
        <v>174</v>
      </c>
      <c r="D2204" s="23" t="n">
        <v>7</v>
      </c>
      <c r="E2204" s="23" t="n">
        <v>7</v>
      </c>
      <c r="F2204" s="28" t="s">
        <v>906</v>
      </c>
      <c r="G2204" s="19" t="n">
        <v>0.0701</v>
      </c>
    </row>
    <row r="2205" customFormat="false" ht="15" hidden="false" customHeight="false" outlineLevel="0" collapsed="false">
      <c r="A2205" s="28" t="s">
        <v>186</v>
      </c>
      <c r="B2205" s="28" t="s">
        <v>187</v>
      </c>
      <c r="C2205" s="28" t="s">
        <v>174</v>
      </c>
      <c r="D2205" s="23" t="n">
        <v>7</v>
      </c>
      <c r="E2205" s="23" t="n">
        <v>7</v>
      </c>
      <c r="F2205" s="28" t="s">
        <v>907</v>
      </c>
      <c r="G2205" s="19" t="n">
        <v>0.0698</v>
      </c>
    </row>
    <row r="2206" customFormat="false" ht="15" hidden="false" customHeight="false" outlineLevel="0" collapsed="false">
      <c r="A2206" s="28" t="s">
        <v>186</v>
      </c>
      <c r="B2206" s="28" t="s">
        <v>187</v>
      </c>
      <c r="C2206" s="28" t="s">
        <v>174</v>
      </c>
      <c r="D2206" s="23" t="n">
        <v>7</v>
      </c>
      <c r="E2206" s="23" t="n">
        <v>7</v>
      </c>
      <c r="F2206" s="28" t="s">
        <v>908</v>
      </c>
      <c r="G2206" s="19" t="n">
        <v>0.0714</v>
      </c>
    </row>
    <row r="2207" customFormat="false" ht="15" hidden="false" customHeight="false" outlineLevel="0" collapsed="false">
      <c r="A2207" s="28" t="s">
        <v>186</v>
      </c>
      <c r="B2207" s="28" t="s">
        <v>187</v>
      </c>
      <c r="C2207" s="28" t="s">
        <v>174</v>
      </c>
      <c r="D2207" s="23" t="n">
        <v>7</v>
      </c>
      <c r="E2207" s="23" t="n">
        <v>7</v>
      </c>
      <c r="F2207" s="28" t="s">
        <v>909</v>
      </c>
      <c r="G2207" s="19" t="n">
        <v>0.0715</v>
      </c>
    </row>
    <row r="2208" customFormat="false" ht="15" hidden="false" customHeight="false" outlineLevel="0" collapsed="false">
      <c r="A2208" s="28" t="s">
        <v>186</v>
      </c>
      <c r="B2208" s="28" t="s">
        <v>187</v>
      </c>
      <c r="C2208" s="28" t="s">
        <v>174</v>
      </c>
      <c r="D2208" s="23" t="n">
        <v>7</v>
      </c>
      <c r="E2208" s="23" t="n">
        <v>7</v>
      </c>
      <c r="F2208" s="28" t="s">
        <v>910</v>
      </c>
      <c r="G2208" s="19" t="n">
        <v>0.0719</v>
      </c>
    </row>
    <row r="2209" customFormat="false" ht="15" hidden="false" customHeight="false" outlineLevel="0" collapsed="false">
      <c r="A2209" s="28" t="s">
        <v>186</v>
      </c>
      <c r="B2209" s="28" t="s">
        <v>187</v>
      </c>
      <c r="C2209" s="28" t="s">
        <v>174</v>
      </c>
      <c r="D2209" s="23" t="n">
        <v>7</v>
      </c>
      <c r="E2209" s="23" t="n">
        <v>7</v>
      </c>
      <c r="F2209" s="28" t="s">
        <v>911</v>
      </c>
      <c r="G2209" s="19" t="n">
        <v>0.073</v>
      </c>
    </row>
    <row r="2210" customFormat="false" ht="15" hidden="false" customHeight="false" outlineLevel="0" collapsed="false">
      <c r="A2210" s="28" t="s">
        <v>186</v>
      </c>
      <c r="B2210" s="28" t="s">
        <v>187</v>
      </c>
      <c r="C2210" s="28" t="s">
        <v>174</v>
      </c>
      <c r="D2210" s="23" t="n">
        <v>7</v>
      </c>
      <c r="E2210" s="23" t="n">
        <v>7</v>
      </c>
      <c r="F2210" s="28" t="s">
        <v>912</v>
      </c>
      <c r="G2210" s="19" t="n">
        <v>0.0744</v>
      </c>
    </row>
    <row r="2211" customFormat="false" ht="15" hidden="false" customHeight="false" outlineLevel="0" collapsed="false">
      <c r="A2211" s="28" t="s">
        <v>186</v>
      </c>
      <c r="B2211" s="28" t="s">
        <v>187</v>
      </c>
      <c r="C2211" s="28" t="s">
        <v>174</v>
      </c>
      <c r="D2211" s="23" t="n">
        <v>7</v>
      </c>
      <c r="E2211" s="23" t="n">
        <v>7</v>
      </c>
      <c r="F2211" s="28" t="s">
        <v>913</v>
      </c>
      <c r="G2211" s="19" t="n">
        <v>0.0793</v>
      </c>
    </row>
    <row r="2212" customFormat="false" ht="15" hidden="false" customHeight="false" outlineLevel="0" collapsed="false">
      <c r="A2212" s="28" t="s">
        <v>186</v>
      </c>
      <c r="B2212" s="28" t="s">
        <v>187</v>
      </c>
      <c r="C2212" s="28" t="s">
        <v>174</v>
      </c>
      <c r="D2212" s="23" t="n">
        <v>7</v>
      </c>
      <c r="E2212" s="23" t="n">
        <v>7</v>
      </c>
      <c r="F2212" s="28" t="s">
        <v>914</v>
      </c>
      <c r="G2212" s="19" t="n">
        <v>0.0791</v>
      </c>
    </row>
    <row r="2213" customFormat="false" ht="15" hidden="false" customHeight="false" outlineLevel="0" collapsed="false">
      <c r="A2213" s="28" t="s">
        <v>186</v>
      </c>
      <c r="B2213" s="28" t="s">
        <v>187</v>
      </c>
      <c r="C2213" s="28" t="s">
        <v>174</v>
      </c>
      <c r="D2213" s="23" t="n">
        <v>7</v>
      </c>
      <c r="E2213" s="23" t="n">
        <v>7</v>
      </c>
      <c r="F2213" s="28" t="s">
        <v>915</v>
      </c>
      <c r="G2213" s="19" t="n">
        <v>0.0949</v>
      </c>
    </row>
    <row r="2214" customFormat="false" ht="15" hidden="false" customHeight="false" outlineLevel="0" collapsed="false">
      <c r="A2214" s="28" t="s">
        <v>186</v>
      </c>
      <c r="B2214" s="28" t="s">
        <v>187</v>
      </c>
      <c r="C2214" s="28" t="s">
        <v>174</v>
      </c>
      <c r="D2214" s="23" t="n">
        <v>7</v>
      </c>
      <c r="E2214" s="23" t="n">
        <v>8</v>
      </c>
      <c r="F2214" s="28" t="s">
        <v>904</v>
      </c>
      <c r="G2214" s="19" t="n">
        <v>0.0663</v>
      </c>
    </row>
    <row r="2215" customFormat="false" ht="15" hidden="false" customHeight="false" outlineLevel="0" collapsed="false">
      <c r="A2215" s="28" t="s">
        <v>186</v>
      </c>
      <c r="B2215" s="28" t="s">
        <v>187</v>
      </c>
      <c r="C2215" s="28" t="s">
        <v>174</v>
      </c>
      <c r="D2215" s="23" t="n">
        <v>7</v>
      </c>
      <c r="E2215" s="23" t="n">
        <v>8</v>
      </c>
      <c r="F2215" s="28" t="s">
        <v>551</v>
      </c>
      <c r="G2215" s="19" t="n">
        <v>0.0975</v>
      </c>
    </row>
    <row r="2216" customFormat="false" ht="15" hidden="false" customHeight="false" outlineLevel="0" collapsed="false">
      <c r="A2216" s="28" t="s">
        <v>186</v>
      </c>
      <c r="B2216" s="28" t="s">
        <v>187</v>
      </c>
      <c r="C2216" s="28" t="s">
        <v>174</v>
      </c>
      <c r="D2216" s="23" t="n">
        <v>7</v>
      </c>
      <c r="E2216" s="23" t="n">
        <v>8</v>
      </c>
      <c r="F2216" s="28" t="s">
        <v>451</v>
      </c>
      <c r="G2216" s="19" t="n">
        <v>0.0661</v>
      </c>
    </row>
    <row r="2217" customFormat="false" ht="15" hidden="false" customHeight="false" outlineLevel="0" collapsed="false">
      <c r="A2217" s="28" t="s">
        <v>186</v>
      </c>
      <c r="B2217" s="28" t="s">
        <v>187</v>
      </c>
      <c r="C2217" s="28" t="s">
        <v>174</v>
      </c>
      <c r="D2217" s="23" t="n">
        <v>7</v>
      </c>
      <c r="E2217" s="23" t="n">
        <v>8</v>
      </c>
      <c r="F2217" s="28" t="s">
        <v>905</v>
      </c>
      <c r="G2217" s="19" t="n">
        <v>0.0687</v>
      </c>
    </row>
    <row r="2218" customFormat="false" ht="15" hidden="false" customHeight="false" outlineLevel="0" collapsed="false">
      <c r="A2218" s="28" t="s">
        <v>186</v>
      </c>
      <c r="B2218" s="28" t="s">
        <v>187</v>
      </c>
      <c r="C2218" s="28" t="s">
        <v>174</v>
      </c>
      <c r="D2218" s="23" t="n">
        <v>7</v>
      </c>
      <c r="E2218" s="23" t="n">
        <v>8</v>
      </c>
      <c r="F2218" s="28" t="s">
        <v>906</v>
      </c>
      <c r="G2218" s="19" t="n">
        <v>0.0701</v>
      </c>
    </row>
    <row r="2219" customFormat="false" ht="15" hidden="false" customHeight="false" outlineLevel="0" collapsed="false">
      <c r="A2219" s="28" t="s">
        <v>186</v>
      </c>
      <c r="B2219" s="28" t="s">
        <v>187</v>
      </c>
      <c r="C2219" s="28" t="s">
        <v>174</v>
      </c>
      <c r="D2219" s="23" t="n">
        <v>7</v>
      </c>
      <c r="E2219" s="23" t="n">
        <v>8</v>
      </c>
      <c r="F2219" s="28" t="s">
        <v>907</v>
      </c>
      <c r="G2219" s="19" t="n">
        <v>0.0698</v>
      </c>
    </row>
    <row r="2220" customFormat="false" ht="15" hidden="false" customHeight="false" outlineLevel="0" collapsed="false">
      <c r="A2220" s="28" t="s">
        <v>186</v>
      </c>
      <c r="B2220" s="28" t="s">
        <v>187</v>
      </c>
      <c r="C2220" s="28" t="s">
        <v>174</v>
      </c>
      <c r="D2220" s="23" t="n">
        <v>7</v>
      </c>
      <c r="E2220" s="23" t="n">
        <v>8</v>
      </c>
      <c r="F2220" s="28" t="s">
        <v>908</v>
      </c>
      <c r="G2220" s="19" t="n">
        <v>0.0714</v>
      </c>
    </row>
    <row r="2221" customFormat="false" ht="15" hidden="false" customHeight="false" outlineLevel="0" collapsed="false">
      <c r="A2221" s="28" t="s">
        <v>186</v>
      </c>
      <c r="B2221" s="28" t="s">
        <v>187</v>
      </c>
      <c r="C2221" s="28" t="s">
        <v>174</v>
      </c>
      <c r="D2221" s="23" t="n">
        <v>7</v>
      </c>
      <c r="E2221" s="23" t="n">
        <v>8</v>
      </c>
      <c r="F2221" s="28" t="s">
        <v>909</v>
      </c>
      <c r="G2221" s="19" t="n">
        <v>0.0715</v>
      </c>
    </row>
    <row r="2222" customFormat="false" ht="15" hidden="false" customHeight="false" outlineLevel="0" collapsed="false">
      <c r="A2222" s="28" t="s">
        <v>186</v>
      </c>
      <c r="B2222" s="28" t="s">
        <v>187</v>
      </c>
      <c r="C2222" s="28" t="s">
        <v>174</v>
      </c>
      <c r="D2222" s="23" t="n">
        <v>7</v>
      </c>
      <c r="E2222" s="23" t="n">
        <v>8</v>
      </c>
      <c r="F2222" s="28" t="s">
        <v>910</v>
      </c>
      <c r="G2222" s="19" t="n">
        <v>0.0719</v>
      </c>
    </row>
    <row r="2223" customFormat="false" ht="15" hidden="false" customHeight="false" outlineLevel="0" collapsed="false">
      <c r="A2223" s="28" t="s">
        <v>186</v>
      </c>
      <c r="B2223" s="28" t="s">
        <v>187</v>
      </c>
      <c r="C2223" s="28" t="s">
        <v>174</v>
      </c>
      <c r="D2223" s="23" t="n">
        <v>7</v>
      </c>
      <c r="E2223" s="23" t="n">
        <v>8</v>
      </c>
      <c r="F2223" s="28" t="s">
        <v>911</v>
      </c>
      <c r="G2223" s="19" t="n">
        <v>0.073</v>
      </c>
    </row>
    <row r="2224" customFormat="false" ht="15" hidden="false" customHeight="false" outlineLevel="0" collapsed="false">
      <c r="A2224" s="28" t="s">
        <v>186</v>
      </c>
      <c r="B2224" s="28" t="s">
        <v>187</v>
      </c>
      <c r="C2224" s="28" t="s">
        <v>174</v>
      </c>
      <c r="D2224" s="23" t="n">
        <v>7</v>
      </c>
      <c r="E2224" s="23" t="n">
        <v>8</v>
      </c>
      <c r="F2224" s="28" t="s">
        <v>912</v>
      </c>
      <c r="G2224" s="19" t="n">
        <v>0.0744</v>
      </c>
    </row>
    <row r="2225" customFormat="false" ht="15" hidden="false" customHeight="false" outlineLevel="0" collapsed="false">
      <c r="A2225" s="28" t="s">
        <v>186</v>
      </c>
      <c r="B2225" s="28" t="s">
        <v>187</v>
      </c>
      <c r="C2225" s="28" t="s">
        <v>174</v>
      </c>
      <c r="D2225" s="23" t="n">
        <v>7</v>
      </c>
      <c r="E2225" s="23" t="n">
        <v>8</v>
      </c>
      <c r="F2225" s="28" t="s">
        <v>913</v>
      </c>
      <c r="G2225" s="19" t="n">
        <v>0.0793</v>
      </c>
    </row>
    <row r="2226" customFormat="false" ht="15" hidden="false" customHeight="false" outlineLevel="0" collapsed="false">
      <c r="A2226" s="28" t="s">
        <v>186</v>
      </c>
      <c r="B2226" s="28" t="s">
        <v>187</v>
      </c>
      <c r="C2226" s="28" t="s">
        <v>174</v>
      </c>
      <c r="D2226" s="23" t="n">
        <v>7</v>
      </c>
      <c r="E2226" s="23" t="n">
        <v>8</v>
      </c>
      <c r="F2226" s="28" t="s">
        <v>914</v>
      </c>
      <c r="G2226" s="19" t="n">
        <v>0.0791</v>
      </c>
    </row>
    <row r="2227" customFormat="false" ht="15" hidden="false" customHeight="false" outlineLevel="0" collapsed="false">
      <c r="A2227" s="28" t="s">
        <v>186</v>
      </c>
      <c r="B2227" s="28" t="s">
        <v>187</v>
      </c>
      <c r="C2227" s="28" t="s">
        <v>174</v>
      </c>
      <c r="D2227" s="23" t="n">
        <v>7</v>
      </c>
      <c r="E2227" s="23" t="n">
        <v>8</v>
      </c>
      <c r="F2227" s="28" t="s">
        <v>915</v>
      </c>
      <c r="G2227" s="19" t="n">
        <v>0.0949</v>
      </c>
    </row>
    <row r="2228" customFormat="false" ht="15" hidden="false" customHeight="false" outlineLevel="0" collapsed="false">
      <c r="A2228" s="28" t="s">
        <v>186</v>
      </c>
      <c r="B2228" s="28" t="s">
        <v>187</v>
      </c>
      <c r="C2228" s="28" t="s">
        <v>174</v>
      </c>
      <c r="D2228" s="23" t="n">
        <v>7</v>
      </c>
      <c r="E2228" s="23" t="n">
        <v>9</v>
      </c>
      <c r="F2228" s="28" t="s">
        <v>904</v>
      </c>
      <c r="G2228" s="19" t="n">
        <v>0.0663</v>
      </c>
    </row>
    <row r="2229" customFormat="false" ht="15" hidden="false" customHeight="false" outlineLevel="0" collapsed="false">
      <c r="A2229" s="28" t="s">
        <v>186</v>
      </c>
      <c r="B2229" s="28" t="s">
        <v>187</v>
      </c>
      <c r="C2229" s="28" t="s">
        <v>174</v>
      </c>
      <c r="D2229" s="23" t="n">
        <v>7</v>
      </c>
      <c r="E2229" s="23" t="n">
        <v>9</v>
      </c>
      <c r="F2229" s="28" t="s">
        <v>551</v>
      </c>
      <c r="G2229" s="19" t="n">
        <v>0.0975</v>
      </c>
    </row>
    <row r="2230" customFormat="false" ht="15" hidden="false" customHeight="false" outlineLevel="0" collapsed="false">
      <c r="A2230" s="28" t="s">
        <v>186</v>
      </c>
      <c r="B2230" s="28" t="s">
        <v>187</v>
      </c>
      <c r="C2230" s="28" t="s">
        <v>174</v>
      </c>
      <c r="D2230" s="23" t="n">
        <v>7</v>
      </c>
      <c r="E2230" s="23" t="n">
        <v>9</v>
      </c>
      <c r="F2230" s="28" t="s">
        <v>451</v>
      </c>
      <c r="G2230" s="19" t="n">
        <v>0.0661</v>
      </c>
    </row>
    <row r="2231" customFormat="false" ht="15" hidden="false" customHeight="false" outlineLevel="0" collapsed="false">
      <c r="A2231" s="28" t="s">
        <v>186</v>
      </c>
      <c r="B2231" s="28" t="s">
        <v>187</v>
      </c>
      <c r="C2231" s="28" t="s">
        <v>174</v>
      </c>
      <c r="D2231" s="23" t="n">
        <v>7</v>
      </c>
      <c r="E2231" s="23" t="n">
        <v>9</v>
      </c>
      <c r="F2231" s="28" t="s">
        <v>905</v>
      </c>
      <c r="G2231" s="19" t="n">
        <v>0.0687</v>
      </c>
    </row>
    <row r="2232" customFormat="false" ht="15" hidden="false" customHeight="false" outlineLevel="0" collapsed="false">
      <c r="A2232" s="28" t="s">
        <v>186</v>
      </c>
      <c r="B2232" s="28" t="s">
        <v>187</v>
      </c>
      <c r="C2232" s="28" t="s">
        <v>174</v>
      </c>
      <c r="D2232" s="23" t="n">
        <v>7</v>
      </c>
      <c r="E2232" s="23" t="n">
        <v>9</v>
      </c>
      <c r="F2232" s="28" t="s">
        <v>906</v>
      </c>
      <c r="G2232" s="19" t="n">
        <v>0.0701</v>
      </c>
    </row>
    <row r="2233" customFormat="false" ht="15" hidden="false" customHeight="false" outlineLevel="0" collapsed="false">
      <c r="A2233" s="28" t="s">
        <v>186</v>
      </c>
      <c r="B2233" s="28" t="s">
        <v>187</v>
      </c>
      <c r="C2233" s="28" t="s">
        <v>174</v>
      </c>
      <c r="D2233" s="23" t="n">
        <v>7</v>
      </c>
      <c r="E2233" s="23" t="n">
        <v>9</v>
      </c>
      <c r="F2233" s="28" t="s">
        <v>907</v>
      </c>
      <c r="G2233" s="19" t="n">
        <v>0.0698</v>
      </c>
    </row>
    <row r="2234" customFormat="false" ht="15" hidden="false" customHeight="false" outlineLevel="0" collapsed="false">
      <c r="A2234" s="28" t="s">
        <v>186</v>
      </c>
      <c r="B2234" s="28" t="s">
        <v>187</v>
      </c>
      <c r="C2234" s="28" t="s">
        <v>174</v>
      </c>
      <c r="D2234" s="23" t="n">
        <v>7</v>
      </c>
      <c r="E2234" s="23" t="n">
        <v>9</v>
      </c>
      <c r="F2234" s="28" t="s">
        <v>908</v>
      </c>
      <c r="G2234" s="19" t="n">
        <v>0.0714</v>
      </c>
    </row>
    <row r="2235" customFormat="false" ht="15" hidden="false" customHeight="false" outlineLevel="0" collapsed="false">
      <c r="A2235" s="28" t="s">
        <v>186</v>
      </c>
      <c r="B2235" s="28" t="s">
        <v>187</v>
      </c>
      <c r="C2235" s="28" t="s">
        <v>174</v>
      </c>
      <c r="D2235" s="23" t="n">
        <v>7</v>
      </c>
      <c r="E2235" s="23" t="n">
        <v>9</v>
      </c>
      <c r="F2235" s="28" t="s">
        <v>909</v>
      </c>
      <c r="G2235" s="19" t="n">
        <v>0.0715</v>
      </c>
    </row>
    <row r="2236" customFormat="false" ht="15" hidden="false" customHeight="false" outlineLevel="0" collapsed="false">
      <c r="A2236" s="28" t="s">
        <v>186</v>
      </c>
      <c r="B2236" s="28" t="s">
        <v>187</v>
      </c>
      <c r="C2236" s="28" t="s">
        <v>174</v>
      </c>
      <c r="D2236" s="23" t="n">
        <v>7</v>
      </c>
      <c r="E2236" s="23" t="n">
        <v>9</v>
      </c>
      <c r="F2236" s="28" t="s">
        <v>910</v>
      </c>
      <c r="G2236" s="19" t="n">
        <v>0.0719</v>
      </c>
    </row>
    <row r="2237" customFormat="false" ht="15" hidden="false" customHeight="false" outlineLevel="0" collapsed="false">
      <c r="A2237" s="28" t="s">
        <v>186</v>
      </c>
      <c r="B2237" s="28" t="s">
        <v>187</v>
      </c>
      <c r="C2237" s="28" t="s">
        <v>174</v>
      </c>
      <c r="D2237" s="23" t="n">
        <v>7</v>
      </c>
      <c r="E2237" s="23" t="n">
        <v>9</v>
      </c>
      <c r="F2237" s="28" t="s">
        <v>911</v>
      </c>
      <c r="G2237" s="19" t="n">
        <v>0.073</v>
      </c>
    </row>
    <row r="2238" customFormat="false" ht="15" hidden="false" customHeight="false" outlineLevel="0" collapsed="false">
      <c r="A2238" s="28" t="s">
        <v>186</v>
      </c>
      <c r="B2238" s="28" t="s">
        <v>187</v>
      </c>
      <c r="C2238" s="28" t="s">
        <v>174</v>
      </c>
      <c r="D2238" s="23" t="n">
        <v>7</v>
      </c>
      <c r="E2238" s="23" t="n">
        <v>9</v>
      </c>
      <c r="F2238" s="28" t="s">
        <v>912</v>
      </c>
      <c r="G2238" s="19" t="n">
        <v>0.0744</v>
      </c>
    </row>
    <row r="2239" customFormat="false" ht="15" hidden="false" customHeight="false" outlineLevel="0" collapsed="false">
      <c r="A2239" s="28" t="s">
        <v>186</v>
      </c>
      <c r="B2239" s="28" t="s">
        <v>187</v>
      </c>
      <c r="C2239" s="28" t="s">
        <v>174</v>
      </c>
      <c r="D2239" s="23" t="n">
        <v>7</v>
      </c>
      <c r="E2239" s="23" t="n">
        <v>9</v>
      </c>
      <c r="F2239" s="28" t="s">
        <v>913</v>
      </c>
      <c r="G2239" s="19" t="n">
        <v>0.0793</v>
      </c>
    </row>
    <row r="2240" customFormat="false" ht="15" hidden="false" customHeight="false" outlineLevel="0" collapsed="false">
      <c r="A2240" s="28" t="s">
        <v>186</v>
      </c>
      <c r="B2240" s="28" t="s">
        <v>187</v>
      </c>
      <c r="C2240" s="28" t="s">
        <v>174</v>
      </c>
      <c r="D2240" s="23" t="n">
        <v>7</v>
      </c>
      <c r="E2240" s="23" t="n">
        <v>9</v>
      </c>
      <c r="F2240" s="28" t="s">
        <v>914</v>
      </c>
      <c r="G2240" s="19" t="n">
        <v>0.0791</v>
      </c>
    </row>
    <row r="2241" customFormat="false" ht="15" hidden="false" customHeight="false" outlineLevel="0" collapsed="false">
      <c r="A2241" s="28" t="s">
        <v>186</v>
      </c>
      <c r="B2241" s="28" t="s">
        <v>187</v>
      </c>
      <c r="C2241" s="28" t="s">
        <v>174</v>
      </c>
      <c r="D2241" s="23" t="n">
        <v>7</v>
      </c>
      <c r="E2241" s="23" t="n">
        <v>9</v>
      </c>
      <c r="F2241" s="28" t="s">
        <v>915</v>
      </c>
      <c r="G2241" s="19" t="n">
        <v>0.0949</v>
      </c>
    </row>
    <row r="2242" customFormat="false" ht="15" hidden="false" customHeight="false" outlineLevel="0" collapsed="false">
      <c r="A2242" s="28" t="s">
        <v>186</v>
      </c>
      <c r="B2242" s="28" t="s">
        <v>187</v>
      </c>
      <c r="C2242" s="28" t="s">
        <v>174</v>
      </c>
      <c r="D2242" s="23" t="n">
        <v>7</v>
      </c>
      <c r="E2242" s="23" t="n">
        <v>10</v>
      </c>
      <c r="F2242" s="28" t="s">
        <v>904</v>
      </c>
      <c r="G2242" s="19" t="n">
        <v>0.0663</v>
      </c>
    </row>
    <row r="2243" customFormat="false" ht="15" hidden="false" customHeight="false" outlineLevel="0" collapsed="false">
      <c r="A2243" s="28" t="s">
        <v>186</v>
      </c>
      <c r="B2243" s="28" t="s">
        <v>187</v>
      </c>
      <c r="C2243" s="28" t="s">
        <v>174</v>
      </c>
      <c r="D2243" s="23" t="n">
        <v>7</v>
      </c>
      <c r="E2243" s="23" t="n">
        <v>10</v>
      </c>
      <c r="F2243" s="28" t="s">
        <v>551</v>
      </c>
      <c r="G2243" s="19" t="n">
        <v>0.0975</v>
      </c>
    </row>
    <row r="2244" customFormat="false" ht="15" hidden="false" customHeight="false" outlineLevel="0" collapsed="false">
      <c r="A2244" s="28" t="s">
        <v>186</v>
      </c>
      <c r="B2244" s="28" t="s">
        <v>187</v>
      </c>
      <c r="C2244" s="28" t="s">
        <v>174</v>
      </c>
      <c r="D2244" s="23" t="n">
        <v>7</v>
      </c>
      <c r="E2244" s="23" t="n">
        <v>10</v>
      </c>
      <c r="F2244" s="28" t="s">
        <v>451</v>
      </c>
      <c r="G2244" s="19" t="n">
        <v>0.0661</v>
      </c>
    </row>
    <row r="2245" customFormat="false" ht="15" hidden="false" customHeight="false" outlineLevel="0" collapsed="false">
      <c r="A2245" s="28" t="s">
        <v>186</v>
      </c>
      <c r="B2245" s="28" t="s">
        <v>187</v>
      </c>
      <c r="C2245" s="28" t="s">
        <v>174</v>
      </c>
      <c r="D2245" s="23" t="n">
        <v>7</v>
      </c>
      <c r="E2245" s="23" t="n">
        <v>10</v>
      </c>
      <c r="F2245" s="28" t="s">
        <v>905</v>
      </c>
      <c r="G2245" s="19" t="n">
        <v>0.0687</v>
      </c>
    </row>
    <row r="2246" customFormat="false" ht="15" hidden="false" customHeight="false" outlineLevel="0" collapsed="false">
      <c r="A2246" s="28" t="s">
        <v>186</v>
      </c>
      <c r="B2246" s="28" t="s">
        <v>187</v>
      </c>
      <c r="C2246" s="28" t="s">
        <v>174</v>
      </c>
      <c r="D2246" s="23" t="n">
        <v>7</v>
      </c>
      <c r="E2246" s="23" t="n">
        <v>10</v>
      </c>
      <c r="F2246" s="28" t="s">
        <v>906</v>
      </c>
      <c r="G2246" s="19" t="n">
        <v>0.0701</v>
      </c>
    </row>
    <row r="2247" customFormat="false" ht="15" hidden="false" customHeight="false" outlineLevel="0" collapsed="false">
      <c r="A2247" s="28" t="s">
        <v>186</v>
      </c>
      <c r="B2247" s="28" t="s">
        <v>187</v>
      </c>
      <c r="C2247" s="28" t="s">
        <v>174</v>
      </c>
      <c r="D2247" s="23" t="n">
        <v>7</v>
      </c>
      <c r="E2247" s="23" t="n">
        <v>10</v>
      </c>
      <c r="F2247" s="28" t="s">
        <v>907</v>
      </c>
      <c r="G2247" s="19" t="n">
        <v>0.0698</v>
      </c>
    </row>
    <row r="2248" customFormat="false" ht="15" hidden="false" customHeight="false" outlineLevel="0" collapsed="false">
      <c r="A2248" s="28" t="s">
        <v>186</v>
      </c>
      <c r="B2248" s="28" t="s">
        <v>187</v>
      </c>
      <c r="C2248" s="28" t="s">
        <v>174</v>
      </c>
      <c r="D2248" s="23" t="n">
        <v>7</v>
      </c>
      <c r="E2248" s="23" t="n">
        <v>10</v>
      </c>
      <c r="F2248" s="28" t="s">
        <v>908</v>
      </c>
      <c r="G2248" s="19" t="n">
        <v>0.0714</v>
      </c>
    </row>
    <row r="2249" customFormat="false" ht="15" hidden="false" customHeight="false" outlineLevel="0" collapsed="false">
      <c r="A2249" s="28" t="s">
        <v>186</v>
      </c>
      <c r="B2249" s="28" t="s">
        <v>187</v>
      </c>
      <c r="C2249" s="28" t="s">
        <v>174</v>
      </c>
      <c r="D2249" s="23" t="n">
        <v>7</v>
      </c>
      <c r="E2249" s="23" t="n">
        <v>10</v>
      </c>
      <c r="F2249" s="28" t="s">
        <v>909</v>
      </c>
      <c r="G2249" s="19" t="n">
        <v>0.0715</v>
      </c>
    </row>
    <row r="2250" customFormat="false" ht="15" hidden="false" customHeight="false" outlineLevel="0" collapsed="false">
      <c r="A2250" s="28" t="s">
        <v>186</v>
      </c>
      <c r="B2250" s="28" t="s">
        <v>187</v>
      </c>
      <c r="C2250" s="28" t="s">
        <v>174</v>
      </c>
      <c r="D2250" s="23" t="n">
        <v>7</v>
      </c>
      <c r="E2250" s="23" t="n">
        <v>10</v>
      </c>
      <c r="F2250" s="28" t="s">
        <v>910</v>
      </c>
      <c r="G2250" s="19" t="n">
        <v>0.0719</v>
      </c>
    </row>
    <row r="2251" customFormat="false" ht="15" hidden="false" customHeight="false" outlineLevel="0" collapsed="false">
      <c r="A2251" s="28" t="s">
        <v>186</v>
      </c>
      <c r="B2251" s="28" t="s">
        <v>187</v>
      </c>
      <c r="C2251" s="28" t="s">
        <v>174</v>
      </c>
      <c r="D2251" s="23" t="n">
        <v>7</v>
      </c>
      <c r="E2251" s="23" t="n">
        <v>10</v>
      </c>
      <c r="F2251" s="28" t="s">
        <v>911</v>
      </c>
      <c r="G2251" s="19" t="n">
        <v>0.073</v>
      </c>
    </row>
    <row r="2252" customFormat="false" ht="15" hidden="false" customHeight="false" outlineLevel="0" collapsed="false">
      <c r="A2252" s="28" t="s">
        <v>186</v>
      </c>
      <c r="B2252" s="28" t="s">
        <v>187</v>
      </c>
      <c r="C2252" s="28" t="s">
        <v>174</v>
      </c>
      <c r="D2252" s="23" t="n">
        <v>7</v>
      </c>
      <c r="E2252" s="23" t="n">
        <v>10</v>
      </c>
      <c r="F2252" s="28" t="s">
        <v>912</v>
      </c>
      <c r="G2252" s="19" t="n">
        <v>0.0744</v>
      </c>
    </row>
    <row r="2253" customFormat="false" ht="15" hidden="false" customHeight="false" outlineLevel="0" collapsed="false">
      <c r="A2253" s="28" t="s">
        <v>186</v>
      </c>
      <c r="B2253" s="28" t="s">
        <v>187</v>
      </c>
      <c r="C2253" s="28" t="s">
        <v>174</v>
      </c>
      <c r="D2253" s="23" t="n">
        <v>7</v>
      </c>
      <c r="E2253" s="23" t="n">
        <v>10</v>
      </c>
      <c r="F2253" s="28" t="s">
        <v>913</v>
      </c>
      <c r="G2253" s="19" t="n">
        <v>0.0793</v>
      </c>
    </row>
    <row r="2254" customFormat="false" ht="15" hidden="false" customHeight="false" outlineLevel="0" collapsed="false">
      <c r="A2254" s="28" t="s">
        <v>186</v>
      </c>
      <c r="B2254" s="28" t="s">
        <v>187</v>
      </c>
      <c r="C2254" s="28" t="s">
        <v>174</v>
      </c>
      <c r="D2254" s="23" t="n">
        <v>7</v>
      </c>
      <c r="E2254" s="23" t="n">
        <v>10</v>
      </c>
      <c r="F2254" s="28" t="s">
        <v>914</v>
      </c>
      <c r="G2254" s="19" t="n">
        <v>0.0791</v>
      </c>
    </row>
    <row r="2255" customFormat="false" ht="15" hidden="false" customHeight="false" outlineLevel="0" collapsed="false">
      <c r="A2255" s="28" t="s">
        <v>186</v>
      </c>
      <c r="B2255" s="28" t="s">
        <v>187</v>
      </c>
      <c r="C2255" s="28" t="s">
        <v>174</v>
      </c>
      <c r="D2255" s="23" t="n">
        <v>7</v>
      </c>
      <c r="E2255" s="23" t="n">
        <v>10</v>
      </c>
      <c r="F2255" s="28" t="s">
        <v>915</v>
      </c>
      <c r="G2255" s="19" t="n">
        <v>0.0949</v>
      </c>
    </row>
    <row r="2256" customFormat="false" ht="15" hidden="false" customHeight="false" outlineLevel="0" collapsed="false">
      <c r="A2256" s="28" t="s">
        <v>186</v>
      </c>
      <c r="B2256" s="28" t="s">
        <v>187</v>
      </c>
      <c r="C2256" s="28" t="s">
        <v>174</v>
      </c>
      <c r="D2256" s="23" t="n">
        <v>7</v>
      </c>
      <c r="E2256" s="23" t="n">
        <v>11</v>
      </c>
      <c r="F2256" s="28" t="s">
        <v>904</v>
      </c>
      <c r="G2256" s="19" t="n">
        <v>0.0663</v>
      </c>
    </row>
    <row r="2257" customFormat="false" ht="15" hidden="false" customHeight="false" outlineLevel="0" collapsed="false">
      <c r="A2257" s="28" t="s">
        <v>186</v>
      </c>
      <c r="B2257" s="28" t="s">
        <v>187</v>
      </c>
      <c r="C2257" s="28" t="s">
        <v>174</v>
      </c>
      <c r="D2257" s="23" t="n">
        <v>7</v>
      </c>
      <c r="E2257" s="23" t="n">
        <v>11</v>
      </c>
      <c r="F2257" s="28" t="s">
        <v>551</v>
      </c>
      <c r="G2257" s="19" t="n">
        <v>0.0975</v>
      </c>
    </row>
    <row r="2258" customFormat="false" ht="15" hidden="false" customHeight="false" outlineLevel="0" collapsed="false">
      <c r="A2258" s="28" t="s">
        <v>186</v>
      </c>
      <c r="B2258" s="28" t="s">
        <v>187</v>
      </c>
      <c r="C2258" s="28" t="s">
        <v>174</v>
      </c>
      <c r="D2258" s="23" t="n">
        <v>7</v>
      </c>
      <c r="E2258" s="23" t="n">
        <v>11</v>
      </c>
      <c r="F2258" s="28" t="s">
        <v>451</v>
      </c>
      <c r="G2258" s="19" t="n">
        <v>0.0661</v>
      </c>
    </row>
    <row r="2259" customFormat="false" ht="15" hidden="false" customHeight="false" outlineLevel="0" collapsed="false">
      <c r="A2259" s="28" t="s">
        <v>186</v>
      </c>
      <c r="B2259" s="28" t="s">
        <v>187</v>
      </c>
      <c r="C2259" s="28" t="s">
        <v>174</v>
      </c>
      <c r="D2259" s="23" t="n">
        <v>7</v>
      </c>
      <c r="E2259" s="23" t="n">
        <v>11</v>
      </c>
      <c r="F2259" s="28" t="s">
        <v>905</v>
      </c>
      <c r="G2259" s="19" t="n">
        <v>0.0687</v>
      </c>
    </row>
    <row r="2260" customFormat="false" ht="15" hidden="false" customHeight="false" outlineLevel="0" collapsed="false">
      <c r="A2260" s="28" t="s">
        <v>186</v>
      </c>
      <c r="B2260" s="28" t="s">
        <v>187</v>
      </c>
      <c r="C2260" s="28" t="s">
        <v>174</v>
      </c>
      <c r="D2260" s="23" t="n">
        <v>7</v>
      </c>
      <c r="E2260" s="23" t="n">
        <v>11</v>
      </c>
      <c r="F2260" s="28" t="s">
        <v>906</v>
      </c>
      <c r="G2260" s="19" t="n">
        <v>0.0701</v>
      </c>
    </row>
    <row r="2261" customFormat="false" ht="15" hidden="false" customHeight="false" outlineLevel="0" collapsed="false">
      <c r="A2261" s="28" t="s">
        <v>186</v>
      </c>
      <c r="B2261" s="28" t="s">
        <v>187</v>
      </c>
      <c r="C2261" s="28" t="s">
        <v>174</v>
      </c>
      <c r="D2261" s="23" t="n">
        <v>7</v>
      </c>
      <c r="E2261" s="23" t="n">
        <v>11</v>
      </c>
      <c r="F2261" s="28" t="s">
        <v>907</v>
      </c>
      <c r="G2261" s="19" t="n">
        <v>0.0698</v>
      </c>
    </row>
    <row r="2262" customFormat="false" ht="15" hidden="false" customHeight="false" outlineLevel="0" collapsed="false">
      <c r="A2262" s="28" t="s">
        <v>186</v>
      </c>
      <c r="B2262" s="28" t="s">
        <v>187</v>
      </c>
      <c r="C2262" s="28" t="s">
        <v>174</v>
      </c>
      <c r="D2262" s="23" t="n">
        <v>7</v>
      </c>
      <c r="E2262" s="23" t="n">
        <v>11</v>
      </c>
      <c r="F2262" s="28" t="s">
        <v>908</v>
      </c>
      <c r="G2262" s="19" t="n">
        <v>0.0714</v>
      </c>
    </row>
    <row r="2263" customFormat="false" ht="15" hidden="false" customHeight="false" outlineLevel="0" collapsed="false">
      <c r="A2263" s="28" t="s">
        <v>186</v>
      </c>
      <c r="B2263" s="28" t="s">
        <v>187</v>
      </c>
      <c r="C2263" s="28" t="s">
        <v>174</v>
      </c>
      <c r="D2263" s="23" t="n">
        <v>7</v>
      </c>
      <c r="E2263" s="23" t="n">
        <v>11</v>
      </c>
      <c r="F2263" s="28" t="s">
        <v>909</v>
      </c>
      <c r="G2263" s="19" t="n">
        <v>0.0715</v>
      </c>
    </row>
    <row r="2264" customFormat="false" ht="15" hidden="false" customHeight="false" outlineLevel="0" collapsed="false">
      <c r="A2264" s="28" t="s">
        <v>186</v>
      </c>
      <c r="B2264" s="28" t="s">
        <v>187</v>
      </c>
      <c r="C2264" s="28" t="s">
        <v>174</v>
      </c>
      <c r="D2264" s="23" t="n">
        <v>7</v>
      </c>
      <c r="E2264" s="23" t="n">
        <v>11</v>
      </c>
      <c r="F2264" s="28" t="s">
        <v>910</v>
      </c>
      <c r="G2264" s="19" t="n">
        <v>0.0719</v>
      </c>
    </row>
    <row r="2265" customFormat="false" ht="15" hidden="false" customHeight="false" outlineLevel="0" collapsed="false">
      <c r="A2265" s="28" t="s">
        <v>186</v>
      </c>
      <c r="B2265" s="28" t="s">
        <v>187</v>
      </c>
      <c r="C2265" s="28" t="s">
        <v>174</v>
      </c>
      <c r="D2265" s="23" t="n">
        <v>7</v>
      </c>
      <c r="E2265" s="23" t="n">
        <v>11</v>
      </c>
      <c r="F2265" s="28" t="s">
        <v>911</v>
      </c>
      <c r="G2265" s="19" t="n">
        <v>0.073</v>
      </c>
    </row>
    <row r="2266" customFormat="false" ht="15" hidden="false" customHeight="false" outlineLevel="0" collapsed="false">
      <c r="A2266" s="28" t="s">
        <v>186</v>
      </c>
      <c r="B2266" s="28" t="s">
        <v>187</v>
      </c>
      <c r="C2266" s="28" t="s">
        <v>174</v>
      </c>
      <c r="D2266" s="23" t="n">
        <v>7</v>
      </c>
      <c r="E2266" s="23" t="n">
        <v>11</v>
      </c>
      <c r="F2266" s="28" t="s">
        <v>912</v>
      </c>
      <c r="G2266" s="19" t="n">
        <v>0.0744</v>
      </c>
    </row>
    <row r="2267" customFormat="false" ht="15" hidden="false" customHeight="false" outlineLevel="0" collapsed="false">
      <c r="A2267" s="28" t="s">
        <v>186</v>
      </c>
      <c r="B2267" s="28" t="s">
        <v>187</v>
      </c>
      <c r="C2267" s="28" t="s">
        <v>174</v>
      </c>
      <c r="D2267" s="23" t="n">
        <v>7</v>
      </c>
      <c r="E2267" s="23" t="n">
        <v>11</v>
      </c>
      <c r="F2267" s="28" t="s">
        <v>913</v>
      </c>
      <c r="G2267" s="19" t="n">
        <v>0.0793</v>
      </c>
    </row>
    <row r="2268" customFormat="false" ht="15" hidden="false" customHeight="false" outlineLevel="0" collapsed="false">
      <c r="A2268" s="28" t="s">
        <v>186</v>
      </c>
      <c r="B2268" s="28" t="s">
        <v>187</v>
      </c>
      <c r="C2268" s="28" t="s">
        <v>174</v>
      </c>
      <c r="D2268" s="23" t="n">
        <v>7</v>
      </c>
      <c r="E2268" s="23" t="n">
        <v>11</v>
      </c>
      <c r="F2268" s="28" t="s">
        <v>914</v>
      </c>
      <c r="G2268" s="19" t="n">
        <v>0.0791</v>
      </c>
    </row>
    <row r="2269" customFormat="false" ht="15" hidden="false" customHeight="false" outlineLevel="0" collapsed="false">
      <c r="A2269" s="28" t="s">
        <v>186</v>
      </c>
      <c r="B2269" s="28" t="s">
        <v>187</v>
      </c>
      <c r="C2269" s="28" t="s">
        <v>174</v>
      </c>
      <c r="D2269" s="23" t="n">
        <v>7</v>
      </c>
      <c r="E2269" s="23" t="n">
        <v>11</v>
      </c>
      <c r="F2269" s="28" t="s">
        <v>915</v>
      </c>
      <c r="G2269" s="19" t="n">
        <v>0.0949</v>
      </c>
    </row>
    <row r="2270" customFormat="false" ht="15" hidden="false" customHeight="false" outlineLevel="0" collapsed="false">
      <c r="A2270" s="28" t="s">
        <v>186</v>
      </c>
      <c r="B2270" s="28" t="s">
        <v>187</v>
      </c>
      <c r="C2270" s="28" t="s">
        <v>174</v>
      </c>
      <c r="D2270" s="23" t="n">
        <v>7</v>
      </c>
      <c r="E2270" s="23" t="n">
        <v>12</v>
      </c>
      <c r="F2270" s="28" t="s">
        <v>904</v>
      </c>
      <c r="G2270" s="19" t="n">
        <v>0.0663</v>
      </c>
    </row>
    <row r="2271" customFormat="false" ht="15" hidden="false" customHeight="false" outlineLevel="0" collapsed="false">
      <c r="A2271" s="28" t="s">
        <v>186</v>
      </c>
      <c r="B2271" s="28" t="s">
        <v>187</v>
      </c>
      <c r="C2271" s="28" t="s">
        <v>174</v>
      </c>
      <c r="D2271" s="23" t="n">
        <v>7</v>
      </c>
      <c r="E2271" s="23" t="n">
        <v>12</v>
      </c>
      <c r="F2271" s="28" t="s">
        <v>551</v>
      </c>
      <c r="G2271" s="19" t="n">
        <v>0.0975</v>
      </c>
    </row>
    <row r="2272" customFormat="false" ht="15" hidden="false" customHeight="false" outlineLevel="0" collapsed="false">
      <c r="A2272" s="28" t="s">
        <v>186</v>
      </c>
      <c r="B2272" s="28" t="s">
        <v>187</v>
      </c>
      <c r="C2272" s="28" t="s">
        <v>174</v>
      </c>
      <c r="D2272" s="23" t="n">
        <v>7</v>
      </c>
      <c r="E2272" s="23" t="n">
        <v>12</v>
      </c>
      <c r="F2272" s="28" t="s">
        <v>451</v>
      </c>
      <c r="G2272" s="19" t="n">
        <v>0.0661</v>
      </c>
    </row>
    <row r="2273" customFormat="false" ht="15" hidden="false" customHeight="false" outlineLevel="0" collapsed="false">
      <c r="A2273" s="28" t="s">
        <v>186</v>
      </c>
      <c r="B2273" s="28" t="s">
        <v>187</v>
      </c>
      <c r="C2273" s="28" t="s">
        <v>174</v>
      </c>
      <c r="D2273" s="23" t="n">
        <v>7</v>
      </c>
      <c r="E2273" s="23" t="n">
        <v>12</v>
      </c>
      <c r="F2273" s="28" t="s">
        <v>905</v>
      </c>
      <c r="G2273" s="19" t="n">
        <v>0.0687</v>
      </c>
    </row>
    <row r="2274" customFormat="false" ht="15" hidden="false" customHeight="false" outlineLevel="0" collapsed="false">
      <c r="A2274" s="28" t="s">
        <v>186</v>
      </c>
      <c r="B2274" s="28" t="s">
        <v>187</v>
      </c>
      <c r="C2274" s="28" t="s">
        <v>174</v>
      </c>
      <c r="D2274" s="23" t="n">
        <v>7</v>
      </c>
      <c r="E2274" s="23" t="n">
        <v>12</v>
      </c>
      <c r="F2274" s="28" t="s">
        <v>906</v>
      </c>
      <c r="G2274" s="19" t="n">
        <v>0.0701</v>
      </c>
    </row>
    <row r="2275" customFormat="false" ht="15" hidden="false" customHeight="false" outlineLevel="0" collapsed="false">
      <c r="A2275" s="28" t="s">
        <v>186</v>
      </c>
      <c r="B2275" s="28" t="s">
        <v>187</v>
      </c>
      <c r="C2275" s="28" t="s">
        <v>174</v>
      </c>
      <c r="D2275" s="23" t="n">
        <v>7</v>
      </c>
      <c r="E2275" s="23" t="n">
        <v>12</v>
      </c>
      <c r="F2275" s="28" t="s">
        <v>907</v>
      </c>
      <c r="G2275" s="19" t="n">
        <v>0.0698</v>
      </c>
    </row>
    <row r="2276" customFormat="false" ht="15" hidden="false" customHeight="false" outlineLevel="0" collapsed="false">
      <c r="A2276" s="28" t="s">
        <v>186</v>
      </c>
      <c r="B2276" s="28" t="s">
        <v>187</v>
      </c>
      <c r="C2276" s="28" t="s">
        <v>174</v>
      </c>
      <c r="D2276" s="23" t="n">
        <v>7</v>
      </c>
      <c r="E2276" s="23" t="n">
        <v>12</v>
      </c>
      <c r="F2276" s="28" t="s">
        <v>908</v>
      </c>
      <c r="G2276" s="19" t="n">
        <v>0.0714</v>
      </c>
    </row>
    <row r="2277" customFormat="false" ht="15" hidden="false" customHeight="false" outlineLevel="0" collapsed="false">
      <c r="A2277" s="28" t="s">
        <v>186</v>
      </c>
      <c r="B2277" s="28" t="s">
        <v>187</v>
      </c>
      <c r="C2277" s="28" t="s">
        <v>174</v>
      </c>
      <c r="D2277" s="23" t="n">
        <v>7</v>
      </c>
      <c r="E2277" s="23" t="n">
        <v>12</v>
      </c>
      <c r="F2277" s="28" t="s">
        <v>909</v>
      </c>
      <c r="G2277" s="19" t="n">
        <v>0.0715</v>
      </c>
    </row>
    <row r="2278" customFormat="false" ht="15" hidden="false" customHeight="false" outlineLevel="0" collapsed="false">
      <c r="A2278" s="28" t="s">
        <v>186</v>
      </c>
      <c r="B2278" s="28" t="s">
        <v>187</v>
      </c>
      <c r="C2278" s="28" t="s">
        <v>174</v>
      </c>
      <c r="D2278" s="23" t="n">
        <v>7</v>
      </c>
      <c r="E2278" s="23" t="n">
        <v>12</v>
      </c>
      <c r="F2278" s="28" t="s">
        <v>910</v>
      </c>
      <c r="G2278" s="19" t="n">
        <v>0.0719</v>
      </c>
    </row>
    <row r="2279" customFormat="false" ht="15" hidden="false" customHeight="false" outlineLevel="0" collapsed="false">
      <c r="A2279" s="28" t="s">
        <v>186</v>
      </c>
      <c r="B2279" s="28" t="s">
        <v>187</v>
      </c>
      <c r="C2279" s="28" t="s">
        <v>174</v>
      </c>
      <c r="D2279" s="23" t="n">
        <v>7</v>
      </c>
      <c r="E2279" s="23" t="n">
        <v>12</v>
      </c>
      <c r="F2279" s="28" t="s">
        <v>911</v>
      </c>
      <c r="G2279" s="19" t="n">
        <v>0.073</v>
      </c>
    </row>
    <row r="2280" customFormat="false" ht="15" hidden="false" customHeight="false" outlineLevel="0" collapsed="false">
      <c r="A2280" s="28" t="s">
        <v>186</v>
      </c>
      <c r="B2280" s="28" t="s">
        <v>187</v>
      </c>
      <c r="C2280" s="28" t="s">
        <v>174</v>
      </c>
      <c r="D2280" s="23" t="n">
        <v>7</v>
      </c>
      <c r="E2280" s="23" t="n">
        <v>12</v>
      </c>
      <c r="F2280" s="28" t="s">
        <v>912</v>
      </c>
      <c r="G2280" s="19" t="n">
        <v>0.0744</v>
      </c>
    </row>
    <row r="2281" customFormat="false" ht="15" hidden="false" customHeight="false" outlineLevel="0" collapsed="false">
      <c r="A2281" s="28" t="s">
        <v>186</v>
      </c>
      <c r="B2281" s="28" t="s">
        <v>187</v>
      </c>
      <c r="C2281" s="28" t="s">
        <v>174</v>
      </c>
      <c r="D2281" s="23" t="n">
        <v>7</v>
      </c>
      <c r="E2281" s="23" t="n">
        <v>12</v>
      </c>
      <c r="F2281" s="28" t="s">
        <v>913</v>
      </c>
      <c r="G2281" s="19" t="n">
        <v>0.0793</v>
      </c>
    </row>
    <row r="2282" customFormat="false" ht="15" hidden="false" customHeight="false" outlineLevel="0" collapsed="false">
      <c r="A2282" s="28" t="s">
        <v>186</v>
      </c>
      <c r="B2282" s="28" t="s">
        <v>187</v>
      </c>
      <c r="C2282" s="28" t="s">
        <v>174</v>
      </c>
      <c r="D2282" s="23" t="n">
        <v>7</v>
      </c>
      <c r="E2282" s="23" t="n">
        <v>12</v>
      </c>
      <c r="F2282" s="28" t="s">
        <v>914</v>
      </c>
      <c r="G2282" s="19" t="n">
        <v>0.0791</v>
      </c>
    </row>
    <row r="2283" customFormat="false" ht="15" hidden="false" customHeight="false" outlineLevel="0" collapsed="false">
      <c r="A2283" s="28" t="s">
        <v>186</v>
      </c>
      <c r="B2283" s="28" t="s">
        <v>187</v>
      </c>
      <c r="C2283" s="28" t="s">
        <v>174</v>
      </c>
      <c r="D2283" s="23" t="n">
        <v>7</v>
      </c>
      <c r="E2283" s="23" t="n">
        <v>12</v>
      </c>
      <c r="F2283" s="28" t="s">
        <v>915</v>
      </c>
      <c r="G2283" s="19" t="n">
        <v>0.0949</v>
      </c>
    </row>
    <row r="2284" customFormat="false" ht="15" hidden="false" customHeight="false" outlineLevel="0" collapsed="false">
      <c r="A2284" s="28" t="s">
        <v>186</v>
      </c>
      <c r="B2284" s="28" t="s">
        <v>187</v>
      </c>
      <c r="C2284" s="28" t="s">
        <v>174</v>
      </c>
      <c r="D2284" s="23" t="n">
        <v>7</v>
      </c>
      <c r="E2284" s="23" t="n">
        <v>13</v>
      </c>
      <c r="F2284" s="28" t="s">
        <v>904</v>
      </c>
      <c r="G2284" s="19" t="n">
        <v>0.0663</v>
      </c>
    </row>
    <row r="2285" customFormat="false" ht="15" hidden="false" customHeight="false" outlineLevel="0" collapsed="false">
      <c r="A2285" s="28" t="s">
        <v>186</v>
      </c>
      <c r="B2285" s="28" t="s">
        <v>187</v>
      </c>
      <c r="C2285" s="28" t="s">
        <v>174</v>
      </c>
      <c r="D2285" s="23" t="n">
        <v>7</v>
      </c>
      <c r="E2285" s="23" t="n">
        <v>13</v>
      </c>
      <c r="F2285" s="28" t="s">
        <v>551</v>
      </c>
      <c r="G2285" s="19" t="n">
        <v>0.0975</v>
      </c>
    </row>
    <row r="2286" customFormat="false" ht="15" hidden="false" customHeight="false" outlineLevel="0" collapsed="false">
      <c r="A2286" s="28" t="s">
        <v>186</v>
      </c>
      <c r="B2286" s="28" t="s">
        <v>187</v>
      </c>
      <c r="C2286" s="28" t="s">
        <v>174</v>
      </c>
      <c r="D2286" s="23" t="n">
        <v>7</v>
      </c>
      <c r="E2286" s="23" t="n">
        <v>13</v>
      </c>
      <c r="F2286" s="28" t="s">
        <v>451</v>
      </c>
      <c r="G2286" s="19" t="n">
        <v>0.0661</v>
      </c>
    </row>
    <row r="2287" customFormat="false" ht="15" hidden="false" customHeight="false" outlineLevel="0" collapsed="false">
      <c r="A2287" s="28" t="s">
        <v>186</v>
      </c>
      <c r="B2287" s="28" t="s">
        <v>187</v>
      </c>
      <c r="C2287" s="28" t="s">
        <v>174</v>
      </c>
      <c r="D2287" s="23" t="n">
        <v>7</v>
      </c>
      <c r="E2287" s="23" t="n">
        <v>13</v>
      </c>
      <c r="F2287" s="28" t="s">
        <v>905</v>
      </c>
      <c r="G2287" s="19" t="n">
        <v>0.0687</v>
      </c>
    </row>
    <row r="2288" customFormat="false" ht="15" hidden="false" customHeight="false" outlineLevel="0" collapsed="false">
      <c r="A2288" s="28" t="s">
        <v>186</v>
      </c>
      <c r="B2288" s="28" t="s">
        <v>187</v>
      </c>
      <c r="C2288" s="28" t="s">
        <v>174</v>
      </c>
      <c r="D2288" s="23" t="n">
        <v>7</v>
      </c>
      <c r="E2288" s="23" t="n">
        <v>13</v>
      </c>
      <c r="F2288" s="28" t="s">
        <v>906</v>
      </c>
      <c r="G2288" s="19" t="n">
        <v>0.0701</v>
      </c>
    </row>
    <row r="2289" customFormat="false" ht="15" hidden="false" customHeight="false" outlineLevel="0" collapsed="false">
      <c r="A2289" s="28" t="s">
        <v>186</v>
      </c>
      <c r="B2289" s="28" t="s">
        <v>187</v>
      </c>
      <c r="C2289" s="28" t="s">
        <v>174</v>
      </c>
      <c r="D2289" s="23" t="n">
        <v>7</v>
      </c>
      <c r="E2289" s="23" t="n">
        <v>13</v>
      </c>
      <c r="F2289" s="28" t="s">
        <v>907</v>
      </c>
      <c r="G2289" s="19" t="n">
        <v>0.0698</v>
      </c>
    </row>
    <row r="2290" customFormat="false" ht="15" hidden="false" customHeight="false" outlineLevel="0" collapsed="false">
      <c r="A2290" s="28" t="s">
        <v>186</v>
      </c>
      <c r="B2290" s="28" t="s">
        <v>187</v>
      </c>
      <c r="C2290" s="28" t="s">
        <v>174</v>
      </c>
      <c r="D2290" s="23" t="n">
        <v>7</v>
      </c>
      <c r="E2290" s="23" t="n">
        <v>13</v>
      </c>
      <c r="F2290" s="28" t="s">
        <v>908</v>
      </c>
      <c r="G2290" s="19" t="n">
        <v>0.0714</v>
      </c>
    </row>
    <row r="2291" customFormat="false" ht="15" hidden="false" customHeight="false" outlineLevel="0" collapsed="false">
      <c r="A2291" s="28" t="s">
        <v>186</v>
      </c>
      <c r="B2291" s="28" t="s">
        <v>187</v>
      </c>
      <c r="C2291" s="28" t="s">
        <v>174</v>
      </c>
      <c r="D2291" s="23" t="n">
        <v>7</v>
      </c>
      <c r="E2291" s="23" t="n">
        <v>13</v>
      </c>
      <c r="F2291" s="28" t="s">
        <v>909</v>
      </c>
      <c r="G2291" s="19" t="n">
        <v>0.0715</v>
      </c>
    </row>
    <row r="2292" customFormat="false" ht="15" hidden="false" customHeight="false" outlineLevel="0" collapsed="false">
      <c r="A2292" s="28" t="s">
        <v>186</v>
      </c>
      <c r="B2292" s="28" t="s">
        <v>187</v>
      </c>
      <c r="C2292" s="28" t="s">
        <v>174</v>
      </c>
      <c r="D2292" s="23" t="n">
        <v>7</v>
      </c>
      <c r="E2292" s="23" t="n">
        <v>13</v>
      </c>
      <c r="F2292" s="28" t="s">
        <v>910</v>
      </c>
      <c r="G2292" s="19" t="n">
        <v>0.0719</v>
      </c>
    </row>
    <row r="2293" customFormat="false" ht="15" hidden="false" customHeight="false" outlineLevel="0" collapsed="false">
      <c r="A2293" s="28" t="s">
        <v>186</v>
      </c>
      <c r="B2293" s="28" t="s">
        <v>187</v>
      </c>
      <c r="C2293" s="28" t="s">
        <v>174</v>
      </c>
      <c r="D2293" s="23" t="n">
        <v>7</v>
      </c>
      <c r="E2293" s="23" t="n">
        <v>13</v>
      </c>
      <c r="F2293" s="28" t="s">
        <v>911</v>
      </c>
      <c r="G2293" s="19" t="n">
        <v>0.073</v>
      </c>
    </row>
    <row r="2294" customFormat="false" ht="15" hidden="false" customHeight="false" outlineLevel="0" collapsed="false">
      <c r="A2294" s="28" t="s">
        <v>186</v>
      </c>
      <c r="B2294" s="28" t="s">
        <v>187</v>
      </c>
      <c r="C2294" s="28" t="s">
        <v>174</v>
      </c>
      <c r="D2294" s="23" t="n">
        <v>7</v>
      </c>
      <c r="E2294" s="23" t="n">
        <v>13</v>
      </c>
      <c r="F2294" s="28" t="s">
        <v>912</v>
      </c>
      <c r="G2294" s="19" t="n">
        <v>0.0744</v>
      </c>
    </row>
    <row r="2295" customFormat="false" ht="15" hidden="false" customHeight="false" outlineLevel="0" collapsed="false">
      <c r="A2295" s="28" t="s">
        <v>186</v>
      </c>
      <c r="B2295" s="28" t="s">
        <v>187</v>
      </c>
      <c r="C2295" s="28" t="s">
        <v>174</v>
      </c>
      <c r="D2295" s="23" t="n">
        <v>7</v>
      </c>
      <c r="E2295" s="23" t="n">
        <v>13</v>
      </c>
      <c r="F2295" s="28" t="s">
        <v>913</v>
      </c>
      <c r="G2295" s="19" t="n">
        <v>0.0793</v>
      </c>
    </row>
    <row r="2296" customFormat="false" ht="15" hidden="false" customHeight="false" outlineLevel="0" collapsed="false">
      <c r="A2296" s="28" t="s">
        <v>186</v>
      </c>
      <c r="B2296" s="28" t="s">
        <v>187</v>
      </c>
      <c r="C2296" s="28" t="s">
        <v>174</v>
      </c>
      <c r="D2296" s="23" t="n">
        <v>7</v>
      </c>
      <c r="E2296" s="23" t="n">
        <v>13</v>
      </c>
      <c r="F2296" s="28" t="s">
        <v>914</v>
      </c>
      <c r="G2296" s="19" t="n">
        <v>0.0791</v>
      </c>
    </row>
    <row r="2297" customFormat="false" ht="15" hidden="false" customHeight="false" outlineLevel="0" collapsed="false">
      <c r="A2297" s="28" t="s">
        <v>186</v>
      </c>
      <c r="B2297" s="28" t="s">
        <v>187</v>
      </c>
      <c r="C2297" s="28" t="s">
        <v>174</v>
      </c>
      <c r="D2297" s="23" t="n">
        <v>7</v>
      </c>
      <c r="E2297" s="23" t="n">
        <v>13</v>
      </c>
      <c r="F2297" s="28" t="s">
        <v>915</v>
      </c>
      <c r="G2297" s="19" t="n">
        <v>0.0949</v>
      </c>
    </row>
    <row r="2298" customFormat="false" ht="15" hidden="false" customHeight="false" outlineLevel="0" collapsed="false">
      <c r="A2298" s="28" t="s">
        <v>186</v>
      </c>
      <c r="B2298" s="28" t="s">
        <v>187</v>
      </c>
      <c r="C2298" s="28" t="s">
        <v>174</v>
      </c>
      <c r="D2298" s="23" t="n">
        <v>7</v>
      </c>
      <c r="E2298" s="23" t="n">
        <v>14</v>
      </c>
      <c r="F2298" s="28" t="s">
        <v>904</v>
      </c>
      <c r="G2298" s="19" t="n">
        <v>0.0663</v>
      </c>
    </row>
    <row r="2299" customFormat="false" ht="15" hidden="false" customHeight="false" outlineLevel="0" collapsed="false">
      <c r="A2299" s="28" t="s">
        <v>186</v>
      </c>
      <c r="B2299" s="28" t="s">
        <v>187</v>
      </c>
      <c r="C2299" s="28" t="s">
        <v>174</v>
      </c>
      <c r="D2299" s="23" t="n">
        <v>7</v>
      </c>
      <c r="E2299" s="23" t="n">
        <v>14</v>
      </c>
      <c r="F2299" s="28" t="s">
        <v>551</v>
      </c>
      <c r="G2299" s="19" t="n">
        <v>0.0975</v>
      </c>
    </row>
    <row r="2300" customFormat="false" ht="15" hidden="false" customHeight="false" outlineLevel="0" collapsed="false">
      <c r="A2300" s="28" t="s">
        <v>186</v>
      </c>
      <c r="B2300" s="28" t="s">
        <v>187</v>
      </c>
      <c r="C2300" s="28" t="s">
        <v>174</v>
      </c>
      <c r="D2300" s="23" t="n">
        <v>7</v>
      </c>
      <c r="E2300" s="23" t="n">
        <v>14</v>
      </c>
      <c r="F2300" s="28" t="s">
        <v>451</v>
      </c>
      <c r="G2300" s="19" t="n">
        <v>0.0661</v>
      </c>
    </row>
    <row r="2301" customFormat="false" ht="15" hidden="false" customHeight="false" outlineLevel="0" collapsed="false">
      <c r="A2301" s="28" t="s">
        <v>186</v>
      </c>
      <c r="B2301" s="28" t="s">
        <v>187</v>
      </c>
      <c r="C2301" s="28" t="s">
        <v>174</v>
      </c>
      <c r="D2301" s="23" t="n">
        <v>7</v>
      </c>
      <c r="E2301" s="23" t="n">
        <v>14</v>
      </c>
      <c r="F2301" s="28" t="s">
        <v>905</v>
      </c>
      <c r="G2301" s="19" t="n">
        <v>0.0687</v>
      </c>
    </row>
    <row r="2302" customFormat="false" ht="15" hidden="false" customHeight="false" outlineLevel="0" collapsed="false">
      <c r="A2302" s="28" t="s">
        <v>186</v>
      </c>
      <c r="B2302" s="28" t="s">
        <v>187</v>
      </c>
      <c r="C2302" s="28" t="s">
        <v>174</v>
      </c>
      <c r="D2302" s="23" t="n">
        <v>7</v>
      </c>
      <c r="E2302" s="23" t="n">
        <v>14</v>
      </c>
      <c r="F2302" s="28" t="s">
        <v>906</v>
      </c>
      <c r="G2302" s="19" t="n">
        <v>0.0701</v>
      </c>
    </row>
    <row r="2303" customFormat="false" ht="15" hidden="false" customHeight="false" outlineLevel="0" collapsed="false">
      <c r="A2303" s="28" t="s">
        <v>186</v>
      </c>
      <c r="B2303" s="28" t="s">
        <v>187</v>
      </c>
      <c r="C2303" s="28" t="s">
        <v>174</v>
      </c>
      <c r="D2303" s="23" t="n">
        <v>7</v>
      </c>
      <c r="E2303" s="23" t="n">
        <v>14</v>
      </c>
      <c r="F2303" s="28" t="s">
        <v>907</v>
      </c>
      <c r="G2303" s="19" t="n">
        <v>0.0698</v>
      </c>
    </row>
    <row r="2304" customFormat="false" ht="15" hidden="false" customHeight="false" outlineLevel="0" collapsed="false">
      <c r="A2304" s="28" t="s">
        <v>186</v>
      </c>
      <c r="B2304" s="28" t="s">
        <v>187</v>
      </c>
      <c r="C2304" s="28" t="s">
        <v>174</v>
      </c>
      <c r="D2304" s="23" t="n">
        <v>7</v>
      </c>
      <c r="E2304" s="23" t="n">
        <v>14</v>
      </c>
      <c r="F2304" s="28" t="s">
        <v>908</v>
      </c>
      <c r="G2304" s="19" t="n">
        <v>0.0714</v>
      </c>
    </row>
    <row r="2305" customFormat="false" ht="15" hidden="false" customHeight="false" outlineLevel="0" collapsed="false">
      <c r="A2305" s="28" t="s">
        <v>186</v>
      </c>
      <c r="B2305" s="28" t="s">
        <v>187</v>
      </c>
      <c r="C2305" s="28" t="s">
        <v>174</v>
      </c>
      <c r="D2305" s="23" t="n">
        <v>7</v>
      </c>
      <c r="E2305" s="23" t="n">
        <v>14</v>
      </c>
      <c r="F2305" s="28" t="s">
        <v>909</v>
      </c>
      <c r="G2305" s="19" t="n">
        <v>0.0715</v>
      </c>
    </row>
    <row r="2306" customFormat="false" ht="15" hidden="false" customHeight="false" outlineLevel="0" collapsed="false">
      <c r="A2306" s="28" t="s">
        <v>186</v>
      </c>
      <c r="B2306" s="28" t="s">
        <v>187</v>
      </c>
      <c r="C2306" s="28" t="s">
        <v>174</v>
      </c>
      <c r="D2306" s="23" t="n">
        <v>7</v>
      </c>
      <c r="E2306" s="23" t="n">
        <v>14</v>
      </c>
      <c r="F2306" s="28" t="s">
        <v>910</v>
      </c>
      <c r="G2306" s="19" t="n">
        <v>0.0719</v>
      </c>
    </row>
    <row r="2307" customFormat="false" ht="15" hidden="false" customHeight="false" outlineLevel="0" collapsed="false">
      <c r="A2307" s="28" t="s">
        <v>186</v>
      </c>
      <c r="B2307" s="28" t="s">
        <v>187</v>
      </c>
      <c r="C2307" s="28" t="s">
        <v>174</v>
      </c>
      <c r="D2307" s="23" t="n">
        <v>7</v>
      </c>
      <c r="E2307" s="23" t="n">
        <v>14</v>
      </c>
      <c r="F2307" s="28" t="s">
        <v>911</v>
      </c>
      <c r="G2307" s="19" t="n">
        <v>0.073</v>
      </c>
    </row>
    <row r="2308" customFormat="false" ht="15" hidden="false" customHeight="false" outlineLevel="0" collapsed="false">
      <c r="A2308" s="28" t="s">
        <v>186</v>
      </c>
      <c r="B2308" s="28" t="s">
        <v>187</v>
      </c>
      <c r="C2308" s="28" t="s">
        <v>174</v>
      </c>
      <c r="D2308" s="23" t="n">
        <v>7</v>
      </c>
      <c r="E2308" s="23" t="n">
        <v>14</v>
      </c>
      <c r="F2308" s="28" t="s">
        <v>912</v>
      </c>
      <c r="G2308" s="19" t="n">
        <v>0.0744</v>
      </c>
    </row>
    <row r="2309" customFormat="false" ht="15" hidden="false" customHeight="false" outlineLevel="0" collapsed="false">
      <c r="A2309" s="28" t="s">
        <v>186</v>
      </c>
      <c r="B2309" s="28" t="s">
        <v>187</v>
      </c>
      <c r="C2309" s="28" t="s">
        <v>174</v>
      </c>
      <c r="D2309" s="23" t="n">
        <v>7</v>
      </c>
      <c r="E2309" s="23" t="n">
        <v>14</v>
      </c>
      <c r="F2309" s="28" t="s">
        <v>913</v>
      </c>
      <c r="G2309" s="19" t="n">
        <v>0.0793</v>
      </c>
    </row>
    <row r="2310" customFormat="false" ht="15" hidden="false" customHeight="false" outlineLevel="0" collapsed="false">
      <c r="A2310" s="28" t="s">
        <v>186</v>
      </c>
      <c r="B2310" s="28" t="s">
        <v>187</v>
      </c>
      <c r="C2310" s="28" t="s">
        <v>174</v>
      </c>
      <c r="D2310" s="23" t="n">
        <v>7</v>
      </c>
      <c r="E2310" s="23" t="n">
        <v>14</v>
      </c>
      <c r="F2310" s="28" t="s">
        <v>914</v>
      </c>
      <c r="G2310" s="19" t="n">
        <v>0.0791</v>
      </c>
    </row>
    <row r="2311" customFormat="false" ht="15" hidden="false" customHeight="false" outlineLevel="0" collapsed="false">
      <c r="A2311" s="28" t="s">
        <v>186</v>
      </c>
      <c r="B2311" s="28" t="s">
        <v>187</v>
      </c>
      <c r="C2311" s="28" t="s">
        <v>174</v>
      </c>
      <c r="D2311" s="23" t="n">
        <v>7</v>
      </c>
      <c r="E2311" s="23" t="n">
        <v>14</v>
      </c>
      <c r="F2311" s="28" t="s">
        <v>915</v>
      </c>
      <c r="G2311" s="19" t="n">
        <v>0.0949</v>
      </c>
    </row>
    <row r="2312" customFormat="false" ht="15" hidden="false" customHeight="false" outlineLevel="0" collapsed="false">
      <c r="A2312" s="28" t="s">
        <v>186</v>
      </c>
      <c r="B2312" s="28" t="s">
        <v>187</v>
      </c>
      <c r="C2312" s="28" t="s">
        <v>174</v>
      </c>
      <c r="D2312" s="23" t="n">
        <v>7</v>
      </c>
      <c r="E2312" s="23" t="n">
        <v>15</v>
      </c>
      <c r="F2312" s="28" t="s">
        <v>904</v>
      </c>
      <c r="G2312" s="19" t="n">
        <v>0.0663</v>
      </c>
    </row>
    <row r="2313" customFormat="false" ht="15" hidden="false" customHeight="false" outlineLevel="0" collapsed="false">
      <c r="A2313" s="28" t="s">
        <v>186</v>
      </c>
      <c r="B2313" s="28" t="s">
        <v>187</v>
      </c>
      <c r="C2313" s="28" t="s">
        <v>174</v>
      </c>
      <c r="D2313" s="23" t="n">
        <v>7</v>
      </c>
      <c r="E2313" s="23" t="n">
        <v>15</v>
      </c>
      <c r="F2313" s="28" t="s">
        <v>551</v>
      </c>
      <c r="G2313" s="19" t="n">
        <v>0.0975</v>
      </c>
    </row>
    <row r="2314" customFormat="false" ht="15" hidden="false" customHeight="false" outlineLevel="0" collapsed="false">
      <c r="A2314" s="28" t="s">
        <v>186</v>
      </c>
      <c r="B2314" s="28" t="s">
        <v>187</v>
      </c>
      <c r="C2314" s="28" t="s">
        <v>174</v>
      </c>
      <c r="D2314" s="23" t="n">
        <v>7</v>
      </c>
      <c r="E2314" s="23" t="n">
        <v>15</v>
      </c>
      <c r="F2314" s="28" t="s">
        <v>451</v>
      </c>
      <c r="G2314" s="19" t="n">
        <v>0.0661</v>
      </c>
    </row>
    <row r="2315" customFormat="false" ht="15" hidden="false" customHeight="false" outlineLevel="0" collapsed="false">
      <c r="A2315" s="28" t="s">
        <v>186</v>
      </c>
      <c r="B2315" s="28" t="s">
        <v>187</v>
      </c>
      <c r="C2315" s="28" t="s">
        <v>174</v>
      </c>
      <c r="D2315" s="23" t="n">
        <v>7</v>
      </c>
      <c r="E2315" s="23" t="n">
        <v>15</v>
      </c>
      <c r="F2315" s="28" t="s">
        <v>905</v>
      </c>
      <c r="G2315" s="19" t="n">
        <v>0.0687</v>
      </c>
    </row>
    <row r="2316" customFormat="false" ht="15" hidden="false" customHeight="false" outlineLevel="0" collapsed="false">
      <c r="A2316" s="28" t="s">
        <v>186</v>
      </c>
      <c r="B2316" s="28" t="s">
        <v>187</v>
      </c>
      <c r="C2316" s="28" t="s">
        <v>174</v>
      </c>
      <c r="D2316" s="23" t="n">
        <v>7</v>
      </c>
      <c r="E2316" s="23" t="n">
        <v>15</v>
      </c>
      <c r="F2316" s="28" t="s">
        <v>906</v>
      </c>
      <c r="G2316" s="19" t="n">
        <v>0.0701</v>
      </c>
    </row>
    <row r="2317" customFormat="false" ht="15" hidden="false" customHeight="false" outlineLevel="0" collapsed="false">
      <c r="A2317" s="28" t="s">
        <v>186</v>
      </c>
      <c r="B2317" s="28" t="s">
        <v>187</v>
      </c>
      <c r="C2317" s="28" t="s">
        <v>174</v>
      </c>
      <c r="D2317" s="23" t="n">
        <v>7</v>
      </c>
      <c r="E2317" s="23" t="n">
        <v>15</v>
      </c>
      <c r="F2317" s="28" t="s">
        <v>907</v>
      </c>
      <c r="G2317" s="19" t="n">
        <v>0.0698</v>
      </c>
    </row>
    <row r="2318" customFormat="false" ht="15" hidden="false" customHeight="false" outlineLevel="0" collapsed="false">
      <c r="A2318" s="28" t="s">
        <v>186</v>
      </c>
      <c r="B2318" s="28" t="s">
        <v>187</v>
      </c>
      <c r="C2318" s="28" t="s">
        <v>174</v>
      </c>
      <c r="D2318" s="23" t="n">
        <v>7</v>
      </c>
      <c r="E2318" s="23" t="n">
        <v>15</v>
      </c>
      <c r="F2318" s="28" t="s">
        <v>908</v>
      </c>
      <c r="G2318" s="19" t="n">
        <v>0.0714</v>
      </c>
    </row>
    <row r="2319" customFormat="false" ht="15" hidden="false" customHeight="false" outlineLevel="0" collapsed="false">
      <c r="A2319" s="28" t="s">
        <v>186</v>
      </c>
      <c r="B2319" s="28" t="s">
        <v>187</v>
      </c>
      <c r="C2319" s="28" t="s">
        <v>174</v>
      </c>
      <c r="D2319" s="23" t="n">
        <v>7</v>
      </c>
      <c r="E2319" s="23" t="n">
        <v>15</v>
      </c>
      <c r="F2319" s="28" t="s">
        <v>909</v>
      </c>
      <c r="G2319" s="19" t="n">
        <v>0.0715</v>
      </c>
    </row>
    <row r="2320" customFormat="false" ht="15" hidden="false" customHeight="false" outlineLevel="0" collapsed="false">
      <c r="A2320" s="28" t="s">
        <v>186</v>
      </c>
      <c r="B2320" s="28" t="s">
        <v>187</v>
      </c>
      <c r="C2320" s="28" t="s">
        <v>174</v>
      </c>
      <c r="D2320" s="23" t="n">
        <v>7</v>
      </c>
      <c r="E2320" s="23" t="n">
        <v>15</v>
      </c>
      <c r="F2320" s="28" t="s">
        <v>910</v>
      </c>
      <c r="G2320" s="19" t="n">
        <v>0.0719</v>
      </c>
    </row>
    <row r="2321" customFormat="false" ht="15" hidden="false" customHeight="false" outlineLevel="0" collapsed="false">
      <c r="A2321" s="28" t="s">
        <v>186</v>
      </c>
      <c r="B2321" s="28" t="s">
        <v>187</v>
      </c>
      <c r="C2321" s="28" t="s">
        <v>174</v>
      </c>
      <c r="D2321" s="23" t="n">
        <v>7</v>
      </c>
      <c r="E2321" s="23" t="n">
        <v>15</v>
      </c>
      <c r="F2321" s="28" t="s">
        <v>911</v>
      </c>
      <c r="G2321" s="19" t="n">
        <v>0.073</v>
      </c>
    </row>
    <row r="2322" customFormat="false" ht="15" hidden="false" customHeight="false" outlineLevel="0" collapsed="false">
      <c r="A2322" s="28" t="s">
        <v>186</v>
      </c>
      <c r="B2322" s="28" t="s">
        <v>187</v>
      </c>
      <c r="C2322" s="28" t="s">
        <v>174</v>
      </c>
      <c r="D2322" s="23" t="n">
        <v>7</v>
      </c>
      <c r="E2322" s="23" t="n">
        <v>15</v>
      </c>
      <c r="F2322" s="28" t="s">
        <v>912</v>
      </c>
      <c r="G2322" s="19" t="n">
        <v>0.0744</v>
      </c>
    </row>
    <row r="2323" customFormat="false" ht="15" hidden="false" customHeight="false" outlineLevel="0" collapsed="false">
      <c r="A2323" s="28" t="s">
        <v>186</v>
      </c>
      <c r="B2323" s="28" t="s">
        <v>187</v>
      </c>
      <c r="C2323" s="28" t="s">
        <v>174</v>
      </c>
      <c r="D2323" s="23" t="n">
        <v>7</v>
      </c>
      <c r="E2323" s="23" t="n">
        <v>15</v>
      </c>
      <c r="F2323" s="28" t="s">
        <v>913</v>
      </c>
      <c r="G2323" s="19" t="n">
        <v>0.0793</v>
      </c>
    </row>
    <row r="2324" customFormat="false" ht="15" hidden="false" customHeight="false" outlineLevel="0" collapsed="false">
      <c r="A2324" s="28" t="s">
        <v>186</v>
      </c>
      <c r="B2324" s="28" t="s">
        <v>187</v>
      </c>
      <c r="C2324" s="28" t="s">
        <v>174</v>
      </c>
      <c r="D2324" s="23" t="n">
        <v>7</v>
      </c>
      <c r="E2324" s="23" t="n">
        <v>15</v>
      </c>
      <c r="F2324" s="28" t="s">
        <v>914</v>
      </c>
      <c r="G2324" s="19" t="n">
        <v>0.0791</v>
      </c>
    </row>
    <row r="2325" customFormat="false" ht="15" hidden="false" customHeight="false" outlineLevel="0" collapsed="false">
      <c r="A2325" s="28" t="s">
        <v>186</v>
      </c>
      <c r="B2325" s="28" t="s">
        <v>187</v>
      </c>
      <c r="C2325" s="28" t="s">
        <v>174</v>
      </c>
      <c r="D2325" s="23" t="n">
        <v>7</v>
      </c>
      <c r="E2325" s="23" t="n">
        <v>15</v>
      </c>
      <c r="F2325" s="28" t="s">
        <v>915</v>
      </c>
      <c r="G2325" s="19" t="n">
        <v>0.0949</v>
      </c>
    </row>
    <row r="2326" customFormat="false" ht="15" hidden="false" customHeight="false" outlineLevel="0" collapsed="false">
      <c r="A2326" s="28" t="s">
        <v>186</v>
      </c>
      <c r="B2326" s="28" t="s">
        <v>187</v>
      </c>
      <c r="C2326" s="28" t="s">
        <v>174</v>
      </c>
      <c r="D2326" s="23" t="n">
        <v>7</v>
      </c>
      <c r="E2326" s="23" t="n">
        <v>16</v>
      </c>
      <c r="F2326" s="28" t="s">
        <v>904</v>
      </c>
      <c r="G2326" s="19" t="n">
        <v>0.0663</v>
      </c>
    </row>
    <row r="2327" customFormat="false" ht="15" hidden="false" customHeight="false" outlineLevel="0" collapsed="false">
      <c r="A2327" s="28" t="s">
        <v>186</v>
      </c>
      <c r="B2327" s="28" t="s">
        <v>187</v>
      </c>
      <c r="C2327" s="28" t="s">
        <v>174</v>
      </c>
      <c r="D2327" s="23" t="n">
        <v>7</v>
      </c>
      <c r="E2327" s="23" t="n">
        <v>16</v>
      </c>
      <c r="F2327" s="28" t="s">
        <v>551</v>
      </c>
      <c r="G2327" s="19" t="n">
        <v>0.0975</v>
      </c>
    </row>
    <row r="2328" customFormat="false" ht="15" hidden="false" customHeight="false" outlineLevel="0" collapsed="false">
      <c r="A2328" s="28" t="s">
        <v>186</v>
      </c>
      <c r="B2328" s="28" t="s">
        <v>187</v>
      </c>
      <c r="C2328" s="28" t="s">
        <v>174</v>
      </c>
      <c r="D2328" s="23" t="n">
        <v>7</v>
      </c>
      <c r="E2328" s="23" t="n">
        <v>16</v>
      </c>
      <c r="F2328" s="28" t="s">
        <v>451</v>
      </c>
      <c r="G2328" s="19" t="n">
        <v>0.0661</v>
      </c>
    </row>
    <row r="2329" customFormat="false" ht="15" hidden="false" customHeight="false" outlineLevel="0" collapsed="false">
      <c r="A2329" s="28" t="s">
        <v>186</v>
      </c>
      <c r="B2329" s="28" t="s">
        <v>187</v>
      </c>
      <c r="C2329" s="28" t="s">
        <v>174</v>
      </c>
      <c r="D2329" s="23" t="n">
        <v>7</v>
      </c>
      <c r="E2329" s="23" t="n">
        <v>16</v>
      </c>
      <c r="F2329" s="28" t="s">
        <v>905</v>
      </c>
      <c r="G2329" s="19" t="n">
        <v>0.0687</v>
      </c>
    </row>
    <row r="2330" customFormat="false" ht="15" hidden="false" customHeight="false" outlineLevel="0" collapsed="false">
      <c r="A2330" s="28" t="s">
        <v>186</v>
      </c>
      <c r="B2330" s="28" t="s">
        <v>187</v>
      </c>
      <c r="C2330" s="28" t="s">
        <v>174</v>
      </c>
      <c r="D2330" s="23" t="n">
        <v>7</v>
      </c>
      <c r="E2330" s="23" t="n">
        <v>16</v>
      </c>
      <c r="F2330" s="28" t="s">
        <v>906</v>
      </c>
      <c r="G2330" s="19" t="n">
        <v>0.0701</v>
      </c>
    </row>
    <row r="2331" customFormat="false" ht="15" hidden="false" customHeight="false" outlineLevel="0" collapsed="false">
      <c r="A2331" s="28" t="s">
        <v>186</v>
      </c>
      <c r="B2331" s="28" t="s">
        <v>187</v>
      </c>
      <c r="C2331" s="28" t="s">
        <v>174</v>
      </c>
      <c r="D2331" s="23" t="n">
        <v>7</v>
      </c>
      <c r="E2331" s="23" t="n">
        <v>16</v>
      </c>
      <c r="F2331" s="28" t="s">
        <v>907</v>
      </c>
      <c r="G2331" s="19" t="n">
        <v>0.0698</v>
      </c>
    </row>
    <row r="2332" customFormat="false" ht="15" hidden="false" customHeight="false" outlineLevel="0" collapsed="false">
      <c r="A2332" s="28" t="s">
        <v>186</v>
      </c>
      <c r="B2332" s="28" t="s">
        <v>187</v>
      </c>
      <c r="C2332" s="28" t="s">
        <v>174</v>
      </c>
      <c r="D2332" s="23" t="n">
        <v>7</v>
      </c>
      <c r="E2332" s="23" t="n">
        <v>16</v>
      </c>
      <c r="F2332" s="28" t="s">
        <v>908</v>
      </c>
      <c r="G2332" s="19" t="n">
        <v>0.0714</v>
      </c>
    </row>
    <row r="2333" customFormat="false" ht="15" hidden="false" customHeight="false" outlineLevel="0" collapsed="false">
      <c r="A2333" s="28" t="s">
        <v>186</v>
      </c>
      <c r="B2333" s="28" t="s">
        <v>187</v>
      </c>
      <c r="C2333" s="28" t="s">
        <v>174</v>
      </c>
      <c r="D2333" s="23" t="n">
        <v>7</v>
      </c>
      <c r="E2333" s="23" t="n">
        <v>16</v>
      </c>
      <c r="F2333" s="28" t="s">
        <v>909</v>
      </c>
      <c r="G2333" s="19" t="n">
        <v>0.0715</v>
      </c>
    </row>
    <row r="2334" customFormat="false" ht="15" hidden="false" customHeight="false" outlineLevel="0" collapsed="false">
      <c r="A2334" s="28" t="s">
        <v>186</v>
      </c>
      <c r="B2334" s="28" t="s">
        <v>187</v>
      </c>
      <c r="C2334" s="28" t="s">
        <v>174</v>
      </c>
      <c r="D2334" s="23" t="n">
        <v>7</v>
      </c>
      <c r="E2334" s="23" t="n">
        <v>16</v>
      </c>
      <c r="F2334" s="28" t="s">
        <v>910</v>
      </c>
      <c r="G2334" s="19" t="n">
        <v>0.0719</v>
      </c>
    </row>
    <row r="2335" customFormat="false" ht="15" hidden="false" customHeight="false" outlineLevel="0" collapsed="false">
      <c r="A2335" s="28" t="s">
        <v>186</v>
      </c>
      <c r="B2335" s="28" t="s">
        <v>187</v>
      </c>
      <c r="C2335" s="28" t="s">
        <v>174</v>
      </c>
      <c r="D2335" s="23" t="n">
        <v>7</v>
      </c>
      <c r="E2335" s="23" t="n">
        <v>16</v>
      </c>
      <c r="F2335" s="28" t="s">
        <v>911</v>
      </c>
      <c r="G2335" s="19" t="n">
        <v>0.073</v>
      </c>
    </row>
    <row r="2336" customFormat="false" ht="15" hidden="false" customHeight="false" outlineLevel="0" collapsed="false">
      <c r="A2336" s="28" t="s">
        <v>186</v>
      </c>
      <c r="B2336" s="28" t="s">
        <v>187</v>
      </c>
      <c r="C2336" s="28" t="s">
        <v>174</v>
      </c>
      <c r="D2336" s="23" t="n">
        <v>7</v>
      </c>
      <c r="E2336" s="23" t="n">
        <v>16</v>
      </c>
      <c r="F2336" s="28" t="s">
        <v>912</v>
      </c>
      <c r="G2336" s="19" t="n">
        <v>0.0744</v>
      </c>
    </row>
    <row r="2337" customFormat="false" ht="15" hidden="false" customHeight="false" outlineLevel="0" collapsed="false">
      <c r="A2337" s="28" t="s">
        <v>186</v>
      </c>
      <c r="B2337" s="28" t="s">
        <v>187</v>
      </c>
      <c r="C2337" s="28" t="s">
        <v>174</v>
      </c>
      <c r="D2337" s="23" t="n">
        <v>7</v>
      </c>
      <c r="E2337" s="23" t="n">
        <v>16</v>
      </c>
      <c r="F2337" s="28" t="s">
        <v>913</v>
      </c>
      <c r="G2337" s="19" t="n">
        <v>0.0793</v>
      </c>
    </row>
    <row r="2338" customFormat="false" ht="15" hidden="false" customHeight="false" outlineLevel="0" collapsed="false">
      <c r="A2338" s="28" t="s">
        <v>186</v>
      </c>
      <c r="B2338" s="28" t="s">
        <v>187</v>
      </c>
      <c r="C2338" s="28" t="s">
        <v>174</v>
      </c>
      <c r="D2338" s="23" t="n">
        <v>7</v>
      </c>
      <c r="E2338" s="23" t="n">
        <v>16</v>
      </c>
      <c r="F2338" s="28" t="s">
        <v>914</v>
      </c>
      <c r="G2338" s="19" t="n">
        <v>0.0791</v>
      </c>
    </row>
    <row r="2339" customFormat="false" ht="15" hidden="false" customHeight="false" outlineLevel="0" collapsed="false">
      <c r="A2339" s="28" t="s">
        <v>186</v>
      </c>
      <c r="B2339" s="28" t="s">
        <v>187</v>
      </c>
      <c r="C2339" s="28" t="s">
        <v>174</v>
      </c>
      <c r="D2339" s="23" t="n">
        <v>7</v>
      </c>
      <c r="E2339" s="23" t="n">
        <v>16</v>
      </c>
      <c r="F2339" s="28" t="s">
        <v>915</v>
      </c>
      <c r="G2339" s="19" t="n">
        <v>0.0949</v>
      </c>
    </row>
    <row r="2340" customFormat="false" ht="15" hidden="false" customHeight="false" outlineLevel="0" collapsed="false">
      <c r="A2340" s="28" t="s">
        <v>186</v>
      </c>
      <c r="B2340" s="28" t="s">
        <v>187</v>
      </c>
      <c r="C2340" s="28" t="s">
        <v>174</v>
      </c>
      <c r="D2340" s="23" t="n">
        <v>7</v>
      </c>
      <c r="E2340" s="23" t="n">
        <v>17</v>
      </c>
      <c r="F2340" s="28" t="s">
        <v>904</v>
      </c>
      <c r="G2340" s="19" t="n">
        <v>0.0663</v>
      </c>
    </row>
    <row r="2341" customFormat="false" ht="15" hidden="false" customHeight="false" outlineLevel="0" collapsed="false">
      <c r="A2341" s="28" t="s">
        <v>186</v>
      </c>
      <c r="B2341" s="28" t="s">
        <v>187</v>
      </c>
      <c r="C2341" s="28" t="s">
        <v>174</v>
      </c>
      <c r="D2341" s="23" t="n">
        <v>7</v>
      </c>
      <c r="E2341" s="23" t="n">
        <v>17</v>
      </c>
      <c r="F2341" s="28" t="s">
        <v>551</v>
      </c>
      <c r="G2341" s="19" t="n">
        <v>0.0975</v>
      </c>
    </row>
    <row r="2342" customFormat="false" ht="15" hidden="false" customHeight="false" outlineLevel="0" collapsed="false">
      <c r="A2342" s="28" t="s">
        <v>186</v>
      </c>
      <c r="B2342" s="28" t="s">
        <v>187</v>
      </c>
      <c r="C2342" s="28" t="s">
        <v>174</v>
      </c>
      <c r="D2342" s="23" t="n">
        <v>7</v>
      </c>
      <c r="E2342" s="23" t="n">
        <v>17</v>
      </c>
      <c r="F2342" s="28" t="s">
        <v>451</v>
      </c>
      <c r="G2342" s="19" t="n">
        <v>0.0661</v>
      </c>
    </row>
    <row r="2343" customFormat="false" ht="15" hidden="false" customHeight="false" outlineLevel="0" collapsed="false">
      <c r="A2343" s="28" t="s">
        <v>186</v>
      </c>
      <c r="B2343" s="28" t="s">
        <v>187</v>
      </c>
      <c r="C2343" s="28" t="s">
        <v>174</v>
      </c>
      <c r="D2343" s="23" t="n">
        <v>7</v>
      </c>
      <c r="E2343" s="23" t="n">
        <v>17</v>
      </c>
      <c r="F2343" s="28" t="s">
        <v>905</v>
      </c>
      <c r="G2343" s="19" t="n">
        <v>0.0687</v>
      </c>
    </row>
    <row r="2344" customFormat="false" ht="15" hidden="false" customHeight="false" outlineLevel="0" collapsed="false">
      <c r="A2344" s="28" t="s">
        <v>186</v>
      </c>
      <c r="B2344" s="28" t="s">
        <v>187</v>
      </c>
      <c r="C2344" s="28" t="s">
        <v>174</v>
      </c>
      <c r="D2344" s="23" t="n">
        <v>7</v>
      </c>
      <c r="E2344" s="23" t="n">
        <v>17</v>
      </c>
      <c r="F2344" s="28" t="s">
        <v>906</v>
      </c>
      <c r="G2344" s="19" t="n">
        <v>0.0701</v>
      </c>
    </row>
    <row r="2345" customFormat="false" ht="15" hidden="false" customHeight="false" outlineLevel="0" collapsed="false">
      <c r="A2345" s="28" t="s">
        <v>186</v>
      </c>
      <c r="B2345" s="28" t="s">
        <v>187</v>
      </c>
      <c r="C2345" s="28" t="s">
        <v>174</v>
      </c>
      <c r="D2345" s="23" t="n">
        <v>7</v>
      </c>
      <c r="E2345" s="23" t="n">
        <v>17</v>
      </c>
      <c r="F2345" s="28" t="s">
        <v>907</v>
      </c>
      <c r="G2345" s="19" t="n">
        <v>0.0698</v>
      </c>
    </row>
    <row r="2346" customFormat="false" ht="15" hidden="false" customHeight="false" outlineLevel="0" collapsed="false">
      <c r="A2346" s="28" t="s">
        <v>186</v>
      </c>
      <c r="B2346" s="28" t="s">
        <v>187</v>
      </c>
      <c r="C2346" s="28" t="s">
        <v>174</v>
      </c>
      <c r="D2346" s="23" t="n">
        <v>7</v>
      </c>
      <c r="E2346" s="23" t="n">
        <v>17</v>
      </c>
      <c r="F2346" s="28" t="s">
        <v>908</v>
      </c>
      <c r="G2346" s="19" t="n">
        <v>0.0714</v>
      </c>
    </row>
    <row r="2347" customFormat="false" ht="15" hidden="false" customHeight="false" outlineLevel="0" collapsed="false">
      <c r="A2347" s="28" t="s">
        <v>186</v>
      </c>
      <c r="B2347" s="28" t="s">
        <v>187</v>
      </c>
      <c r="C2347" s="28" t="s">
        <v>174</v>
      </c>
      <c r="D2347" s="23" t="n">
        <v>7</v>
      </c>
      <c r="E2347" s="23" t="n">
        <v>17</v>
      </c>
      <c r="F2347" s="28" t="s">
        <v>909</v>
      </c>
      <c r="G2347" s="19" t="n">
        <v>0.0715</v>
      </c>
    </row>
    <row r="2348" customFormat="false" ht="15" hidden="false" customHeight="false" outlineLevel="0" collapsed="false">
      <c r="A2348" s="28" t="s">
        <v>186</v>
      </c>
      <c r="B2348" s="28" t="s">
        <v>187</v>
      </c>
      <c r="C2348" s="28" t="s">
        <v>174</v>
      </c>
      <c r="D2348" s="23" t="n">
        <v>7</v>
      </c>
      <c r="E2348" s="23" t="n">
        <v>17</v>
      </c>
      <c r="F2348" s="28" t="s">
        <v>910</v>
      </c>
      <c r="G2348" s="19" t="n">
        <v>0.0719</v>
      </c>
    </row>
    <row r="2349" customFormat="false" ht="15" hidden="false" customHeight="false" outlineLevel="0" collapsed="false">
      <c r="A2349" s="28" t="s">
        <v>186</v>
      </c>
      <c r="B2349" s="28" t="s">
        <v>187</v>
      </c>
      <c r="C2349" s="28" t="s">
        <v>174</v>
      </c>
      <c r="D2349" s="23" t="n">
        <v>7</v>
      </c>
      <c r="E2349" s="23" t="n">
        <v>17</v>
      </c>
      <c r="F2349" s="28" t="s">
        <v>911</v>
      </c>
      <c r="G2349" s="19" t="n">
        <v>0.073</v>
      </c>
    </row>
    <row r="2350" customFormat="false" ht="15" hidden="false" customHeight="false" outlineLevel="0" collapsed="false">
      <c r="A2350" s="28" t="s">
        <v>186</v>
      </c>
      <c r="B2350" s="28" t="s">
        <v>187</v>
      </c>
      <c r="C2350" s="28" t="s">
        <v>174</v>
      </c>
      <c r="D2350" s="23" t="n">
        <v>7</v>
      </c>
      <c r="E2350" s="23" t="n">
        <v>17</v>
      </c>
      <c r="F2350" s="28" t="s">
        <v>912</v>
      </c>
      <c r="G2350" s="19" t="n">
        <v>0.0744</v>
      </c>
    </row>
    <row r="2351" customFormat="false" ht="15" hidden="false" customHeight="false" outlineLevel="0" collapsed="false">
      <c r="A2351" s="28" t="s">
        <v>186</v>
      </c>
      <c r="B2351" s="28" t="s">
        <v>187</v>
      </c>
      <c r="C2351" s="28" t="s">
        <v>174</v>
      </c>
      <c r="D2351" s="23" t="n">
        <v>7</v>
      </c>
      <c r="E2351" s="23" t="n">
        <v>17</v>
      </c>
      <c r="F2351" s="28" t="s">
        <v>913</v>
      </c>
      <c r="G2351" s="19" t="n">
        <v>0.0793</v>
      </c>
    </row>
    <row r="2352" customFormat="false" ht="15" hidden="false" customHeight="false" outlineLevel="0" collapsed="false">
      <c r="A2352" s="28" t="s">
        <v>186</v>
      </c>
      <c r="B2352" s="28" t="s">
        <v>187</v>
      </c>
      <c r="C2352" s="28" t="s">
        <v>174</v>
      </c>
      <c r="D2352" s="23" t="n">
        <v>7</v>
      </c>
      <c r="E2352" s="23" t="n">
        <v>17</v>
      </c>
      <c r="F2352" s="28" t="s">
        <v>914</v>
      </c>
      <c r="G2352" s="19" t="n">
        <v>0.0791</v>
      </c>
    </row>
    <row r="2353" customFormat="false" ht="15" hidden="false" customHeight="false" outlineLevel="0" collapsed="false">
      <c r="A2353" s="28" t="s">
        <v>186</v>
      </c>
      <c r="B2353" s="28" t="s">
        <v>187</v>
      </c>
      <c r="C2353" s="28" t="s">
        <v>174</v>
      </c>
      <c r="D2353" s="23" t="n">
        <v>7</v>
      </c>
      <c r="E2353" s="23" t="n">
        <v>17</v>
      </c>
      <c r="F2353" s="28" t="s">
        <v>915</v>
      </c>
      <c r="G2353" s="19" t="n">
        <v>0.0949</v>
      </c>
    </row>
    <row r="2354" customFormat="false" ht="15" hidden="false" customHeight="false" outlineLevel="0" collapsed="false">
      <c r="A2354" s="28" t="s">
        <v>186</v>
      </c>
      <c r="B2354" s="28" t="s">
        <v>187</v>
      </c>
      <c r="C2354" s="28" t="s">
        <v>174</v>
      </c>
      <c r="D2354" s="23" t="n">
        <v>7</v>
      </c>
      <c r="E2354" s="23" t="n">
        <v>18</v>
      </c>
      <c r="F2354" s="28" t="s">
        <v>904</v>
      </c>
      <c r="G2354" s="19" t="n">
        <v>0.0663</v>
      </c>
    </row>
    <row r="2355" customFormat="false" ht="15" hidden="false" customHeight="false" outlineLevel="0" collapsed="false">
      <c r="A2355" s="28" t="s">
        <v>186</v>
      </c>
      <c r="B2355" s="28" t="s">
        <v>187</v>
      </c>
      <c r="C2355" s="28" t="s">
        <v>174</v>
      </c>
      <c r="D2355" s="23" t="n">
        <v>7</v>
      </c>
      <c r="E2355" s="23" t="n">
        <v>18</v>
      </c>
      <c r="F2355" s="28" t="s">
        <v>551</v>
      </c>
      <c r="G2355" s="19" t="n">
        <v>0.0975</v>
      </c>
    </row>
    <row r="2356" customFormat="false" ht="15" hidden="false" customHeight="false" outlineLevel="0" collapsed="false">
      <c r="A2356" s="28" t="s">
        <v>186</v>
      </c>
      <c r="B2356" s="28" t="s">
        <v>187</v>
      </c>
      <c r="C2356" s="28" t="s">
        <v>174</v>
      </c>
      <c r="D2356" s="23" t="n">
        <v>7</v>
      </c>
      <c r="E2356" s="23" t="n">
        <v>18</v>
      </c>
      <c r="F2356" s="28" t="s">
        <v>451</v>
      </c>
      <c r="G2356" s="19" t="n">
        <v>0.0661</v>
      </c>
    </row>
    <row r="2357" customFormat="false" ht="15" hidden="false" customHeight="false" outlineLevel="0" collapsed="false">
      <c r="A2357" s="28" t="s">
        <v>186</v>
      </c>
      <c r="B2357" s="28" t="s">
        <v>187</v>
      </c>
      <c r="C2357" s="28" t="s">
        <v>174</v>
      </c>
      <c r="D2357" s="23" t="n">
        <v>7</v>
      </c>
      <c r="E2357" s="23" t="n">
        <v>18</v>
      </c>
      <c r="F2357" s="28" t="s">
        <v>905</v>
      </c>
      <c r="G2357" s="19" t="n">
        <v>0.0687</v>
      </c>
    </row>
    <row r="2358" customFormat="false" ht="15" hidden="false" customHeight="false" outlineLevel="0" collapsed="false">
      <c r="A2358" s="28" t="s">
        <v>186</v>
      </c>
      <c r="B2358" s="28" t="s">
        <v>187</v>
      </c>
      <c r="C2358" s="28" t="s">
        <v>174</v>
      </c>
      <c r="D2358" s="23" t="n">
        <v>7</v>
      </c>
      <c r="E2358" s="23" t="n">
        <v>18</v>
      </c>
      <c r="F2358" s="28" t="s">
        <v>906</v>
      </c>
      <c r="G2358" s="19" t="n">
        <v>0.0701</v>
      </c>
    </row>
    <row r="2359" customFormat="false" ht="15" hidden="false" customHeight="false" outlineLevel="0" collapsed="false">
      <c r="A2359" s="28" t="s">
        <v>186</v>
      </c>
      <c r="B2359" s="28" t="s">
        <v>187</v>
      </c>
      <c r="C2359" s="28" t="s">
        <v>174</v>
      </c>
      <c r="D2359" s="23" t="n">
        <v>7</v>
      </c>
      <c r="E2359" s="23" t="n">
        <v>18</v>
      </c>
      <c r="F2359" s="28" t="s">
        <v>907</v>
      </c>
      <c r="G2359" s="19" t="n">
        <v>0.0698</v>
      </c>
    </row>
    <row r="2360" customFormat="false" ht="15" hidden="false" customHeight="false" outlineLevel="0" collapsed="false">
      <c r="A2360" s="28" t="s">
        <v>186</v>
      </c>
      <c r="B2360" s="28" t="s">
        <v>187</v>
      </c>
      <c r="C2360" s="28" t="s">
        <v>174</v>
      </c>
      <c r="D2360" s="23" t="n">
        <v>7</v>
      </c>
      <c r="E2360" s="23" t="n">
        <v>18</v>
      </c>
      <c r="F2360" s="28" t="s">
        <v>908</v>
      </c>
      <c r="G2360" s="19" t="n">
        <v>0.0714</v>
      </c>
    </row>
    <row r="2361" customFormat="false" ht="15" hidden="false" customHeight="false" outlineLevel="0" collapsed="false">
      <c r="A2361" s="28" t="s">
        <v>186</v>
      </c>
      <c r="B2361" s="28" t="s">
        <v>187</v>
      </c>
      <c r="C2361" s="28" t="s">
        <v>174</v>
      </c>
      <c r="D2361" s="23" t="n">
        <v>7</v>
      </c>
      <c r="E2361" s="23" t="n">
        <v>18</v>
      </c>
      <c r="F2361" s="28" t="s">
        <v>909</v>
      </c>
      <c r="G2361" s="19" t="n">
        <v>0.0715</v>
      </c>
    </row>
    <row r="2362" customFormat="false" ht="15" hidden="false" customHeight="false" outlineLevel="0" collapsed="false">
      <c r="A2362" s="28" t="s">
        <v>186</v>
      </c>
      <c r="B2362" s="28" t="s">
        <v>187</v>
      </c>
      <c r="C2362" s="28" t="s">
        <v>174</v>
      </c>
      <c r="D2362" s="23" t="n">
        <v>7</v>
      </c>
      <c r="E2362" s="23" t="n">
        <v>18</v>
      </c>
      <c r="F2362" s="28" t="s">
        <v>910</v>
      </c>
      <c r="G2362" s="19" t="n">
        <v>0.0719</v>
      </c>
    </row>
    <row r="2363" customFormat="false" ht="15" hidden="false" customHeight="false" outlineLevel="0" collapsed="false">
      <c r="A2363" s="28" t="s">
        <v>186</v>
      </c>
      <c r="B2363" s="28" t="s">
        <v>187</v>
      </c>
      <c r="C2363" s="28" t="s">
        <v>174</v>
      </c>
      <c r="D2363" s="23" t="n">
        <v>7</v>
      </c>
      <c r="E2363" s="23" t="n">
        <v>18</v>
      </c>
      <c r="F2363" s="28" t="s">
        <v>911</v>
      </c>
      <c r="G2363" s="19" t="n">
        <v>0.073</v>
      </c>
    </row>
    <row r="2364" customFormat="false" ht="15" hidden="false" customHeight="false" outlineLevel="0" collapsed="false">
      <c r="A2364" s="28" t="s">
        <v>186</v>
      </c>
      <c r="B2364" s="28" t="s">
        <v>187</v>
      </c>
      <c r="C2364" s="28" t="s">
        <v>174</v>
      </c>
      <c r="D2364" s="23" t="n">
        <v>7</v>
      </c>
      <c r="E2364" s="23" t="n">
        <v>18</v>
      </c>
      <c r="F2364" s="28" t="s">
        <v>912</v>
      </c>
      <c r="G2364" s="19" t="n">
        <v>0.0744</v>
      </c>
    </row>
    <row r="2365" customFormat="false" ht="15" hidden="false" customHeight="false" outlineLevel="0" collapsed="false">
      <c r="A2365" s="28" t="s">
        <v>186</v>
      </c>
      <c r="B2365" s="28" t="s">
        <v>187</v>
      </c>
      <c r="C2365" s="28" t="s">
        <v>174</v>
      </c>
      <c r="D2365" s="23" t="n">
        <v>7</v>
      </c>
      <c r="E2365" s="23" t="n">
        <v>18</v>
      </c>
      <c r="F2365" s="28" t="s">
        <v>913</v>
      </c>
      <c r="G2365" s="19" t="n">
        <v>0.0793</v>
      </c>
    </row>
    <row r="2366" customFormat="false" ht="15" hidden="false" customHeight="false" outlineLevel="0" collapsed="false">
      <c r="A2366" s="28" t="s">
        <v>186</v>
      </c>
      <c r="B2366" s="28" t="s">
        <v>187</v>
      </c>
      <c r="C2366" s="28" t="s">
        <v>174</v>
      </c>
      <c r="D2366" s="23" t="n">
        <v>7</v>
      </c>
      <c r="E2366" s="23" t="n">
        <v>18</v>
      </c>
      <c r="F2366" s="28" t="s">
        <v>914</v>
      </c>
      <c r="G2366" s="19" t="n">
        <v>0.0791</v>
      </c>
    </row>
    <row r="2367" customFormat="false" ht="15" hidden="false" customHeight="false" outlineLevel="0" collapsed="false">
      <c r="A2367" s="28" t="s">
        <v>186</v>
      </c>
      <c r="B2367" s="28" t="s">
        <v>187</v>
      </c>
      <c r="C2367" s="28" t="s">
        <v>174</v>
      </c>
      <c r="D2367" s="23" t="n">
        <v>7</v>
      </c>
      <c r="E2367" s="23" t="n">
        <v>18</v>
      </c>
      <c r="F2367" s="28" t="s">
        <v>915</v>
      </c>
      <c r="G2367" s="19" t="n">
        <v>0.0949</v>
      </c>
    </row>
    <row r="2368" customFormat="false" ht="15" hidden="false" customHeight="false" outlineLevel="0" collapsed="false">
      <c r="A2368" s="28" t="s">
        <v>186</v>
      </c>
      <c r="B2368" s="28" t="s">
        <v>187</v>
      </c>
      <c r="C2368" s="28" t="s">
        <v>174</v>
      </c>
      <c r="D2368" s="23" t="n">
        <v>7</v>
      </c>
      <c r="E2368" s="23" t="n">
        <v>19</v>
      </c>
      <c r="F2368" s="28" t="s">
        <v>904</v>
      </c>
      <c r="G2368" s="19" t="n">
        <v>0.0663</v>
      </c>
    </row>
    <row r="2369" customFormat="false" ht="15" hidden="false" customHeight="false" outlineLevel="0" collapsed="false">
      <c r="A2369" s="28" t="s">
        <v>186</v>
      </c>
      <c r="B2369" s="28" t="s">
        <v>187</v>
      </c>
      <c r="C2369" s="28" t="s">
        <v>174</v>
      </c>
      <c r="D2369" s="23" t="n">
        <v>7</v>
      </c>
      <c r="E2369" s="23" t="n">
        <v>19</v>
      </c>
      <c r="F2369" s="28" t="s">
        <v>551</v>
      </c>
      <c r="G2369" s="19" t="n">
        <v>0.0975</v>
      </c>
    </row>
    <row r="2370" customFormat="false" ht="15" hidden="false" customHeight="false" outlineLevel="0" collapsed="false">
      <c r="A2370" s="28" t="s">
        <v>186</v>
      </c>
      <c r="B2370" s="28" t="s">
        <v>187</v>
      </c>
      <c r="C2370" s="28" t="s">
        <v>174</v>
      </c>
      <c r="D2370" s="23" t="n">
        <v>7</v>
      </c>
      <c r="E2370" s="23" t="n">
        <v>19</v>
      </c>
      <c r="F2370" s="28" t="s">
        <v>451</v>
      </c>
      <c r="G2370" s="19" t="n">
        <v>0.0661</v>
      </c>
    </row>
    <row r="2371" customFormat="false" ht="15" hidden="false" customHeight="false" outlineLevel="0" collapsed="false">
      <c r="A2371" s="28" t="s">
        <v>186</v>
      </c>
      <c r="B2371" s="28" t="s">
        <v>187</v>
      </c>
      <c r="C2371" s="28" t="s">
        <v>174</v>
      </c>
      <c r="D2371" s="23" t="n">
        <v>7</v>
      </c>
      <c r="E2371" s="23" t="n">
        <v>19</v>
      </c>
      <c r="F2371" s="28" t="s">
        <v>905</v>
      </c>
      <c r="G2371" s="19" t="n">
        <v>0.0687</v>
      </c>
    </row>
    <row r="2372" customFormat="false" ht="15" hidden="false" customHeight="false" outlineLevel="0" collapsed="false">
      <c r="A2372" s="28" t="s">
        <v>186</v>
      </c>
      <c r="B2372" s="28" t="s">
        <v>187</v>
      </c>
      <c r="C2372" s="28" t="s">
        <v>174</v>
      </c>
      <c r="D2372" s="23" t="n">
        <v>7</v>
      </c>
      <c r="E2372" s="23" t="n">
        <v>19</v>
      </c>
      <c r="F2372" s="28" t="s">
        <v>906</v>
      </c>
      <c r="G2372" s="19" t="n">
        <v>0.0701</v>
      </c>
    </row>
    <row r="2373" customFormat="false" ht="15" hidden="false" customHeight="false" outlineLevel="0" collapsed="false">
      <c r="A2373" s="28" t="s">
        <v>186</v>
      </c>
      <c r="B2373" s="28" t="s">
        <v>187</v>
      </c>
      <c r="C2373" s="28" t="s">
        <v>174</v>
      </c>
      <c r="D2373" s="23" t="n">
        <v>7</v>
      </c>
      <c r="E2373" s="23" t="n">
        <v>19</v>
      </c>
      <c r="F2373" s="28" t="s">
        <v>907</v>
      </c>
      <c r="G2373" s="19" t="n">
        <v>0.0698</v>
      </c>
    </row>
    <row r="2374" customFormat="false" ht="15" hidden="false" customHeight="false" outlineLevel="0" collapsed="false">
      <c r="A2374" s="28" t="s">
        <v>186</v>
      </c>
      <c r="B2374" s="28" t="s">
        <v>187</v>
      </c>
      <c r="C2374" s="28" t="s">
        <v>174</v>
      </c>
      <c r="D2374" s="23" t="n">
        <v>7</v>
      </c>
      <c r="E2374" s="23" t="n">
        <v>19</v>
      </c>
      <c r="F2374" s="28" t="s">
        <v>908</v>
      </c>
      <c r="G2374" s="19" t="n">
        <v>0.0714</v>
      </c>
    </row>
    <row r="2375" customFormat="false" ht="15" hidden="false" customHeight="false" outlineLevel="0" collapsed="false">
      <c r="A2375" s="28" t="s">
        <v>186</v>
      </c>
      <c r="B2375" s="28" t="s">
        <v>187</v>
      </c>
      <c r="C2375" s="28" t="s">
        <v>174</v>
      </c>
      <c r="D2375" s="23" t="n">
        <v>7</v>
      </c>
      <c r="E2375" s="23" t="n">
        <v>19</v>
      </c>
      <c r="F2375" s="28" t="s">
        <v>909</v>
      </c>
      <c r="G2375" s="19" t="n">
        <v>0.0715</v>
      </c>
    </row>
    <row r="2376" customFormat="false" ht="15" hidden="false" customHeight="false" outlineLevel="0" collapsed="false">
      <c r="A2376" s="28" t="s">
        <v>186</v>
      </c>
      <c r="B2376" s="28" t="s">
        <v>187</v>
      </c>
      <c r="C2376" s="28" t="s">
        <v>174</v>
      </c>
      <c r="D2376" s="23" t="n">
        <v>7</v>
      </c>
      <c r="E2376" s="23" t="n">
        <v>19</v>
      </c>
      <c r="F2376" s="28" t="s">
        <v>910</v>
      </c>
      <c r="G2376" s="19" t="n">
        <v>0.0719</v>
      </c>
    </row>
    <row r="2377" customFormat="false" ht="15" hidden="false" customHeight="false" outlineLevel="0" collapsed="false">
      <c r="A2377" s="28" t="s">
        <v>186</v>
      </c>
      <c r="B2377" s="28" t="s">
        <v>187</v>
      </c>
      <c r="C2377" s="28" t="s">
        <v>174</v>
      </c>
      <c r="D2377" s="23" t="n">
        <v>7</v>
      </c>
      <c r="E2377" s="23" t="n">
        <v>19</v>
      </c>
      <c r="F2377" s="28" t="s">
        <v>911</v>
      </c>
      <c r="G2377" s="19" t="n">
        <v>0.073</v>
      </c>
    </row>
    <row r="2378" customFormat="false" ht="15" hidden="false" customHeight="false" outlineLevel="0" collapsed="false">
      <c r="A2378" s="28" t="s">
        <v>186</v>
      </c>
      <c r="B2378" s="28" t="s">
        <v>187</v>
      </c>
      <c r="C2378" s="28" t="s">
        <v>174</v>
      </c>
      <c r="D2378" s="23" t="n">
        <v>7</v>
      </c>
      <c r="E2378" s="23" t="n">
        <v>19</v>
      </c>
      <c r="F2378" s="28" t="s">
        <v>912</v>
      </c>
      <c r="G2378" s="19" t="n">
        <v>0.0744</v>
      </c>
    </row>
    <row r="2379" customFormat="false" ht="15" hidden="false" customHeight="false" outlineLevel="0" collapsed="false">
      <c r="A2379" s="28" t="s">
        <v>186</v>
      </c>
      <c r="B2379" s="28" t="s">
        <v>187</v>
      </c>
      <c r="C2379" s="28" t="s">
        <v>174</v>
      </c>
      <c r="D2379" s="23" t="n">
        <v>7</v>
      </c>
      <c r="E2379" s="23" t="n">
        <v>19</v>
      </c>
      <c r="F2379" s="28" t="s">
        <v>913</v>
      </c>
      <c r="G2379" s="19" t="n">
        <v>0.0793</v>
      </c>
    </row>
    <row r="2380" customFormat="false" ht="15" hidden="false" customHeight="false" outlineLevel="0" collapsed="false">
      <c r="A2380" s="28" t="s">
        <v>186</v>
      </c>
      <c r="B2380" s="28" t="s">
        <v>187</v>
      </c>
      <c r="C2380" s="28" t="s">
        <v>174</v>
      </c>
      <c r="D2380" s="23" t="n">
        <v>7</v>
      </c>
      <c r="E2380" s="23" t="n">
        <v>19</v>
      </c>
      <c r="F2380" s="28" t="s">
        <v>914</v>
      </c>
      <c r="G2380" s="19" t="n">
        <v>0.0791</v>
      </c>
    </row>
    <row r="2381" customFormat="false" ht="15" hidden="false" customHeight="false" outlineLevel="0" collapsed="false">
      <c r="A2381" s="28" t="s">
        <v>186</v>
      </c>
      <c r="B2381" s="28" t="s">
        <v>187</v>
      </c>
      <c r="C2381" s="28" t="s">
        <v>174</v>
      </c>
      <c r="D2381" s="23" t="n">
        <v>7</v>
      </c>
      <c r="E2381" s="23" t="n">
        <v>19</v>
      </c>
      <c r="F2381" s="28" t="s">
        <v>915</v>
      </c>
      <c r="G2381" s="19" t="n">
        <v>0.0949</v>
      </c>
    </row>
    <row r="2382" customFormat="false" ht="15" hidden="false" customHeight="false" outlineLevel="0" collapsed="false">
      <c r="A2382" s="28" t="s">
        <v>186</v>
      </c>
      <c r="B2382" s="28" t="s">
        <v>187</v>
      </c>
      <c r="C2382" s="28" t="s">
        <v>174</v>
      </c>
      <c r="D2382" s="23" t="n">
        <v>7</v>
      </c>
      <c r="E2382" s="23" t="n">
        <v>20</v>
      </c>
      <c r="F2382" s="28" t="s">
        <v>904</v>
      </c>
      <c r="G2382" s="19" t="n">
        <v>0.0663</v>
      </c>
    </row>
    <row r="2383" customFormat="false" ht="15" hidden="false" customHeight="false" outlineLevel="0" collapsed="false">
      <c r="A2383" s="28" t="s">
        <v>186</v>
      </c>
      <c r="B2383" s="28" t="s">
        <v>187</v>
      </c>
      <c r="C2383" s="28" t="s">
        <v>174</v>
      </c>
      <c r="D2383" s="23" t="n">
        <v>7</v>
      </c>
      <c r="E2383" s="23" t="n">
        <v>20</v>
      </c>
      <c r="F2383" s="28" t="s">
        <v>551</v>
      </c>
      <c r="G2383" s="19" t="n">
        <v>0.0975</v>
      </c>
    </row>
    <row r="2384" customFormat="false" ht="15" hidden="false" customHeight="false" outlineLevel="0" collapsed="false">
      <c r="A2384" s="28" t="s">
        <v>186</v>
      </c>
      <c r="B2384" s="28" t="s">
        <v>187</v>
      </c>
      <c r="C2384" s="28" t="s">
        <v>174</v>
      </c>
      <c r="D2384" s="23" t="n">
        <v>7</v>
      </c>
      <c r="E2384" s="23" t="n">
        <v>20</v>
      </c>
      <c r="F2384" s="28" t="s">
        <v>451</v>
      </c>
      <c r="G2384" s="19" t="n">
        <v>0.0661</v>
      </c>
    </row>
    <row r="2385" customFormat="false" ht="15" hidden="false" customHeight="false" outlineLevel="0" collapsed="false">
      <c r="A2385" s="28" t="s">
        <v>186</v>
      </c>
      <c r="B2385" s="28" t="s">
        <v>187</v>
      </c>
      <c r="C2385" s="28" t="s">
        <v>174</v>
      </c>
      <c r="D2385" s="23" t="n">
        <v>7</v>
      </c>
      <c r="E2385" s="23" t="n">
        <v>20</v>
      </c>
      <c r="F2385" s="28" t="s">
        <v>905</v>
      </c>
      <c r="G2385" s="19" t="n">
        <v>0.0687</v>
      </c>
    </row>
    <row r="2386" customFormat="false" ht="15" hidden="false" customHeight="false" outlineLevel="0" collapsed="false">
      <c r="A2386" s="28" t="s">
        <v>186</v>
      </c>
      <c r="B2386" s="28" t="s">
        <v>187</v>
      </c>
      <c r="C2386" s="28" t="s">
        <v>174</v>
      </c>
      <c r="D2386" s="23" t="n">
        <v>7</v>
      </c>
      <c r="E2386" s="23" t="n">
        <v>20</v>
      </c>
      <c r="F2386" s="28" t="s">
        <v>906</v>
      </c>
      <c r="G2386" s="19" t="n">
        <v>0.0701</v>
      </c>
    </row>
    <row r="2387" customFormat="false" ht="15" hidden="false" customHeight="false" outlineLevel="0" collapsed="false">
      <c r="A2387" s="28" t="s">
        <v>186</v>
      </c>
      <c r="B2387" s="28" t="s">
        <v>187</v>
      </c>
      <c r="C2387" s="28" t="s">
        <v>174</v>
      </c>
      <c r="D2387" s="23" t="n">
        <v>7</v>
      </c>
      <c r="E2387" s="23" t="n">
        <v>20</v>
      </c>
      <c r="F2387" s="28" t="s">
        <v>907</v>
      </c>
      <c r="G2387" s="19" t="n">
        <v>0.0698</v>
      </c>
    </row>
    <row r="2388" customFormat="false" ht="15" hidden="false" customHeight="false" outlineLevel="0" collapsed="false">
      <c r="A2388" s="28" t="s">
        <v>186</v>
      </c>
      <c r="B2388" s="28" t="s">
        <v>187</v>
      </c>
      <c r="C2388" s="28" t="s">
        <v>174</v>
      </c>
      <c r="D2388" s="23" t="n">
        <v>7</v>
      </c>
      <c r="E2388" s="23" t="n">
        <v>20</v>
      </c>
      <c r="F2388" s="28" t="s">
        <v>908</v>
      </c>
      <c r="G2388" s="19" t="n">
        <v>0.0714</v>
      </c>
    </row>
    <row r="2389" customFormat="false" ht="15" hidden="false" customHeight="false" outlineLevel="0" collapsed="false">
      <c r="A2389" s="28" t="s">
        <v>186</v>
      </c>
      <c r="B2389" s="28" t="s">
        <v>187</v>
      </c>
      <c r="C2389" s="28" t="s">
        <v>174</v>
      </c>
      <c r="D2389" s="23" t="n">
        <v>7</v>
      </c>
      <c r="E2389" s="23" t="n">
        <v>20</v>
      </c>
      <c r="F2389" s="28" t="s">
        <v>909</v>
      </c>
      <c r="G2389" s="19" t="n">
        <v>0.0715</v>
      </c>
    </row>
    <row r="2390" customFormat="false" ht="15" hidden="false" customHeight="false" outlineLevel="0" collapsed="false">
      <c r="A2390" s="28" t="s">
        <v>186</v>
      </c>
      <c r="B2390" s="28" t="s">
        <v>187</v>
      </c>
      <c r="C2390" s="28" t="s">
        <v>174</v>
      </c>
      <c r="D2390" s="23" t="n">
        <v>7</v>
      </c>
      <c r="E2390" s="23" t="n">
        <v>20</v>
      </c>
      <c r="F2390" s="28" t="s">
        <v>910</v>
      </c>
      <c r="G2390" s="19" t="n">
        <v>0.0719</v>
      </c>
    </row>
    <row r="2391" customFormat="false" ht="15" hidden="false" customHeight="false" outlineLevel="0" collapsed="false">
      <c r="A2391" s="28" t="s">
        <v>186</v>
      </c>
      <c r="B2391" s="28" t="s">
        <v>187</v>
      </c>
      <c r="C2391" s="28" t="s">
        <v>174</v>
      </c>
      <c r="D2391" s="23" t="n">
        <v>7</v>
      </c>
      <c r="E2391" s="23" t="n">
        <v>20</v>
      </c>
      <c r="F2391" s="28" t="s">
        <v>911</v>
      </c>
      <c r="G2391" s="19" t="n">
        <v>0.073</v>
      </c>
    </row>
    <row r="2392" customFormat="false" ht="15" hidden="false" customHeight="false" outlineLevel="0" collapsed="false">
      <c r="A2392" s="28" t="s">
        <v>186</v>
      </c>
      <c r="B2392" s="28" t="s">
        <v>187</v>
      </c>
      <c r="C2392" s="28" t="s">
        <v>174</v>
      </c>
      <c r="D2392" s="23" t="n">
        <v>7</v>
      </c>
      <c r="E2392" s="23" t="n">
        <v>20</v>
      </c>
      <c r="F2392" s="28" t="s">
        <v>912</v>
      </c>
      <c r="G2392" s="19" t="n">
        <v>0.0744</v>
      </c>
    </row>
    <row r="2393" customFormat="false" ht="15" hidden="false" customHeight="false" outlineLevel="0" collapsed="false">
      <c r="A2393" s="28" t="s">
        <v>186</v>
      </c>
      <c r="B2393" s="28" t="s">
        <v>187</v>
      </c>
      <c r="C2393" s="28" t="s">
        <v>174</v>
      </c>
      <c r="D2393" s="23" t="n">
        <v>7</v>
      </c>
      <c r="E2393" s="23" t="n">
        <v>20</v>
      </c>
      <c r="F2393" s="28" t="s">
        <v>913</v>
      </c>
      <c r="G2393" s="19" t="n">
        <v>0.0793</v>
      </c>
    </row>
    <row r="2394" customFormat="false" ht="15" hidden="false" customHeight="false" outlineLevel="0" collapsed="false">
      <c r="A2394" s="28" t="s">
        <v>186</v>
      </c>
      <c r="B2394" s="28" t="s">
        <v>187</v>
      </c>
      <c r="C2394" s="28" t="s">
        <v>174</v>
      </c>
      <c r="D2394" s="23" t="n">
        <v>7</v>
      </c>
      <c r="E2394" s="23" t="n">
        <v>20</v>
      </c>
      <c r="F2394" s="28" t="s">
        <v>914</v>
      </c>
      <c r="G2394" s="19" t="n">
        <v>0.0791</v>
      </c>
    </row>
    <row r="2395" customFormat="false" ht="15" hidden="false" customHeight="false" outlineLevel="0" collapsed="false">
      <c r="A2395" s="28" t="s">
        <v>186</v>
      </c>
      <c r="B2395" s="28" t="s">
        <v>187</v>
      </c>
      <c r="C2395" s="28" t="s">
        <v>174</v>
      </c>
      <c r="D2395" s="23" t="n">
        <v>7</v>
      </c>
      <c r="E2395" s="23" t="n">
        <v>20</v>
      </c>
      <c r="F2395" s="28" t="s">
        <v>915</v>
      </c>
      <c r="G2395" s="19" t="n">
        <v>0.0949</v>
      </c>
    </row>
    <row r="2396" customFormat="false" ht="15" hidden="false" customHeight="false" outlineLevel="0" collapsed="false">
      <c r="A2396" s="28" t="s">
        <v>186</v>
      </c>
      <c r="B2396" s="28" t="s">
        <v>187</v>
      </c>
      <c r="C2396" s="28" t="s">
        <v>174</v>
      </c>
      <c r="D2396" s="23" t="n">
        <v>7</v>
      </c>
      <c r="E2396" s="23" t="n">
        <v>21</v>
      </c>
      <c r="F2396" s="28" t="s">
        <v>904</v>
      </c>
      <c r="G2396" s="19" t="n">
        <v>0.0663</v>
      </c>
    </row>
    <row r="2397" customFormat="false" ht="15" hidden="false" customHeight="false" outlineLevel="0" collapsed="false">
      <c r="A2397" s="28" t="s">
        <v>186</v>
      </c>
      <c r="B2397" s="28" t="s">
        <v>187</v>
      </c>
      <c r="C2397" s="28" t="s">
        <v>174</v>
      </c>
      <c r="D2397" s="23" t="n">
        <v>7</v>
      </c>
      <c r="E2397" s="23" t="n">
        <v>21</v>
      </c>
      <c r="F2397" s="28" t="s">
        <v>551</v>
      </c>
      <c r="G2397" s="19" t="n">
        <v>0.0975</v>
      </c>
    </row>
    <row r="2398" customFormat="false" ht="15" hidden="false" customHeight="false" outlineLevel="0" collapsed="false">
      <c r="A2398" s="28" t="s">
        <v>186</v>
      </c>
      <c r="B2398" s="28" t="s">
        <v>187</v>
      </c>
      <c r="C2398" s="28" t="s">
        <v>174</v>
      </c>
      <c r="D2398" s="23" t="n">
        <v>7</v>
      </c>
      <c r="E2398" s="23" t="n">
        <v>21</v>
      </c>
      <c r="F2398" s="28" t="s">
        <v>451</v>
      </c>
      <c r="G2398" s="19" t="n">
        <v>0.0661</v>
      </c>
    </row>
    <row r="2399" customFormat="false" ht="15" hidden="false" customHeight="false" outlineLevel="0" collapsed="false">
      <c r="A2399" s="28" t="s">
        <v>186</v>
      </c>
      <c r="B2399" s="28" t="s">
        <v>187</v>
      </c>
      <c r="C2399" s="28" t="s">
        <v>174</v>
      </c>
      <c r="D2399" s="23" t="n">
        <v>7</v>
      </c>
      <c r="E2399" s="23" t="n">
        <v>21</v>
      </c>
      <c r="F2399" s="28" t="s">
        <v>905</v>
      </c>
      <c r="G2399" s="19" t="n">
        <v>0.0687</v>
      </c>
    </row>
    <row r="2400" customFormat="false" ht="15" hidden="false" customHeight="false" outlineLevel="0" collapsed="false">
      <c r="A2400" s="28" t="s">
        <v>186</v>
      </c>
      <c r="B2400" s="28" t="s">
        <v>187</v>
      </c>
      <c r="C2400" s="28" t="s">
        <v>174</v>
      </c>
      <c r="D2400" s="23" t="n">
        <v>7</v>
      </c>
      <c r="E2400" s="23" t="n">
        <v>21</v>
      </c>
      <c r="F2400" s="28" t="s">
        <v>906</v>
      </c>
      <c r="G2400" s="19" t="n">
        <v>0.0701</v>
      </c>
    </row>
    <row r="2401" customFormat="false" ht="15" hidden="false" customHeight="false" outlineLevel="0" collapsed="false">
      <c r="A2401" s="28" t="s">
        <v>186</v>
      </c>
      <c r="B2401" s="28" t="s">
        <v>187</v>
      </c>
      <c r="C2401" s="28" t="s">
        <v>174</v>
      </c>
      <c r="D2401" s="23" t="n">
        <v>7</v>
      </c>
      <c r="E2401" s="23" t="n">
        <v>21</v>
      </c>
      <c r="F2401" s="28" t="s">
        <v>907</v>
      </c>
      <c r="G2401" s="19" t="n">
        <v>0.0698</v>
      </c>
    </row>
    <row r="2402" customFormat="false" ht="15" hidden="false" customHeight="false" outlineLevel="0" collapsed="false">
      <c r="A2402" s="28" t="s">
        <v>186</v>
      </c>
      <c r="B2402" s="28" t="s">
        <v>187</v>
      </c>
      <c r="C2402" s="28" t="s">
        <v>174</v>
      </c>
      <c r="D2402" s="23" t="n">
        <v>7</v>
      </c>
      <c r="E2402" s="23" t="n">
        <v>21</v>
      </c>
      <c r="F2402" s="28" t="s">
        <v>908</v>
      </c>
      <c r="G2402" s="19" t="n">
        <v>0.0714</v>
      </c>
    </row>
    <row r="2403" customFormat="false" ht="15" hidden="false" customHeight="false" outlineLevel="0" collapsed="false">
      <c r="A2403" s="28" t="s">
        <v>186</v>
      </c>
      <c r="B2403" s="28" t="s">
        <v>187</v>
      </c>
      <c r="C2403" s="28" t="s">
        <v>174</v>
      </c>
      <c r="D2403" s="23" t="n">
        <v>7</v>
      </c>
      <c r="E2403" s="23" t="n">
        <v>21</v>
      </c>
      <c r="F2403" s="28" t="s">
        <v>909</v>
      </c>
      <c r="G2403" s="19" t="n">
        <v>0.0715</v>
      </c>
    </row>
    <row r="2404" customFormat="false" ht="15" hidden="false" customHeight="false" outlineLevel="0" collapsed="false">
      <c r="A2404" s="28" t="s">
        <v>186</v>
      </c>
      <c r="B2404" s="28" t="s">
        <v>187</v>
      </c>
      <c r="C2404" s="28" t="s">
        <v>174</v>
      </c>
      <c r="D2404" s="23" t="n">
        <v>7</v>
      </c>
      <c r="E2404" s="23" t="n">
        <v>21</v>
      </c>
      <c r="F2404" s="28" t="s">
        <v>910</v>
      </c>
      <c r="G2404" s="19" t="n">
        <v>0.0719</v>
      </c>
    </row>
    <row r="2405" customFormat="false" ht="15" hidden="false" customHeight="false" outlineLevel="0" collapsed="false">
      <c r="A2405" s="28" t="s">
        <v>186</v>
      </c>
      <c r="B2405" s="28" t="s">
        <v>187</v>
      </c>
      <c r="C2405" s="28" t="s">
        <v>174</v>
      </c>
      <c r="D2405" s="23" t="n">
        <v>7</v>
      </c>
      <c r="E2405" s="23" t="n">
        <v>21</v>
      </c>
      <c r="F2405" s="28" t="s">
        <v>911</v>
      </c>
      <c r="G2405" s="19" t="n">
        <v>0.073</v>
      </c>
    </row>
    <row r="2406" customFormat="false" ht="15" hidden="false" customHeight="false" outlineLevel="0" collapsed="false">
      <c r="A2406" s="28" t="s">
        <v>186</v>
      </c>
      <c r="B2406" s="28" t="s">
        <v>187</v>
      </c>
      <c r="C2406" s="28" t="s">
        <v>174</v>
      </c>
      <c r="D2406" s="23" t="n">
        <v>7</v>
      </c>
      <c r="E2406" s="23" t="n">
        <v>21</v>
      </c>
      <c r="F2406" s="28" t="s">
        <v>912</v>
      </c>
      <c r="G2406" s="19" t="n">
        <v>0.0744</v>
      </c>
    </row>
    <row r="2407" customFormat="false" ht="15" hidden="false" customHeight="false" outlineLevel="0" collapsed="false">
      <c r="A2407" s="28" t="s">
        <v>186</v>
      </c>
      <c r="B2407" s="28" t="s">
        <v>187</v>
      </c>
      <c r="C2407" s="28" t="s">
        <v>174</v>
      </c>
      <c r="D2407" s="23" t="n">
        <v>7</v>
      </c>
      <c r="E2407" s="23" t="n">
        <v>21</v>
      </c>
      <c r="F2407" s="28" t="s">
        <v>913</v>
      </c>
      <c r="G2407" s="19" t="n">
        <v>0.0793</v>
      </c>
    </row>
    <row r="2408" customFormat="false" ht="15" hidden="false" customHeight="false" outlineLevel="0" collapsed="false">
      <c r="A2408" s="28" t="s">
        <v>186</v>
      </c>
      <c r="B2408" s="28" t="s">
        <v>187</v>
      </c>
      <c r="C2408" s="28" t="s">
        <v>174</v>
      </c>
      <c r="D2408" s="23" t="n">
        <v>7</v>
      </c>
      <c r="E2408" s="23" t="n">
        <v>21</v>
      </c>
      <c r="F2408" s="28" t="s">
        <v>914</v>
      </c>
      <c r="G2408" s="19" t="n">
        <v>0.0791</v>
      </c>
    </row>
    <row r="2409" customFormat="false" ht="15" hidden="false" customHeight="false" outlineLevel="0" collapsed="false">
      <c r="A2409" s="28" t="s">
        <v>186</v>
      </c>
      <c r="B2409" s="28" t="s">
        <v>187</v>
      </c>
      <c r="C2409" s="28" t="s">
        <v>174</v>
      </c>
      <c r="D2409" s="23" t="n">
        <v>7</v>
      </c>
      <c r="E2409" s="23" t="n">
        <v>21</v>
      </c>
      <c r="F2409" s="28" t="s">
        <v>915</v>
      </c>
      <c r="G2409" s="19" t="n">
        <v>0.0949</v>
      </c>
    </row>
    <row r="2410" customFormat="false" ht="15" hidden="false" customHeight="false" outlineLevel="0" collapsed="false">
      <c r="A2410" s="28" t="s">
        <v>186</v>
      </c>
      <c r="B2410" s="28" t="s">
        <v>187</v>
      </c>
      <c r="C2410" s="28" t="s">
        <v>174</v>
      </c>
      <c r="D2410" s="23" t="n">
        <v>7</v>
      </c>
      <c r="E2410" s="23" t="n">
        <v>22</v>
      </c>
      <c r="F2410" s="28" t="s">
        <v>904</v>
      </c>
      <c r="G2410" s="19" t="n">
        <v>0.0663</v>
      </c>
    </row>
    <row r="2411" customFormat="false" ht="15" hidden="false" customHeight="false" outlineLevel="0" collapsed="false">
      <c r="A2411" s="28" t="s">
        <v>186</v>
      </c>
      <c r="B2411" s="28" t="s">
        <v>187</v>
      </c>
      <c r="C2411" s="28" t="s">
        <v>174</v>
      </c>
      <c r="D2411" s="23" t="n">
        <v>7</v>
      </c>
      <c r="E2411" s="23" t="n">
        <v>22</v>
      </c>
      <c r="F2411" s="28" t="s">
        <v>551</v>
      </c>
      <c r="G2411" s="19" t="n">
        <v>0.0975</v>
      </c>
    </row>
    <row r="2412" customFormat="false" ht="15" hidden="false" customHeight="false" outlineLevel="0" collapsed="false">
      <c r="A2412" s="28" t="s">
        <v>186</v>
      </c>
      <c r="B2412" s="28" t="s">
        <v>187</v>
      </c>
      <c r="C2412" s="28" t="s">
        <v>174</v>
      </c>
      <c r="D2412" s="23" t="n">
        <v>7</v>
      </c>
      <c r="E2412" s="23" t="n">
        <v>22</v>
      </c>
      <c r="F2412" s="28" t="s">
        <v>451</v>
      </c>
      <c r="G2412" s="19" t="n">
        <v>0.0661</v>
      </c>
    </row>
    <row r="2413" customFormat="false" ht="15" hidden="false" customHeight="false" outlineLevel="0" collapsed="false">
      <c r="A2413" s="28" t="s">
        <v>186</v>
      </c>
      <c r="B2413" s="28" t="s">
        <v>187</v>
      </c>
      <c r="C2413" s="28" t="s">
        <v>174</v>
      </c>
      <c r="D2413" s="23" t="n">
        <v>7</v>
      </c>
      <c r="E2413" s="23" t="n">
        <v>22</v>
      </c>
      <c r="F2413" s="28" t="s">
        <v>905</v>
      </c>
      <c r="G2413" s="19" t="n">
        <v>0.0687</v>
      </c>
    </row>
    <row r="2414" customFormat="false" ht="15" hidden="false" customHeight="false" outlineLevel="0" collapsed="false">
      <c r="A2414" s="28" t="s">
        <v>186</v>
      </c>
      <c r="B2414" s="28" t="s">
        <v>187</v>
      </c>
      <c r="C2414" s="28" t="s">
        <v>174</v>
      </c>
      <c r="D2414" s="23" t="n">
        <v>7</v>
      </c>
      <c r="E2414" s="23" t="n">
        <v>22</v>
      </c>
      <c r="F2414" s="28" t="s">
        <v>906</v>
      </c>
      <c r="G2414" s="19" t="n">
        <v>0.0701</v>
      </c>
    </row>
    <row r="2415" customFormat="false" ht="15" hidden="false" customHeight="false" outlineLevel="0" collapsed="false">
      <c r="A2415" s="28" t="s">
        <v>186</v>
      </c>
      <c r="B2415" s="28" t="s">
        <v>187</v>
      </c>
      <c r="C2415" s="28" t="s">
        <v>174</v>
      </c>
      <c r="D2415" s="23" t="n">
        <v>7</v>
      </c>
      <c r="E2415" s="23" t="n">
        <v>22</v>
      </c>
      <c r="F2415" s="28" t="s">
        <v>907</v>
      </c>
      <c r="G2415" s="19" t="n">
        <v>0.0698</v>
      </c>
    </row>
    <row r="2416" customFormat="false" ht="15" hidden="false" customHeight="false" outlineLevel="0" collapsed="false">
      <c r="A2416" s="28" t="s">
        <v>186</v>
      </c>
      <c r="B2416" s="28" t="s">
        <v>187</v>
      </c>
      <c r="C2416" s="28" t="s">
        <v>174</v>
      </c>
      <c r="D2416" s="23" t="n">
        <v>7</v>
      </c>
      <c r="E2416" s="23" t="n">
        <v>22</v>
      </c>
      <c r="F2416" s="28" t="s">
        <v>908</v>
      </c>
      <c r="G2416" s="19" t="n">
        <v>0.0714</v>
      </c>
    </row>
    <row r="2417" customFormat="false" ht="15" hidden="false" customHeight="false" outlineLevel="0" collapsed="false">
      <c r="A2417" s="28" t="s">
        <v>186</v>
      </c>
      <c r="B2417" s="28" t="s">
        <v>187</v>
      </c>
      <c r="C2417" s="28" t="s">
        <v>174</v>
      </c>
      <c r="D2417" s="23" t="n">
        <v>7</v>
      </c>
      <c r="E2417" s="23" t="n">
        <v>22</v>
      </c>
      <c r="F2417" s="28" t="s">
        <v>909</v>
      </c>
      <c r="G2417" s="19" t="n">
        <v>0.0715</v>
      </c>
    </row>
    <row r="2418" customFormat="false" ht="15" hidden="false" customHeight="false" outlineLevel="0" collapsed="false">
      <c r="A2418" s="28" t="s">
        <v>186</v>
      </c>
      <c r="B2418" s="28" t="s">
        <v>187</v>
      </c>
      <c r="C2418" s="28" t="s">
        <v>174</v>
      </c>
      <c r="D2418" s="23" t="n">
        <v>7</v>
      </c>
      <c r="E2418" s="23" t="n">
        <v>22</v>
      </c>
      <c r="F2418" s="28" t="s">
        <v>910</v>
      </c>
      <c r="G2418" s="19" t="n">
        <v>0.0719</v>
      </c>
    </row>
    <row r="2419" customFormat="false" ht="15" hidden="false" customHeight="false" outlineLevel="0" collapsed="false">
      <c r="A2419" s="28" t="s">
        <v>186</v>
      </c>
      <c r="B2419" s="28" t="s">
        <v>187</v>
      </c>
      <c r="C2419" s="28" t="s">
        <v>174</v>
      </c>
      <c r="D2419" s="23" t="n">
        <v>7</v>
      </c>
      <c r="E2419" s="23" t="n">
        <v>22</v>
      </c>
      <c r="F2419" s="28" t="s">
        <v>911</v>
      </c>
      <c r="G2419" s="19" t="n">
        <v>0.073</v>
      </c>
    </row>
    <row r="2420" customFormat="false" ht="15" hidden="false" customHeight="false" outlineLevel="0" collapsed="false">
      <c r="A2420" s="28" t="s">
        <v>186</v>
      </c>
      <c r="B2420" s="28" t="s">
        <v>187</v>
      </c>
      <c r="C2420" s="28" t="s">
        <v>174</v>
      </c>
      <c r="D2420" s="23" t="n">
        <v>7</v>
      </c>
      <c r="E2420" s="23" t="n">
        <v>22</v>
      </c>
      <c r="F2420" s="28" t="s">
        <v>912</v>
      </c>
      <c r="G2420" s="19" t="n">
        <v>0.0744</v>
      </c>
    </row>
    <row r="2421" customFormat="false" ht="15" hidden="false" customHeight="false" outlineLevel="0" collapsed="false">
      <c r="A2421" s="28" t="s">
        <v>186</v>
      </c>
      <c r="B2421" s="28" t="s">
        <v>187</v>
      </c>
      <c r="C2421" s="28" t="s">
        <v>174</v>
      </c>
      <c r="D2421" s="23" t="n">
        <v>7</v>
      </c>
      <c r="E2421" s="23" t="n">
        <v>22</v>
      </c>
      <c r="F2421" s="28" t="s">
        <v>913</v>
      </c>
      <c r="G2421" s="19" t="n">
        <v>0.0793</v>
      </c>
    </row>
    <row r="2422" customFormat="false" ht="15" hidden="false" customHeight="false" outlineLevel="0" collapsed="false">
      <c r="A2422" s="28" t="s">
        <v>186</v>
      </c>
      <c r="B2422" s="28" t="s">
        <v>187</v>
      </c>
      <c r="C2422" s="28" t="s">
        <v>174</v>
      </c>
      <c r="D2422" s="23" t="n">
        <v>7</v>
      </c>
      <c r="E2422" s="23" t="n">
        <v>22</v>
      </c>
      <c r="F2422" s="28" t="s">
        <v>914</v>
      </c>
      <c r="G2422" s="19" t="n">
        <v>0.0791</v>
      </c>
    </row>
    <row r="2423" customFormat="false" ht="15" hidden="false" customHeight="false" outlineLevel="0" collapsed="false">
      <c r="A2423" s="28" t="s">
        <v>186</v>
      </c>
      <c r="B2423" s="28" t="s">
        <v>187</v>
      </c>
      <c r="C2423" s="28" t="s">
        <v>174</v>
      </c>
      <c r="D2423" s="23" t="n">
        <v>7</v>
      </c>
      <c r="E2423" s="23" t="n">
        <v>22</v>
      </c>
      <c r="F2423" s="28" t="s">
        <v>915</v>
      </c>
      <c r="G2423" s="19" t="n">
        <v>0.0949</v>
      </c>
    </row>
    <row r="2424" customFormat="false" ht="15" hidden="false" customHeight="false" outlineLevel="0" collapsed="false">
      <c r="A2424" s="28" t="s">
        <v>186</v>
      </c>
      <c r="B2424" s="28" t="s">
        <v>187</v>
      </c>
      <c r="C2424" s="28" t="s">
        <v>174</v>
      </c>
      <c r="D2424" s="23" t="n">
        <v>7</v>
      </c>
      <c r="E2424" s="23" t="n">
        <v>23</v>
      </c>
      <c r="F2424" s="28" t="s">
        <v>904</v>
      </c>
      <c r="G2424" s="19" t="n">
        <v>0.0663</v>
      </c>
    </row>
    <row r="2425" customFormat="false" ht="15" hidden="false" customHeight="false" outlineLevel="0" collapsed="false">
      <c r="A2425" s="28" t="s">
        <v>186</v>
      </c>
      <c r="B2425" s="28" t="s">
        <v>187</v>
      </c>
      <c r="C2425" s="28" t="s">
        <v>174</v>
      </c>
      <c r="D2425" s="23" t="n">
        <v>7</v>
      </c>
      <c r="E2425" s="23" t="n">
        <v>23</v>
      </c>
      <c r="F2425" s="28" t="s">
        <v>551</v>
      </c>
      <c r="G2425" s="19" t="n">
        <v>0.0975</v>
      </c>
    </row>
    <row r="2426" customFormat="false" ht="15" hidden="false" customHeight="false" outlineLevel="0" collapsed="false">
      <c r="A2426" s="28" t="s">
        <v>186</v>
      </c>
      <c r="B2426" s="28" t="s">
        <v>187</v>
      </c>
      <c r="C2426" s="28" t="s">
        <v>174</v>
      </c>
      <c r="D2426" s="23" t="n">
        <v>7</v>
      </c>
      <c r="E2426" s="23" t="n">
        <v>23</v>
      </c>
      <c r="F2426" s="28" t="s">
        <v>451</v>
      </c>
      <c r="G2426" s="19" t="n">
        <v>0.0661</v>
      </c>
    </row>
    <row r="2427" customFormat="false" ht="15" hidden="false" customHeight="false" outlineLevel="0" collapsed="false">
      <c r="A2427" s="28" t="s">
        <v>186</v>
      </c>
      <c r="B2427" s="28" t="s">
        <v>187</v>
      </c>
      <c r="C2427" s="28" t="s">
        <v>174</v>
      </c>
      <c r="D2427" s="23" t="n">
        <v>7</v>
      </c>
      <c r="E2427" s="23" t="n">
        <v>23</v>
      </c>
      <c r="F2427" s="28" t="s">
        <v>905</v>
      </c>
      <c r="G2427" s="19" t="n">
        <v>0.0687</v>
      </c>
    </row>
    <row r="2428" customFormat="false" ht="15" hidden="false" customHeight="false" outlineLevel="0" collapsed="false">
      <c r="A2428" s="28" t="s">
        <v>186</v>
      </c>
      <c r="B2428" s="28" t="s">
        <v>187</v>
      </c>
      <c r="C2428" s="28" t="s">
        <v>174</v>
      </c>
      <c r="D2428" s="23" t="n">
        <v>7</v>
      </c>
      <c r="E2428" s="23" t="n">
        <v>23</v>
      </c>
      <c r="F2428" s="28" t="s">
        <v>906</v>
      </c>
      <c r="G2428" s="19" t="n">
        <v>0.0701</v>
      </c>
    </row>
    <row r="2429" customFormat="false" ht="15" hidden="false" customHeight="false" outlineLevel="0" collapsed="false">
      <c r="A2429" s="28" t="s">
        <v>186</v>
      </c>
      <c r="B2429" s="28" t="s">
        <v>187</v>
      </c>
      <c r="C2429" s="28" t="s">
        <v>174</v>
      </c>
      <c r="D2429" s="23" t="n">
        <v>7</v>
      </c>
      <c r="E2429" s="23" t="n">
        <v>23</v>
      </c>
      <c r="F2429" s="28" t="s">
        <v>907</v>
      </c>
      <c r="G2429" s="19" t="n">
        <v>0.0698</v>
      </c>
    </row>
    <row r="2430" customFormat="false" ht="15" hidden="false" customHeight="false" outlineLevel="0" collapsed="false">
      <c r="A2430" s="28" t="s">
        <v>186</v>
      </c>
      <c r="B2430" s="28" t="s">
        <v>187</v>
      </c>
      <c r="C2430" s="28" t="s">
        <v>174</v>
      </c>
      <c r="D2430" s="23" t="n">
        <v>7</v>
      </c>
      <c r="E2430" s="23" t="n">
        <v>23</v>
      </c>
      <c r="F2430" s="28" t="s">
        <v>908</v>
      </c>
      <c r="G2430" s="19" t="n">
        <v>0.0714</v>
      </c>
    </row>
    <row r="2431" customFormat="false" ht="15" hidden="false" customHeight="false" outlineLevel="0" collapsed="false">
      <c r="A2431" s="28" t="s">
        <v>186</v>
      </c>
      <c r="B2431" s="28" t="s">
        <v>187</v>
      </c>
      <c r="C2431" s="28" t="s">
        <v>174</v>
      </c>
      <c r="D2431" s="23" t="n">
        <v>7</v>
      </c>
      <c r="E2431" s="23" t="n">
        <v>23</v>
      </c>
      <c r="F2431" s="28" t="s">
        <v>909</v>
      </c>
      <c r="G2431" s="19" t="n">
        <v>0.0715</v>
      </c>
    </row>
    <row r="2432" customFormat="false" ht="15" hidden="false" customHeight="false" outlineLevel="0" collapsed="false">
      <c r="A2432" s="28" t="s">
        <v>186</v>
      </c>
      <c r="B2432" s="28" t="s">
        <v>187</v>
      </c>
      <c r="C2432" s="28" t="s">
        <v>174</v>
      </c>
      <c r="D2432" s="23" t="n">
        <v>7</v>
      </c>
      <c r="E2432" s="23" t="n">
        <v>23</v>
      </c>
      <c r="F2432" s="28" t="s">
        <v>910</v>
      </c>
      <c r="G2432" s="19" t="n">
        <v>0.0719</v>
      </c>
    </row>
    <row r="2433" customFormat="false" ht="15" hidden="false" customHeight="false" outlineLevel="0" collapsed="false">
      <c r="A2433" s="28" t="s">
        <v>186</v>
      </c>
      <c r="B2433" s="28" t="s">
        <v>187</v>
      </c>
      <c r="C2433" s="28" t="s">
        <v>174</v>
      </c>
      <c r="D2433" s="23" t="n">
        <v>7</v>
      </c>
      <c r="E2433" s="23" t="n">
        <v>23</v>
      </c>
      <c r="F2433" s="28" t="s">
        <v>911</v>
      </c>
      <c r="G2433" s="19" t="n">
        <v>0.073</v>
      </c>
    </row>
    <row r="2434" customFormat="false" ht="15" hidden="false" customHeight="false" outlineLevel="0" collapsed="false">
      <c r="A2434" s="28" t="s">
        <v>186</v>
      </c>
      <c r="B2434" s="28" t="s">
        <v>187</v>
      </c>
      <c r="C2434" s="28" t="s">
        <v>174</v>
      </c>
      <c r="D2434" s="23" t="n">
        <v>7</v>
      </c>
      <c r="E2434" s="23" t="n">
        <v>23</v>
      </c>
      <c r="F2434" s="28" t="s">
        <v>912</v>
      </c>
      <c r="G2434" s="19" t="n">
        <v>0.0744</v>
      </c>
    </row>
    <row r="2435" customFormat="false" ht="15" hidden="false" customHeight="false" outlineLevel="0" collapsed="false">
      <c r="A2435" s="28" t="s">
        <v>186</v>
      </c>
      <c r="B2435" s="28" t="s">
        <v>187</v>
      </c>
      <c r="C2435" s="28" t="s">
        <v>174</v>
      </c>
      <c r="D2435" s="23" t="n">
        <v>7</v>
      </c>
      <c r="E2435" s="23" t="n">
        <v>23</v>
      </c>
      <c r="F2435" s="28" t="s">
        <v>913</v>
      </c>
      <c r="G2435" s="19" t="n">
        <v>0.0793</v>
      </c>
    </row>
    <row r="2436" customFormat="false" ht="15" hidden="false" customHeight="false" outlineLevel="0" collapsed="false">
      <c r="A2436" s="28" t="s">
        <v>186</v>
      </c>
      <c r="B2436" s="28" t="s">
        <v>187</v>
      </c>
      <c r="C2436" s="28" t="s">
        <v>174</v>
      </c>
      <c r="D2436" s="23" t="n">
        <v>7</v>
      </c>
      <c r="E2436" s="23" t="n">
        <v>23</v>
      </c>
      <c r="F2436" s="28" t="s">
        <v>914</v>
      </c>
      <c r="G2436" s="19" t="n">
        <v>0.0791</v>
      </c>
    </row>
    <row r="2437" customFormat="false" ht="15" hidden="false" customHeight="false" outlineLevel="0" collapsed="false">
      <c r="A2437" s="28" t="s">
        <v>186</v>
      </c>
      <c r="B2437" s="28" t="s">
        <v>187</v>
      </c>
      <c r="C2437" s="28" t="s">
        <v>174</v>
      </c>
      <c r="D2437" s="23" t="n">
        <v>7</v>
      </c>
      <c r="E2437" s="23" t="n">
        <v>23</v>
      </c>
      <c r="F2437" s="28" t="s">
        <v>915</v>
      </c>
      <c r="G2437" s="19" t="n">
        <v>0.0949</v>
      </c>
    </row>
    <row r="2438" customFormat="false" ht="15" hidden="false" customHeight="false" outlineLevel="0" collapsed="false">
      <c r="A2438" s="28" t="s">
        <v>186</v>
      </c>
      <c r="B2438" s="28" t="s">
        <v>187</v>
      </c>
      <c r="C2438" s="28" t="s">
        <v>174</v>
      </c>
      <c r="D2438" s="23" t="n">
        <v>7</v>
      </c>
      <c r="E2438" s="23" t="n">
        <v>24</v>
      </c>
      <c r="F2438" s="28" t="s">
        <v>904</v>
      </c>
      <c r="G2438" s="19" t="n">
        <v>0.0663</v>
      </c>
    </row>
    <row r="2439" customFormat="false" ht="15" hidden="false" customHeight="false" outlineLevel="0" collapsed="false">
      <c r="A2439" s="28" t="s">
        <v>186</v>
      </c>
      <c r="B2439" s="28" t="s">
        <v>187</v>
      </c>
      <c r="C2439" s="28" t="s">
        <v>174</v>
      </c>
      <c r="D2439" s="23" t="n">
        <v>7</v>
      </c>
      <c r="E2439" s="23" t="n">
        <v>24</v>
      </c>
      <c r="F2439" s="28" t="s">
        <v>551</v>
      </c>
      <c r="G2439" s="19" t="n">
        <v>0.0975</v>
      </c>
    </row>
    <row r="2440" customFormat="false" ht="15" hidden="false" customHeight="false" outlineLevel="0" collapsed="false">
      <c r="A2440" s="28" t="s">
        <v>186</v>
      </c>
      <c r="B2440" s="28" t="s">
        <v>187</v>
      </c>
      <c r="C2440" s="28" t="s">
        <v>174</v>
      </c>
      <c r="D2440" s="23" t="n">
        <v>7</v>
      </c>
      <c r="E2440" s="23" t="n">
        <v>24</v>
      </c>
      <c r="F2440" s="28" t="s">
        <v>451</v>
      </c>
      <c r="G2440" s="19" t="n">
        <v>0.0661</v>
      </c>
    </row>
    <row r="2441" customFormat="false" ht="15" hidden="false" customHeight="false" outlineLevel="0" collapsed="false">
      <c r="A2441" s="28" t="s">
        <v>186</v>
      </c>
      <c r="B2441" s="28" t="s">
        <v>187</v>
      </c>
      <c r="C2441" s="28" t="s">
        <v>174</v>
      </c>
      <c r="D2441" s="23" t="n">
        <v>7</v>
      </c>
      <c r="E2441" s="23" t="n">
        <v>24</v>
      </c>
      <c r="F2441" s="28" t="s">
        <v>905</v>
      </c>
      <c r="G2441" s="19" t="n">
        <v>0.0687</v>
      </c>
    </row>
    <row r="2442" customFormat="false" ht="15" hidden="false" customHeight="false" outlineLevel="0" collapsed="false">
      <c r="A2442" s="28" t="s">
        <v>186</v>
      </c>
      <c r="B2442" s="28" t="s">
        <v>187</v>
      </c>
      <c r="C2442" s="28" t="s">
        <v>174</v>
      </c>
      <c r="D2442" s="23" t="n">
        <v>7</v>
      </c>
      <c r="E2442" s="23" t="n">
        <v>24</v>
      </c>
      <c r="F2442" s="28" t="s">
        <v>906</v>
      </c>
      <c r="G2442" s="19" t="n">
        <v>0.0701</v>
      </c>
    </row>
    <row r="2443" customFormat="false" ht="15" hidden="false" customHeight="false" outlineLevel="0" collapsed="false">
      <c r="A2443" s="28" t="s">
        <v>186</v>
      </c>
      <c r="B2443" s="28" t="s">
        <v>187</v>
      </c>
      <c r="C2443" s="28" t="s">
        <v>174</v>
      </c>
      <c r="D2443" s="23" t="n">
        <v>7</v>
      </c>
      <c r="E2443" s="23" t="n">
        <v>24</v>
      </c>
      <c r="F2443" s="28" t="s">
        <v>907</v>
      </c>
      <c r="G2443" s="19" t="n">
        <v>0.0698</v>
      </c>
    </row>
    <row r="2444" customFormat="false" ht="15" hidden="false" customHeight="false" outlineLevel="0" collapsed="false">
      <c r="A2444" s="28" t="s">
        <v>186</v>
      </c>
      <c r="B2444" s="28" t="s">
        <v>187</v>
      </c>
      <c r="C2444" s="28" t="s">
        <v>174</v>
      </c>
      <c r="D2444" s="23" t="n">
        <v>7</v>
      </c>
      <c r="E2444" s="23" t="n">
        <v>24</v>
      </c>
      <c r="F2444" s="28" t="s">
        <v>908</v>
      </c>
      <c r="G2444" s="19" t="n">
        <v>0.0714</v>
      </c>
    </row>
    <row r="2445" customFormat="false" ht="15" hidden="false" customHeight="false" outlineLevel="0" collapsed="false">
      <c r="A2445" s="28" t="s">
        <v>186</v>
      </c>
      <c r="B2445" s="28" t="s">
        <v>187</v>
      </c>
      <c r="C2445" s="28" t="s">
        <v>174</v>
      </c>
      <c r="D2445" s="23" t="n">
        <v>7</v>
      </c>
      <c r="E2445" s="23" t="n">
        <v>24</v>
      </c>
      <c r="F2445" s="28" t="s">
        <v>909</v>
      </c>
      <c r="G2445" s="19" t="n">
        <v>0.0715</v>
      </c>
    </row>
    <row r="2446" customFormat="false" ht="15" hidden="false" customHeight="false" outlineLevel="0" collapsed="false">
      <c r="A2446" s="28" t="s">
        <v>186</v>
      </c>
      <c r="B2446" s="28" t="s">
        <v>187</v>
      </c>
      <c r="C2446" s="28" t="s">
        <v>174</v>
      </c>
      <c r="D2446" s="23" t="n">
        <v>7</v>
      </c>
      <c r="E2446" s="23" t="n">
        <v>24</v>
      </c>
      <c r="F2446" s="28" t="s">
        <v>910</v>
      </c>
      <c r="G2446" s="19" t="n">
        <v>0.0719</v>
      </c>
    </row>
    <row r="2447" customFormat="false" ht="15" hidden="false" customHeight="false" outlineLevel="0" collapsed="false">
      <c r="A2447" s="28" t="s">
        <v>186</v>
      </c>
      <c r="B2447" s="28" t="s">
        <v>187</v>
      </c>
      <c r="C2447" s="28" t="s">
        <v>174</v>
      </c>
      <c r="D2447" s="23" t="n">
        <v>7</v>
      </c>
      <c r="E2447" s="23" t="n">
        <v>24</v>
      </c>
      <c r="F2447" s="28" t="s">
        <v>911</v>
      </c>
      <c r="G2447" s="19" t="n">
        <v>0.073</v>
      </c>
    </row>
    <row r="2448" customFormat="false" ht="15" hidden="false" customHeight="false" outlineLevel="0" collapsed="false">
      <c r="A2448" s="28" t="s">
        <v>186</v>
      </c>
      <c r="B2448" s="28" t="s">
        <v>187</v>
      </c>
      <c r="C2448" s="28" t="s">
        <v>174</v>
      </c>
      <c r="D2448" s="23" t="n">
        <v>7</v>
      </c>
      <c r="E2448" s="23" t="n">
        <v>24</v>
      </c>
      <c r="F2448" s="28" t="s">
        <v>912</v>
      </c>
      <c r="G2448" s="19" t="n">
        <v>0.0744</v>
      </c>
    </row>
    <row r="2449" customFormat="false" ht="15" hidden="false" customHeight="false" outlineLevel="0" collapsed="false">
      <c r="A2449" s="28" t="s">
        <v>186</v>
      </c>
      <c r="B2449" s="28" t="s">
        <v>187</v>
      </c>
      <c r="C2449" s="28" t="s">
        <v>174</v>
      </c>
      <c r="D2449" s="23" t="n">
        <v>7</v>
      </c>
      <c r="E2449" s="23" t="n">
        <v>24</v>
      </c>
      <c r="F2449" s="28" t="s">
        <v>913</v>
      </c>
      <c r="G2449" s="19" t="n">
        <v>0.0793</v>
      </c>
    </row>
    <row r="2450" customFormat="false" ht="15" hidden="false" customHeight="false" outlineLevel="0" collapsed="false">
      <c r="A2450" s="28" t="s">
        <v>186</v>
      </c>
      <c r="B2450" s="28" t="s">
        <v>187</v>
      </c>
      <c r="C2450" s="28" t="s">
        <v>174</v>
      </c>
      <c r="D2450" s="23" t="n">
        <v>7</v>
      </c>
      <c r="E2450" s="23" t="n">
        <v>24</v>
      </c>
      <c r="F2450" s="28" t="s">
        <v>914</v>
      </c>
      <c r="G2450" s="19" t="n">
        <v>0.0791</v>
      </c>
    </row>
    <row r="2451" customFormat="false" ht="15" hidden="false" customHeight="false" outlineLevel="0" collapsed="false">
      <c r="A2451" s="28" t="s">
        <v>186</v>
      </c>
      <c r="B2451" s="28" t="s">
        <v>187</v>
      </c>
      <c r="C2451" s="28" t="s">
        <v>174</v>
      </c>
      <c r="D2451" s="23" t="n">
        <v>7</v>
      </c>
      <c r="E2451" s="23" t="n">
        <v>24</v>
      </c>
      <c r="F2451" s="28" t="s">
        <v>915</v>
      </c>
      <c r="G2451" s="19" t="n">
        <v>0.0949</v>
      </c>
    </row>
    <row r="2452" customFormat="false" ht="15" hidden="false" customHeight="false" outlineLevel="0" collapsed="false">
      <c r="A2452" s="28" t="s">
        <v>188</v>
      </c>
      <c r="B2452" s="28" t="s">
        <v>189</v>
      </c>
      <c r="C2452" s="28" t="s">
        <v>174</v>
      </c>
      <c r="D2452" s="23" t="n">
        <v>8</v>
      </c>
      <c r="E2452" s="23" t="n">
        <v>0</v>
      </c>
      <c r="F2452" s="28" t="s">
        <v>904</v>
      </c>
      <c r="G2452" s="19" t="n">
        <v>0.0763</v>
      </c>
    </row>
    <row r="2453" customFormat="false" ht="15" hidden="false" customHeight="false" outlineLevel="0" collapsed="false">
      <c r="A2453" s="28" t="s">
        <v>188</v>
      </c>
      <c r="B2453" s="28" t="s">
        <v>189</v>
      </c>
      <c r="C2453" s="28" t="s">
        <v>174</v>
      </c>
      <c r="D2453" s="23" t="n">
        <v>8</v>
      </c>
      <c r="E2453" s="23" t="n">
        <v>0</v>
      </c>
      <c r="F2453" s="28" t="s">
        <v>551</v>
      </c>
      <c r="G2453" s="19" t="n">
        <v>0.1075</v>
      </c>
    </row>
    <row r="2454" customFormat="false" ht="15" hidden="false" customHeight="false" outlineLevel="0" collapsed="false">
      <c r="A2454" s="28" t="s">
        <v>188</v>
      </c>
      <c r="B2454" s="28" t="s">
        <v>189</v>
      </c>
      <c r="C2454" s="28" t="s">
        <v>174</v>
      </c>
      <c r="D2454" s="23" t="n">
        <v>8</v>
      </c>
      <c r="E2454" s="23" t="n">
        <v>0</v>
      </c>
      <c r="F2454" s="28" t="s">
        <v>451</v>
      </c>
      <c r="G2454" s="19" t="n">
        <v>0.0761</v>
      </c>
    </row>
    <row r="2455" customFormat="false" ht="15" hidden="false" customHeight="false" outlineLevel="0" collapsed="false">
      <c r="A2455" s="28" t="s">
        <v>188</v>
      </c>
      <c r="B2455" s="28" t="s">
        <v>189</v>
      </c>
      <c r="C2455" s="28" t="s">
        <v>174</v>
      </c>
      <c r="D2455" s="23" t="n">
        <v>8</v>
      </c>
      <c r="E2455" s="23" t="n">
        <v>0</v>
      </c>
      <c r="F2455" s="28" t="s">
        <v>905</v>
      </c>
      <c r="G2455" s="19" t="n">
        <v>0.0787</v>
      </c>
    </row>
    <row r="2456" customFormat="false" ht="15" hidden="false" customHeight="false" outlineLevel="0" collapsed="false">
      <c r="A2456" s="28" t="s">
        <v>188</v>
      </c>
      <c r="B2456" s="28" t="s">
        <v>189</v>
      </c>
      <c r="C2456" s="28" t="s">
        <v>174</v>
      </c>
      <c r="D2456" s="23" t="n">
        <v>8</v>
      </c>
      <c r="E2456" s="23" t="n">
        <v>0</v>
      </c>
      <c r="F2456" s="28" t="s">
        <v>906</v>
      </c>
      <c r="G2456" s="19" t="n">
        <v>0.0801</v>
      </c>
    </row>
    <row r="2457" customFormat="false" ht="15" hidden="false" customHeight="false" outlineLevel="0" collapsed="false">
      <c r="A2457" s="28" t="s">
        <v>188</v>
      </c>
      <c r="B2457" s="28" t="s">
        <v>189</v>
      </c>
      <c r="C2457" s="28" t="s">
        <v>174</v>
      </c>
      <c r="D2457" s="23" t="n">
        <v>8</v>
      </c>
      <c r="E2457" s="23" t="n">
        <v>0</v>
      </c>
      <c r="F2457" s="28" t="s">
        <v>907</v>
      </c>
      <c r="G2457" s="19" t="n">
        <v>0.0798</v>
      </c>
    </row>
    <row r="2458" customFormat="false" ht="15" hidden="false" customHeight="false" outlineLevel="0" collapsed="false">
      <c r="A2458" s="28" t="s">
        <v>188</v>
      </c>
      <c r="B2458" s="28" t="s">
        <v>189</v>
      </c>
      <c r="C2458" s="28" t="s">
        <v>174</v>
      </c>
      <c r="D2458" s="23" t="n">
        <v>8</v>
      </c>
      <c r="E2458" s="23" t="n">
        <v>0</v>
      </c>
      <c r="F2458" s="28" t="s">
        <v>908</v>
      </c>
      <c r="G2458" s="19" t="n">
        <v>0.0814</v>
      </c>
    </row>
    <row r="2459" customFormat="false" ht="15" hidden="false" customHeight="false" outlineLevel="0" collapsed="false">
      <c r="A2459" s="28" t="s">
        <v>188</v>
      </c>
      <c r="B2459" s="28" t="s">
        <v>189</v>
      </c>
      <c r="C2459" s="28" t="s">
        <v>174</v>
      </c>
      <c r="D2459" s="23" t="n">
        <v>8</v>
      </c>
      <c r="E2459" s="23" t="n">
        <v>0</v>
      </c>
      <c r="F2459" s="28" t="s">
        <v>909</v>
      </c>
      <c r="G2459" s="19" t="n">
        <v>0.0815</v>
      </c>
    </row>
    <row r="2460" customFormat="false" ht="15" hidden="false" customHeight="false" outlineLevel="0" collapsed="false">
      <c r="A2460" s="28" t="s">
        <v>188</v>
      </c>
      <c r="B2460" s="28" t="s">
        <v>189</v>
      </c>
      <c r="C2460" s="28" t="s">
        <v>174</v>
      </c>
      <c r="D2460" s="23" t="n">
        <v>8</v>
      </c>
      <c r="E2460" s="23" t="n">
        <v>0</v>
      </c>
      <c r="F2460" s="28" t="s">
        <v>910</v>
      </c>
      <c r="G2460" s="19" t="n">
        <v>0.0819</v>
      </c>
    </row>
    <row r="2461" customFormat="false" ht="15" hidden="false" customHeight="false" outlineLevel="0" collapsed="false">
      <c r="A2461" s="28" t="s">
        <v>188</v>
      </c>
      <c r="B2461" s="28" t="s">
        <v>189</v>
      </c>
      <c r="C2461" s="28" t="s">
        <v>174</v>
      </c>
      <c r="D2461" s="23" t="n">
        <v>8</v>
      </c>
      <c r="E2461" s="23" t="n">
        <v>0</v>
      </c>
      <c r="F2461" s="28" t="s">
        <v>911</v>
      </c>
      <c r="G2461" s="19" t="n">
        <v>0.083</v>
      </c>
    </row>
    <row r="2462" customFormat="false" ht="15" hidden="false" customHeight="false" outlineLevel="0" collapsed="false">
      <c r="A2462" s="28" t="s">
        <v>188</v>
      </c>
      <c r="B2462" s="28" t="s">
        <v>189</v>
      </c>
      <c r="C2462" s="28" t="s">
        <v>174</v>
      </c>
      <c r="D2462" s="23" t="n">
        <v>8</v>
      </c>
      <c r="E2462" s="23" t="n">
        <v>0</v>
      </c>
      <c r="F2462" s="28" t="s">
        <v>912</v>
      </c>
      <c r="G2462" s="19" t="n">
        <v>0.0844</v>
      </c>
    </row>
    <row r="2463" customFormat="false" ht="15" hidden="false" customHeight="false" outlineLevel="0" collapsed="false">
      <c r="A2463" s="28" t="s">
        <v>188</v>
      </c>
      <c r="B2463" s="28" t="s">
        <v>189</v>
      </c>
      <c r="C2463" s="28" t="s">
        <v>174</v>
      </c>
      <c r="D2463" s="23" t="n">
        <v>8</v>
      </c>
      <c r="E2463" s="23" t="n">
        <v>0</v>
      </c>
      <c r="F2463" s="28" t="s">
        <v>913</v>
      </c>
      <c r="G2463" s="19" t="n">
        <v>0.0893</v>
      </c>
    </row>
    <row r="2464" customFormat="false" ht="15" hidden="false" customHeight="false" outlineLevel="0" collapsed="false">
      <c r="A2464" s="28" t="s">
        <v>188</v>
      </c>
      <c r="B2464" s="28" t="s">
        <v>189</v>
      </c>
      <c r="C2464" s="28" t="s">
        <v>174</v>
      </c>
      <c r="D2464" s="23" t="n">
        <v>8</v>
      </c>
      <c r="E2464" s="23" t="n">
        <v>0</v>
      </c>
      <c r="F2464" s="28" t="s">
        <v>914</v>
      </c>
      <c r="G2464" s="19" t="n">
        <v>0.0891</v>
      </c>
    </row>
    <row r="2465" customFormat="false" ht="15" hidden="false" customHeight="false" outlineLevel="0" collapsed="false">
      <c r="A2465" s="28" t="s">
        <v>188</v>
      </c>
      <c r="B2465" s="28" t="s">
        <v>189</v>
      </c>
      <c r="C2465" s="28" t="s">
        <v>174</v>
      </c>
      <c r="D2465" s="23" t="n">
        <v>8</v>
      </c>
      <c r="E2465" s="23" t="n">
        <v>0</v>
      </c>
      <c r="F2465" s="28" t="s">
        <v>915</v>
      </c>
      <c r="G2465" s="19" t="n">
        <v>0.1049</v>
      </c>
    </row>
    <row r="2466" customFormat="false" ht="15" hidden="false" customHeight="false" outlineLevel="0" collapsed="false">
      <c r="A2466" s="28" t="s">
        <v>188</v>
      </c>
      <c r="B2466" s="28" t="s">
        <v>189</v>
      </c>
      <c r="C2466" s="28" t="s">
        <v>174</v>
      </c>
      <c r="D2466" s="23" t="n">
        <v>8</v>
      </c>
      <c r="E2466" s="23" t="n">
        <v>1</v>
      </c>
      <c r="F2466" s="28" t="s">
        <v>904</v>
      </c>
      <c r="G2466" s="19" t="n">
        <v>0.0763</v>
      </c>
    </row>
    <row r="2467" customFormat="false" ht="15" hidden="false" customHeight="false" outlineLevel="0" collapsed="false">
      <c r="A2467" s="28" t="s">
        <v>188</v>
      </c>
      <c r="B2467" s="28" t="s">
        <v>189</v>
      </c>
      <c r="C2467" s="28" t="s">
        <v>174</v>
      </c>
      <c r="D2467" s="23" t="n">
        <v>8</v>
      </c>
      <c r="E2467" s="23" t="n">
        <v>1</v>
      </c>
      <c r="F2467" s="28" t="s">
        <v>551</v>
      </c>
      <c r="G2467" s="19" t="n">
        <v>0.1075</v>
      </c>
    </row>
    <row r="2468" customFormat="false" ht="15" hidden="false" customHeight="false" outlineLevel="0" collapsed="false">
      <c r="A2468" s="28" t="s">
        <v>188</v>
      </c>
      <c r="B2468" s="28" t="s">
        <v>189</v>
      </c>
      <c r="C2468" s="28" t="s">
        <v>174</v>
      </c>
      <c r="D2468" s="23" t="n">
        <v>8</v>
      </c>
      <c r="E2468" s="23" t="n">
        <v>1</v>
      </c>
      <c r="F2468" s="28" t="s">
        <v>451</v>
      </c>
      <c r="G2468" s="19" t="n">
        <v>0.0761</v>
      </c>
    </row>
    <row r="2469" customFormat="false" ht="15" hidden="false" customHeight="false" outlineLevel="0" collapsed="false">
      <c r="A2469" s="28" t="s">
        <v>188</v>
      </c>
      <c r="B2469" s="28" t="s">
        <v>189</v>
      </c>
      <c r="C2469" s="28" t="s">
        <v>174</v>
      </c>
      <c r="D2469" s="23" t="n">
        <v>8</v>
      </c>
      <c r="E2469" s="23" t="n">
        <v>1</v>
      </c>
      <c r="F2469" s="28" t="s">
        <v>905</v>
      </c>
      <c r="G2469" s="19" t="n">
        <v>0.0787</v>
      </c>
    </row>
    <row r="2470" customFormat="false" ht="15" hidden="false" customHeight="false" outlineLevel="0" collapsed="false">
      <c r="A2470" s="28" t="s">
        <v>188</v>
      </c>
      <c r="B2470" s="28" t="s">
        <v>189</v>
      </c>
      <c r="C2470" s="28" t="s">
        <v>174</v>
      </c>
      <c r="D2470" s="23" t="n">
        <v>8</v>
      </c>
      <c r="E2470" s="23" t="n">
        <v>1</v>
      </c>
      <c r="F2470" s="28" t="s">
        <v>906</v>
      </c>
      <c r="G2470" s="19" t="n">
        <v>0.0801</v>
      </c>
    </row>
    <row r="2471" customFormat="false" ht="15" hidden="false" customHeight="false" outlineLevel="0" collapsed="false">
      <c r="A2471" s="28" t="s">
        <v>188</v>
      </c>
      <c r="B2471" s="28" t="s">
        <v>189</v>
      </c>
      <c r="C2471" s="28" t="s">
        <v>174</v>
      </c>
      <c r="D2471" s="23" t="n">
        <v>8</v>
      </c>
      <c r="E2471" s="23" t="n">
        <v>1</v>
      </c>
      <c r="F2471" s="28" t="s">
        <v>907</v>
      </c>
      <c r="G2471" s="19" t="n">
        <v>0.0798</v>
      </c>
    </row>
    <row r="2472" customFormat="false" ht="15" hidden="false" customHeight="false" outlineLevel="0" collapsed="false">
      <c r="A2472" s="28" t="s">
        <v>188</v>
      </c>
      <c r="B2472" s="28" t="s">
        <v>189</v>
      </c>
      <c r="C2472" s="28" t="s">
        <v>174</v>
      </c>
      <c r="D2472" s="23" t="n">
        <v>8</v>
      </c>
      <c r="E2472" s="23" t="n">
        <v>1</v>
      </c>
      <c r="F2472" s="28" t="s">
        <v>908</v>
      </c>
      <c r="G2472" s="19" t="n">
        <v>0.0814</v>
      </c>
    </row>
    <row r="2473" customFormat="false" ht="15" hidden="false" customHeight="false" outlineLevel="0" collapsed="false">
      <c r="A2473" s="28" t="s">
        <v>188</v>
      </c>
      <c r="B2473" s="28" t="s">
        <v>189</v>
      </c>
      <c r="C2473" s="28" t="s">
        <v>174</v>
      </c>
      <c r="D2473" s="23" t="n">
        <v>8</v>
      </c>
      <c r="E2473" s="23" t="n">
        <v>1</v>
      </c>
      <c r="F2473" s="28" t="s">
        <v>909</v>
      </c>
      <c r="G2473" s="19" t="n">
        <v>0.0815</v>
      </c>
    </row>
    <row r="2474" customFormat="false" ht="15" hidden="false" customHeight="false" outlineLevel="0" collapsed="false">
      <c r="A2474" s="28" t="s">
        <v>188</v>
      </c>
      <c r="B2474" s="28" t="s">
        <v>189</v>
      </c>
      <c r="C2474" s="28" t="s">
        <v>174</v>
      </c>
      <c r="D2474" s="23" t="n">
        <v>8</v>
      </c>
      <c r="E2474" s="23" t="n">
        <v>1</v>
      </c>
      <c r="F2474" s="28" t="s">
        <v>910</v>
      </c>
      <c r="G2474" s="19" t="n">
        <v>0.0819</v>
      </c>
    </row>
    <row r="2475" customFormat="false" ht="15" hidden="false" customHeight="false" outlineLevel="0" collapsed="false">
      <c r="A2475" s="28" t="s">
        <v>188</v>
      </c>
      <c r="B2475" s="28" t="s">
        <v>189</v>
      </c>
      <c r="C2475" s="28" t="s">
        <v>174</v>
      </c>
      <c r="D2475" s="23" t="n">
        <v>8</v>
      </c>
      <c r="E2475" s="23" t="n">
        <v>1</v>
      </c>
      <c r="F2475" s="28" t="s">
        <v>911</v>
      </c>
      <c r="G2475" s="19" t="n">
        <v>0.083</v>
      </c>
    </row>
    <row r="2476" customFormat="false" ht="15" hidden="false" customHeight="false" outlineLevel="0" collapsed="false">
      <c r="A2476" s="28" t="s">
        <v>188</v>
      </c>
      <c r="B2476" s="28" t="s">
        <v>189</v>
      </c>
      <c r="C2476" s="28" t="s">
        <v>174</v>
      </c>
      <c r="D2476" s="23" t="n">
        <v>8</v>
      </c>
      <c r="E2476" s="23" t="n">
        <v>1</v>
      </c>
      <c r="F2476" s="28" t="s">
        <v>912</v>
      </c>
      <c r="G2476" s="19" t="n">
        <v>0.0844</v>
      </c>
    </row>
    <row r="2477" customFormat="false" ht="15" hidden="false" customHeight="false" outlineLevel="0" collapsed="false">
      <c r="A2477" s="28" t="s">
        <v>188</v>
      </c>
      <c r="B2477" s="28" t="s">
        <v>189</v>
      </c>
      <c r="C2477" s="28" t="s">
        <v>174</v>
      </c>
      <c r="D2477" s="23" t="n">
        <v>8</v>
      </c>
      <c r="E2477" s="23" t="n">
        <v>1</v>
      </c>
      <c r="F2477" s="28" t="s">
        <v>913</v>
      </c>
      <c r="G2477" s="19" t="n">
        <v>0.0893</v>
      </c>
    </row>
    <row r="2478" customFormat="false" ht="15" hidden="false" customHeight="false" outlineLevel="0" collapsed="false">
      <c r="A2478" s="28" t="s">
        <v>188</v>
      </c>
      <c r="B2478" s="28" t="s">
        <v>189</v>
      </c>
      <c r="C2478" s="28" t="s">
        <v>174</v>
      </c>
      <c r="D2478" s="23" t="n">
        <v>8</v>
      </c>
      <c r="E2478" s="23" t="n">
        <v>1</v>
      </c>
      <c r="F2478" s="28" t="s">
        <v>914</v>
      </c>
      <c r="G2478" s="19" t="n">
        <v>0.0891</v>
      </c>
    </row>
    <row r="2479" customFormat="false" ht="15" hidden="false" customHeight="false" outlineLevel="0" collapsed="false">
      <c r="A2479" s="28" t="s">
        <v>188</v>
      </c>
      <c r="B2479" s="28" t="s">
        <v>189</v>
      </c>
      <c r="C2479" s="28" t="s">
        <v>174</v>
      </c>
      <c r="D2479" s="23" t="n">
        <v>8</v>
      </c>
      <c r="E2479" s="23" t="n">
        <v>1</v>
      </c>
      <c r="F2479" s="28" t="s">
        <v>915</v>
      </c>
      <c r="G2479" s="19" t="n">
        <v>0.1049</v>
      </c>
    </row>
    <row r="2480" customFormat="false" ht="15" hidden="false" customHeight="false" outlineLevel="0" collapsed="false">
      <c r="A2480" s="28" t="s">
        <v>188</v>
      </c>
      <c r="B2480" s="28" t="s">
        <v>189</v>
      </c>
      <c r="C2480" s="28" t="s">
        <v>174</v>
      </c>
      <c r="D2480" s="23" t="n">
        <v>8</v>
      </c>
      <c r="E2480" s="23" t="n">
        <v>2</v>
      </c>
      <c r="F2480" s="28" t="s">
        <v>904</v>
      </c>
      <c r="G2480" s="19" t="n">
        <v>0.0763</v>
      </c>
    </row>
    <row r="2481" customFormat="false" ht="15" hidden="false" customHeight="false" outlineLevel="0" collapsed="false">
      <c r="A2481" s="28" t="s">
        <v>188</v>
      </c>
      <c r="B2481" s="28" t="s">
        <v>189</v>
      </c>
      <c r="C2481" s="28" t="s">
        <v>174</v>
      </c>
      <c r="D2481" s="23" t="n">
        <v>8</v>
      </c>
      <c r="E2481" s="23" t="n">
        <v>2</v>
      </c>
      <c r="F2481" s="28" t="s">
        <v>551</v>
      </c>
      <c r="G2481" s="19" t="n">
        <v>0.1075</v>
      </c>
    </row>
    <row r="2482" customFormat="false" ht="15" hidden="false" customHeight="false" outlineLevel="0" collapsed="false">
      <c r="A2482" s="28" t="s">
        <v>188</v>
      </c>
      <c r="B2482" s="28" t="s">
        <v>189</v>
      </c>
      <c r="C2482" s="28" t="s">
        <v>174</v>
      </c>
      <c r="D2482" s="23" t="n">
        <v>8</v>
      </c>
      <c r="E2482" s="23" t="n">
        <v>2</v>
      </c>
      <c r="F2482" s="28" t="s">
        <v>451</v>
      </c>
      <c r="G2482" s="19" t="n">
        <v>0.0761</v>
      </c>
    </row>
    <row r="2483" customFormat="false" ht="15" hidden="false" customHeight="false" outlineLevel="0" collapsed="false">
      <c r="A2483" s="28" t="s">
        <v>188</v>
      </c>
      <c r="B2483" s="28" t="s">
        <v>189</v>
      </c>
      <c r="C2483" s="28" t="s">
        <v>174</v>
      </c>
      <c r="D2483" s="23" t="n">
        <v>8</v>
      </c>
      <c r="E2483" s="23" t="n">
        <v>2</v>
      </c>
      <c r="F2483" s="28" t="s">
        <v>905</v>
      </c>
      <c r="G2483" s="19" t="n">
        <v>0.0787</v>
      </c>
    </row>
    <row r="2484" customFormat="false" ht="15" hidden="false" customHeight="false" outlineLevel="0" collapsed="false">
      <c r="A2484" s="28" t="s">
        <v>188</v>
      </c>
      <c r="B2484" s="28" t="s">
        <v>189</v>
      </c>
      <c r="C2484" s="28" t="s">
        <v>174</v>
      </c>
      <c r="D2484" s="23" t="n">
        <v>8</v>
      </c>
      <c r="E2484" s="23" t="n">
        <v>2</v>
      </c>
      <c r="F2484" s="28" t="s">
        <v>906</v>
      </c>
      <c r="G2484" s="19" t="n">
        <v>0.0801</v>
      </c>
    </row>
    <row r="2485" customFormat="false" ht="15" hidden="false" customHeight="false" outlineLevel="0" collapsed="false">
      <c r="A2485" s="28" t="s">
        <v>188</v>
      </c>
      <c r="B2485" s="28" t="s">
        <v>189</v>
      </c>
      <c r="C2485" s="28" t="s">
        <v>174</v>
      </c>
      <c r="D2485" s="23" t="n">
        <v>8</v>
      </c>
      <c r="E2485" s="23" t="n">
        <v>2</v>
      </c>
      <c r="F2485" s="28" t="s">
        <v>907</v>
      </c>
      <c r="G2485" s="19" t="n">
        <v>0.0798</v>
      </c>
    </row>
    <row r="2486" customFormat="false" ht="15" hidden="false" customHeight="false" outlineLevel="0" collapsed="false">
      <c r="A2486" s="28" t="s">
        <v>188</v>
      </c>
      <c r="B2486" s="28" t="s">
        <v>189</v>
      </c>
      <c r="C2486" s="28" t="s">
        <v>174</v>
      </c>
      <c r="D2486" s="23" t="n">
        <v>8</v>
      </c>
      <c r="E2486" s="23" t="n">
        <v>2</v>
      </c>
      <c r="F2486" s="28" t="s">
        <v>908</v>
      </c>
      <c r="G2486" s="19" t="n">
        <v>0.0814</v>
      </c>
    </row>
    <row r="2487" customFormat="false" ht="15" hidden="false" customHeight="false" outlineLevel="0" collapsed="false">
      <c r="A2487" s="28" t="s">
        <v>188</v>
      </c>
      <c r="B2487" s="28" t="s">
        <v>189</v>
      </c>
      <c r="C2487" s="28" t="s">
        <v>174</v>
      </c>
      <c r="D2487" s="23" t="n">
        <v>8</v>
      </c>
      <c r="E2487" s="23" t="n">
        <v>2</v>
      </c>
      <c r="F2487" s="28" t="s">
        <v>909</v>
      </c>
      <c r="G2487" s="19" t="n">
        <v>0.0815</v>
      </c>
    </row>
    <row r="2488" customFormat="false" ht="15" hidden="false" customHeight="false" outlineLevel="0" collapsed="false">
      <c r="A2488" s="28" t="s">
        <v>188</v>
      </c>
      <c r="B2488" s="28" t="s">
        <v>189</v>
      </c>
      <c r="C2488" s="28" t="s">
        <v>174</v>
      </c>
      <c r="D2488" s="23" t="n">
        <v>8</v>
      </c>
      <c r="E2488" s="23" t="n">
        <v>2</v>
      </c>
      <c r="F2488" s="28" t="s">
        <v>910</v>
      </c>
      <c r="G2488" s="19" t="n">
        <v>0.0819</v>
      </c>
    </row>
    <row r="2489" customFormat="false" ht="15" hidden="false" customHeight="false" outlineLevel="0" collapsed="false">
      <c r="A2489" s="28" t="s">
        <v>188</v>
      </c>
      <c r="B2489" s="28" t="s">
        <v>189</v>
      </c>
      <c r="C2489" s="28" t="s">
        <v>174</v>
      </c>
      <c r="D2489" s="23" t="n">
        <v>8</v>
      </c>
      <c r="E2489" s="23" t="n">
        <v>2</v>
      </c>
      <c r="F2489" s="28" t="s">
        <v>911</v>
      </c>
      <c r="G2489" s="19" t="n">
        <v>0.083</v>
      </c>
    </row>
    <row r="2490" customFormat="false" ht="15" hidden="false" customHeight="false" outlineLevel="0" collapsed="false">
      <c r="A2490" s="28" t="s">
        <v>188</v>
      </c>
      <c r="B2490" s="28" t="s">
        <v>189</v>
      </c>
      <c r="C2490" s="28" t="s">
        <v>174</v>
      </c>
      <c r="D2490" s="23" t="n">
        <v>8</v>
      </c>
      <c r="E2490" s="23" t="n">
        <v>2</v>
      </c>
      <c r="F2490" s="28" t="s">
        <v>912</v>
      </c>
      <c r="G2490" s="19" t="n">
        <v>0.0844</v>
      </c>
    </row>
    <row r="2491" customFormat="false" ht="15" hidden="false" customHeight="false" outlineLevel="0" collapsed="false">
      <c r="A2491" s="28" t="s">
        <v>188</v>
      </c>
      <c r="B2491" s="28" t="s">
        <v>189</v>
      </c>
      <c r="C2491" s="28" t="s">
        <v>174</v>
      </c>
      <c r="D2491" s="23" t="n">
        <v>8</v>
      </c>
      <c r="E2491" s="23" t="n">
        <v>2</v>
      </c>
      <c r="F2491" s="28" t="s">
        <v>913</v>
      </c>
      <c r="G2491" s="19" t="n">
        <v>0.0893</v>
      </c>
    </row>
    <row r="2492" customFormat="false" ht="15" hidden="false" customHeight="false" outlineLevel="0" collapsed="false">
      <c r="A2492" s="28" t="s">
        <v>188</v>
      </c>
      <c r="B2492" s="28" t="s">
        <v>189</v>
      </c>
      <c r="C2492" s="28" t="s">
        <v>174</v>
      </c>
      <c r="D2492" s="23" t="n">
        <v>8</v>
      </c>
      <c r="E2492" s="23" t="n">
        <v>2</v>
      </c>
      <c r="F2492" s="28" t="s">
        <v>914</v>
      </c>
      <c r="G2492" s="19" t="n">
        <v>0.0891</v>
      </c>
    </row>
    <row r="2493" customFormat="false" ht="15" hidden="false" customHeight="false" outlineLevel="0" collapsed="false">
      <c r="A2493" s="28" t="s">
        <v>188</v>
      </c>
      <c r="B2493" s="28" t="s">
        <v>189</v>
      </c>
      <c r="C2493" s="28" t="s">
        <v>174</v>
      </c>
      <c r="D2493" s="23" t="n">
        <v>8</v>
      </c>
      <c r="E2493" s="23" t="n">
        <v>2</v>
      </c>
      <c r="F2493" s="28" t="s">
        <v>915</v>
      </c>
      <c r="G2493" s="19" t="n">
        <v>0.1049</v>
      </c>
    </row>
    <row r="2494" customFormat="false" ht="15" hidden="false" customHeight="false" outlineLevel="0" collapsed="false">
      <c r="A2494" s="28" t="s">
        <v>188</v>
      </c>
      <c r="B2494" s="28" t="s">
        <v>189</v>
      </c>
      <c r="C2494" s="28" t="s">
        <v>174</v>
      </c>
      <c r="D2494" s="23" t="n">
        <v>8</v>
      </c>
      <c r="E2494" s="23" t="n">
        <v>3</v>
      </c>
      <c r="F2494" s="28" t="s">
        <v>904</v>
      </c>
      <c r="G2494" s="19" t="n">
        <v>0.0763</v>
      </c>
    </row>
    <row r="2495" customFormat="false" ht="15" hidden="false" customHeight="false" outlineLevel="0" collapsed="false">
      <c r="A2495" s="28" t="s">
        <v>188</v>
      </c>
      <c r="B2495" s="28" t="s">
        <v>189</v>
      </c>
      <c r="C2495" s="28" t="s">
        <v>174</v>
      </c>
      <c r="D2495" s="23" t="n">
        <v>8</v>
      </c>
      <c r="E2495" s="23" t="n">
        <v>3</v>
      </c>
      <c r="F2495" s="28" t="s">
        <v>551</v>
      </c>
      <c r="G2495" s="19" t="n">
        <v>0.1075</v>
      </c>
    </row>
    <row r="2496" customFormat="false" ht="15" hidden="false" customHeight="false" outlineLevel="0" collapsed="false">
      <c r="A2496" s="28" t="s">
        <v>188</v>
      </c>
      <c r="B2496" s="28" t="s">
        <v>189</v>
      </c>
      <c r="C2496" s="28" t="s">
        <v>174</v>
      </c>
      <c r="D2496" s="23" t="n">
        <v>8</v>
      </c>
      <c r="E2496" s="23" t="n">
        <v>3</v>
      </c>
      <c r="F2496" s="28" t="s">
        <v>451</v>
      </c>
      <c r="G2496" s="19" t="n">
        <v>0.0761</v>
      </c>
    </row>
    <row r="2497" customFormat="false" ht="15" hidden="false" customHeight="false" outlineLevel="0" collapsed="false">
      <c r="A2497" s="28" t="s">
        <v>188</v>
      </c>
      <c r="B2497" s="28" t="s">
        <v>189</v>
      </c>
      <c r="C2497" s="28" t="s">
        <v>174</v>
      </c>
      <c r="D2497" s="23" t="n">
        <v>8</v>
      </c>
      <c r="E2497" s="23" t="n">
        <v>3</v>
      </c>
      <c r="F2497" s="28" t="s">
        <v>905</v>
      </c>
      <c r="G2497" s="19" t="n">
        <v>0.0787</v>
      </c>
    </row>
    <row r="2498" customFormat="false" ht="15" hidden="false" customHeight="false" outlineLevel="0" collapsed="false">
      <c r="A2498" s="28" t="s">
        <v>188</v>
      </c>
      <c r="B2498" s="28" t="s">
        <v>189</v>
      </c>
      <c r="C2498" s="28" t="s">
        <v>174</v>
      </c>
      <c r="D2498" s="23" t="n">
        <v>8</v>
      </c>
      <c r="E2498" s="23" t="n">
        <v>3</v>
      </c>
      <c r="F2498" s="28" t="s">
        <v>906</v>
      </c>
      <c r="G2498" s="19" t="n">
        <v>0.0801</v>
      </c>
    </row>
    <row r="2499" customFormat="false" ht="15" hidden="false" customHeight="false" outlineLevel="0" collapsed="false">
      <c r="A2499" s="28" t="s">
        <v>188</v>
      </c>
      <c r="B2499" s="28" t="s">
        <v>189</v>
      </c>
      <c r="C2499" s="28" t="s">
        <v>174</v>
      </c>
      <c r="D2499" s="23" t="n">
        <v>8</v>
      </c>
      <c r="E2499" s="23" t="n">
        <v>3</v>
      </c>
      <c r="F2499" s="28" t="s">
        <v>907</v>
      </c>
      <c r="G2499" s="19" t="n">
        <v>0.0798</v>
      </c>
    </row>
    <row r="2500" customFormat="false" ht="15" hidden="false" customHeight="false" outlineLevel="0" collapsed="false">
      <c r="A2500" s="28" t="s">
        <v>188</v>
      </c>
      <c r="B2500" s="28" t="s">
        <v>189</v>
      </c>
      <c r="C2500" s="28" t="s">
        <v>174</v>
      </c>
      <c r="D2500" s="23" t="n">
        <v>8</v>
      </c>
      <c r="E2500" s="23" t="n">
        <v>3</v>
      </c>
      <c r="F2500" s="28" t="s">
        <v>908</v>
      </c>
      <c r="G2500" s="19" t="n">
        <v>0.0814</v>
      </c>
    </row>
    <row r="2501" customFormat="false" ht="15" hidden="false" customHeight="false" outlineLevel="0" collapsed="false">
      <c r="A2501" s="28" t="s">
        <v>188</v>
      </c>
      <c r="B2501" s="28" t="s">
        <v>189</v>
      </c>
      <c r="C2501" s="28" t="s">
        <v>174</v>
      </c>
      <c r="D2501" s="23" t="n">
        <v>8</v>
      </c>
      <c r="E2501" s="23" t="n">
        <v>3</v>
      </c>
      <c r="F2501" s="28" t="s">
        <v>909</v>
      </c>
      <c r="G2501" s="19" t="n">
        <v>0.0815</v>
      </c>
    </row>
    <row r="2502" customFormat="false" ht="15" hidden="false" customHeight="false" outlineLevel="0" collapsed="false">
      <c r="A2502" s="28" t="s">
        <v>188</v>
      </c>
      <c r="B2502" s="28" t="s">
        <v>189</v>
      </c>
      <c r="C2502" s="28" t="s">
        <v>174</v>
      </c>
      <c r="D2502" s="23" t="n">
        <v>8</v>
      </c>
      <c r="E2502" s="23" t="n">
        <v>3</v>
      </c>
      <c r="F2502" s="28" t="s">
        <v>910</v>
      </c>
      <c r="G2502" s="19" t="n">
        <v>0.0819</v>
      </c>
    </row>
    <row r="2503" customFormat="false" ht="15" hidden="false" customHeight="false" outlineLevel="0" collapsed="false">
      <c r="A2503" s="28" t="s">
        <v>188</v>
      </c>
      <c r="B2503" s="28" t="s">
        <v>189</v>
      </c>
      <c r="C2503" s="28" t="s">
        <v>174</v>
      </c>
      <c r="D2503" s="23" t="n">
        <v>8</v>
      </c>
      <c r="E2503" s="23" t="n">
        <v>3</v>
      </c>
      <c r="F2503" s="28" t="s">
        <v>911</v>
      </c>
      <c r="G2503" s="19" t="n">
        <v>0.083</v>
      </c>
    </row>
    <row r="2504" customFormat="false" ht="15" hidden="false" customHeight="false" outlineLevel="0" collapsed="false">
      <c r="A2504" s="28" t="s">
        <v>188</v>
      </c>
      <c r="B2504" s="28" t="s">
        <v>189</v>
      </c>
      <c r="C2504" s="28" t="s">
        <v>174</v>
      </c>
      <c r="D2504" s="23" t="n">
        <v>8</v>
      </c>
      <c r="E2504" s="23" t="n">
        <v>3</v>
      </c>
      <c r="F2504" s="28" t="s">
        <v>912</v>
      </c>
      <c r="G2504" s="19" t="n">
        <v>0.0844</v>
      </c>
    </row>
    <row r="2505" customFormat="false" ht="15" hidden="false" customHeight="false" outlineLevel="0" collapsed="false">
      <c r="A2505" s="28" t="s">
        <v>188</v>
      </c>
      <c r="B2505" s="28" t="s">
        <v>189</v>
      </c>
      <c r="C2505" s="28" t="s">
        <v>174</v>
      </c>
      <c r="D2505" s="23" t="n">
        <v>8</v>
      </c>
      <c r="E2505" s="23" t="n">
        <v>3</v>
      </c>
      <c r="F2505" s="28" t="s">
        <v>913</v>
      </c>
      <c r="G2505" s="19" t="n">
        <v>0.0893</v>
      </c>
    </row>
    <row r="2506" customFormat="false" ht="15" hidden="false" customHeight="false" outlineLevel="0" collapsed="false">
      <c r="A2506" s="28" t="s">
        <v>188</v>
      </c>
      <c r="B2506" s="28" t="s">
        <v>189</v>
      </c>
      <c r="C2506" s="28" t="s">
        <v>174</v>
      </c>
      <c r="D2506" s="23" t="n">
        <v>8</v>
      </c>
      <c r="E2506" s="23" t="n">
        <v>3</v>
      </c>
      <c r="F2506" s="28" t="s">
        <v>914</v>
      </c>
      <c r="G2506" s="19" t="n">
        <v>0.0891</v>
      </c>
    </row>
    <row r="2507" customFormat="false" ht="15" hidden="false" customHeight="false" outlineLevel="0" collapsed="false">
      <c r="A2507" s="28" t="s">
        <v>188</v>
      </c>
      <c r="B2507" s="28" t="s">
        <v>189</v>
      </c>
      <c r="C2507" s="28" t="s">
        <v>174</v>
      </c>
      <c r="D2507" s="23" t="n">
        <v>8</v>
      </c>
      <c r="E2507" s="23" t="n">
        <v>3</v>
      </c>
      <c r="F2507" s="28" t="s">
        <v>915</v>
      </c>
      <c r="G2507" s="19" t="n">
        <v>0.1049</v>
      </c>
    </row>
    <row r="2508" customFormat="false" ht="15" hidden="false" customHeight="false" outlineLevel="0" collapsed="false">
      <c r="A2508" s="28" t="s">
        <v>188</v>
      </c>
      <c r="B2508" s="28" t="s">
        <v>189</v>
      </c>
      <c r="C2508" s="28" t="s">
        <v>174</v>
      </c>
      <c r="D2508" s="23" t="n">
        <v>8</v>
      </c>
      <c r="E2508" s="23" t="n">
        <v>4</v>
      </c>
      <c r="F2508" s="28" t="s">
        <v>904</v>
      </c>
      <c r="G2508" s="19" t="n">
        <v>0.0763</v>
      </c>
    </row>
    <row r="2509" customFormat="false" ht="15" hidden="false" customHeight="false" outlineLevel="0" collapsed="false">
      <c r="A2509" s="28" t="s">
        <v>188</v>
      </c>
      <c r="B2509" s="28" t="s">
        <v>189</v>
      </c>
      <c r="C2509" s="28" t="s">
        <v>174</v>
      </c>
      <c r="D2509" s="23" t="n">
        <v>8</v>
      </c>
      <c r="E2509" s="23" t="n">
        <v>4</v>
      </c>
      <c r="F2509" s="28" t="s">
        <v>551</v>
      </c>
      <c r="G2509" s="19" t="n">
        <v>0.1075</v>
      </c>
    </row>
    <row r="2510" customFormat="false" ht="15" hidden="false" customHeight="false" outlineLevel="0" collapsed="false">
      <c r="A2510" s="28" t="s">
        <v>188</v>
      </c>
      <c r="B2510" s="28" t="s">
        <v>189</v>
      </c>
      <c r="C2510" s="28" t="s">
        <v>174</v>
      </c>
      <c r="D2510" s="23" t="n">
        <v>8</v>
      </c>
      <c r="E2510" s="23" t="n">
        <v>4</v>
      </c>
      <c r="F2510" s="28" t="s">
        <v>451</v>
      </c>
      <c r="G2510" s="19" t="n">
        <v>0.0761</v>
      </c>
    </row>
    <row r="2511" customFormat="false" ht="15" hidden="false" customHeight="false" outlineLevel="0" collapsed="false">
      <c r="A2511" s="28" t="s">
        <v>188</v>
      </c>
      <c r="B2511" s="28" t="s">
        <v>189</v>
      </c>
      <c r="C2511" s="28" t="s">
        <v>174</v>
      </c>
      <c r="D2511" s="23" t="n">
        <v>8</v>
      </c>
      <c r="E2511" s="23" t="n">
        <v>4</v>
      </c>
      <c r="F2511" s="28" t="s">
        <v>905</v>
      </c>
      <c r="G2511" s="19" t="n">
        <v>0.0787</v>
      </c>
    </row>
    <row r="2512" customFormat="false" ht="15" hidden="false" customHeight="false" outlineLevel="0" collapsed="false">
      <c r="A2512" s="28" t="s">
        <v>188</v>
      </c>
      <c r="B2512" s="28" t="s">
        <v>189</v>
      </c>
      <c r="C2512" s="28" t="s">
        <v>174</v>
      </c>
      <c r="D2512" s="23" t="n">
        <v>8</v>
      </c>
      <c r="E2512" s="23" t="n">
        <v>4</v>
      </c>
      <c r="F2512" s="28" t="s">
        <v>906</v>
      </c>
      <c r="G2512" s="19" t="n">
        <v>0.0801</v>
      </c>
    </row>
    <row r="2513" customFormat="false" ht="15" hidden="false" customHeight="false" outlineLevel="0" collapsed="false">
      <c r="A2513" s="28" t="s">
        <v>188</v>
      </c>
      <c r="B2513" s="28" t="s">
        <v>189</v>
      </c>
      <c r="C2513" s="28" t="s">
        <v>174</v>
      </c>
      <c r="D2513" s="23" t="n">
        <v>8</v>
      </c>
      <c r="E2513" s="23" t="n">
        <v>4</v>
      </c>
      <c r="F2513" s="28" t="s">
        <v>907</v>
      </c>
      <c r="G2513" s="19" t="n">
        <v>0.0798</v>
      </c>
    </row>
    <row r="2514" customFormat="false" ht="15" hidden="false" customHeight="false" outlineLevel="0" collapsed="false">
      <c r="A2514" s="28" t="s">
        <v>188</v>
      </c>
      <c r="B2514" s="28" t="s">
        <v>189</v>
      </c>
      <c r="C2514" s="28" t="s">
        <v>174</v>
      </c>
      <c r="D2514" s="23" t="n">
        <v>8</v>
      </c>
      <c r="E2514" s="23" t="n">
        <v>4</v>
      </c>
      <c r="F2514" s="28" t="s">
        <v>908</v>
      </c>
      <c r="G2514" s="19" t="n">
        <v>0.0814</v>
      </c>
    </row>
    <row r="2515" customFormat="false" ht="15" hidden="false" customHeight="false" outlineLevel="0" collapsed="false">
      <c r="A2515" s="28" t="s">
        <v>188</v>
      </c>
      <c r="B2515" s="28" t="s">
        <v>189</v>
      </c>
      <c r="C2515" s="28" t="s">
        <v>174</v>
      </c>
      <c r="D2515" s="23" t="n">
        <v>8</v>
      </c>
      <c r="E2515" s="23" t="n">
        <v>4</v>
      </c>
      <c r="F2515" s="28" t="s">
        <v>909</v>
      </c>
      <c r="G2515" s="19" t="n">
        <v>0.0815</v>
      </c>
    </row>
    <row r="2516" customFormat="false" ht="15" hidden="false" customHeight="false" outlineLevel="0" collapsed="false">
      <c r="A2516" s="28" t="s">
        <v>188</v>
      </c>
      <c r="B2516" s="28" t="s">
        <v>189</v>
      </c>
      <c r="C2516" s="28" t="s">
        <v>174</v>
      </c>
      <c r="D2516" s="23" t="n">
        <v>8</v>
      </c>
      <c r="E2516" s="23" t="n">
        <v>4</v>
      </c>
      <c r="F2516" s="28" t="s">
        <v>910</v>
      </c>
      <c r="G2516" s="19" t="n">
        <v>0.0819</v>
      </c>
    </row>
    <row r="2517" customFormat="false" ht="15" hidden="false" customHeight="false" outlineLevel="0" collapsed="false">
      <c r="A2517" s="28" t="s">
        <v>188</v>
      </c>
      <c r="B2517" s="28" t="s">
        <v>189</v>
      </c>
      <c r="C2517" s="28" t="s">
        <v>174</v>
      </c>
      <c r="D2517" s="23" t="n">
        <v>8</v>
      </c>
      <c r="E2517" s="23" t="n">
        <v>4</v>
      </c>
      <c r="F2517" s="28" t="s">
        <v>911</v>
      </c>
      <c r="G2517" s="19" t="n">
        <v>0.083</v>
      </c>
    </row>
    <row r="2518" customFormat="false" ht="15" hidden="false" customHeight="false" outlineLevel="0" collapsed="false">
      <c r="A2518" s="28" t="s">
        <v>188</v>
      </c>
      <c r="B2518" s="28" t="s">
        <v>189</v>
      </c>
      <c r="C2518" s="28" t="s">
        <v>174</v>
      </c>
      <c r="D2518" s="23" t="n">
        <v>8</v>
      </c>
      <c r="E2518" s="23" t="n">
        <v>4</v>
      </c>
      <c r="F2518" s="28" t="s">
        <v>912</v>
      </c>
      <c r="G2518" s="19" t="n">
        <v>0.0844</v>
      </c>
    </row>
    <row r="2519" customFormat="false" ht="15" hidden="false" customHeight="false" outlineLevel="0" collapsed="false">
      <c r="A2519" s="28" t="s">
        <v>188</v>
      </c>
      <c r="B2519" s="28" t="s">
        <v>189</v>
      </c>
      <c r="C2519" s="28" t="s">
        <v>174</v>
      </c>
      <c r="D2519" s="23" t="n">
        <v>8</v>
      </c>
      <c r="E2519" s="23" t="n">
        <v>4</v>
      </c>
      <c r="F2519" s="28" t="s">
        <v>913</v>
      </c>
      <c r="G2519" s="19" t="n">
        <v>0.0893</v>
      </c>
    </row>
    <row r="2520" customFormat="false" ht="15" hidden="false" customHeight="false" outlineLevel="0" collapsed="false">
      <c r="A2520" s="28" t="s">
        <v>188</v>
      </c>
      <c r="B2520" s="28" t="s">
        <v>189</v>
      </c>
      <c r="C2520" s="28" t="s">
        <v>174</v>
      </c>
      <c r="D2520" s="23" t="n">
        <v>8</v>
      </c>
      <c r="E2520" s="23" t="n">
        <v>4</v>
      </c>
      <c r="F2520" s="28" t="s">
        <v>914</v>
      </c>
      <c r="G2520" s="19" t="n">
        <v>0.0891</v>
      </c>
    </row>
    <row r="2521" customFormat="false" ht="15" hidden="false" customHeight="false" outlineLevel="0" collapsed="false">
      <c r="A2521" s="28" t="s">
        <v>188</v>
      </c>
      <c r="B2521" s="28" t="s">
        <v>189</v>
      </c>
      <c r="C2521" s="28" t="s">
        <v>174</v>
      </c>
      <c r="D2521" s="23" t="n">
        <v>8</v>
      </c>
      <c r="E2521" s="23" t="n">
        <v>4</v>
      </c>
      <c r="F2521" s="28" t="s">
        <v>915</v>
      </c>
      <c r="G2521" s="19" t="n">
        <v>0.1049</v>
      </c>
    </row>
    <row r="2522" customFormat="false" ht="15" hidden="false" customHeight="false" outlineLevel="0" collapsed="false">
      <c r="A2522" s="28" t="s">
        <v>188</v>
      </c>
      <c r="B2522" s="28" t="s">
        <v>189</v>
      </c>
      <c r="C2522" s="28" t="s">
        <v>174</v>
      </c>
      <c r="D2522" s="23" t="n">
        <v>8</v>
      </c>
      <c r="E2522" s="23" t="n">
        <v>5</v>
      </c>
      <c r="F2522" s="28" t="s">
        <v>904</v>
      </c>
      <c r="G2522" s="19" t="n">
        <v>0.0763</v>
      </c>
    </row>
    <row r="2523" customFormat="false" ht="15" hidden="false" customHeight="false" outlineLevel="0" collapsed="false">
      <c r="A2523" s="28" t="s">
        <v>188</v>
      </c>
      <c r="B2523" s="28" t="s">
        <v>189</v>
      </c>
      <c r="C2523" s="28" t="s">
        <v>174</v>
      </c>
      <c r="D2523" s="23" t="n">
        <v>8</v>
      </c>
      <c r="E2523" s="23" t="n">
        <v>5</v>
      </c>
      <c r="F2523" s="28" t="s">
        <v>551</v>
      </c>
      <c r="G2523" s="19" t="n">
        <v>0.1075</v>
      </c>
    </row>
    <row r="2524" customFormat="false" ht="15" hidden="false" customHeight="false" outlineLevel="0" collapsed="false">
      <c r="A2524" s="28" t="s">
        <v>188</v>
      </c>
      <c r="B2524" s="28" t="s">
        <v>189</v>
      </c>
      <c r="C2524" s="28" t="s">
        <v>174</v>
      </c>
      <c r="D2524" s="23" t="n">
        <v>8</v>
      </c>
      <c r="E2524" s="23" t="n">
        <v>5</v>
      </c>
      <c r="F2524" s="28" t="s">
        <v>451</v>
      </c>
      <c r="G2524" s="19" t="n">
        <v>0.0761</v>
      </c>
    </row>
    <row r="2525" customFormat="false" ht="15" hidden="false" customHeight="false" outlineLevel="0" collapsed="false">
      <c r="A2525" s="28" t="s">
        <v>188</v>
      </c>
      <c r="B2525" s="28" t="s">
        <v>189</v>
      </c>
      <c r="C2525" s="28" t="s">
        <v>174</v>
      </c>
      <c r="D2525" s="23" t="n">
        <v>8</v>
      </c>
      <c r="E2525" s="23" t="n">
        <v>5</v>
      </c>
      <c r="F2525" s="28" t="s">
        <v>905</v>
      </c>
      <c r="G2525" s="19" t="n">
        <v>0.0787</v>
      </c>
    </row>
    <row r="2526" customFormat="false" ht="15" hidden="false" customHeight="false" outlineLevel="0" collapsed="false">
      <c r="A2526" s="28" t="s">
        <v>188</v>
      </c>
      <c r="B2526" s="28" t="s">
        <v>189</v>
      </c>
      <c r="C2526" s="28" t="s">
        <v>174</v>
      </c>
      <c r="D2526" s="23" t="n">
        <v>8</v>
      </c>
      <c r="E2526" s="23" t="n">
        <v>5</v>
      </c>
      <c r="F2526" s="28" t="s">
        <v>906</v>
      </c>
      <c r="G2526" s="19" t="n">
        <v>0.0801</v>
      </c>
    </row>
    <row r="2527" customFormat="false" ht="15" hidden="false" customHeight="false" outlineLevel="0" collapsed="false">
      <c r="A2527" s="28" t="s">
        <v>188</v>
      </c>
      <c r="B2527" s="28" t="s">
        <v>189</v>
      </c>
      <c r="C2527" s="28" t="s">
        <v>174</v>
      </c>
      <c r="D2527" s="23" t="n">
        <v>8</v>
      </c>
      <c r="E2527" s="23" t="n">
        <v>5</v>
      </c>
      <c r="F2527" s="28" t="s">
        <v>907</v>
      </c>
      <c r="G2527" s="19" t="n">
        <v>0.0798</v>
      </c>
    </row>
    <row r="2528" customFormat="false" ht="15" hidden="false" customHeight="false" outlineLevel="0" collapsed="false">
      <c r="A2528" s="28" t="s">
        <v>188</v>
      </c>
      <c r="B2528" s="28" t="s">
        <v>189</v>
      </c>
      <c r="C2528" s="28" t="s">
        <v>174</v>
      </c>
      <c r="D2528" s="23" t="n">
        <v>8</v>
      </c>
      <c r="E2528" s="23" t="n">
        <v>5</v>
      </c>
      <c r="F2528" s="28" t="s">
        <v>908</v>
      </c>
      <c r="G2528" s="19" t="n">
        <v>0.0814</v>
      </c>
    </row>
    <row r="2529" customFormat="false" ht="15" hidden="false" customHeight="false" outlineLevel="0" collapsed="false">
      <c r="A2529" s="28" t="s">
        <v>188</v>
      </c>
      <c r="B2529" s="28" t="s">
        <v>189</v>
      </c>
      <c r="C2529" s="28" t="s">
        <v>174</v>
      </c>
      <c r="D2529" s="23" t="n">
        <v>8</v>
      </c>
      <c r="E2529" s="23" t="n">
        <v>5</v>
      </c>
      <c r="F2529" s="28" t="s">
        <v>909</v>
      </c>
      <c r="G2529" s="19" t="n">
        <v>0.0815</v>
      </c>
    </row>
    <row r="2530" customFormat="false" ht="15" hidden="false" customHeight="false" outlineLevel="0" collapsed="false">
      <c r="A2530" s="28" t="s">
        <v>188</v>
      </c>
      <c r="B2530" s="28" t="s">
        <v>189</v>
      </c>
      <c r="C2530" s="28" t="s">
        <v>174</v>
      </c>
      <c r="D2530" s="23" t="n">
        <v>8</v>
      </c>
      <c r="E2530" s="23" t="n">
        <v>5</v>
      </c>
      <c r="F2530" s="28" t="s">
        <v>910</v>
      </c>
      <c r="G2530" s="19" t="n">
        <v>0.0819</v>
      </c>
    </row>
    <row r="2531" customFormat="false" ht="15" hidden="false" customHeight="false" outlineLevel="0" collapsed="false">
      <c r="A2531" s="28" t="s">
        <v>188</v>
      </c>
      <c r="B2531" s="28" t="s">
        <v>189</v>
      </c>
      <c r="C2531" s="28" t="s">
        <v>174</v>
      </c>
      <c r="D2531" s="23" t="n">
        <v>8</v>
      </c>
      <c r="E2531" s="23" t="n">
        <v>5</v>
      </c>
      <c r="F2531" s="28" t="s">
        <v>911</v>
      </c>
      <c r="G2531" s="19" t="n">
        <v>0.083</v>
      </c>
    </row>
    <row r="2532" customFormat="false" ht="15" hidden="false" customHeight="false" outlineLevel="0" collapsed="false">
      <c r="A2532" s="28" t="s">
        <v>188</v>
      </c>
      <c r="B2532" s="28" t="s">
        <v>189</v>
      </c>
      <c r="C2532" s="28" t="s">
        <v>174</v>
      </c>
      <c r="D2532" s="23" t="n">
        <v>8</v>
      </c>
      <c r="E2532" s="23" t="n">
        <v>5</v>
      </c>
      <c r="F2532" s="28" t="s">
        <v>912</v>
      </c>
      <c r="G2532" s="19" t="n">
        <v>0.0844</v>
      </c>
    </row>
    <row r="2533" customFormat="false" ht="15" hidden="false" customHeight="false" outlineLevel="0" collapsed="false">
      <c r="A2533" s="28" t="s">
        <v>188</v>
      </c>
      <c r="B2533" s="28" t="s">
        <v>189</v>
      </c>
      <c r="C2533" s="28" t="s">
        <v>174</v>
      </c>
      <c r="D2533" s="23" t="n">
        <v>8</v>
      </c>
      <c r="E2533" s="23" t="n">
        <v>5</v>
      </c>
      <c r="F2533" s="28" t="s">
        <v>913</v>
      </c>
      <c r="G2533" s="19" t="n">
        <v>0.0893</v>
      </c>
    </row>
    <row r="2534" customFormat="false" ht="15" hidden="false" customHeight="false" outlineLevel="0" collapsed="false">
      <c r="A2534" s="28" t="s">
        <v>188</v>
      </c>
      <c r="B2534" s="28" t="s">
        <v>189</v>
      </c>
      <c r="C2534" s="28" t="s">
        <v>174</v>
      </c>
      <c r="D2534" s="23" t="n">
        <v>8</v>
      </c>
      <c r="E2534" s="23" t="n">
        <v>5</v>
      </c>
      <c r="F2534" s="28" t="s">
        <v>914</v>
      </c>
      <c r="G2534" s="19" t="n">
        <v>0.0891</v>
      </c>
    </row>
    <row r="2535" customFormat="false" ht="15" hidden="false" customHeight="false" outlineLevel="0" collapsed="false">
      <c r="A2535" s="28" t="s">
        <v>188</v>
      </c>
      <c r="B2535" s="28" t="s">
        <v>189</v>
      </c>
      <c r="C2535" s="28" t="s">
        <v>174</v>
      </c>
      <c r="D2535" s="23" t="n">
        <v>8</v>
      </c>
      <c r="E2535" s="23" t="n">
        <v>5</v>
      </c>
      <c r="F2535" s="28" t="s">
        <v>915</v>
      </c>
      <c r="G2535" s="19" t="n">
        <v>0.1049</v>
      </c>
    </row>
    <row r="2536" customFormat="false" ht="15" hidden="false" customHeight="false" outlineLevel="0" collapsed="false">
      <c r="A2536" s="28" t="s">
        <v>188</v>
      </c>
      <c r="B2536" s="28" t="s">
        <v>189</v>
      </c>
      <c r="C2536" s="28" t="s">
        <v>174</v>
      </c>
      <c r="D2536" s="23" t="n">
        <v>8</v>
      </c>
      <c r="E2536" s="23" t="n">
        <v>6</v>
      </c>
      <c r="F2536" s="28" t="s">
        <v>904</v>
      </c>
      <c r="G2536" s="19" t="n">
        <v>0.0763</v>
      </c>
    </row>
    <row r="2537" customFormat="false" ht="15" hidden="false" customHeight="false" outlineLevel="0" collapsed="false">
      <c r="A2537" s="28" t="s">
        <v>188</v>
      </c>
      <c r="B2537" s="28" t="s">
        <v>189</v>
      </c>
      <c r="C2537" s="28" t="s">
        <v>174</v>
      </c>
      <c r="D2537" s="23" t="n">
        <v>8</v>
      </c>
      <c r="E2537" s="23" t="n">
        <v>6</v>
      </c>
      <c r="F2537" s="28" t="s">
        <v>551</v>
      </c>
      <c r="G2537" s="19" t="n">
        <v>0.1075</v>
      </c>
    </row>
    <row r="2538" customFormat="false" ht="15" hidden="false" customHeight="false" outlineLevel="0" collapsed="false">
      <c r="A2538" s="28" t="s">
        <v>188</v>
      </c>
      <c r="B2538" s="28" t="s">
        <v>189</v>
      </c>
      <c r="C2538" s="28" t="s">
        <v>174</v>
      </c>
      <c r="D2538" s="23" t="n">
        <v>8</v>
      </c>
      <c r="E2538" s="23" t="n">
        <v>6</v>
      </c>
      <c r="F2538" s="28" t="s">
        <v>451</v>
      </c>
      <c r="G2538" s="19" t="n">
        <v>0.0761</v>
      </c>
    </row>
    <row r="2539" customFormat="false" ht="15" hidden="false" customHeight="false" outlineLevel="0" collapsed="false">
      <c r="A2539" s="28" t="s">
        <v>188</v>
      </c>
      <c r="B2539" s="28" t="s">
        <v>189</v>
      </c>
      <c r="C2539" s="28" t="s">
        <v>174</v>
      </c>
      <c r="D2539" s="23" t="n">
        <v>8</v>
      </c>
      <c r="E2539" s="23" t="n">
        <v>6</v>
      </c>
      <c r="F2539" s="28" t="s">
        <v>905</v>
      </c>
      <c r="G2539" s="19" t="n">
        <v>0.0787</v>
      </c>
    </row>
    <row r="2540" customFormat="false" ht="15" hidden="false" customHeight="false" outlineLevel="0" collapsed="false">
      <c r="A2540" s="28" t="s">
        <v>188</v>
      </c>
      <c r="B2540" s="28" t="s">
        <v>189</v>
      </c>
      <c r="C2540" s="28" t="s">
        <v>174</v>
      </c>
      <c r="D2540" s="23" t="n">
        <v>8</v>
      </c>
      <c r="E2540" s="23" t="n">
        <v>6</v>
      </c>
      <c r="F2540" s="28" t="s">
        <v>906</v>
      </c>
      <c r="G2540" s="19" t="n">
        <v>0.0801</v>
      </c>
    </row>
    <row r="2541" customFormat="false" ht="15" hidden="false" customHeight="false" outlineLevel="0" collapsed="false">
      <c r="A2541" s="28" t="s">
        <v>188</v>
      </c>
      <c r="B2541" s="28" t="s">
        <v>189</v>
      </c>
      <c r="C2541" s="28" t="s">
        <v>174</v>
      </c>
      <c r="D2541" s="23" t="n">
        <v>8</v>
      </c>
      <c r="E2541" s="23" t="n">
        <v>6</v>
      </c>
      <c r="F2541" s="28" t="s">
        <v>907</v>
      </c>
      <c r="G2541" s="19" t="n">
        <v>0.0798</v>
      </c>
    </row>
    <row r="2542" customFormat="false" ht="15" hidden="false" customHeight="false" outlineLevel="0" collapsed="false">
      <c r="A2542" s="28" t="s">
        <v>188</v>
      </c>
      <c r="B2542" s="28" t="s">
        <v>189</v>
      </c>
      <c r="C2542" s="28" t="s">
        <v>174</v>
      </c>
      <c r="D2542" s="23" t="n">
        <v>8</v>
      </c>
      <c r="E2542" s="23" t="n">
        <v>6</v>
      </c>
      <c r="F2542" s="28" t="s">
        <v>908</v>
      </c>
      <c r="G2542" s="19" t="n">
        <v>0.0814</v>
      </c>
    </row>
    <row r="2543" customFormat="false" ht="15" hidden="false" customHeight="false" outlineLevel="0" collapsed="false">
      <c r="A2543" s="28" t="s">
        <v>188</v>
      </c>
      <c r="B2543" s="28" t="s">
        <v>189</v>
      </c>
      <c r="C2543" s="28" t="s">
        <v>174</v>
      </c>
      <c r="D2543" s="23" t="n">
        <v>8</v>
      </c>
      <c r="E2543" s="23" t="n">
        <v>6</v>
      </c>
      <c r="F2543" s="28" t="s">
        <v>909</v>
      </c>
      <c r="G2543" s="19" t="n">
        <v>0.0815</v>
      </c>
    </row>
    <row r="2544" customFormat="false" ht="15" hidden="false" customHeight="false" outlineLevel="0" collapsed="false">
      <c r="A2544" s="28" t="s">
        <v>188</v>
      </c>
      <c r="B2544" s="28" t="s">
        <v>189</v>
      </c>
      <c r="C2544" s="28" t="s">
        <v>174</v>
      </c>
      <c r="D2544" s="23" t="n">
        <v>8</v>
      </c>
      <c r="E2544" s="23" t="n">
        <v>6</v>
      </c>
      <c r="F2544" s="28" t="s">
        <v>910</v>
      </c>
      <c r="G2544" s="19" t="n">
        <v>0.0819</v>
      </c>
    </row>
    <row r="2545" customFormat="false" ht="15" hidden="false" customHeight="false" outlineLevel="0" collapsed="false">
      <c r="A2545" s="28" t="s">
        <v>188</v>
      </c>
      <c r="B2545" s="28" t="s">
        <v>189</v>
      </c>
      <c r="C2545" s="28" t="s">
        <v>174</v>
      </c>
      <c r="D2545" s="23" t="n">
        <v>8</v>
      </c>
      <c r="E2545" s="23" t="n">
        <v>6</v>
      </c>
      <c r="F2545" s="28" t="s">
        <v>911</v>
      </c>
      <c r="G2545" s="19" t="n">
        <v>0.083</v>
      </c>
    </row>
    <row r="2546" customFormat="false" ht="15" hidden="false" customHeight="false" outlineLevel="0" collapsed="false">
      <c r="A2546" s="28" t="s">
        <v>188</v>
      </c>
      <c r="B2546" s="28" t="s">
        <v>189</v>
      </c>
      <c r="C2546" s="28" t="s">
        <v>174</v>
      </c>
      <c r="D2546" s="23" t="n">
        <v>8</v>
      </c>
      <c r="E2546" s="23" t="n">
        <v>6</v>
      </c>
      <c r="F2546" s="28" t="s">
        <v>912</v>
      </c>
      <c r="G2546" s="19" t="n">
        <v>0.0844</v>
      </c>
    </row>
    <row r="2547" customFormat="false" ht="15" hidden="false" customHeight="false" outlineLevel="0" collapsed="false">
      <c r="A2547" s="28" t="s">
        <v>188</v>
      </c>
      <c r="B2547" s="28" t="s">
        <v>189</v>
      </c>
      <c r="C2547" s="28" t="s">
        <v>174</v>
      </c>
      <c r="D2547" s="23" t="n">
        <v>8</v>
      </c>
      <c r="E2547" s="23" t="n">
        <v>6</v>
      </c>
      <c r="F2547" s="28" t="s">
        <v>913</v>
      </c>
      <c r="G2547" s="19" t="n">
        <v>0.0893</v>
      </c>
    </row>
    <row r="2548" customFormat="false" ht="15" hidden="false" customHeight="false" outlineLevel="0" collapsed="false">
      <c r="A2548" s="28" t="s">
        <v>188</v>
      </c>
      <c r="B2548" s="28" t="s">
        <v>189</v>
      </c>
      <c r="C2548" s="28" t="s">
        <v>174</v>
      </c>
      <c r="D2548" s="23" t="n">
        <v>8</v>
      </c>
      <c r="E2548" s="23" t="n">
        <v>6</v>
      </c>
      <c r="F2548" s="28" t="s">
        <v>914</v>
      </c>
      <c r="G2548" s="19" t="n">
        <v>0.0891</v>
      </c>
    </row>
    <row r="2549" customFormat="false" ht="15" hidden="false" customHeight="false" outlineLevel="0" collapsed="false">
      <c r="A2549" s="28" t="s">
        <v>188</v>
      </c>
      <c r="B2549" s="28" t="s">
        <v>189</v>
      </c>
      <c r="C2549" s="28" t="s">
        <v>174</v>
      </c>
      <c r="D2549" s="23" t="n">
        <v>8</v>
      </c>
      <c r="E2549" s="23" t="n">
        <v>6</v>
      </c>
      <c r="F2549" s="28" t="s">
        <v>915</v>
      </c>
      <c r="G2549" s="19" t="n">
        <v>0.1049</v>
      </c>
    </row>
    <row r="2550" customFormat="false" ht="15" hidden="false" customHeight="false" outlineLevel="0" collapsed="false">
      <c r="A2550" s="28" t="s">
        <v>188</v>
      </c>
      <c r="B2550" s="28" t="s">
        <v>189</v>
      </c>
      <c r="C2550" s="28" t="s">
        <v>174</v>
      </c>
      <c r="D2550" s="23" t="n">
        <v>8</v>
      </c>
      <c r="E2550" s="23" t="n">
        <v>7</v>
      </c>
      <c r="F2550" s="28" t="s">
        <v>904</v>
      </c>
      <c r="G2550" s="19" t="n">
        <v>0.0763</v>
      </c>
    </row>
    <row r="2551" customFormat="false" ht="15" hidden="false" customHeight="false" outlineLevel="0" collapsed="false">
      <c r="A2551" s="28" t="s">
        <v>188</v>
      </c>
      <c r="B2551" s="28" t="s">
        <v>189</v>
      </c>
      <c r="C2551" s="28" t="s">
        <v>174</v>
      </c>
      <c r="D2551" s="23" t="n">
        <v>8</v>
      </c>
      <c r="E2551" s="23" t="n">
        <v>7</v>
      </c>
      <c r="F2551" s="28" t="s">
        <v>551</v>
      </c>
      <c r="G2551" s="19" t="n">
        <v>0.1075</v>
      </c>
    </row>
    <row r="2552" customFormat="false" ht="15" hidden="false" customHeight="false" outlineLevel="0" collapsed="false">
      <c r="A2552" s="28" t="s">
        <v>188</v>
      </c>
      <c r="B2552" s="28" t="s">
        <v>189</v>
      </c>
      <c r="C2552" s="28" t="s">
        <v>174</v>
      </c>
      <c r="D2552" s="23" t="n">
        <v>8</v>
      </c>
      <c r="E2552" s="23" t="n">
        <v>7</v>
      </c>
      <c r="F2552" s="28" t="s">
        <v>451</v>
      </c>
      <c r="G2552" s="19" t="n">
        <v>0.0761</v>
      </c>
    </row>
    <row r="2553" customFormat="false" ht="15" hidden="false" customHeight="false" outlineLevel="0" collapsed="false">
      <c r="A2553" s="28" t="s">
        <v>188</v>
      </c>
      <c r="B2553" s="28" t="s">
        <v>189</v>
      </c>
      <c r="C2553" s="28" t="s">
        <v>174</v>
      </c>
      <c r="D2553" s="23" t="n">
        <v>8</v>
      </c>
      <c r="E2553" s="23" t="n">
        <v>7</v>
      </c>
      <c r="F2553" s="28" t="s">
        <v>905</v>
      </c>
      <c r="G2553" s="19" t="n">
        <v>0.0787</v>
      </c>
    </row>
    <row r="2554" customFormat="false" ht="15" hidden="false" customHeight="false" outlineLevel="0" collapsed="false">
      <c r="A2554" s="28" t="s">
        <v>188</v>
      </c>
      <c r="B2554" s="28" t="s">
        <v>189</v>
      </c>
      <c r="C2554" s="28" t="s">
        <v>174</v>
      </c>
      <c r="D2554" s="23" t="n">
        <v>8</v>
      </c>
      <c r="E2554" s="23" t="n">
        <v>7</v>
      </c>
      <c r="F2554" s="28" t="s">
        <v>906</v>
      </c>
      <c r="G2554" s="19" t="n">
        <v>0.0801</v>
      </c>
    </row>
    <row r="2555" customFormat="false" ht="15" hidden="false" customHeight="false" outlineLevel="0" collapsed="false">
      <c r="A2555" s="28" t="s">
        <v>188</v>
      </c>
      <c r="B2555" s="28" t="s">
        <v>189</v>
      </c>
      <c r="C2555" s="28" t="s">
        <v>174</v>
      </c>
      <c r="D2555" s="23" t="n">
        <v>8</v>
      </c>
      <c r="E2555" s="23" t="n">
        <v>7</v>
      </c>
      <c r="F2555" s="28" t="s">
        <v>907</v>
      </c>
      <c r="G2555" s="19" t="n">
        <v>0.0798</v>
      </c>
    </row>
    <row r="2556" customFormat="false" ht="15" hidden="false" customHeight="false" outlineLevel="0" collapsed="false">
      <c r="A2556" s="28" t="s">
        <v>188</v>
      </c>
      <c r="B2556" s="28" t="s">
        <v>189</v>
      </c>
      <c r="C2556" s="28" t="s">
        <v>174</v>
      </c>
      <c r="D2556" s="23" t="n">
        <v>8</v>
      </c>
      <c r="E2556" s="23" t="n">
        <v>7</v>
      </c>
      <c r="F2556" s="28" t="s">
        <v>908</v>
      </c>
      <c r="G2556" s="19" t="n">
        <v>0.0814</v>
      </c>
    </row>
    <row r="2557" customFormat="false" ht="15" hidden="false" customHeight="false" outlineLevel="0" collapsed="false">
      <c r="A2557" s="28" t="s">
        <v>188</v>
      </c>
      <c r="B2557" s="28" t="s">
        <v>189</v>
      </c>
      <c r="C2557" s="28" t="s">
        <v>174</v>
      </c>
      <c r="D2557" s="23" t="n">
        <v>8</v>
      </c>
      <c r="E2557" s="23" t="n">
        <v>7</v>
      </c>
      <c r="F2557" s="28" t="s">
        <v>909</v>
      </c>
      <c r="G2557" s="19" t="n">
        <v>0.0815</v>
      </c>
    </row>
    <row r="2558" customFormat="false" ht="15" hidden="false" customHeight="false" outlineLevel="0" collapsed="false">
      <c r="A2558" s="28" t="s">
        <v>188</v>
      </c>
      <c r="B2558" s="28" t="s">
        <v>189</v>
      </c>
      <c r="C2558" s="28" t="s">
        <v>174</v>
      </c>
      <c r="D2558" s="23" t="n">
        <v>8</v>
      </c>
      <c r="E2558" s="23" t="n">
        <v>7</v>
      </c>
      <c r="F2558" s="28" t="s">
        <v>910</v>
      </c>
      <c r="G2558" s="19" t="n">
        <v>0.0819</v>
      </c>
    </row>
    <row r="2559" customFormat="false" ht="15" hidden="false" customHeight="false" outlineLevel="0" collapsed="false">
      <c r="A2559" s="28" t="s">
        <v>188</v>
      </c>
      <c r="B2559" s="28" t="s">
        <v>189</v>
      </c>
      <c r="C2559" s="28" t="s">
        <v>174</v>
      </c>
      <c r="D2559" s="23" t="n">
        <v>8</v>
      </c>
      <c r="E2559" s="23" t="n">
        <v>7</v>
      </c>
      <c r="F2559" s="28" t="s">
        <v>911</v>
      </c>
      <c r="G2559" s="19" t="n">
        <v>0.083</v>
      </c>
    </row>
    <row r="2560" customFormat="false" ht="15" hidden="false" customHeight="false" outlineLevel="0" collapsed="false">
      <c r="A2560" s="28" t="s">
        <v>188</v>
      </c>
      <c r="B2560" s="28" t="s">
        <v>189</v>
      </c>
      <c r="C2560" s="28" t="s">
        <v>174</v>
      </c>
      <c r="D2560" s="23" t="n">
        <v>8</v>
      </c>
      <c r="E2560" s="23" t="n">
        <v>7</v>
      </c>
      <c r="F2560" s="28" t="s">
        <v>912</v>
      </c>
      <c r="G2560" s="19" t="n">
        <v>0.0844</v>
      </c>
    </row>
    <row r="2561" customFormat="false" ht="15" hidden="false" customHeight="false" outlineLevel="0" collapsed="false">
      <c r="A2561" s="28" t="s">
        <v>188</v>
      </c>
      <c r="B2561" s="28" t="s">
        <v>189</v>
      </c>
      <c r="C2561" s="28" t="s">
        <v>174</v>
      </c>
      <c r="D2561" s="23" t="n">
        <v>8</v>
      </c>
      <c r="E2561" s="23" t="n">
        <v>7</v>
      </c>
      <c r="F2561" s="28" t="s">
        <v>913</v>
      </c>
      <c r="G2561" s="19" t="n">
        <v>0.0893</v>
      </c>
    </row>
    <row r="2562" customFormat="false" ht="15" hidden="false" customHeight="false" outlineLevel="0" collapsed="false">
      <c r="A2562" s="28" t="s">
        <v>188</v>
      </c>
      <c r="B2562" s="28" t="s">
        <v>189</v>
      </c>
      <c r="C2562" s="28" t="s">
        <v>174</v>
      </c>
      <c r="D2562" s="23" t="n">
        <v>8</v>
      </c>
      <c r="E2562" s="23" t="n">
        <v>7</v>
      </c>
      <c r="F2562" s="28" t="s">
        <v>914</v>
      </c>
      <c r="G2562" s="19" t="n">
        <v>0.0891</v>
      </c>
    </row>
    <row r="2563" customFormat="false" ht="15" hidden="false" customHeight="false" outlineLevel="0" collapsed="false">
      <c r="A2563" s="28" t="s">
        <v>188</v>
      </c>
      <c r="B2563" s="28" t="s">
        <v>189</v>
      </c>
      <c r="C2563" s="28" t="s">
        <v>174</v>
      </c>
      <c r="D2563" s="23" t="n">
        <v>8</v>
      </c>
      <c r="E2563" s="23" t="n">
        <v>7</v>
      </c>
      <c r="F2563" s="28" t="s">
        <v>915</v>
      </c>
      <c r="G2563" s="19" t="n">
        <v>0.1049</v>
      </c>
    </row>
    <row r="2564" customFormat="false" ht="15" hidden="false" customHeight="false" outlineLevel="0" collapsed="false">
      <c r="A2564" s="28" t="s">
        <v>188</v>
      </c>
      <c r="B2564" s="28" t="s">
        <v>189</v>
      </c>
      <c r="C2564" s="28" t="s">
        <v>174</v>
      </c>
      <c r="D2564" s="23" t="n">
        <v>8</v>
      </c>
      <c r="E2564" s="23" t="n">
        <v>8</v>
      </c>
      <c r="F2564" s="28" t="s">
        <v>904</v>
      </c>
      <c r="G2564" s="19" t="n">
        <v>0.0763</v>
      </c>
    </row>
    <row r="2565" customFormat="false" ht="15" hidden="false" customHeight="false" outlineLevel="0" collapsed="false">
      <c r="A2565" s="28" t="s">
        <v>188</v>
      </c>
      <c r="B2565" s="28" t="s">
        <v>189</v>
      </c>
      <c r="C2565" s="28" t="s">
        <v>174</v>
      </c>
      <c r="D2565" s="23" t="n">
        <v>8</v>
      </c>
      <c r="E2565" s="23" t="n">
        <v>8</v>
      </c>
      <c r="F2565" s="28" t="s">
        <v>551</v>
      </c>
      <c r="G2565" s="19" t="n">
        <v>0.1075</v>
      </c>
    </row>
    <row r="2566" customFormat="false" ht="15" hidden="false" customHeight="false" outlineLevel="0" collapsed="false">
      <c r="A2566" s="28" t="s">
        <v>188</v>
      </c>
      <c r="B2566" s="28" t="s">
        <v>189</v>
      </c>
      <c r="C2566" s="28" t="s">
        <v>174</v>
      </c>
      <c r="D2566" s="23" t="n">
        <v>8</v>
      </c>
      <c r="E2566" s="23" t="n">
        <v>8</v>
      </c>
      <c r="F2566" s="28" t="s">
        <v>451</v>
      </c>
      <c r="G2566" s="19" t="n">
        <v>0.0761</v>
      </c>
    </row>
    <row r="2567" customFormat="false" ht="15" hidden="false" customHeight="false" outlineLevel="0" collapsed="false">
      <c r="A2567" s="28" t="s">
        <v>188</v>
      </c>
      <c r="B2567" s="28" t="s">
        <v>189</v>
      </c>
      <c r="C2567" s="28" t="s">
        <v>174</v>
      </c>
      <c r="D2567" s="23" t="n">
        <v>8</v>
      </c>
      <c r="E2567" s="23" t="n">
        <v>8</v>
      </c>
      <c r="F2567" s="28" t="s">
        <v>905</v>
      </c>
      <c r="G2567" s="19" t="n">
        <v>0.0787</v>
      </c>
    </row>
    <row r="2568" customFormat="false" ht="15" hidden="false" customHeight="false" outlineLevel="0" collapsed="false">
      <c r="A2568" s="28" t="s">
        <v>188</v>
      </c>
      <c r="B2568" s="28" t="s">
        <v>189</v>
      </c>
      <c r="C2568" s="28" t="s">
        <v>174</v>
      </c>
      <c r="D2568" s="23" t="n">
        <v>8</v>
      </c>
      <c r="E2568" s="23" t="n">
        <v>8</v>
      </c>
      <c r="F2568" s="28" t="s">
        <v>906</v>
      </c>
      <c r="G2568" s="19" t="n">
        <v>0.0801</v>
      </c>
    </row>
    <row r="2569" customFormat="false" ht="15" hidden="false" customHeight="false" outlineLevel="0" collapsed="false">
      <c r="A2569" s="28" t="s">
        <v>188</v>
      </c>
      <c r="B2569" s="28" t="s">
        <v>189</v>
      </c>
      <c r="C2569" s="28" t="s">
        <v>174</v>
      </c>
      <c r="D2569" s="23" t="n">
        <v>8</v>
      </c>
      <c r="E2569" s="23" t="n">
        <v>8</v>
      </c>
      <c r="F2569" s="28" t="s">
        <v>907</v>
      </c>
      <c r="G2569" s="19" t="n">
        <v>0.0798</v>
      </c>
    </row>
    <row r="2570" customFormat="false" ht="15" hidden="false" customHeight="false" outlineLevel="0" collapsed="false">
      <c r="A2570" s="28" t="s">
        <v>188</v>
      </c>
      <c r="B2570" s="28" t="s">
        <v>189</v>
      </c>
      <c r="C2570" s="28" t="s">
        <v>174</v>
      </c>
      <c r="D2570" s="23" t="n">
        <v>8</v>
      </c>
      <c r="E2570" s="23" t="n">
        <v>8</v>
      </c>
      <c r="F2570" s="28" t="s">
        <v>908</v>
      </c>
      <c r="G2570" s="19" t="n">
        <v>0.0814</v>
      </c>
    </row>
    <row r="2571" customFormat="false" ht="15" hidden="false" customHeight="false" outlineLevel="0" collapsed="false">
      <c r="A2571" s="28" t="s">
        <v>188</v>
      </c>
      <c r="B2571" s="28" t="s">
        <v>189</v>
      </c>
      <c r="C2571" s="28" t="s">
        <v>174</v>
      </c>
      <c r="D2571" s="23" t="n">
        <v>8</v>
      </c>
      <c r="E2571" s="23" t="n">
        <v>8</v>
      </c>
      <c r="F2571" s="28" t="s">
        <v>909</v>
      </c>
      <c r="G2571" s="19" t="n">
        <v>0.0815</v>
      </c>
    </row>
    <row r="2572" customFormat="false" ht="15" hidden="false" customHeight="false" outlineLevel="0" collapsed="false">
      <c r="A2572" s="28" t="s">
        <v>188</v>
      </c>
      <c r="B2572" s="28" t="s">
        <v>189</v>
      </c>
      <c r="C2572" s="28" t="s">
        <v>174</v>
      </c>
      <c r="D2572" s="23" t="n">
        <v>8</v>
      </c>
      <c r="E2572" s="23" t="n">
        <v>8</v>
      </c>
      <c r="F2572" s="28" t="s">
        <v>910</v>
      </c>
      <c r="G2572" s="19" t="n">
        <v>0.0819</v>
      </c>
    </row>
    <row r="2573" customFormat="false" ht="15" hidden="false" customHeight="false" outlineLevel="0" collapsed="false">
      <c r="A2573" s="28" t="s">
        <v>188</v>
      </c>
      <c r="B2573" s="28" t="s">
        <v>189</v>
      </c>
      <c r="C2573" s="28" t="s">
        <v>174</v>
      </c>
      <c r="D2573" s="23" t="n">
        <v>8</v>
      </c>
      <c r="E2573" s="23" t="n">
        <v>8</v>
      </c>
      <c r="F2573" s="28" t="s">
        <v>911</v>
      </c>
      <c r="G2573" s="19" t="n">
        <v>0.083</v>
      </c>
    </row>
    <row r="2574" customFormat="false" ht="15" hidden="false" customHeight="false" outlineLevel="0" collapsed="false">
      <c r="A2574" s="28" t="s">
        <v>188</v>
      </c>
      <c r="B2574" s="28" t="s">
        <v>189</v>
      </c>
      <c r="C2574" s="28" t="s">
        <v>174</v>
      </c>
      <c r="D2574" s="23" t="n">
        <v>8</v>
      </c>
      <c r="E2574" s="23" t="n">
        <v>8</v>
      </c>
      <c r="F2574" s="28" t="s">
        <v>912</v>
      </c>
      <c r="G2574" s="19" t="n">
        <v>0.0844</v>
      </c>
    </row>
    <row r="2575" customFormat="false" ht="15" hidden="false" customHeight="false" outlineLevel="0" collapsed="false">
      <c r="A2575" s="28" t="s">
        <v>188</v>
      </c>
      <c r="B2575" s="28" t="s">
        <v>189</v>
      </c>
      <c r="C2575" s="28" t="s">
        <v>174</v>
      </c>
      <c r="D2575" s="23" t="n">
        <v>8</v>
      </c>
      <c r="E2575" s="23" t="n">
        <v>8</v>
      </c>
      <c r="F2575" s="28" t="s">
        <v>913</v>
      </c>
      <c r="G2575" s="19" t="n">
        <v>0.0893</v>
      </c>
    </row>
    <row r="2576" customFormat="false" ht="15" hidden="false" customHeight="false" outlineLevel="0" collapsed="false">
      <c r="A2576" s="28" t="s">
        <v>188</v>
      </c>
      <c r="B2576" s="28" t="s">
        <v>189</v>
      </c>
      <c r="C2576" s="28" t="s">
        <v>174</v>
      </c>
      <c r="D2576" s="23" t="n">
        <v>8</v>
      </c>
      <c r="E2576" s="23" t="n">
        <v>8</v>
      </c>
      <c r="F2576" s="28" t="s">
        <v>914</v>
      </c>
      <c r="G2576" s="19" t="n">
        <v>0.0891</v>
      </c>
    </row>
    <row r="2577" customFormat="false" ht="15" hidden="false" customHeight="false" outlineLevel="0" collapsed="false">
      <c r="A2577" s="28" t="s">
        <v>188</v>
      </c>
      <c r="B2577" s="28" t="s">
        <v>189</v>
      </c>
      <c r="C2577" s="28" t="s">
        <v>174</v>
      </c>
      <c r="D2577" s="23" t="n">
        <v>8</v>
      </c>
      <c r="E2577" s="23" t="n">
        <v>8</v>
      </c>
      <c r="F2577" s="28" t="s">
        <v>915</v>
      </c>
      <c r="G2577" s="19" t="n">
        <v>0.1049</v>
      </c>
    </row>
    <row r="2578" customFormat="false" ht="15" hidden="false" customHeight="false" outlineLevel="0" collapsed="false">
      <c r="A2578" s="28" t="s">
        <v>188</v>
      </c>
      <c r="B2578" s="28" t="s">
        <v>189</v>
      </c>
      <c r="C2578" s="28" t="s">
        <v>174</v>
      </c>
      <c r="D2578" s="23" t="n">
        <v>8</v>
      </c>
      <c r="E2578" s="23" t="n">
        <v>9</v>
      </c>
      <c r="F2578" s="28" t="s">
        <v>904</v>
      </c>
      <c r="G2578" s="19" t="n">
        <v>0.0763</v>
      </c>
    </row>
    <row r="2579" customFormat="false" ht="15" hidden="false" customHeight="false" outlineLevel="0" collapsed="false">
      <c r="A2579" s="28" t="s">
        <v>188</v>
      </c>
      <c r="B2579" s="28" t="s">
        <v>189</v>
      </c>
      <c r="C2579" s="28" t="s">
        <v>174</v>
      </c>
      <c r="D2579" s="23" t="n">
        <v>8</v>
      </c>
      <c r="E2579" s="23" t="n">
        <v>9</v>
      </c>
      <c r="F2579" s="28" t="s">
        <v>551</v>
      </c>
      <c r="G2579" s="19" t="n">
        <v>0.1075</v>
      </c>
    </row>
    <row r="2580" customFormat="false" ht="15" hidden="false" customHeight="false" outlineLevel="0" collapsed="false">
      <c r="A2580" s="28" t="s">
        <v>188</v>
      </c>
      <c r="B2580" s="28" t="s">
        <v>189</v>
      </c>
      <c r="C2580" s="28" t="s">
        <v>174</v>
      </c>
      <c r="D2580" s="23" t="n">
        <v>8</v>
      </c>
      <c r="E2580" s="23" t="n">
        <v>9</v>
      </c>
      <c r="F2580" s="28" t="s">
        <v>451</v>
      </c>
      <c r="G2580" s="19" t="n">
        <v>0.0761</v>
      </c>
    </row>
    <row r="2581" customFormat="false" ht="15" hidden="false" customHeight="false" outlineLevel="0" collapsed="false">
      <c r="A2581" s="28" t="s">
        <v>188</v>
      </c>
      <c r="B2581" s="28" t="s">
        <v>189</v>
      </c>
      <c r="C2581" s="28" t="s">
        <v>174</v>
      </c>
      <c r="D2581" s="23" t="n">
        <v>8</v>
      </c>
      <c r="E2581" s="23" t="n">
        <v>9</v>
      </c>
      <c r="F2581" s="28" t="s">
        <v>905</v>
      </c>
      <c r="G2581" s="19" t="n">
        <v>0.0787</v>
      </c>
    </row>
    <row r="2582" customFormat="false" ht="15" hidden="false" customHeight="false" outlineLevel="0" collapsed="false">
      <c r="A2582" s="28" t="s">
        <v>188</v>
      </c>
      <c r="B2582" s="28" t="s">
        <v>189</v>
      </c>
      <c r="C2582" s="28" t="s">
        <v>174</v>
      </c>
      <c r="D2582" s="23" t="n">
        <v>8</v>
      </c>
      <c r="E2582" s="23" t="n">
        <v>9</v>
      </c>
      <c r="F2582" s="28" t="s">
        <v>906</v>
      </c>
      <c r="G2582" s="19" t="n">
        <v>0.0801</v>
      </c>
    </row>
    <row r="2583" customFormat="false" ht="15" hidden="false" customHeight="false" outlineLevel="0" collapsed="false">
      <c r="A2583" s="28" t="s">
        <v>188</v>
      </c>
      <c r="B2583" s="28" t="s">
        <v>189</v>
      </c>
      <c r="C2583" s="28" t="s">
        <v>174</v>
      </c>
      <c r="D2583" s="23" t="n">
        <v>8</v>
      </c>
      <c r="E2583" s="23" t="n">
        <v>9</v>
      </c>
      <c r="F2583" s="28" t="s">
        <v>907</v>
      </c>
      <c r="G2583" s="19" t="n">
        <v>0.0798</v>
      </c>
    </row>
    <row r="2584" customFormat="false" ht="15" hidden="false" customHeight="false" outlineLevel="0" collapsed="false">
      <c r="A2584" s="28" t="s">
        <v>188</v>
      </c>
      <c r="B2584" s="28" t="s">
        <v>189</v>
      </c>
      <c r="C2584" s="28" t="s">
        <v>174</v>
      </c>
      <c r="D2584" s="23" t="n">
        <v>8</v>
      </c>
      <c r="E2584" s="23" t="n">
        <v>9</v>
      </c>
      <c r="F2584" s="28" t="s">
        <v>908</v>
      </c>
      <c r="G2584" s="19" t="n">
        <v>0.0814</v>
      </c>
    </row>
    <row r="2585" customFormat="false" ht="15" hidden="false" customHeight="false" outlineLevel="0" collapsed="false">
      <c r="A2585" s="28" t="s">
        <v>188</v>
      </c>
      <c r="B2585" s="28" t="s">
        <v>189</v>
      </c>
      <c r="C2585" s="28" t="s">
        <v>174</v>
      </c>
      <c r="D2585" s="23" t="n">
        <v>8</v>
      </c>
      <c r="E2585" s="23" t="n">
        <v>9</v>
      </c>
      <c r="F2585" s="28" t="s">
        <v>909</v>
      </c>
      <c r="G2585" s="19" t="n">
        <v>0.0815</v>
      </c>
    </row>
    <row r="2586" customFormat="false" ht="15" hidden="false" customHeight="false" outlineLevel="0" collapsed="false">
      <c r="A2586" s="28" t="s">
        <v>188</v>
      </c>
      <c r="B2586" s="28" t="s">
        <v>189</v>
      </c>
      <c r="C2586" s="28" t="s">
        <v>174</v>
      </c>
      <c r="D2586" s="23" t="n">
        <v>8</v>
      </c>
      <c r="E2586" s="23" t="n">
        <v>9</v>
      </c>
      <c r="F2586" s="28" t="s">
        <v>910</v>
      </c>
      <c r="G2586" s="19" t="n">
        <v>0.0819</v>
      </c>
    </row>
    <row r="2587" customFormat="false" ht="15" hidden="false" customHeight="false" outlineLevel="0" collapsed="false">
      <c r="A2587" s="28" t="s">
        <v>188</v>
      </c>
      <c r="B2587" s="28" t="s">
        <v>189</v>
      </c>
      <c r="C2587" s="28" t="s">
        <v>174</v>
      </c>
      <c r="D2587" s="23" t="n">
        <v>8</v>
      </c>
      <c r="E2587" s="23" t="n">
        <v>9</v>
      </c>
      <c r="F2587" s="28" t="s">
        <v>911</v>
      </c>
      <c r="G2587" s="19" t="n">
        <v>0.083</v>
      </c>
    </row>
    <row r="2588" customFormat="false" ht="15" hidden="false" customHeight="false" outlineLevel="0" collapsed="false">
      <c r="A2588" s="28" t="s">
        <v>188</v>
      </c>
      <c r="B2588" s="28" t="s">
        <v>189</v>
      </c>
      <c r="C2588" s="28" t="s">
        <v>174</v>
      </c>
      <c r="D2588" s="23" t="n">
        <v>8</v>
      </c>
      <c r="E2588" s="23" t="n">
        <v>9</v>
      </c>
      <c r="F2588" s="28" t="s">
        <v>912</v>
      </c>
      <c r="G2588" s="19" t="n">
        <v>0.0844</v>
      </c>
    </row>
    <row r="2589" customFormat="false" ht="15" hidden="false" customHeight="false" outlineLevel="0" collapsed="false">
      <c r="A2589" s="28" t="s">
        <v>188</v>
      </c>
      <c r="B2589" s="28" t="s">
        <v>189</v>
      </c>
      <c r="C2589" s="28" t="s">
        <v>174</v>
      </c>
      <c r="D2589" s="23" t="n">
        <v>8</v>
      </c>
      <c r="E2589" s="23" t="n">
        <v>9</v>
      </c>
      <c r="F2589" s="28" t="s">
        <v>913</v>
      </c>
      <c r="G2589" s="19" t="n">
        <v>0.0893</v>
      </c>
    </row>
    <row r="2590" customFormat="false" ht="15" hidden="false" customHeight="false" outlineLevel="0" collapsed="false">
      <c r="A2590" s="28" t="s">
        <v>188</v>
      </c>
      <c r="B2590" s="28" t="s">
        <v>189</v>
      </c>
      <c r="C2590" s="28" t="s">
        <v>174</v>
      </c>
      <c r="D2590" s="23" t="n">
        <v>8</v>
      </c>
      <c r="E2590" s="23" t="n">
        <v>9</v>
      </c>
      <c r="F2590" s="28" t="s">
        <v>914</v>
      </c>
      <c r="G2590" s="19" t="n">
        <v>0.0891</v>
      </c>
    </row>
    <row r="2591" customFormat="false" ht="15" hidden="false" customHeight="false" outlineLevel="0" collapsed="false">
      <c r="A2591" s="28" t="s">
        <v>188</v>
      </c>
      <c r="B2591" s="28" t="s">
        <v>189</v>
      </c>
      <c r="C2591" s="28" t="s">
        <v>174</v>
      </c>
      <c r="D2591" s="23" t="n">
        <v>8</v>
      </c>
      <c r="E2591" s="23" t="n">
        <v>9</v>
      </c>
      <c r="F2591" s="28" t="s">
        <v>915</v>
      </c>
      <c r="G2591" s="19" t="n">
        <v>0.1049</v>
      </c>
    </row>
    <row r="2592" customFormat="false" ht="15" hidden="false" customHeight="false" outlineLevel="0" collapsed="false">
      <c r="A2592" s="28" t="s">
        <v>188</v>
      </c>
      <c r="B2592" s="28" t="s">
        <v>189</v>
      </c>
      <c r="C2592" s="28" t="s">
        <v>174</v>
      </c>
      <c r="D2592" s="23" t="n">
        <v>8</v>
      </c>
      <c r="E2592" s="23" t="n">
        <v>10</v>
      </c>
      <c r="F2592" s="28" t="s">
        <v>904</v>
      </c>
      <c r="G2592" s="19" t="n">
        <v>0.0763</v>
      </c>
    </row>
    <row r="2593" customFormat="false" ht="15" hidden="false" customHeight="false" outlineLevel="0" collapsed="false">
      <c r="A2593" s="28" t="s">
        <v>188</v>
      </c>
      <c r="B2593" s="28" t="s">
        <v>189</v>
      </c>
      <c r="C2593" s="28" t="s">
        <v>174</v>
      </c>
      <c r="D2593" s="23" t="n">
        <v>8</v>
      </c>
      <c r="E2593" s="23" t="n">
        <v>10</v>
      </c>
      <c r="F2593" s="28" t="s">
        <v>551</v>
      </c>
      <c r="G2593" s="19" t="n">
        <v>0.1075</v>
      </c>
    </row>
    <row r="2594" customFormat="false" ht="15" hidden="false" customHeight="false" outlineLevel="0" collapsed="false">
      <c r="A2594" s="28" t="s">
        <v>188</v>
      </c>
      <c r="B2594" s="28" t="s">
        <v>189</v>
      </c>
      <c r="C2594" s="28" t="s">
        <v>174</v>
      </c>
      <c r="D2594" s="23" t="n">
        <v>8</v>
      </c>
      <c r="E2594" s="23" t="n">
        <v>10</v>
      </c>
      <c r="F2594" s="28" t="s">
        <v>451</v>
      </c>
      <c r="G2594" s="19" t="n">
        <v>0.0761</v>
      </c>
    </row>
    <row r="2595" customFormat="false" ht="15" hidden="false" customHeight="false" outlineLevel="0" collapsed="false">
      <c r="A2595" s="28" t="s">
        <v>188</v>
      </c>
      <c r="B2595" s="28" t="s">
        <v>189</v>
      </c>
      <c r="C2595" s="28" t="s">
        <v>174</v>
      </c>
      <c r="D2595" s="23" t="n">
        <v>8</v>
      </c>
      <c r="E2595" s="23" t="n">
        <v>10</v>
      </c>
      <c r="F2595" s="28" t="s">
        <v>905</v>
      </c>
      <c r="G2595" s="19" t="n">
        <v>0.0787</v>
      </c>
    </row>
    <row r="2596" customFormat="false" ht="15" hidden="false" customHeight="false" outlineLevel="0" collapsed="false">
      <c r="A2596" s="28" t="s">
        <v>188</v>
      </c>
      <c r="B2596" s="28" t="s">
        <v>189</v>
      </c>
      <c r="C2596" s="28" t="s">
        <v>174</v>
      </c>
      <c r="D2596" s="23" t="n">
        <v>8</v>
      </c>
      <c r="E2596" s="23" t="n">
        <v>10</v>
      </c>
      <c r="F2596" s="28" t="s">
        <v>906</v>
      </c>
      <c r="G2596" s="19" t="n">
        <v>0.0801</v>
      </c>
    </row>
    <row r="2597" customFormat="false" ht="15" hidden="false" customHeight="false" outlineLevel="0" collapsed="false">
      <c r="A2597" s="28" t="s">
        <v>188</v>
      </c>
      <c r="B2597" s="28" t="s">
        <v>189</v>
      </c>
      <c r="C2597" s="28" t="s">
        <v>174</v>
      </c>
      <c r="D2597" s="23" t="n">
        <v>8</v>
      </c>
      <c r="E2597" s="23" t="n">
        <v>10</v>
      </c>
      <c r="F2597" s="28" t="s">
        <v>907</v>
      </c>
      <c r="G2597" s="19" t="n">
        <v>0.0798</v>
      </c>
    </row>
    <row r="2598" customFormat="false" ht="15" hidden="false" customHeight="false" outlineLevel="0" collapsed="false">
      <c r="A2598" s="28" t="s">
        <v>188</v>
      </c>
      <c r="B2598" s="28" t="s">
        <v>189</v>
      </c>
      <c r="C2598" s="28" t="s">
        <v>174</v>
      </c>
      <c r="D2598" s="23" t="n">
        <v>8</v>
      </c>
      <c r="E2598" s="23" t="n">
        <v>10</v>
      </c>
      <c r="F2598" s="28" t="s">
        <v>908</v>
      </c>
      <c r="G2598" s="19" t="n">
        <v>0.0814</v>
      </c>
    </row>
    <row r="2599" customFormat="false" ht="15" hidden="false" customHeight="false" outlineLevel="0" collapsed="false">
      <c r="A2599" s="28" t="s">
        <v>188</v>
      </c>
      <c r="B2599" s="28" t="s">
        <v>189</v>
      </c>
      <c r="C2599" s="28" t="s">
        <v>174</v>
      </c>
      <c r="D2599" s="23" t="n">
        <v>8</v>
      </c>
      <c r="E2599" s="23" t="n">
        <v>10</v>
      </c>
      <c r="F2599" s="28" t="s">
        <v>909</v>
      </c>
      <c r="G2599" s="19" t="n">
        <v>0.0815</v>
      </c>
    </row>
    <row r="2600" customFormat="false" ht="15" hidden="false" customHeight="false" outlineLevel="0" collapsed="false">
      <c r="A2600" s="28" t="s">
        <v>188</v>
      </c>
      <c r="B2600" s="28" t="s">
        <v>189</v>
      </c>
      <c r="C2600" s="28" t="s">
        <v>174</v>
      </c>
      <c r="D2600" s="23" t="n">
        <v>8</v>
      </c>
      <c r="E2600" s="23" t="n">
        <v>10</v>
      </c>
      <c r="F2600" s="28" t="s">
        <v>910</v>
      </c>
      <c r="G2600" s="19" t="n">
        <v>0.0819</v>
      </c>
    </row>
    <row r="2601" customFormat="false" ht="15" hidden="false" customHeight="false" outlineLevel="0" collapsed="false">
      <c r="A2601" s="28" t="s">
        <v>188</v>
      </c>
      <c r="B2601" s="28" t="s">
        <v>189</v>
      </c>
      <c r="C2601" s="28" t="s">
        <v>174</v>
      </c>
      <c r="D2601" s="23" t="n">
        <v>8</v>
      </c>
      <c r="E2601" s="23" t="n">
        <v>10</v>
      </c>
      <c r="F2601" s="28" t="s">
        <v>911</v>
      </c>
      <c r="G2601" s="19" t="n">
        <v>0.083</v>
      </c>
    </row>
    <row r="2602" customFormat="false" ht="15" hidden="false" customHeight="false" outlineLevel="0" collapsed="false">
      <c r="A2602" s="28" t="s">
        <v>188</v>
      </c>
      <c r="B2602" s="28" t="s">
        <v>189</v>
      </c>
      <c r="C2602" s="28" t="s">
        <v>174</v>
      </c>
      <c r="D2602" s="23" t="n">
        <v>8</v>
      </c>
      <c r="E2602" s="23" t="n">
        <v>10</v>
      </c>
      <c r="F2602" s="28" t="s">
        <v>912</v>
      </c>
      <c r="G2602" s="19" t="n">
        <v>0.0844</v>
      </c>
    </row>
    <row r="2603" customFormat="false" ht="15" hidden="false" customHeight="false" outlineLevel="0" collapsed="false">
      <c r="A2603" s="28" t="s">
        <v>188</v>
      </c>
      <c r="B2603" s="28" t="s">
        <v>189</v>
      </c>
      <c r="C2603" s="28" t="s">
        <v>174</v>
      </c>
      <c r="D2603" s="23" t="n">
        <v>8</v>
      </c>
      <c r="E2603" s="23" t="n">
        <v>10</v>
      </c>
      <c r="F2603" s="28" t="s">
        <v>913</v>
      </c>
      <c r="G2603" s="19" t="n">
        <v>0.0893</v>
      </c>
    </row>
    <row r="2604" customFormat="false" ht="15" hidden="false" customHeight="false" outlineLevel="0" collapsed="false">
      <c r="A2604" s="28" t="s">
        <v>188</v>
      </c>
      <c r="B2604" s="28" t="s">
        <v>189</v>
      </c>
      <c r="C2604" s="28" t="s">
        <v>174</v>
      </c>
      <c r="D2604" s="23" t="n">
        <v>8</v>
      </c>
      <c r="E2604" s="23" t="n">
        <v>10</v>
      </c>
      <c r="F2604" s="28" t="s">
        <v>914</v>
      </c>
      <c r="G2604" s="19" t="n">
        <v>0.0891</v>
      </c>
    </row>
    <row r="2605" customFormat="false" ht="15" hidden="false" customHeight="false" outlineLevel="0" collapsed="false">
      <c r="A2605" s="28" t="s">
        <v>188</v>
      </c>
      <c r="B2605" s="28" t="s">
        <v>189</v>
      </c>
      <c r="C2605" s="28" t="s">
        <v>174</v>
      </c>
      <c r="D2605" s="23" t="n">
        <v>8</v>
      </c>
      <c r="E2605" s="23" t="n">
        <v>10</v>
      </c>
      <c r="F2605" s="28" t="s">
        <v>915</v>
      </c>
      <c r="G2605" s="19" t="n">
        <v>0.1049</v>
      </c>
    </row>
    <row r="2606" customFormat="false" ht="15" hidden="false" customHeight="false" outlineLevel="0" collapsed="false">
      <c r="A2606" s="28" t="s">
        <v>188</v>
      </c>
      <c r="B2606" s="28" t="s">
        <v>189</v>
      </c>
      <c r="C2606" s="28" t="s">
        <v>174</v>
      </c>
      <c r="D2606" s="23" t="n">
        <v>8</v>
      </c>
      <c r="E2606" s="23" t="n">
        <v>11</v>
      </c>
      <c r="F2606" s="28" t="s">
        <v>904</v>
      </c>
      <c r="G2606" s="19" t="n">
        <v>0.0763</v>
      </c>
    </row>
    <row r="2607" customFormat="false" ht="15" hidden="false" customHeight="false" outlineLevel="0" collapsed="false">
      <c r="A2607" s="28" t="s">
        <v>188</v>
      </c>
      <c r="B2607" s="28" t="s">
        <v>189</v>
      </c>
      <c r="C2607" s="28" t="s">
        <v>174</v>
      </c>
      <c r="D2607" s="23" t="n">
        <v>8</v>
      </c>
      <c r="E2607" s="23" t="n">
        <v>11</v>
      </c>
      <c r="F2607" s="28" t="s">
        <v>551</v>
      </c>
      <c r="G2607" s="19" t="n">
        <v>0.1075</v>
      </c>
    </row>
    <row r="2608" customFormat="false" ht="15" hidden="false" customHeight="false" outlineLevel="0" collapsed="false">
      <c r="A2608" s="28" t="s">
        <v>188</v>
      </c>
      <c r="B2608" s="28" t="s">
        <v>189</v>
      </c>
      <c r="C2608" s="28" t="s">
        <v>174</v>
      </c>
      <c r="D2608" s="23" t="n">
        <v>8</v>
      </c>
      <c r="E2608" s="23" t="n">
        <v>11</v>
      </c>
      <c r="F2608" s="28" t="s">
        <v>451</v>
      </c>
      <c r="G2608" s="19" t="n">
        <v>0.0761</v>
      </c>
    </row>
    <row r="2609" customFormat="false" ht="15" hidden="false" customHeight="false" outlineLevel="0" collapsed="false">
      <c r="A2609" s="28" t="s">
        <v>188</v>
      </c>
      <c r="B2609" s="28" t="s">
        <v>189</v>
      </c>
      <c r="C2609" s="28" t="s">
        <v>174</v>
      </c>
      <c r="D2609" s="23" t="n">
        <v>8</v>
      </c>
      <c r="E2609" s="23" t="n">
        <v>11</v>
      </c>
      <c r="F2609" s="28" t="s">
        <v>905</v>
      </c>
      <c r="G2609" s="19" t="n">
        <v>0.0787</v>
      </c>
    </row>
    <row r="2610" customFormat="false" ht="15" hidden="false" customHeight="false" outlineLevel="0" collapsed="false">
      <c r="A2610" s="28" t="s">
        <v>188</v>
      </c>
      <c r="B2610" s="28" t="s">
        <v>189</v>
      </c>
      <c r="C2610" s="28" t="s">
        <v>174</v>
      </c>
      <c r="D2610" s="23" t="n">
        <v>8</v>
      </c>
      <c r="E2610" s="23" t="n">
        <v>11</v>
      </c>
      <c r="F2610" s="28" t="s">
        <v>906</v>
      </c>
      <c r="G2610" s="19" t="n">
        <v>0.0801</v>
      </c>
    </row>
    <row r="2611" customFormat="false" ht="15" hidden="false" customHeight="false" outlineLevel="0" collapsed="false">
      <c r="A2611" s="28" t="s">
        <v>188</v>
      </c>
      <c r="B2611" s="28" t="s">
        <v>189</v>
      </c>
      <c r="C2611" s="28" t="s">
        <v>174</v>
      </c>
      <c r="D2611" s="23" t="n">
        <v>8</v>
      </c>
      <c r="E2611" s="23" t="n">
        <v>11</v>
      </c>
      <c r="F2611" s="28" t="s">
        <v>907</v>
      </c>
      <c r="G2611" s="19" t="n">
        <v>0.0798</v>
      </c>
    </row>
    <row r="2612" customFormat="false" ht="15" hidden="false" customHeight="false" outlineLevel="0" collapsed="false">
      <c r="A2612" s="28" t="s">
        <v>188</v>
      </c>
      <c r="B2612" s="28" t="s">
        <v>189</v>
      </c>
      <c r="C2612" s="28" t="s">
        <v>174</v>
      </c>
      <c r="D2612" s="23" t="n">
        <v>8</v>
      </c>
      <c r="E2612" s="23" t="n">
        <v>11</v>
      </c>
      <c r="F2612" s="28" t="s">
        <v>908</v>
      </c>
      <c r="G2612" s="19" t="n">
        <v>0.0814</v>
      </c>
    </row>
    <row r="2613" customFormat="false" ht="15" hidden="false" customHeight="false" outlineLevel="0" collapsed="false">
      <c r="A2613" s="28" t="s">
        <v>188</v>
      </c>
      <c r="B2613" s="28" t="s">
        <v>189</v>
      </c>
      <c r="C2613" s="28" t="s">
        <v>174</v>
      </c>
      <c r="D2613" s="23" t="n">
        <v>8</v>
      </c>
      <c r="E2613" s="23" t="n">
        <v>11</v>
      </c>
      <c r="F2613" s="28" t="s">
        <v>909</v>
      </c>
      <c r="G2613" s="19" t="n">
        <v>0.0815</v>
      </c>
    </row>
    <row r="2614" customFormat="false" ht="15" hidden="false" customHeight="false" outlineLevel="0" collapsed="false">
      <c r="A2614" s="28" t="s">
        <v>188</v>
      </c>
      <c r="B2614" s="28" t="s">
        <v>189</v>
      </c>
      <c r="C2614" s="28" t="s">
        <v>174</v>
      </c>
      <c r="D2614" s="23" t="n">
        <v>8</v>
      </c>
      <c r="E2614" s="23" t="n">
        <v>11</v>
      </c>
      <c r="F2614" s="28" t="s">
        <v>910</v>
      </c>
      <c r="G2614" s="19" t="n">
        <v>0.0819</v>
      </c>
    </row>
    <row r="2615" customFormat="false" ht="15" hidden="false" customHeight="false" outlineLevel="0" collapsed="false">
      <c r="A2615" s="28" t="s">
        <v>188</v>
      </c>
      <c r="B2615" s="28" t="s">
        <v>189</v>
      </c>
      <c r="C2615" s="28" t="s">
        <v>174</v>
      </c>
      <c r="D2615" s="23" t="n">
        <v>8</v>
      </c>
      <c r="E2615" s="23" t="n">
        <v>11</v>
      </c>
      <c r="F2615" s="28" t="s">
        <v>911</v>
      </c>
      <c r="G2615" s="19" t="n">
        <v>0.083</v>
      </c>
    </row>
    <row r="2616" customFormat="false" ht="15" hidden="false" customHeight="false" outlineLevel="0" collapsed="false">
      <c r="A2616" s="28" t="s">
        <v>188</v>
      </c>
      <c r="B2616" s="28" t="s">
        <v>189</v>
      </c>
      <c r="C2616" s="28" t="s">
        <v>174</v>
      </c>
      <c r="D2616" s="23" t="n">
        <v>8</v>
      </c>
      <c r="E2616" s="23" t="n">
        <v>11</v>
      </c>
      <c r="F2616" s="28" t="s">
        <v>912</v>
      </c>
      <c r="G2616" s="19" t="n">
        <v>0.0844</v>
      </c>
    </row>
    <row r="2617" customFormat="false" ht="15" hidden="false" customHeight="false" outlineLevel="0" collapsed="false">
      <c r="A2617" s="28" t="s">
        <v>188</v>
      </c>
      <c r="B2617" s="28" t="s">
        <v>189</v>
      </c>
      <c r="C2617" s="28" t="s">
        <v>174</v>
      </c>
      <c r="D2617" s="23" t="n">
        <v>8</v>
      </c>
      <c r="E2617" s="23" t="n">
        <v>11</v>
      </c>
      <c r="F2617" s="28" t="s">
        <v>913</v>
      </c>
      <c r="G2617" s="19" t="n">
        <v>0.0893</v>
      </c>
    </row>
    <row r="2618" customFormat="false" ht="15" hidden="false" customHeight="false" outlineLevel="0" collapsed="false">
      <c r="A2618" s="28" t="s">
        <v>188</v>
      </c>
      <c r="B2618" s="28" t="s">
        <v>189</v>
      </c>
      <c r="C2618" s="28" t="s">
        <v>174</v>
      </c>
      <c r="D2618" s="23" t="n">
        <v>8</v>
      </c>
      <c r="E2618" s="23" t="n">
        <v>11</v>
      </c>
      <c r="F2618" s="28" t="s">
        <v>914</v>
      </c>
      <c r="G2618" s="19" t="n">
        <v>0.0891</v>
      </c>
    </row>
    <row r="2619" customFormat="false" ht="15" hidden="false" customHeight="false" outlineLevel="0" collapsed="false">
      <c r="A2619" s="28" t="s">
        <v>188</v>
      </c>
      <c r="B2619" s="28" t="s">
        <v>189</v>
      </c>
      <c r="C2619" s="28" t="s">
        <v>174</v>
      </c>
      <c r="D2619" s="23" t="n">
        <v>8</v>
      </c>
      <c r="E2619" s="23" t="n">
        <v>11</v>
      </c>
      <c r="F2619" s="28" t="s">
        <v>915</v>
      </c>
      <c r="G2619" s="19" t="n">
        <v>0.1049</v>
      </c>
    </row>
    <row r="2620" customFormat="false" ht="15" hidden="false" customHeight="false" outlineLevel="0" collapsed="false">
      <c r="A2620" s="28" t="s">
        <v>188</v>
      </c>
      <c r="B2620" s="28" t="s">
        <v>189</v>
      </c>
      <c r="C2620" s="28" t="s">
        <v>174</v>
      </c>
      <c r="D2620" s="23" t="n">
        <v>8</v>
      </c>
      <c r="E2620" s="23" t="n">
        <v>12</v>
      </c>
      <c r="F2620" s="28" t="s">
        <v>904</v>
      </c>
      <c r="G2620" s="19" t="n">
        <v>0.0763</v>
      </c>
    </row>
    <row r="2621" customFormat="false" ht="15" hidden="false" customHeight="false" outlineLevel="0" collapsed="false">
      <c r="A2621" s="28" t="s">
        <v>188</v>
      </c>
      <c r="B2621" s="28" t="s">
        <v>189</v>
      </c>
      <c r="C2621" s="28" t="s">
        <v>174</v>
      </c>
      <c r="D2621" s="23" t="n">
        <v>8</v>
      </c>
      <c r="E2621" s="23" t="n">
        <v>12</v>
      </c>
      <c r="F2621" s="28" t="s">
        <v>551</v>
      </c>
      <c r="G2621" s="19" t="n">
        <v>0.1075</v>
      </c>
    </row>
    <row r="2622" customFormat="false" ht="15" hidden="false" customHeight="false" outlineLevel="0" collapsed="false">
      <c r="A2622" s="28" t="s">
        <v>188</v>
      </c>
      <c r="B2622" s="28" t="s">
        <v>189</v>
      </c>
      <c r="C2622" s="28" t="s">
        <v>174</v>
      </c>
      <c r="D2622" s="23" t="n">
        <v>8</v>
      </c>
      <c r="E2622" s="23" t="n">
        <v>12</v>
      </c>
      <c r="F2622" s="28" t="s">
        <v>451</v>
      </c>
      <c r="G2622" s="19" t="n">
        <v>0.0761</v>
      </c>
    </row>
    <row r="2623" customFormat="false" ht="15" hidden="false" customHeight="false" outlineLevel="0" collapsed="false">
      <c r="A2623" s="28" t="s">
        <v>188</v>
      </c>
      <c r="B2623" s="28" t="s">
        <v>189</v>
      </c>
      <c r="C2623" s="28" t="s">
        <v>174</v>
      </c>
      <c r="D2623" s="23" t="n">
        <v>8</v>
      </c>
      <c r="E2623" s="23" t="n">
        <v>12</v>
      </c>
      <c r="F2623" s="28" t="s">
        <v>905</v>
      </c>
      <c r="G2623" s="19" t="n">
        <v>0.0787</v>
      </c>
    </row>
    <row r="2624" customFormat="false" ht="15" hidden="false" customHeight="false" outlineLevel="0" collapsed="false">
      <c r="A2624" s="28" t="s">
        <v>188</v>
      </c>
      <c r="B2624" s="28" t="s">
        <v>189</v>
      </c>
      <c r="C2624" s="28" t="s">
        <v>174</v>
      </c>
      <c r="D2624" s="23" t="n">
        <v>8</v>
      </c>
      <c r="E2624" s="23" t="n">
        <v>12</v>
      </c>
      <c r="F2624" s="28" t="s">
        <v>906</v>
      </c>
      <c r="G2624" s="19" t="n">
        <v>0.0801</v>
      </c>
    </row>
    <row r="2625" customFormat="false" ht="15" hidden="false" customHeight="false" outlineLevel="0" collapsed="false">
      <c r="A2625" s="28" t="s">
        <v>188</v>
      </c>
      <c r="B2625" s="28" t="s">
        <v>189</v>
      </c>
      <c r="C2625" s="28" t="s">
        <v>174</v>
      </c>
      <c r="D2625" s="23" t="n">
        <v>8</v>
      </c>
      <c r="E2625" s="23" t="n">
        <v>12</v>
      </c>
      <c r="F2625" s="28" t="s">
        <v>907</v>
      </c>
      <c r="G2625" s="19" t="n">
        <v>0.0798</v>
      </c>
    </row>
    <row r="2626" customFormat="false" ht="15" hidden="false" customHeight="false" outlineLevel="0" collapsed="false">
      <c r="A2626" s="28" t="s">
        <v>188</v>
      </c>
      <c r="B2626" s="28" t="s">
        <v>189</v>
      </c>
      <c r="C2626" s="28" t="s">
        <v>174</v>
      </c>
      <c r="D2626" s="23" t="n">
        <v>8</v>
      </c>
      <c r="E2626" s="23" t="n">
        <v>12</v>
      </c>
      <c r="F2626" s="28" t="s">
        <v>908</v>
      </c>
      <c r="G2626" s="19" t="n">
        <v>0.0814</v>
      </c>
    </row>
    <row r="2627" customFormat="false" ht="15" hidden="false" customHeight="false" outlineLevel="0" collapsed="false">
      <c r="A2627" s="28" t="s">
        <v>188</v>
      </c>
      <c r="B2627" s="28" t="s">
        <v>189</v>
      </c>
      <c r="C2627" s="28" t="s">
        <v>174</v>
      </c>
      <c r="D2627" s="23" t="n">
        <v>8</v>
      </c>
      <c r="E2627" s="23" t="n">
        <v>12</v>
      </c>
      <c r="F2627" s="28" t="s">
        <v>909</v>
      </c>
      <c r="G2627" s="19" t="n">
        <v>0.0815</v>
      </c>
    </row>
    <row r="2628" customFormat="false" ht="15" hidden="false" customHeight="false" outlineLevel="0" collapsed="false">
      <c r="A2628" s="28" t="s">
        <v>188</v>
      </c>
      <c r="B2628" s="28" t="s">
        <v>189</v>
      </c>
      <c r="C2628" s="28" t="s">
        <v>174</v>
      </c>
      <c r="D2628" s="23" t="n">
        <v>8</v>
      </c>
      <c r="E2628" s="23" t="n">
        <v>12</v>
      </c>
      <c r="F2628" s="28" t="s">
        <v>910</v>
      </c>
      <c r="G2628" s="19" t="n">
        <v>0.0819</v>
      </c>
    </row>
    <row r="2629" customFormat="false" ht="15" hidden="false" customHeight="false" outlineLevel="0" collapsed="false">
      <c r="A2629" s="28" t="s">
        <v>188</v>
      </c>
      <c r="B2629" s="28" t="s">
        <v>189</v>
      </c>
      <c r="C2629" s="28" t="s">
        <v>174</v>
      </c>
      <c r="D2629" s="23" t="n">
        <v>8</v>
      </c>
      <c r="E2629" s="23" t="n">
        <v>12</v>
      </c>
      <c r="F2629" s="28" t="s">
        <v>911</v>
      </c>
      <c r="G2629" s="19" t="n">
        <v>0.083</v>
      </c>
    </row>
    <row r="2630" customFormat="false" ht="15" hidden="false" customHeight="false" outlineLevel="0" collapsed="false">
      <c r="A2630" s="28" t="s">
        <v>188</v>
      </c>
      <c r="B2630" s="28" t="s">
        <v>189</v>
      </c>
      <c r="C2630" s="28" t="s">
        <v>174</v>
      </c>
      <c r="D2630" s="23" t="n">
        <v>8</v>
      </c>
      <c r="E2630" s="23" t="n">
        <v>12</v>
      </c>
      <c r="F2630" s="28" t="s">
        <v>912</v>
      </c>
      <c r="G2630" s="19" t="n">
        <v>0.0844</v>
      </c>
    </row>
    <row r="2631" customFormat="false" ht="15" hidden="false" customHeight="false" outlineLevel="0" collapsed="false">
      <c r="A2631" s="28" t="s">
        <v>188</v>
      </c>
      <c r="B2631" s="28" t="s">
        <v>189</v>
      </c>
      <c r="C2631" s="28" t="s">
        <v>174</v>
      </c>
      <c r="D2631" s="23" t="n">
        <v>8</v>
      </c>
      <c r="E2631" s="23" t="n">
        <v>12</v>
      </c>
      <c r="F2631" s="28" t="s">
        <v>913</v>
      </c>
      <c r="G2631" s="19" t="n">
        <v>0.0893</v>
      </c>
    </row>
    <row r="2632" customFormat="false" ht="15" hidden="false" customHeight="false" outlineLevel="0" collapsed="false">
      <c r="A2632" s="28" t="s">
        <v>188</v>
      </c>
      <c r="B2632" s="28" t="s">
        <v>189</v>
      </c>
      <c r="C2632" s="28" t="s">
        <v>174</v>
      </c>
      <c r="D2632" s="23" t="n">
        <v>8</v>
      </c>
      <c r="E2632" s="23" t="n">
        <v>12</v>
      </c>
      <c r="F2632" s="28" t="s">
        <v>914</v>
      </c>
      <c r="G2632" s="19" t="n">
        <v>0.0891</v>
      </c>
    </row>
    <row r="2633" customFormat="false" ht="15" hidden="false" customHeight="false" outlineLevel="0" collapsed="false">
      <c r="A2633" s="28" t="s">
        <v>188</v>
      </c>
      <c r="B2633" s="28" t="s">
        <v>189</v>
      </c>
      <c r="C2633" s="28" t="s">
        <v>174</v>
      </c>
      <c r="D2633" s="23" t="n">
        <v>8</v>
      </c>
      <c r="E2633" s="23" t="n">
        <v>12</v>
      </c>
      <c r="F2633" s="28" t="s">
        <v>915</v>
      </c>
      <c r="G2633" s="19" t="n">
        <v>0.1049</v>
      </c>
    </row>
    <row r="2634" customFormat="false" ht="15" hidden="false" customHeight="false" outlineLevel="0" collapsed="false">
      <c r="A2634" s="28" t="s">
        <v>188</v>
      </c>
      <c r="B2634" s="28" t="s">
        <v>189</v>
      </c>
      <c r="C2634" s="28" t="s">
        <v>174</v>
      </c>
      <c r="D2634" s="23" t="n">
        <v>8</v>
      </c>
      <c r="E2634" s="23" t="n">
        <v>13</v>
      </c>
      <c r="F2634" s="28" t="s">
        <v>904</v>
      </c>
      <c r="G2634" s="19" t="n">
        <v>0.0763</v>
      </c>
    </row>
    <row r="2635" customFormat="false" ht="15" hidden="false" customHeight="false" outlineLevel="0" collapsed="false">
      <c r="A2635" s="28" t="s">
        <v>188</v>
      </c>
      <c r="B2635" s="28" t="s">
        <v>189</v>
      </c>
      <c r="C2635" s="28" t="s">
        <v>174</v>
      </c>
      <c r="D2635" s="23" t="n">
        <v>8</v>
      </c>
      <c r="E2635" s="23" t="n">
        <v>13</v>
      </c>
      <c r="F2635" s="28" t="s">
        <v>551</v>
      </c>
      <c r="G2635" s="19" t="n">
        <v>0.1075</v>
      </c>
    </row>
    <row r="2636" customFormat="false" ht="15" hidden="false" customHeight="false" outlineLevel="0" collapsed="false">
      <c r="A2636" s="28" t="s">
        <v>188</v>
      </c>
      <c r="B2636" s="28" t="s">
        <v>189</v>
      </c>
      <c r="C2636" s="28" t="s">
        <v>174</v>
      </c>
      <c r="D2636" s="23" t="n">
        <v>8</v>
      </c>
      <c r="E2636" s="23" t="n">
        <v>13</v>
      </c>
      <c r="F2636" s="28" t="s">
        <v>451</v>
      </c>
      <c r="G2636" s="19" t="n">
        <v>0.0761</v>
      </c>
    </row>
    <row r="2637" customFormat="false" ht="15" hidden="false" customHeight="false" outlineLevel="0" collapsed="false">
      <c r="A2637" s="28" t="s">
        <v>188</v>
      </c>
      <c r="B2637" s="28" t="s">
        <v>189</v>
      </c>
      <c r="C2637" s="28" t="s">
        <v>174</v>
      </c>
      <c r="D2637" s="23" t="n">
        <v>8</v>
      </c>
      <c r="E2637" s="23" t="n">
        <v>13</v>
      </c>
      <c r="F2637" s="28" t="s">
        <v>905</v>
      </c>
      <c r="G2637" s="19" t="n">
        <v>0.0787</v>
      </c>
    </row>
    <row r="2638" customFormat="false" ht="15" hidden="false" customHeight="false" outlineLevel="0" collapsed="false">
      <c r="A2638" s="28" t="s">
        <v>188</v>
      </c>
      <c r="B2638" s="28" t="s">
        <v>189</v>
      </c>
      <c r="C2638" s="28" t="s">
        <v>174</v>
      </c>
      <c r="D2638" s="23" t="n">
        <v>8</v>
      </c>
      <c r="E2638" s="23" t="n">
        <v>13</v>
      </c>
      <c r="F2638" s="28" t="s">
        <v>906</v>
      </c>
      <c r="G2638" s="19" t="n">
        <v>0.0801</v>
      </c>
    </row>
    <row r="2639" customFormat="false" ht="15" hidden="false" customHeight="false" outlineLevel="0" collapsed="false">
      <c r="A2639" s="28" t="s">
        <v>188</v>
      </c>
      <c r="B2639" s="28" t="s">
        <v>189</v>
      </c>
      <c r="C2639" s="28" t="s">
        <v>174</v>
      </c>
      <c r="D2639" s="23" t="n">
        <v>8</v>
      </c>
      <c r="E2639" s="23" t="n">
        <v>13</v>
      </c>
      <c r="F2639" s="28" t="s">
        <v>907</v>
      </c>
      <c r="G2639" s="19" t="n">
        <v>0.0798</v>
      </c>
    </row>
    <row r="2640" customFormat="false" ht="15" hidden="false" customHeight="false" outlineLevel="0" collapsed="false">
      <c r="A2640" s="28" t="s">
        <v>188</v>
      </c>
      <c r="B2640" s="28" t="s">
        <v>189</v>
      </c>
      <c r="C2640" s="28" t="s">
        <v>174</v>
      </c>
      <c r="D2640" s="23" t="n">
        <v>8</v>
      </c>
      <c r="E2640" s="23" t="n">
        <v>13</v>
      </c>
      <c r="F2640" s="28" t="s">
        <v>908</v>
      </c>
      <c r="G2640" s="19" t="n">
        <v>0.0814</v>
      </c>
    </row>
    <row r="2641" customFormat="false" ht="15" hidden="false" customHeight="false" outlineLevel="0" collapsed="false">
      <c r="A2641" s="28" t="s">
        <v>188</v>
      </c>
      <c r="B2641" s="28" t="s">
        <v>189</v>
      </c>
      <c r="C2641" s="28" t="s">
        <v>174</v>
      </c>
      <c r="D2641" s="23" t="n">
        <v>8</v>
      </c>
      <c r="E2641" s="23" t="n">
        <v>13</v>
      </c>
      <c r="F2641" s="28" t="s">
        <v>909</v>
      </c>
      <c r="G2641" s="19" t="n">
        <v>0.0815</v>
      </c>
    </row>
    <row r="2642" customFormat="false" ht="15" hidden="false" customHeight="false" outlineLevel="0" collapsed="false">
      <c r="A2642" s="28" t="s">
        <v>188</v>
      </c>
      <c r="B2642" s="28" t="s">
        <v>189</v>
      </c>
      <c r="C2642" s="28" t="s">
        <v>174</v>
      </c>
      <c r="D2642" s="23" t="n">
        <v>8</v>
      </c>
      <c r="E2642" s="23" t="n">
        <v>13</v>
      </c>
      <c r="F2642" s="28" t="s">
        <v>910</v>
      </c>
      <c r="G2642" s="19" t="n">
        <v>0.0819</v>
      </c>
    </row>
    <row r="2643" customFormat="false" ht="15" hidden="false" customHeight="false" outlineLevel="0" collapsed="false">
      <c r="A2643" s="28" t="s">
        <v>188</v>
      </c>
      <c r="B2643" s="28" t="s">
        <v>189</v>
      </c>
      <c r="C2643" s="28" t="s">
        <v>174</v>
      </c>
      <c r="D2643" s="23" t="n">
        <v>8</v>
      </c>
      <c r="E2643" s="23" t="n">
        <v>13</v>
      </c>
      <c r="F2643" s="28" t="s">
        <v>911</v>
      </c>
      <c r="G2643" s="19" t="n">
        <v>0.083</v>
      </c>
    </row>
    <row r="2644" customFormat="false" ht="15" hidden="false" customHeight="false" outlineLevel="0" collapsed="false">
      <c r="A2644" s="28" t="s">
        <v>188</v>
      </c>
      <c r="B2644" s="28" t="s">
        <v>189</v>
      </c>
      <c r="C2644" s="28" t="s">
        <v>174</v>
      </c>
      <c r="D2644" s="23" t="n">
        <v>8</v>
      </c>
      <c r="E2644" s="23" t="n">
        <v>13</v>
      </c>
      <c r="F2644" s="28" t="s">
        <v>912</v>
      </c>
      <c r="G2644" s="19" t="n">
        <v>0.0844</v>
      </c>
    </row>
    <row r="2645" customFormat="false" ht="15" hidden="false" customHeight="false" outlineLevel="0" collapsed="false">
      <c r="A2645" s="28" t="s">
        <v>188</v>
      </c>
      <c r="B2645" s="28" t="s">
        <v>189</v>
      </c>
      <c r="C2645" s="28" t="s">
        <v>174</v>
      </c>
      <c r="D2645" s="23" t="n">
        <v>8</v>
      </c>
      <c r="E2645" s="23" t="n">
        <v>13</v>
      </c>
      <c r="F2645" s="28" t="s">
        <v>913</v>
      </c>
      <c r="G2645" s="19" t="n">
        <v>0.0893</v>
      </c>
    </row>
    <row r="2646" customFormat="false" ht="15" hidden="false" customHeight="false" outlineLevel="0" collapsed="false">
      <c r="A2646" s="28" t="s">
        <v>188</v>
      </c>
      <c r="B2646" s="28" t="s">
        <v>189</v>
      </c>
      <c r="C2646" s="28" t="s">
        <v>174</v>
      </c>
      <c r="D2646" s="23" t="n">
        <v>8</v>
      </c>
      <c r="E2646" s="23" t="n">
        <v>13</v>
      </c>
      <c r="F2646" s="28" t="s">
        <v>914</v>
      </c>
      <c r="G2646" s="19" t="n">
        <v>0.0891</v>
      </c>
    </row>
    <row r="2647" customFormat="false" ht="15" hidden="false" customHeight="false" outlineLevel="0" collapsed="false">
      <c r="A2647" s="28" t="s">
        <v>188</v>
      </c>
      <c r="B2647" s="28" t="s">
        <v>189</v>
      </c>
      <c r="C2647" s="28" t="s">
        <v>174</v>
      </c>
      <c r="D2647" s="23" t="n">
        <v>8</v>
      </c>
      <c r="E2647" s="23" t="n">
        <v>13</v>
      </c>
      <c r="F2647" s="28" t="s">
        <v>915</v>
      </c>
      <c r="G2647" s="19" t="n">
        <v>0.1049</v>
      </c>
    </row>
    <row r="2648" customFormat="false" ht="15" hidden="false" customHeight="false" outlineLevel="0" collapsed="false">
      <c r="A2648" s="28" t="s">
        <v>188</v>
      </c>
      <c r="B2648" s="28" t="s">
        <v>189</v>
      </c>
      <c r="C2648" s="28" t="s">
        <v>174</v>
      </c>
      <c r="D2648" s="23" t="n">
        <v>8</v>
      </c>
      <c r="E2648" s="23" t="n">
        <v>14</v>
      </c>
      <c r="F2648" s="28" t="s">
        <v>904</v>
      </c>
      <c r="G2648" s="19" t="n">
        <v>0.0763</v>
      </c>
    </row>
    <row r="2649" customFormat="false" ht="15" hidden="false" customHeight="false" outlineLevel="0" collapsed="false">
      <c r="A2649" s="28" t="s">
        <v>188</v>
      </c>
      <c r="B2649" s="28" t="s">
        <v>189</v>
      </c>
      <c r="C2649" s="28" t="s">
        <v>174</v>
      </c>
      <c r="D2649" s="23" t="n">
        <v>8</v>
      </c>
      <c r="E2649" s="23" t="n">
        <v>14</v>
      </c>
      <c r="F2649" s="28" t="s">
        <v>551</v>
      </c>
      <c r="G2649" s="19" t="n">
        <v>0.1075</v>
      </c>
    </row>
    <row r="2650" customFormat="false" ht="15" hidden="false" customHeight="false" outlineLevel="0" collapsed="false">
      <c r="A2650" s="28" t="s">
        <v>188</v>
      </c>
      <c r="B2650" s="28" t="s">
        <v>189</v>
      </c>
      <c r="C2650" s="28" t="s">
        <v>174</v>
      </c>
      <c r="D2650" s="23" t="n">
        <v>8</v>
      </c>
      <c r="E2650" s="23" t="n">
        <v>14</v>
      </c>
      <c r="F2650" s="28" t="s">
        <v>451</v>
      </c>
      <c r="G2650" s="19" t="n">
        <v>0.0761</v>
      </c>
    </row>
    <row r="2651" customFormat="false" ht="15" hidden="false" customHeight="false" outlineLevel="0" collapsed="false">
      <c r="A2651" s="28" t="s">
        <v>188</v>
      </c>
      <c r="B2651" s="28" t="s">
        <v>189</v>
      </c>
      <c r="C2651" s="28" t="s">
        <v>174</v>
      </c>
      <c r="D2651" s="23" t="n">
        <v>8</v>
      </c>
      <c r="E2651" s="23" t="n">
        <v>14</v>
      </c>
      <c r="F2651" s="28" t="s">
        <v>905</v>
      </c>
      <c r="G2651" s="19" t="n">
        <v>0.0787</v>
      </c>
    </row>
    <row r="2652" customFormat="false" ht="15" hidden="false" customHeight="false" outlineLevel="0" collapsed="false">
      <c r="A2652" s="28" t="s">
        <v>188</v>
      </c>
      <c r="B2652" s="28" t="s">
        <v>189</v>
      </c>
      <c r="C2652" s="28" t="s">
        <v>174</v>
      </c>
      <c r="D2652" s="23" t="n">
        <v>8</v>
      </c>
      <c r="E2652" s="23" t="n">
        <v>14</v>
      </c>
      <c r="F2652" s="28" t="s">
        <v>906</v>
      </c>
      <c r="G2652" s="19" t="n">
        <v>0.0801</v>
      </c>
    </row>
    <row r="2653" customFormat="false" ht="15" hidden="false" customHeight="false" outlineLevel="0" collapsed="false">
      <c r="A2653" s="28" t="s">
        <v>188</v>
      </c>
      <c r="B2653" s="28" t="s">
        <v>189</v>
      </c>
      <c r="C2653" s="28" t="s">
        <v>174</v>
      </c>
      <c r="D2653" s="23" t="n">
        <v>8</v>
      </c>
      <c r="E2653" s="23" t="n">
        <v>14</v>
      </c>
      <c r="F2653" s="28" t="s">
        <v>907</v>
      </c>
      <c r="G2653" s="19" t="n">
        <v>0.0798</v>
      </c>
    </row>
    <row r="2654" customFormat="false" ht="15" hidden="false" customHeight="false" outlineLevel="0" collapsed="false">
      <c r="A2654" s="28" t="s">
        <v>188</v>
      </c>
      <c r="B2654" s="28" t="s">
        <v>189</v>
      </c>
      <c r="C2654" s="28" t="s">
        <v>174</v>
      </c>
      <c r="D2654" s="23" t="n">
        <v>8</v>
      </c>
      <c r="E2654" s="23" t="n">
        <v>14</v>
      </c>
      <c r="F2654" s="28" t="s">
        <v>908</v>
      </c>
      <c r="G2654" s="19" t="n">
        <v>0.0814</v>
      </c>
    </row>
    <row r="2655" customFormat="false" ht="15" hidden="false" customHeight="false" outlineLevel="0" collapsed="false">
      <c r="A2655" s="28" t="s">
        <v>188</v>
      </c>
      <c r="B2655" s="28" t="s">
        <v>189</v>
      </c>
      <c r="C2655" s="28" t="s">
        <v>174</v>
      </c>
      <c r="D2655" s="23" t="n">
        <v>8</v>
      </c>
      <c r="E2655" s="23" t="n">
        <v>14</v>
      </c>
      <c r="F2655" s="28" t="s">
        <v>909</v>
      </c>
      <c r="G2655" s="19" t="n">
        <v>0.0815</v>
      </c>
    </row>
    <row r="2656" customFormat="false" ht="15" hidden="false" customHeight="false" outlineLevel="0" collapsed="false">
      <c r="A2656" s="28" t="s">
        <v>188</v>
      </c>
      <c r="B2656" s="28" t="s">
        <v>189</v>
      </c>
      <c r="C2656" s="28" t="s">
        <v>174</v>
      </c>
      <c r="D2656" s="23" t="n">
        <v>8</v>
      </c>
      <c r="E2656" s="23" t="n">
        <v>14</v>
      </c>
      <c r="F2656" s="28" t="s">
        <v>910</v>
      </c>
      <c r="G2656" s="19" t="n">
        <v>0.0819</v>
      </c>
    </row>
    <row r="2657" customFormat="false" ht="15" hidden="false" customHeight="false" outlineLevel="0" collapsed="false">
      <c r="A2657" s="28" t="s">
        <v>188</v>
      </c>
      <c r="B2657" s="28" t="s">
        <v>189</v>
      </c>
      <c r="C2657" s="28" t="s">
        <v>174</v>
      </c>
      <c r="D2657" s="23" t="n">
        <v>8</v>
      </c>
      <c r="E2657" s="23" t="n">
        <v>14</v>
      </c>
      <c r="F2657" s="28" t="s">
        <v>911</v>
      </c>
      <c r="G2657" s="19" t="n">
        <v>0.083</v>
      </c>
    </row>
    <row r="2658" customFormat="false" ht="15" hidden="false" customHeight="false" outlineLevel="0" collapsed="false">
      <c r="A2658" s="28" t="s">
        <v>188</v>
      </c>
      <c r="B2658" s="28" t="s">
        <v>189</v>
      </c>
      <c r="C2658" s="28" t="s">
        <v>174</v>
      </c>
      <c r="D2658" s="23" t="n">
        <v>8</v>
      </c>
      <c r="E2658" s="23" t="n">
        <v>14</v>
      </c>
      <c r="F2658" s="28" t="s">
        <v>912</v>
      </c>
      <c r="G2658" s="19" t="n">
        <v>0.0844</v>
      </c>
    </row>
    <row r="2659" customFormat="false" ht="15" hidden="false" customHeight="false" outlineLevel="0" collapsed="false">
      <c r="A2659" s="28" t="s">
        <v>188</v>
      </c>
      <c r="B2659" s="28" t="s">
        <v>189</v>
      </c>
      <c r="C2659" s="28" t="s">
        <v>174</v>
      </c>
      <c r="D2659" s="23" t="n">
        <v>8</v>
      </c>
      <c r="E2659" s="23" t="n">
        <v>14</v>
      </c>
      <c r="F2659" s="28" t="s">
        <v>913</v>
      </c>
      <c r="G2659" s="19" t="n">
        <v>0.0893</v>
      </c>
    </row>
    <row r="2660" customFormat="false" ht="15" hidden="false" customHeight="false" outlineLevel="0" collapsed="false">
      <c r="A2660" s="28" t="s">
        <v>188</v>
      </c>
      <c r="B2660" s="28" t="s">
        <v>189</v>
      </c>
      <c r="C2660" s="28" t="s">
        <v>174</v>
      </c>
      <c r="D2660" s="23" t="n">
        <v>8</v>
      </c>
      <c r="E2660" s="23" t="n">
        <v>14</v>
      </c>
      <c r="F2660" s="28" t="s">
        <v>914</v>
      </c>
      <c r="G2660" s="19" t="n">
        <v>0.0891</v>
      </c>
    </row>
    <row r="2661" customFormat="false" ht="15" hidden="false" customHeight="false" outlineLevel="0" collapsed="false">
      <c r="A2661" s="28" t="s">
        <v>188</v>
      </c>
      <c r="B2661" s="28" t="s">
        <v>189</v>
      </c>
      <c r="C2661" s="28" t="s">
        <v>174</v>
      </c>
      <c r="D2661" s="23" t="n">
        <v>8</v>
      </c>
      <c r="E2661" s="23" t="n">
        <v>14</v>
      </c>
      <c r="F2661" s="28" t="s">
        <v>915</v>
      </c>
      <c r="G2661" s="19" t="n">
        <v>0.1049</v>
      </c>
    </row>
    <row r="2662" customFormat="false" ht="15" hidden="false" customHeight="false" outlineLevel="0" collapsed="false">
      <c r="A2662" s="28" t="s">
        <v>188</v>
      </c>
      <c r="B2662" s="28" t="s">
        <v>189</v>
      </c>
      <c r="C2662" s="28" t="s">
        <v>174</v>
      </c>
      <c r="D2662" s="23" t="n">
        <v>8</v>
      </c>
      <c r="E2662" s="23" t="n">
        <v>15</v>
      </c>
      <c r="F2662" s="28" t="s">
        <v>904</v>
      </c>
      <c r="G2662" s="19" t="n">
        <v>0.0763</v>
      </c>
    </row>
    <row r="2663" customFormat="false" ht="15" hidden="false" customHeight="false" outlineLevel="0" collapsed="false">
      <c r="A2663" s="28" t="s">
        <v>188</v>
      </c>
      <c r="B2663" s="28" t="s">
        <v>189</v>
      </c>
      <c r="C2663" s="28" t="s">
        <v>174</v>
      </c>
      <c r="D2663" s="23" t="n">
        <v>8</v>
      </c>
      <c r="E2663" s="23" t="n">
        <v>15</v>
      </c>
      <c r="F2663" s="28" t="s">
        <v>551</v>
      </c>
      <c r="G2663" s="19" t="n">
        <v>0.1075</v>
      </c>
    </row>
    <row r="2664" customFormat="false" ht="15" hidden="false" customHeight="false" outlineLevel="0" collapsed="false">
      <c r="A2664" s="28" t="s">
        <v>188</v>
      </c>
      <c r="B2664" s="28" t="s">
        <v>189</v>
      </c>
      <c r="C2664" s="28" t="s">
        <v>174</v>
      </c>
      <c r="D2664" s="23" t="n">
        <v>8</v>
      </c>
      <c r="E2664" s="23" t="n">
        <v>15</v>
      </c>
      <c r="F2664" s="28" t="s">
        <v>451</v>
      </c>
      <c r="G2664" s="19" t="n">
        <v>0.0761</v>
      </c>
    </row>
    <row r="2665" customFormat="false" ht="15" hidden="false" customHeight="false" outlineLevel="0" collapsed="false">
      <c r="A2665" s="28" t="s">
        <v>188</v>
      </c>
      <c r="B2665" s="28" t="s">
        <v>189</v>
      </c>
      <c r="C2665" s="28" t="s">
        <v>174</v>
      </c>
      <c r="D2665" s="23" t="n">
        <v>8</v>
      </c>
      <c r="E2665" s="23" t="n">
        <v>15</v>
      </c>
      <c r="F2665" s="28" t="s">
        <v>905</v>
      </c>
      <c r="G2665" s="19" t="n">
        <v>0.0787</v>
      </c>
    </row>
    <row r="2666" customFormat="false" ht="15" hidden="false" customHeight="false" outlineLevel="0" collapsed="false">
      <c r="A2666" s="28" t="s">
        <v>188</v>
      </c>
      <c r="B2666" s="28" t="s">
        <v>189</v>
      </c>
      <c r="C2666" s="28" t="s">
        <v>174</v>
      </c>
      <c r="D2666" s="23" t="n">
        <v>8</v>
      </c>
      <c r="E2666" s="23" t="n">
        <v>15</v>
      </c>
      <c r="F2666" s="28" t="s">
        <v>906</v>
      </c>
      <c r="G2666" s="19" t="n">
        <v>0.0801</v>
      </c>
    </row>
    <row r="2667" customFormat="false" ht="15" hidden="false" customHeight="false" outlineLevel="0" collapsed="false">
      <c r="A2667" s="28" t="s">
        <v>188</v>
      </c>
      <c r="B2667" s="28" t="s">
        <v>189</v>
      </c>
      <c r="C2667" s="28" t="s">
        <v>174</v>
      </c>
      <c r="D2667" s="23" t="n">
        <v>8</v>
      </c>
      <c r="E2667" s="23" t="n">
        <v>15</v>
      </c>
      <c r="F2667" s="28" t="s">
        <v>907</v>
      </c>
      <c r="G2667" s="19" t="n">
        <v>0.0798</v>
      </c>
    </row>
    <row r="2668" customFormat="false" ht="15" hidden="false" customHeight="false" outlineLevel="0" collapsed="false">
      <c r="A2668" s="28" t="s">
        <v>188</v>
      </c>
      <c r="B2668" s="28" t="s">
        <v>189</v>
      </c>
      <c r="C2668" s="28" t="s">
        <v>174</v>
      </c>
      <c r="D2668" s="23" t="n">
        <v>8</v>
      </c>
      <c r="E2668" s="23" t="n">
        <v>15</v>
      </c>
      <c r="F2668" s="28" t="s">
        <v>908</v>
      </c>
      <c r="G2668" s="19" t="n">
        <v>0.0814</v>
      </c>
    </row>
    <row r="2669" customFormat="false" ht="15" hidden="false" customHeight="false" outlineLevel="0" collapsed="false">
      <c r="A2669" s="28" t="s">
        <v>188</v>
      </c>
      <c r="B2669" s="28" t="s">
        <v>189</v>
      </c>
      <c r="C2669" s="28" t="s">
        <v>174</v>
      </c>
      <c r="D2669" s="23" t="n">
        <v>8</v>
      </c>
      <c r="E2669" s="23" t="n">
        <v>15</v>
      </c>
      <c r="F2669" s="28" t="s">
        <v>909</v>
      </c>
      <c r="G2669" s="19" t="n">
        <v>0.0815</v>
      </c>
    </row>
    <row r="2670" customFormat="false" ht="15" hidden="false" customHeight="false" outlineLevel="0" collapsed="false">
      <c r="A2670" s="28" t="s">
        <v>188</v>
      </c>
      <c r="B2670" s="28" t="s">
        <v>189</v>
      </c>
      <c r="C2670" s="28" t="s">
        <v>174</v>
      </c>
      <c r="D2670" s="23" t="n">
        <v>8</v>
      </c>
      <c r="E2670" s="23" t="n">
        <v>15</v>
      </c>
      <c r="F2670" s="28" t="s">
        <v>910</v>
      </c>
      <c r="G2670" s="19" t="n">
        <v>0.0819</v>
      </c>
    </row>
    <row r="2671" customFormat="false" ht="15" hidden="false" customHeight="false" outlineLevel="0" collapsed="false">
      <c r="A2671" s="28" t="s">
        <v>188</v>
      </c>
      <c r="B2671" s="28" t="s">
        <v>189</v>
      </c>
      <c r="C2671" s="28" t="s">
        <v>174</v>
      </c>
      <c r="D2671" s="23" t="n">
        <v>8</v>
      </c>
      <c r="E2671" s="23" t="n">
        <v>15</v>
      </c>
      <c r="F2671" s="28" t="s">
        <v>911</v>
      </c>
      <c r="G2671" s="19" t="n">
        <v>0.083</v>
      </c>
    </row>
    <row r="2672" customFormat="false" ht="15" hidden="false" customHeight="false" outlineLevel="0" collapsed="false">
      <c r="A2672" s="28" t="s">
        <v>188</v>
      </c>
      <c r="B2672" s="28" t="s">
        <v>189</v>
      </c>
      <c r="C2672" s="28" t="s">
        <v>174</v>
      </c>
      <c r="D2672" s="23" t="n">
        <v>8</v>
      </c>
      <c r="E2672" s="23" t="n">
        <v>15</v>
      </c>
      <c r="F2672" s="28" t="s">
        <v>912</v>
      </c>
      <c r="G2672" s="19" t="n">
        <v>0.0844</v>
      </c>
    </row>
    <row r="2673" customFormat="false" ht="15" hidden="false" customHeight="false" outlineLevel="0" collapsed="false">
      <c r="A2673" s="28" t="s">
        <v>188</v>
      </c>
      <c r="B2673" s="28" t="s">
        <v>189</v>
      </c>
      <c r="C2673" s="28" t="s">
        <v>174</v>
      </c>
      <c r="D2673" s="23" t="n">
        <v>8</v>
      </c>
      <c r="E2673" s="23" t="n">
        <v>15</v>
      </c>
      <c r="F2673" s="28" t="s">
        <v>913</v>
      </c>
      <c r="G2673" s="19" t="n">
        <v>0.0893</v>
      </c>
    </row>
    <row r="2674" customFormat="false" ht="15" hidden="false" customHeight="false" outlineLevel="0" collapsed="false">
      <c r="A2674" s="28" t="s">
        <v>188</v>
      </c>
      <c r="B2674" s="28" t="s">
        <v>189</v>
      </c>
      <c r="C2674" s="28" t="s">
        <v>174</v>
      </c>
      <c r="D2674" s="23" t="n">
        <v>8</v>
      </c>
      <c r="E2674" s="23" t="n">
        <v>15</v>
      </c>
      <c r="F2674" s="28" t="s">
        <v>914</v>
      </c>
      <c r="G2674" s="19" t="n">
        <v>0.0891</v>
      </c>
    </row>
    <row r="2675" customFormat="false" ht="15" hidden="false" customHeight="false" outlineLevel="0" collapsed="false">
      <c r="A2675" s="28" t="s">
        <v>188</v>
      </c>
      <c r="B2675" s="28" t="s">
        <v>189</v>
      </c>
      <c r="C2675" s="28" t="s">
        <v>174</v>
      </c>
      <c r="D2675" s="23" t="n">
        <v>8</v>
      </c>
      <c r="E2675" s="23" t="n">
        <v>15</v>
      </c>
      <c r="F2675" s="28" t="s">
        <v>915</v>
      </c>
      <c r="G2675" s="19" t="n">
        <v>0.1049</v>
      </c>
    </row>
    <row r="2676" customFormat="false" ht="15" hidden="false" customHeight="false" outlineLevel="0" collapsed="false">
      <c r="A2676" s="28" t="s">
        <v>188</v>
      </c>
      <c r="B2676" s="28" t="s">
        <v>189</v>
      </c>
      <c r="C2676" s="28" t="s">
        <v>174</v>
      </c>
      <c r="D2676" s="23" t="n">
        <v>8</v>
      </c>
      <c r="E2676" s="23" t="n">
        <v>16</v>
      </c>
      <c r="F2676" s="28" t="s">
        <v>904</v>
      </c>
      <c r="G2676" s="19" t="n">
        <v>0.0763</v>
      </c>
    </row>
    <row r="2677" customFormat="false" ht="15" hidden="false" customHeight="false" outlineLevel="0" collapsed="false">
      <c r="A2677" s="28" t="s">
        <v>188</v>
      </c>
      <c r="B2677" s="28" t="s">
        <v>189</v>
      </c>
      <c r="C2677" s="28" t="s">
        <v>174</v>
      </c>
      <c r="D2677" s="23" t="n">
        <v>8</v>
      </c>
      <c r="E2677" s="23" t="n">
        <v>16</v>
      </c>
      <c r="F2677" s="28" t="s">
        <v>551</v>
      </c>
      <c r="G2677" s="19" t="n">
        <v>0.1075</v>
      </c>
    </row>
    <row r="2678" customFormat="false" ht="15" hidden="false" customHeight="false" outlineLevel="0" collapsed="false">
      <c r="A2678" s="28" t="s">
        <v>188</v>
      </c>
      <c r="B2678" s="28" t="s">
        <v>189</v>
      </c>
      <c r="C2678" s="28" t="s">
        <v>174</v>
      </c>
      <c r="D2678" s="23" t="n">
        <v>8</v>
      </c>
      <c r="E2678" s="23" t="n">
        <v>16</v>
      </c>
      <c r="F2678" s="28" t="s">
        <v>451</v>
      </c>
      <c r="G2678" s="19" t="n">
        <v>0.0761</v>
      </c>
    </row>
    <row r="2679" customFormat="false" ht="15" hidden="false" customHeight="false" outlineLevel="0" collapsed="false">
      <c r="A2679" s="28" t="s">
        <v>188</v>
      </c>
      <c r="B2679" s="28" t="s">
        <v>189</v>
      </c>
      <c r="C2679" s="28" t="s">
        <v>174</v>
      </c>
      <c r="D2679" s="23" t="n">
        <v>8</v>
      </c>
      <c r="E2679" s="23" t="n">
        <v>16</v>
      </c>
      <c r="F2679" s="28" t="s">
        <v>905</v>
      </c>
      <c r="G2679" s="19" t="n">
        <v>0.0787</v>
      </c>
    </row>
    <row r="2680" customFormat="false" ht="15" hidden="false" customHeight="false" outlineLevel="0" collapsed="false">
      <c r="A2680" s="28" t="s">
        <v>188</v>
      </c>
      <c r="B2680" s="28" t="s">
        <v>189</v>
      </c>
      <c r="C2680" s="28" t="s">
        <v>174</v>
      </c>
      <c r="D2680" s="23" t="n">
        <v>8</v>
      </c>
      <c r="E2680" s="23" t="n">
        <v>16</v>
      </c>
      <c r="F2680" s="28" t="s">
        <v>906</v>
      </c>
      <c r="G2680" s="19" t="n">
        <v>0.0801</v>
      </c>
    </row>
    <row r="2681" customFormat="false" ht="15" hidden="false" customHeight="false" outlineLevel="0" collapsed="false">
      <c r="A2681" s="28" t="s">
        <v>188</v>
      </c>
      <c r="B2681" s="28" t="s">
        <v>189</v>
      </c>
      <c r="C2681" s="28" t="s">
        <v>174</v>
      </c>
      <c r="D2681" s="23" t="n">
        <v>8</v>
      </c>
      <c r="E2681" s="23" t="n">
        <v>16</v>
      </c>
      <c r="F2681" s="28" t="s">
        <v>907</v>
      </c>
      <c r="G2681" s="19" t="n">
        <v>0.0798</v>
      </c>
    </row>
    <row r="2682" customFormat="false" ht="15" hidden="false" customHeight="false" outlineLevel="0" collapsed="false">
      <c r="A2682" s="28" t="s">
        <v>188</v>
      </c>
      <c r="B2682" s="28" t="s">
        <v>189</v>
      </c>
      <c r="C2682" s="28" t="s">
        <v>174</v>
      </c>
      <c r="D2682" s="23" t="n">
        <v>8</v>
      </c>
      <c r="E2682" s="23" t="n">
        <v>16</v>
      </c>
      <c r="F2682" s="28" t="s">
        <v>908</v>
      </c>
      <c r="G2682" s="19" t="n">
        <v>0.0814</v>
      </c>
    </row>
    <row r="2683" customFormat="false" ht="15" hidden="false" customHeight="false" outlineLevel="0" collapsed="false">
      <c r="A2683" s="28" t="s">
        <v>188</v>
      </c>
      <c r="B2683" s="28" t="s">
        <v>189</v>
      </c>
      <c r="C2683" s="28" t="s">
        <v>174</v>
      </c>
      <c r="D2683" s="23" t="n">
        <v>8</v>
      </c>
      <c r="E2683" s="23" t="n">
        <v>16</v>
      </c>
      <c r="F2683" s="28" t="s">
        <v>909</v>
      </c>
      <c r="G2683" s="19" t="n">
        <v>0.0815</v>
      </c>
    </row>
    <row r="2684" customFormat="false" ht="15" hidden="false" customHeight="false" outlineLevel="0" collapsed="false">
      <c r="A2684" s="28" t="s">
        <v>188</v>
      </c>
      <c r="B2684" s="28" t="s">
        <v>189</v>
      </c>
      <c r="C2684" s="28" t="s">
        <v>174</v>
      </c>
      <c r="D2684" s="23" t="n">
        <v>8</v>
      </c>
      <c r="E2684" s="23" t="n">
        <v>16</v>
      </c>
      <c r="F2684" s="28" t="s">
        <v>910</v>
      </c>
      <c r="G2684" s="19" t="n">
        <v>0.0819</v>
      </c>
    </row>
    <row r="2685" customFormat="false" ht="15" hidden="false" customHeight="false" outlineLevel="0" collapsed="false">
      <c r="A2685" s="28" t="s">
        <v>188</v>
      </c>
      <c r="B2685" s="28" t="s">
        <v>189</v>
      </c>
      <c r="C2685" s="28" t="s">
        <v>174</v>
      </c>
      <c r="D2685" s="23" t="n">
        <v>8</v>
      </c>
      <c r="E2685" s="23" t="n">
        <v>16</v>
      </c>
      <c r="F2685" s="28" t="s">
        <v>911</v>
      </c>
      <c r="G2685" s="19" t="n">
        <v>0.083</v>
      </c>
    </row>
    <row r="2686" customFormat="false" ht="15" hidden="false" customHeight="false" outlineLevel="0" collapsed="false">
      <c r="A2686" s="28" t="s">
        <v>188</v>
      </c>
      <c r="B2686" s="28" t="s">
        <v>189</v>
      </c>
      <c r="C2686" s="28" t="s">
        <v>174</v>
      </c>
      <c r="D2686" s="23" t="n">
        <v>8</v>
      </c>
      <c r="E2686" s="23" t="n">
        <v>16</v>
      </c>
      <c r="F2686" s="28" t="s">
        <v>912</v>
      </c>
      <c r="G2686" s="19" t="n">
        <v>0.0844</v>
      </c>
    </row>
    <row r="2687" customFormat="false" ht="15" hidden="false" customHeight="false" outlineLevel="0" collapsed="false">
      <c r="A2687" s="28" t="s">
        <v>188</v>
      </c>
      <c r="B2687" s="28" t="s">
        <v>189</v>
      </c>
      <c r="C2687" s="28" t="s">
        <v>174</v>
      </c>
      <c r="D2687" s="23" t="n">
        <v>8</v>
      </c>
      <c r="E2687" s="23" t="n">
        <v>16</v>
      </c>
      <c r="F2687" s="28" t="s">
        <v>913</v>
      </c>
      <c r="G2687" s="19" t="n">
        <v>0.0893</v>
      </c>
    </row>
    <row r="2688" customFormat="false" ht="15" hidden="false" customHeight="false" outlineLevel="0" collapsed="false">
      <c r="A2688" s="28" t="s">
        <v>188</v>
      </c>
      <c r="B2688" s="28" t="s">
        <v>189</v>
      </c>
      <c r="C2688" s="28" t="s">
        <v>174</v>
      </c>
      <c r="D2688" s="23" t="n">
        <v>8</v>
      </c>
      <c r="E2688" s="23" t="n">
        <v>16</v>
      </c>
      <c r="F2688" s="28" t="s">
        <v>914</v>
      </c>
      <c r="G2688" s="19" t="n">
        <v>0.0891</v>
      </c>
    </row>
    <row r="2689" customFormat="false" ht="15" hidden="false" customHeight="false" outlineLevel="0" collapsed="false">
      <c r="A2689" s="28" t="s">
        <v>188</v>
      </c>
      <c r="B2689" s="28" t="s">
        <v>189</v>
      </c>
      <c r="C2689" s="28" t="s">
        <v>174</v>
      </c>
      <c r="D2689" s="23" t="n">
        <v>8</v>
      </c>
      <c r="E2689" s="23" t="n">
        <v>16</v>
      </c>
      <c r="F2689" s="28" t="s">
        <v>915</v>
      </c>
      <c r="G2689" s="19" t="n">
        <v>0.1049</v>
      </c>
    </row>
    <row r="2690" customFormat="false" ht="15" hidden="false" customHeight="false" outlineLevel="0" collapsed="false">
      <c r="A2690" s="28" t="s">
        <v>188</v>
      </c>
      <c r="B2690" s="28" t="s">
        <v>189</v>
      </c>
      <c r="C2690" s="28" t="s">
        <v>174</v>
      </c>
      <c r="D2690" s="23" t="n">
        <v>8</v>
      </c>
      <c r="E2690" s="23" t="n">
        <v>17</v>
      </c>
      <c r="F2690" s="28" t="s">
        <v>904</v>
      </c>
      <c r="G2690" s="19" t="n">
        <v>0.0763</v>
      </c>
    </row>
    <row r="2691" customFormat="false" ht="15" hidden="false" customHeight="false" outlineLevel="0" collapsed="false">
      <c r="A2691" s="28" t="s">
        <v>188</v>
      </c>
      <c r="B2691" s="28" t="s">
        <v>189</v>
      </c>
      <c r="C2691" s="28" t="s">
        <v>174</v>
      </c>
      <c r="D2691" s="23" t="n">
        <v>8</v>
      </c>
      <c r="E2691" s="23" t="n">
        <v>17</v>
      </c>
      <c r="F2691" s="28" t="s">
        <v>551</v>
      </c>
      <c r="G2691" s="19" t="n">
        <v>0.1075</v>
      </c>
    </row>
    <row r="2692" customFormat="false" ht="15" hidden="false" customHeight="false" outlineLevel="0" collapsed="false">
      <c r="A2692" s="28" t="s">
        <v>188</v>
      </c>
      <c r="B2692" s="28" t="s">
        <v>189</v>
      </c>
      <c r="C2692" s="28" t="s">
        <v>174</v>
      </c>
      <c r="D2692" s="23" t="n">
        <v>8</v>
      </c>
      <c r="E2692" s="23" t="n">
        <v>17</v>
      </c>
      <c r="F2692" s="28" t="s">
        <v>451</v>
      </c>
      <c r="G2692" s="19" t="n">
        <v>0.0761</v>
      </c>
    </row>
    <row r="2693" customFormat="false" ht="15" hidden="false" customHeight="false" outlineLevel="0" collapsed="false">
      <c r="A2693" s="28" t="s">
        <v>188</v>
      </c>
      <c r="B2693" s="28" t="s">
        <v>189</v>
      </c>
      <c r="C2693" s="28" t="s">
        <v>174</v>
      </c>
      <c r="D2693" s="23" t="n">
        <v>8</v>
      </c>
      <c r="E2693" s="23" t="n">
        <v>17</v>
      </c>
      <c r="F2693" s="28" t="s">
        <v>905</v>
      </c>
      <c r="G2693" s="19" t="n">
        <v>0.0787</v>
      </c>
    </row>
    <row r="2694" customFormat="false" ht="15" hidden="false" customHeight="false" outlineLevel="0" collapsed="false">
      <c r="A2694" s="28" t="s">
        <v>188</v>
      </c>
      <c r="B2694" s="28" t="s">
        <v>189</v>
      </c>
      <c r="C2694" s="28" t="s">
        <v>174</v>
      </c>
      <c r="D2694" s="23" t="n">
        <v>8</v>
      </c>
      <c r="E2694" s="23" t="n">
        <v>17</v>
      </c>
      <c r="F2694" s="28" t="s">
        <v>906</v>
      </c>
      <c r="G2694" s="19" t="n">
        <v>0.0801</v>
      </c>
    </row>
    <row r="2695" customFormat="false" ht="15" hidden="false" customHeight="false" outlineLevel="0" collapsed="false">
      <c r="A2695" s="28" t="s">
        <v>188</v>
      </c>
      <c r="B2695" s="28" t="s">
        <v>189</v>
      </c>
      <c r="C2695" s="28" t="s">
        <v>174</v>
      </c>
      <c r="D2695" s="23" t="n">
        <v>8</v>
      </c>
      <c r="E2695" s="23" t="n">
        <v>17</v>
      </c>
      <c r="F2695" s="28" t="s">
        <v>907</v>
      </c>
      <c r="G2695" s="19" t="n">
        <v>0.0798</v>
      </c>
    </row>
    <row r="2696" customFormat="false" ht="15" hidden="false" customHeight="false" outlineLevel="0" collapsed="false">
      <c r="A2696" s="28" t="s">
        <v>188</v>
      </c>
      <c r="B2696" s="28" t="s">
        <v>189</v>
      </c>
      <c r="C2696" s="28" t="s">
        <v>174</v>
      </c>
      <c r="D2696" s="23" t="n">
        <v>8</v>
      </c>
      <c r="E2696" s="23" t="n">
        <v>17</v>
      </c>
      <c r="F2696" s="28" t="s">
        <v>908</v>
      </c>
      <c r="G2696" s="19" t="n">
        <v>0.0814</v>
      </c>
    </row>
    <row r="2697" customFormat="false" ht="15" hidden="false" customHeight="false" outlineLevel="0" collapsed="false">
      <c r="A2697" s="28" t="s">
        <v>188</v>
      </c>
      <c r="B2697" s="28" t="s">
        <v>189</v>
      </c>
      <c r="C2697" s="28" t="s">
        <v>174</v>
      </c>
      <c r="D2697" s="23" t="n">
        <v>8</v>
      </c>
      <c r="E2697" s="23" t="n">
        <v>17</v>
      </c>
      <c r="F2697" s="28" t="s">
        <v>909</v>
      </c>
      <c r="G2697" s="19" t="n">
        <v>0.0815</v>
      </c>
    </row>
    <row r="2698" customFormat="false" ht="15" hidden="false" customHeight="false" outlineLevel="0" collapsed="false">
      <c r="A2698" s="28" t="s">
        <v>188</v>
      </c>
      <c r="B2698" s="28" t="s">
        <v>189</v>
      </c>
      <c r="C2698" s="28" t="s">
        <v>174</v>
      </c>
      <c r="D2698" s="23" t="n">
        <v>8</v>
      </c>
      <c r="E2698" s="23" t="n">
        <v>17</v>
      </c>
      <c r="F2698" s="28" t="s">
        <v>910</v>
      </c>
      <c r="G2698" s="19" t="n">
        <v>0.0819</v>
      </c>
    </row>
    <row r="2699" customFormat="false" ht="15" hidden="false" customHeight="false" outlineLevel="0" collapsed="false">
      <c r="A2699" s="28" t="s">
        <v>188</v>
      </c>
      <c r="B2699" s="28" t="s">
        <v>189</v>
      </c>
      <c r="C2699" s="28" t="s">
        <v>174</v>
      </c>
      <c r="D2699" s="23" t="n">
        <v>8</v>
      </c>
      <c r="E2699" s="23" t="n">
        <v>17</v>
      </c>
      <c r="F2699" s="28" t="s">
        <v>911</v>
      </c>
      <c r="G2699" s="19" t="n">
        <v>0.083</v>
      </c>
    </row>
    <row r="2700" customFormat="false" ht="15" hidden="false" customHeight="false" outlineLevel="0" collapsed="false">
      <c r="A2700" s="28" t="s">
        <v>188</v>
      </c>
      <c r="B2700" s="28" t="s">
        <v>189</v>
      </c>
      <c r="C2700" s="28" t="s">
        <v>174</v>
      </c>
      <c r="D2700" s="23" t="n">
        <v>8</v>
      </c>
      <c r="E2700" s="23" t="n">
        <v>17</v>
      </c>
      <c r="F2700" s="28" t="s">
        <v>912</v>
      </c>
      <c r="G2700" s="19" t="n">
        <v>0.0844</v>
      </c>
    </row>
    <row r="2701" customFormat="false" ht="15" hidden="false" customHeight="false" outlineLevel="0" collapsed="false">
      <c r="A2701" s="28" t="s">
        <v>188</v>
      </c>
      <c r="B2701" s="28" t="s">
        <v>189</v>
      </c>
      <c r="C2701" s="28" t="s">
        <v>174</v>
      </c>
      <c r="D2701" s="23" t="n">
        <v>8</v>
      </c>
      <c r="E2701" s="23" t="n">
        <v>17</v>
      </c>
      <c r="F2701" s="28" t="s">
        <v>913</v>
      </c>
      <c r="G2701" s="19" t="n">
        <v>0.0893</v>
      </c>
    </row>
    <row r="2702" customFormat="false" ht="15" hidden="false" customHeight="false" outlineLevel="0" collapsed="false">
      <c r="A2702" s="28" t="s">
        <v>188</v>
      </c>
      <c r="B2702" s="28" t="s">
        <v>189</v>
      </c>
      <c r="C2702" s="28" t="s">
        <v>174</v>
      </c>
      <c r="D2702" s="23" t="n">
        <v>8</v>
      </c>
      <c r="E2702" s="23" t="n">
        <v>17</v>
      </c>
      <c r="F2702" s="28" t="s">
        <v>914</v>
      </c>
      <c r="G2702" s="19" t="n">
        <v>0.0891</v>
      </c>
    </row>
    <row r="2703" customFormat="false" ht="15" hidden="false" customHeight="false" outlineLevel="0" collapsed="false">
      <c r="A2703" s="28" t="s">
        <v>188</v>
      </c>
      <c r="B2703" s="28" t="s">
        <v>189</v>
      </c>
      <c r="C2703" s="28" t="s">
        <v>174</v>
      </c>
      <c r="D2703" s="23" t="n">
        <v>8</v>
      </c>
      <c r="E2703" s="23" t="n">
        <v>17</v>
      </c>
      <c r="F2703" s="28" t="s">
        <v>915</v>
      </c>
      <c r="G2703" s="19" t="n">
        <v>0.1049</v>
      </c>
    </row>
    <row r="2704" customFormat="false" ht="15" hidden="false" customHeight="false" outlineLevel="0" collapsed="false">
      <c r="A2704" s="28" t="s">
        <v>188</v>
      </c>
      <c r="B2704" s="28" t="s">
        <v>189</v>
      </c>
      <c r="C2704" s="28" t="s">
        <v>174</v>
      </c>
      <c r="D2704" s="23" t="n">
        <v>8</v>
      </c>
      <c r="E2704" s="23" t="n">
        <v>18</v>
      </c>
      <c r="F2704" s="28" t="s">
        <v>904</v>
      </c>
      <c r="G2704" s="19" t="n">
        <v>0.0763</v>
      </c>
    </row>
    <row r="2705" customFormat="false" ht="15" hidden="false" customHeight="false" outlineLevel="0" collapsed="false">
      <c r="A2705" s="28" t="s">
        <v>188</v>
      </c>
      <c r="B2705" s="28" t="s">
        <v>189</v>
      </c>
      <c r="C2705" s="28" t="s">
        <v>174</v>
      </c>
      <c r="D2705" s="23" t="n">
        <v>8</v>
      </c>
      <c r="E2705" s="23" t="n">
        <v>18</v>
      </c>
      <c r="F2705" s="28" t="s">
        <v>551</v>
      </c>
      <c r="G2705" s="19" t="n">
        <v>0.1075</v>
      </c>
    </row>
    <row r="2706" customFormat="false" ht="15" hidden="false" customHeight="false" outlineLevel="0" collapsed="false">
      <c r="A2706" s="28" t="s">
        <v>188</v>
      </c>
      <c r="B2706" s="28" t="s">
        <v>189</v>
      </c>
      <c r="C2706" s="28" t="s">
        <v>174</v>
      </c>
      <c r="D2706" s="23" t="n">
        <v>8</v>
      </c>
      <c r="E2706" s="23" t="n">
        <v>18</v>
      </c>
      <c r="F2706" s="28" t="s">
        <v>451</v>
      </c>
      <c r="G2706" s="19" t="n">
        <v>0.0761</v>
      </c>
    </row>
    <row r="2707" customFormat="false" ht="15" hidden="false" customHeight="false" outlineLevel="0" collapsed="false">
      <c r="A2707" s="28" t="s">
        <v>188</v>
      </c>
      <c r="B2707" s="28" t="s">
        <v>189</v>
      </c>
      <c r="C2707" s="28" t="s">
        <v>174</v>
      </c>
      <c r="D2707" s="23" t="n">
        <v>8</v>
      </c>
      <c r="E2707" s="23" t="n">
        <v>18</v>
      </c>
      <c r="F2707" s="28" t="s">
        <v>905</v>
      </c>
      <c r="G2707" s="19" t="n">
        <v>0.0787</v>
      </c>
    </row>
    <row r="2708" customFormat="false" ht="15" hidden="false" customHeight="false" outlineLevel="0" collapsed="false">
      <c r="A2708" s="28" t="s">
        <v>188</v>
      </c>
      <c r="B2708" s="28" t="s">
        <v>189</v>
      </c>
      <c r="C2708" s="28" t="s">
        <v>174</v>
      </c>
      <c r="D2708" s="23" t="n">
        <v>8</v>
      </c>
      <c r="E2708" s="23" t="n">
        <v>18</v>
      </c>
      <c r="F2708" s="28" t="s">
        <v>906</v>
      </c>
      <c r="G2708" s="19" t="n">
        <v>0.0801</v>
      </c>
    </row>
    <row r="2709" customFormat="false" ht="15" hidden="false" customHeight="false" outlineLevel="0" collapsed="false">
      <c r="A2709" s="28" t="s">
        <v>188</v>
      </c>
      <c r="B2709" s="28" t="s">
        <v>189</v>
      </c>
      <c r="C2709" s="28" t="s">
        <v>174</v>
      </c>
      <c r="D2709" s="23" t="n">
        <v>8</v>
      </c>
      <c r="E2709" s="23" t="n">
        <v>18</v>
      </c>
      <c r="F2709" s="28" t="s">
        <v>907</v>
      </c>
      <c r="G2709" s="19" t="n">
        <v>0.0798</v>
      </c>
    </row>
    <row r="2710" customFormat="false" ht="15" hidden="false" customHeight="false" outlineLevel="0" collapsed="false">
      <c r="A2710" s="28" t="s">
        <v>188</v>
      </c>
      <c r="B2710" s="28" t="s">
        <v>189</v>
      </c>
      <c r="C2710" s="28" t="s">
        <v>174</v>
      </c>
      <c r="D2710" s="23" t="n">
        <v>8</v>
      </c>
      <c r="E2710" s="23" t="n">
        <v>18</v>
      </c>
      <c r="F2710" s="28" t="s">
        <v>908</v>
      </c>
      <c r="G2710" s="19" t="n">
        <v>0.0814</v>
      </c>
    </row>
    <row r="2711" customFormat="false" ht="15" hidden="false" customHeight="false" outlineLevel="0" collapsed="false">
      <c r="A2711" s="28" t="s">
        <v>188</v>
      </c>
      <c r="B2711" s="28" t="s">
        <v>189</v>
      </c>
      <c r="C2711" s="28" t="s">
        <v>174</v>
      </c>
      <c r="D2711" s="23" t="n">
        <v>8</v>
      </c>
      <c r="E2711" s="23" t="n">
        <v>18</v>
      </c>
      <c r="F2711" s="28" t="s">
        <v>909</v>
      </c>
      <c r="G2711" s="19" t="n">
        <v>0.0815</v>
      </c>
    </row>
    <row r="2712" customFormat="false" ht="15" hidden="false" customHeight="false" outlineLevel="0" collapsed="false">
      <c r="A2712" s="28" t="s">
        <v>188</v>
      </c>
      <c r="B2712" s="28" t="s">
        <v>189</v>
      </c>
      <c r="C2712" s="28" t="s">
        <v>174</v>
      </c>
      <c r="D2712" s="23" t="n">
        <v>8</v>
      </c>
      <c r="E2712" s="23" t="n">
        <v>18</v>
      </c>
      <c r="F2712" s="28" t="s">
        <v>910</v>
      </c>
      <c r="G2712" s="19" t="n">
        <v>0.0819</v>
      </c>
    </row>
    <row r="2713" customFormat="false" ht="15" hidden="false" customHeight="false" outlineLevel="0" collapsed="false">
      <c r="A2713" s="28" t="s">
        <v>188</v>
      </c>
      <c r="B2713" s="28" t="s">
        <v>189</v>
      </c>
      <c r="C2713" s="28" t="s">
        <v>174</v>
      </c>
      <c r="D2713" s="23" t="n">
        <v>8</v>
      </c>
      <c r="E2713" s="23" t="n">
        <v>18</v>
      </c>
      <c r="F2713" s="28" t="s">
        <v>911</v>
      </c>
      <c r="G2713" s="19" t="n">
        <v>0.083</v>
      </c>
    </row>
    <row r="2714" customFormat="false" ht="15" hidden="false" customHeight="false" outlineLevel="0" collapsed="false">
      <c r="A2714" s="28" t="s">
        <v>188</v>
      </c>
      <c r="B2714" s="28" t="s">
        <v>189</v>
      </c>
      <c r="C2714" s="28" t="s">
        <v>174</v>
      </c>
      <c r="D2714" s="23" t="n">
        <v>8</v>
      </c>
      <c r="E2714" s="23" t="n">
        <v>18</v>
      </c>
      <c r="F2714" s="28" t="s">
        <v>912</v>
      </c>
      <c r="G2714" s="19" t="n">
        <v>0.0844</v>
      </c>
    </row>
    <row r="2715" customFormat="false" ht="15" hidden="false" customHeight="false" outlineLevel="0" collapsed="false">
      <c r="A2715" s="28" t="s">
        <v>188</v>
      </c>
      <c r="B2715" s="28" t="s">
        <v>189</v>
      </c>
      <c r="C2715" s="28" t="s">
        <v>174</v>
      </c>
      <c r="D2715" s="23" t="n">
        <v>8</v>
      </c>
      <c r="E2715" s="23" t="n">
        <v>18</v>
      </c>
      <c r="F2715" s="28" t="s">
        <v>913</v>
      </c>
      <c r="G2715" s="19" t="n">
        <v>0.0893</v>
      </c>
    </row>
    <row r="2716" customFormat="false" ht="15" hidden="false" customHeight="false" outlineLevel="0" collapsed="false">
      <c r="A2716" s="28" t="s">
        <v>188</v>
      </c>
      <c r="B2716" s="28" t="s">
        <v>189</v>
      </c>
      <c r="C2716" s="28" t="s">
        <v>174</v>
      </c>
      <c r="D2716" s="23" t="n">
        <v>8</v>
      </c>
      <c r="E2716" s="23" t="n">
        <v>18</v>
      </c>
      <c r="F2716" s="28" t="s">
        <v>914</v>
      </c>
      <c r="G2716" s="19" t="n">
        <v>0.0891</v>
      </c>
    </row>
    <row r="2717" customFormat="false" ht="15" hidden="false" customHeight="false" outlineLevel="0" collapsed="false">
      <c r="A2717" s="28" t="s">
        <v>188</v>
      </c>
      <c r="B2717" s="28" t="s">
        <v>189</v>
      </c>
      <c r="C2717" s="28" t="s">
        <v>174</v>
      </c>
      <c r="D2717" s="23" t="n">
        <v>8</v>
      </c>
      <c r="E2717" s="23" t="n">
        <v>18</v>
      </c>
      <c r="F2717" s="28" t="s">
        <v>915</v>
      </c>
      <c r="G2717" s="19" t="n">
        <v>0.1049</v>
      </c>
    </row>
    <row r="2718" customFormat="false" ht="15" hidden="false" customHeight="false" outlineLevel="0" collapsed="false">
      <c r="A2718" s="28" t="s">
        <v>188</v>
      </c>
      <c r="B2718" s="28" t="s">
        <v>189</v>
      </c>
      <c r="C2718" s="28" t="s">
        <v>174</v>
      </c>
      <c r="D2718" s="23" t="n">
        <v>8</v>
      </c>
      <c r="E2718" s="23" t="n">
        <v>19</v>
      </c>
      <c r="F2718" s="28" t="s">
        <v>904</v>
      </c>
      <c r="G2718" s="19" t="n">
        <v>0.0763</v>
      </c>
    </row>
    <row r="2719" customFormat="false" ht="15" hidden="false" customHeight="false" outlineLevel="0" collapsed="false">
      <c r="A2719" s="28" t="s">
        <v>188</v>
      </c>
      <c r="B2719" s="28" t="s">
        <v>189</v>
      </c>
      <c r="C2719" s="28" t="s">
        <v>174</v>
      </c>
      <c r="D2719" s="23" t="n">
        <v>8</v>
      </c>
      <c r="E2719" s="23" t="n">
        <v>19</v>
      </c>
      <c r="F2719" s="28" t="s">
        <v>551</v>
      </c>
      <c r="G2719" s="19" t="n">
        <v>0.1075</v>
      </c>
    </row>
    <row r="2720" customFormat="false" ht="15" hidden="false" customHeight="false" outlineLevel="0" collapsed="false">
      <c r="A2720" s="28" t="s">
        <v>188</v>
      </c>
      <c r="B2720" s="28" t="s">
        <v>189</v>
      </c>
      <c r="C2720" s="28" t="s">
        <v>174</v>
      </c>
      <c r="D2720" s="23" t="n">
        <v>8</v>
      </c>
      <c r="E2720" s="23" t="n">
        <v>19</v>
      </c>
      <c r="F2720" s="28" t="s">
        <v>451</v>
      </c>
      <c r="G2720" s="19" t="n">
        <v>0.0761</v>
      </c>
    </row>
    <row r="2721" customFormat="false" ht="15" hidden="false" customHeight="false" outlineLevel="0" collapsed="false">
      <c r="A2721" s="28" t="s">
        <v>188</v>
      </c>
      <c r="B2721" s="28" t="s">
        <v>189</v>
      </c>
      <c r="C2721" s="28" t="s">
        <v>174</v>
      </c>
      <c r="D2721" s="23" t="n">
        <v>8</v>
      </c>
      <c r="E2721" s="23" t="n">
        <v>19</v>
      </c>
      <c r="F2721" s="28" t="s">
        <v>905</v>
      </c>
      <c r="G2721" s="19" t="n">
        <v>0.0787</v>
      </c>
    </row>
    <row r="2722" customFormat="false" ht="15" hidden="false" customHeight="false" outlineLevel="0" collapsed="false">
      <c r="A2722" s="28" t="s">
        <v>188</v>
      </c>
      <c r="B2722" s="28" t="s">
        <v>189</v>
      </c>
      <c r="C2722" s="28" t="s">
        <v>174</v>
      </c>
      <c r="D2722" s="23" t="n">
        <v>8</v>
      </c>
      <c r="E2722" s="23" t="n">
        <v>19</v>
      </c>
      <c r="F2722" s="28" t="s">
        <v>906</v>
      </c>
      <c r="G2722" s="19" t="n">
        <v>0.0801</v>
      </c>
    </row>
    <row r="2723" customFormat="false" ht="15" hidden="false" customHeight="false" outlineLevel="0" collapsed="false">
      <c r="A2723" s="28" t="s">
        <v>188</v>
      </c>
      <c r="B2723" s="28" t="s">
        <v>189</v>
      </c>
      <c r="C2723" s="28" t="s">
        <v>174</v>
      </c>
      <c r="D2723" s="23" t="n">
        <v>8</v>
      </c>
      <c r="E2723" s="23" t="n">
        <v>19</v>
      </c>
      <c r="F2723" s="28" t="s">
        <v>907</v>
      </c>
      <c r="G2723" s="19" t="n">
        <v>0.0798</v>
      </c>
    </row>
    <row r="2724" customFormat="false" ht="15" hidden="false" customHeight="false" outlineLevel="0" collapsed="false">
      <c r="A2724" s="28" t="s">
        <v>188</v>
      </c>
      <c r="B2724" s="28" t="s">
        <v>189</v>
      </c>
      <c r="C2724" s="28" t="s">
        <v>174</v>
      </c>
      <c r="D2724" s="23" t="n">
        <v>8</v>
      </c>
      <c r="E2724" s="23" t="n">
        <v>19</v>
      </c>
      <c r="F2724" s="28" t="s">
        <v>908</v>
      </c>
      <c r="G2724" s="19" t="n">
        <v>0.0814</v>
      </c>
    </row>
    <row r="2725" customFormat="false" ht="15" hidden="false" customHeight="false" outlineLevel="0" collapsed="false">
      <c r="A2725" s="28" t="s">
        <v>188</v>
      </c>
      <c r="B2725" s="28" t="s">
        <v>189</v>
      </c>
      <c r="C2725" s="28" t="s">
        <v>174</v>
      </c>
      <c r="D2725" s="23" t="n">
        <v>8</v>
      </c>
      <c r="E2725" s="23" t="n">
        <v>19</v>
      </c>
      <c r="F2725" s="28" t="s">
        <v>909</v>
      </c>
      <c r="G2725" s="19" t="n">
        <v>0.0815</v>
      </c>
    </row>
    <row r="2726" customFormat="false" ht="15" hidden="false" customHeight="false" outlineLevel="0" collapsed="false">
      <c r="A2726" s="28" t="s">
        <v>188</v>
      </c>
      <c r="B2726" s="28" t="s">
        <v>189</v>
      </c>
      <c r="C2726" s="28" t="s">
        <v>174</v>
      </c>
      <c r="D2726" s="23" t="n">
        <v>8</v>
      </c>
      <c r="E2726" s="23" t="n">
        <v>19</v>
      </c>
      <c r="F2726" s="28" t="s">
        <v>910</v>
      </c>
      <c r="G2726" s="19" t="n">
        <v>0.0819</v>
      </c>
    </row>
    <row r="2727" customFormat="false" ht="15" hidden="false" customHeight="false" outlineLevel="0" collapsed="false">
      <c r="A2727" s="28" t="s">
        <v>188</v>
      </c>
      <c r="B2727" s="28" t="s">
        <v>189</v>
      </c>
      <c r="C2727" s="28" t="s">
        <v>174</v>
      </c>
      <c r="D2727" s="23" t="n">
        <v>8</v>
      </c>
      <c r="E2727" s="23" t="n">
        <v>19</v>
      </c>
      <c r="F2727" s="28" t="s">
        <v>911</v>
      </c>
      <c r="G2727" s="19" t="n">
        <v>0.083</v>
      </c>
    </row>
    <row r="2728" customFormat="false" ht="15" hidden="false" customHeight="false" outlineLevel="0" collapsed="false">
      <c r="A2728" s="28" t="s">
        <v>188</v>
      </c>
      <c r="B2728" s="28" t="s">
        <v>189</v>
      </c>
      <c r="C2728" s="28" t="s">
        <v>174</v>
      </c>
      <c r="D2728" s="23" t="n">
        <v>8</v>
      </c>
      <c r="E2728" s="23" t="n">
        <v>19</v>
      </c>
      <c r="F2728" s="28" t="s">
        <v>912</v>
      </c>
      <c r="G2728" s="19" t="n">
        <v>0.0844</v>
      </c>
    </row>
    <row r="2729" customFormat="false" ht="15" hidden="false" customHeight="false" outlineLevel="0" collapsed="false">
      <c r="A2729" s="28" t="s">
        <v>188</v>
      </c>
      <c r="B2729" s="28" t="s">
        <v>189</v>
      </c>
      <c r="C2729" s="28" t="s">
        <v>174</v>
      </c>
      <c r="D2729" s="23" t="n">
        <v>8</v>
      </c>
      <c r="E2729" s="23" t="n">
        <v>19</v>
      </c>
      <c r="F2729" s="28" t="s">
        <v>913</v>
      </c>
      <c r="G2729" s="19" t="n">
        <v>0.0893</v>
      </c>
    </row>
    <row r="2730" customFormat="false" ht="15" hidden="false" customHeight="false" outlineLevel="0" collapsed="false">
      <c r="A2730" s="28" t="s">
        <v>188</v>
      </c>
      <c r="B2730" s="28" t="s">
        <v>189</v>
      </c>
      <c r="C2730" s="28" t="s">
        <v>174</v>
      </c>
      <c r="D2730" s="23" t="n">
        <v>8</v>
      </c>
      <c r="E2730" s="23" t="n">
        <v>19</v>
      </c>
      <c r="F2730" s="28" t="s">
        <v>914</v>
      </c>
      <c r="G2730" s="19" t="n">
        <v>0.0891</v>
      </c>
    </row>
    <row r="2731" customFormat="false" ht="15" hidden="false" customHeight="false" outlineLevel="0" collapsed="false">
      <c r="A2731" s="28" t="s">
        <v>188</v>
      </c>
      <c r="B2731" s="28" t="s">
        <v>189</v>
      </c>
      <c r="C2731" s="28" t="s">
        <v>174</v>
      </c>
      <c r="D2731" s="23" t="n">
        <v>8</v>
      </c>
      <c r="E2731" s="23" t="n">
        <v>19</v>
      </c>
      <c r="F2731" s="28" t="s">
        <v>915</v>
      </c>
      <c r="G2731" s="19" t="n">
        <v>0.1049</v>
      </c>
    </row>
    <row r="2732" customFormat="false" ht="15" hidden="false" customHeight="false" outlineLevel="0" collapsed="false">
      <c r="A2732" s="28" t="s">
        <v>188</v>
      </c>
      <c r="B2732" s="28" t="s">
        <v>189</v>
      </c>
      <c r="C2732" s="28" t="s">
        <v>174</v>
      </c>
      <c r="D2732" s="23" t="n">
        <v>8</v>
      </c>
      <c r="E2732" s="23" t="n">
        <v>20</v>
      </c>
      <c r="F2732" s="28" t="s">
        <v>904</v>
      </c>
      <c r="G2732" s="19" t="n">
        <v>0.0763</v>
      </c>
    </row>
    <row r="2733" customFormat="false" ht="15" hidden="false" customHeight="false" outlineLevel="0" collapsed="false">
      <c r="A2733" s="28" t="s">
        <v>188</v>
      </c>
      <c r="B2733" s="28" t="s">
        <v>189</v>
      </c>
      <c r="C2733" s="28" t="s">
        <v>174</v>
      </c>
      <c r="D2733" s="23" t="n">
        <v>8</v>
      </c>
      <c r="E2733" s="23" t="n">
        <v>20</v>
      </c>
      <c r="F2733" s="28" t="s">
        <v>551</v>
      </c>
      <c r="G2733" s="19" t="n">
        <v>0.1075</v>
      </c>
    </row>
    <row r="2734" customFormat="false" ht="15" hidden="false" customHeight="false" outlineLevel="0" collapsed="false">
      <c r="A2734" s="28" t="s">
        <v>188</v>
      </c>
      <c r="B2734" s="28" t="s">
        <v>189</v>
      </c>
      <c r="C2734" s="28" t="s">
        <v>174</v>
      </c>
      <c r="D2734" s="23" t="n">
        <v>8</v>
      </c>
      <c r="E2734" s="23" t="n">
        <v>20</v>
      </c>
      <c r="F2734" s="28" t="s">
        <v>451</v>
      </c>
      <c r="G2734" s="19" t="n">
        <v>0.0761</v>
      </c>
    </row>
    <row r="2735" customFormat="false" ht="15" hidden="false" customHeight="false" outlineLevel="0" collapsed="false">
      <c r="A2735" s="28" t="s">
        <v>188</v>
      </c>
      <c r="B2735" s="28" t="s">
        <v>189</v>
      </c>
      <c r="C2735" s="28" t="s">
        <v>174</v>
      </c>
      <c r="D2735" s="23" t="n">
        <v>8</v>
      </c>
      <c r="E2735" s="23" t="n">
        <v>20</v>
      </c>
      <c r="F2735" s="28" t="s">
        <v>905</v>
      </c>
      <c r="G2735" s="19" t="n">
        <v>0.0787</v>
      </c>
    </row>
    <row r="2736" customFormat="false" ht="15" hidden="false" customHeight="false" outlineLevel="0" collapsed="false">
      <c r="A2736" s="28" t="s">
        <v>188</v>
      </c>
      <c r="B2736" s="28" t="s">
        <v>189</v>
      </c>
      <c r="C2736" s="28" t="s">
        <v>174</v>
      </c>
      <c r="D2736" s="23" t="n">
        <v>8</v>
      </c>
      <c r="E2736" s="23" t="n">
        <v>20</v>
      </c>
      <c r="F2736" s="28" t="s">
        <v>906</v>
      </c>
      <c r="G2736" s="19" t="n">
        <v>0.0801</v>
      </c>
    </row>
    <row r="2737" customFormat="false" ht="15" hidden="false" customHeight="false" outlineLevel="0" collapsed="false">
      <c r="A2737" s="28" t="s">
        <v>188</v>
      </c>
      <c r="B2737" s="28" t="s">
        <v>189</v>
      </c>
      <c r="C2737" s="28" t="s">
        <v>174</v>
      </c>
      <c r="D2737" s="23" t="n">
        <v>8</v>
      </c>
      <c r="E2737" s="23" t="n">
        <v>20</v>
      </c>
      <c r="F2737" s="28" t="s">
        <v>907</v>
      </c>
      <c r="G2737" s="19" t="n">
        <v>0.0798</v>
      </c>
    </row>
    <row r="2738" customFormat="false" ht="15" hidden="false" customHeight="false" outlineLevel="0" collapsed="false">
      <c r="A2738" s="28" t="s">
        <v>188</v>
      </c>
      <c r="B2738" s="28" t="s">
        <v>189</v>
      </c>
      <c r="C2738" s="28" t="s">
        <v>174</v>
      </c>
      <c r="D2738" s="23" t="n">
        <v>8</v>
      </c>
      <c r="E2738" s="23" t="n">
        <v>20</v>
      </c>
      <c r="F2738" s="28" t="s">
        <v>908</v>
      </c>
      <c r="G2738" s="19" t="n">
        <v>0.0814</v>
      </c>
    </row>
    <row r="2739" customFormat="false" ht="15" hidden="false" customHeight="false" outlineLevel="0" collapsed="false">
      <c r="A2739" s="28" t="s">
        <v>188</v>
      </c>
      <c r="B2739" s="28" t="s">
        <v>189</v>
      </c>
      <c r="C2739" s="28" t="s">
        <v>174</v>
      </c>
      <c r="D2739" s="23" t="n">
        <v>8</v>
      </c>
      <c r="E2739" s="23" t="n">
        <v>20</v>
      </c>
      <c r="F2739" s="28" t="s">
        <v>909</v>
      </c>
      <c r="G2739" s="19" t="n">
        <v>0.0815</v>
      </c>
    </row>
    <row r="2740" customFormat="false" ht="15" hidden="false" customHeight="false" outlineLevel="0" collapsed="false">
      <c r="A2740" s="28" t="s">
        <v>188</v>
      </c>
      <c r="B2740" s="28" t="s">
        <v>189</v>
      </c>
      <c r="C2740" s="28" t="s">
        <v>174</v>
      </c>
      <c r="D2740" s="23" t="n">
        <v>8</v>
      </c>
      <c r="E2740" s="23" t="n">
        <v>20</v>
      </c>
      <c r="F2740" s="28" t="s">
        <v>910</v>
      </c>
      <c r="G2740" s="19" t="n">
        <v>0.0819</v>
      </c>
    </row>
    <row r="2741" customFormat="false" ht="15" hidden="false" customHeight="false" outlineLevel="0" collapsed="false">
      <c r="A2741" s="28" t="s">
        <v>188</v>
      </c>
      <c r="B2741" s="28" t="s">
        <v>189</v>
      </c>
      <c r="C2741" s="28" t="s">
        <v>174</v>
      </c>
      <c r="D2741" s="23" t="n">
        <v>8</v>
      </c>
      <c r="E2741" s="23" t="n">
        <v>20</v>
      </c>
      <c r="F2741" s="28" t="s">
        <v>911</v>
      </c>
      <c r="G2741" s="19" t="n">
        <v>0.083</v>
      </c>
    </row>
    <row r="2742" customFormat="false" ht="15" hidden="false" customHeight="false" outlineLevel="0" collapsed="false">
      <c r="A2742" s="28" t="s">
        <v>188</v>
      </c>
      <c r="B2742" s="28" t="s">
        <v>189</v>
      </c>
      <c r="C2742" s="28" t="s">
        <v>174</v>
      </c>
      <c r="D2742" s="23" t="n">
        <v>8</v>
      </c>
      <c r="E2742" s="23" t="n">
        <v>20</v>
      </c>
      <c r="F2742" s="28" t="s">
        <v>912</v>
      </c>
      <c r="G2742" s="19" t="n">
        <v>0.0844</v>
      </c>
    </row>
    <row r="2743" customFormat="false" ht="15" hidden="false" customHeight="false" outlineLevel="0" collapsed="false">
      <c r="A2743" s="28" t="s">
        <v>188</v>
      </c>
      <c r="B2743" s="28" t="s">
        <v>189</v>
      </c>
      <c r="C2743" s="28" t="s">
        <v>174</v>
      </c>
      <c r="D2743" s="23" t="n">
        <v>8</v>
      </c>
      <c r="E2743" s="23" t="n">
        <v>20</v>
      </c>
      <c r="F2743" s="28" t="s">
        <v>913</v>
      </c>
      <c r="G2743" s="19" t="n">
        <v>0.0893</v>
      </c>
    </row>
    <row r="2744" customFormat="false" ht="15" hidden="false" customHeight="false" outlineLevel="0" collapsed="false">
      <c r="A2744" s="28" t="s">
        <v>188</v>
      </c>
      <c r="B2744" s="28" t="s">
        <v>189</v>
      </c>
      <c r="C2744" s="28" t="s">
        <v>174</v>
      </c>
      <c r="D2744" s="23" t="n">
        <v>8</v>
      </c>
      <c r="E2744" s="23" t="n">
        <v>20</v>
      </c>
      <c r="F2744" s="28" t="s">
        <v>914</v>
      </c>
      <c r="G2744" s="19" t="n">
        <v>0.0891</v>
      </c>
    </row>
    <row r="2745" customFormat="false" ht="15" hidden="false" customHeight="false" outlineLevel="0" collapsed="false">
      <c r="A2745" s="28" t="s">
        <v>188</v>
      </c>
      <c r="B2745" s="28" t="s">
        <v>189</v>
      </c>
      <c r="C2745" s="28" t="s">
        <v>174</v>
      </c>
      <c r="D2745" s="23" t="n">
        <v>8</v>
      </c>
      <c r="E2745" s="23" t="n">
        <v>20</v>
      </c>
      <c r="F2745" s="28" t="s">
        <v>915</v>
      </c>
      <c r="G2745" s="19" t="n">
        <v>0.1049</v>
      </c>
    </row>
    <row r="2746" customFormat="false" ht="15" hidden="false" customHeight="false" outlineLevel="0" collapsed="false">
      <c r="A2746" s="28" t="s">
        <v>188</v>
      </c>
      <c r="B2746" s="28" t="s">
        <v>189</v>
      </c>
      <c r="C2746" s="28" t="s">
        <v>174</v>
      </c>
      <c r="D2746" s="23" t="n">
        <v>8</v>
      </c>
      <c r="E2746" s="23" t="n">
        <v>21</v>
      </c>
      <c r="F2746" s="28" t="s">
        <v>904</v>
      </c>
      <c r="G2746" s="19" t="n">
        <v>0.0763</v>
      </c>
    </row>
    <row r="2747" customFormat="false" ht="15" hidden="false" customHeight="false" outlineLevel="0" collapsed="false">
      <c r="A2747" s="28" t="s">
        <v>188</v>
      </c>
      <c r="B2747" s="28" t="s">
        <v>189</v>
      </c>
      <c r="C2747" s="28" t="s">
        <v>174</v>
      </c>
      <c r="D2747" s="23" t="n">
        <v>8</v>
      </c>
      <c r="E2747" s="23" t="n">
        <v>21</v>
      </c>
      <c r="F2747" s="28" t="s">
        <v>551</v>
      </c>
      <c r="G2747" s="19" t="n">
        <v>0.1075</v>
      </c>
    </row>
    <row r="2748" customFormat="false" ht="15" hidden="false" customHeight="false" outlineLevel="0" collapsed="false">
      <c r="A2748" s="28" t="s">
        <v>188</v>
      </c>
      <c r="B2748" s="28" t="s">
        <v>189</v>
      </c>
      <c r="C2748" s="28" t="s">
        <v>174</v>
      </c>
      <c r="D2748" s="23" t="n">
        <v>8</v>
      </c>
      <c r="E2748" s="23" t="n">
        <v>21</v>
      </c>
      <c r="F2748" s="28" t="s">
        <v>451</v>
      </c>
      <c r="G2748" s="19" t="n">
        <v>0.0761</v>
      </c>
    </row>
    <row r="2749" customFormat="false" ht="15" hidden="false" customHeight="false" outlineLevel="0" collapsed="false">
      <c r="A2749" s="28" t="s">
        <v>188</v>
      </c>
      <c r="B2749" s="28" t="s">
        <v>189</v>
      </c>
      <c r="C2749" s="28" t="s">
        <v>174</v>
      </c>
      <c r="D2749" s="23" t="n">
        <v>8</v>
      </c>
      <c r="E2749" s="23" t="n">
        <v>21</v>
      </c>
      <c r="F2749" s="28" t="s">
        <v>905</v>
      </c>
      <c r="G2749" s="19" t="n">
        <v>0.0787</v>
      </c>
    </row>
    <row r="2750" customFormat="false" ht="15" hidden="false" customHeight="false" outlineLevel="0" collapsed="false">
      <c r="A2750" s="28" t="s">
        <v>188</v>
      </c>
      <c r="B2750" s="28" t="s">
        <v>189</v>
      </c>
      <c r="C2750" s="28" t="s">
        <v>174</v>
      </c>
      <c r="D2750" s="23" t="n">
        <v>8</v>
      </c>
      <c r="E2750" s="23" t="n">
        <v>21</v>
      </c>
      <c r="F2750" s="28" t="s">
        <v>906</v>
      </c>
      <c r="G2750" s="19" t="n">
        <v>0.0801</v>
      </c>
    </row>
    <row r="2751" customFormat="false" ht="15" hidden="false" customHeight="false" outlineLevel="0" collapsed="false">
      <c r="A2751" s="28" t="s">
        <v>188</v>
      </c>
      <c r="B2751" s="28" t="s">
        <v>189</v>
      </c>
      <c r="C2751" s="28" t="s">
        <v>174</v>
      </c>
      <c r="D2751" s="23" t="n">
        <v>8</v>
      </c>
      <c r="E2751" s="23" t="n">
        <v>21</v>
      </c>
      <c r="F2751" s="28" t="s">
        <v>907</v>
      </c>
      <c r="G2751" s="19" t="n">
        <v>0.0798</v>
      </c>
    </row>
    <row r="2752" customFormat="false" ht="15" hidden="false" customHeight="false" outlineLevel="0" collapsed="false">
      <c r="A2752" s="28" t="s">
        <v>188</v>
      </c>
      <c r="B2752" s="28" t="s">
        <v>189</v>
      </c>
      <c r="C2752" s="28" t="s">
        <v>174</v>
      </c>
      <c r="D2752" s="23" t="n">
        <v>8</v>
      </c>
      <c r="E2752" s="23" t="n">
        <v>21</v>
      </c>
      <c r="F2752" s="28" t="s">
        <v>908</v>
      </c>
      <c r="G2752" s="19" t="n">
        <v>0.0814</v>
      </c>
    </row>
    <row r="2753" customFormat="false" ht="15" hidden="false" customHeight="false" outlineLevel="0" collapsed="false">
      <c r="A2753" s="28" t="s">
        <v>188</v>
      </c>
      <c r="B2753" s="28" t="s">
        <v>189</v>
      </c>
      <c r="C2753" s="28" t="s">
        <v>174</v>
      </c>
      <c r="D2753" s="23" t="n">
        <v>8</v>
      </c>
      <c r="E2753" s="23" t="n">
        <v>21</v>
      </c>
      <c r="F2753" s="28" t="s">
        <v>909</v>
      </c>
      <c r="G2753" s="19" t="n">
        <v>0.0815</v>
      </c>
    </row>
    <row r="2754" customFormat="false" ht="15" hidden="false" customHeight="false" outlineLevel="0" collapsed="false">
      <c r="A2754" s="28" t="s">
        <v>188</v>
      </c>
      <c r="B2754" s="28" t="s">
        <v>189</v>
      </c>
      <c r="C2754" s="28" t="s">
        <v>174</v>
      </c>
      <c r="D2754" s="23" t="n">
        <v>8</v>
      </c>
      <c r="E2754" s="23" t="n">
        <v>21</v>
      </c>
      <c r="F2754" s="28" t="s">
        <v>910</v>
      </c>
      <c r="G2754" s="19" t="n">
        <v>0.0819</v>
      </c>
    </row>
    <row r="2755" customFormat="false" ht="15" hidden="false" customHeight="false" outlineLevel="0" collapsed="false">
      <c r="A2755" s="28" t="s">
        <v>188</v>
      </c>
      <c r="B2755" s="28" t="s">
        <v>189</v>
      </c>
      <c r="C2755" s="28" t="s">
        <v>174</v>
      </c>
      <c r="D2755" s="23" t="n">
        <v>8</v>
      </c>
      <c r="E2755" s="23" t="n">
        <v>21</v>
      </c>
      <c r="F2755" s="28" t="s">
        <v>911</v>
      </c>
      <c r="G2755" s="19" t="n">
        <v>0.083</v>
      </c>
    </row>
    <row r="2756" customFormat="false" ht="15" hidden="false" customHeight="false" outlineLevel="0" collapsed="false">
      <c r="A2756" s="28" t="s">
        <v>188</v>
      </c>
      <c r="B2756" s="28" t="s">
        <v>189</v>
      </c>
      <c r="C2756" s="28" t="s">
        <v>174</v>
      </c>
      <c r="D2756" s="23" t="n">
        <v>8</v>
      </c>
      <c r="E2756" s="23" t="n">
        <v>21</v>
      </c>
      <c r="F2756" s="28" t="s">
        <v>912</v>
      </c>
      <c r="G2756" s="19" t="n">
        <v>0.0844</v>
      </c>
    </row>
    <row r="2757" customFormat="false" ht="15" hidden="false" customHeight="false" outlineLevel="0" collapsed="false">
      <c r="A2757" s="28" t="s">
        <v>188</v>
      </c>
      <c r="B2757" s="28" t="s">
        <v>189</v>
      </c>
      <c r="C2757" s="28" t="s">
        <v>174</v>
      </c>
      <c r="D2757" s="23" t="n">
        <v>8</v>
      </c>
      <c r="E2757" s="23" t="n">
        <v>21</v>
      </c>
      <c r="F2757" s="28" t="s">
        <v>913</v>
      </c>
      <c r="G2757" s="19" t="n">
        <v>0.0893</v>
      </c>
    </row>
    <row r="2758" customFormat="false" ht="15" hidden="false" customHeight="false" outlineLevel="0" collapsed="false">
      <c r="A2758" s="28" t="s">
        <v>188</v>
      </c>
      <c r="B2758" s="28" t="s">
        <v>189</v>
      </c>
      <c r="C2758" s="28" t="s">
        <v>174</v>
      </c>
      <c r="D2758" s="23" t="n">
        <v>8</v>
      </c>
      <c r="E2758" s="23" t="n">
        <v>21</v>
      </c>
      <c r="F2758" s="28" t="s">
        <v>914</v>
      </c>
      <c r="G2758" s="19" t="n">
        <v>0.0891</v>
      </c>
    </row>
    <row r="2759" customFormat="false" ht="15" hidden="false" customHeight="false" outlineLevel="0" collapsed="false">
      <c r="A2759" s="28" t="s">
        <v>188</v>
      </c>
      <c r="B2759" s="28" t="s">
        <v>189</v>
      </c>
      <c r="C2759" s="28" t="s">
        <v>174</v>
      </c>
      <c r="D2759" s="23" t="n">
        <v>8</v>
      </c>
      <c r="E2759" s="23" t="n">
        <v>21</v>
      </c>
      <c r="F2759" s="28" t="s">
        <v>915</v>
      </c>
      <c r="G2759" s="19" t="n">
        <v>0.1049</v>
      </c>
    </row>
    <row r="2760" customFormat="false" ht="15" hidden="false" customHeight="false" outlineLevel="0" collapsed="false">
      <c r="A2760" s="28" t="s">
        <v>188</v>
      </c>
      <c r="B2760" s="28" t="s">
        <v>189</v>
      </c>
      <c r="C2760" s="28" t="s">
        <v>174</v>
      </c>
      <c r="D2760" s="23" t="n">
        <v>8</v>
      </c>
      <c r="E2760" s="23" t="n">
        <v>22</v>
      </c>
      <c r="F2760" s="28" t="s">
        <v>904</v>
      </c>
      <c r="G2760" s="19" t="n">
        <v>0.0763</v>
      </c>
    </row>
    <row r="2761" customFormat="false" ht="15" hidden="false" customHeight="false" outlineLevel="0" collapsed="false">
      <c r="A2761" s="28" t="s">
        <v>188</v>
      </c>
      <c r="B2761" s="28" t="s">
        <v>189</v>
      </c>
      <c r="C2761" s="28" t="s">
        <v>174</v>
      </c>
      <c r="D2761" s="23" t="n">
        <v>8</v>
      </c>
      <c r="E2761" s="23" t="n">
        <v>22</v>
      </c>
      <c r="F2761" s="28" t="s">
        <v>551</v>
      </c>
      <c r="G2761" s="19" t="n">
        <v>0.1075</v>
      </c>
    </row>
    <row r="2762" customFormat="false" ht="15" hidden="false" customHeight="false" outlineLevel="0" collapsed="false">
      <c r="A2762" s="28" t="s">
        <v>188</v>
      </c>
      <c r="B2762" s="28" t="s">
        <v>189</v>
      </c>
      <c r="C2762" s="28" t="s">
        <v>174</v>
      </c>
      <c r="D2762" s="23" t="n">
        <v>8</v>
      </c>
      <c r="E2762" s="23" t="n">
        <v>22</v>
      </c>
      <c r="F2762" s="28" t="s">
        <v>451</v>
      </c>
      <c r="G2762" s="19" t="n">
        <v>0.0761</v>
      </c>
    </row>
    <row r="2763" customFormat="false" ht="15" hidden="false" customHeight="false" outlineLevel="0" collapsed="false">
      <c r="A2763" s="28" t="s">
        <v>188</v>
      </c>
      <c r="B2763" s="28" t="s">
        <v>189</v>
      </c>
      <c r="C2763" s="28" t="s">
        <v>174</v>
      </c>
      <c r="D2763" s="23" t="n">
        <v>8</v>
      </c>
      <c r="E2763" s="23" t="n">
        <v>22</v>
      </c>
      <c r="F2763" s="28" t="s">
        <v>905</v>
      </c>
      <c r="G2763" s="19" t="n">
        <v>0.0787</v>
      </c>
    </row>
    <row r="2764" customFormat="false" ht="15" hidden="false" customHeight="false" outlineLevel="0" collapsed="false">
      <c r="A2764" s="28" t="s">
        <v>188</v>
      </c>
      <c r="B2764" s="28" t="s">
        <v>189</v>
      </c>
      <c r="C2764" s="28" t="s">
        <v>174</v>
      </c>
      <c r="D2764" s="23" t="n">
        <v>8</v>
      </c>
      <c r="E2764" s="23" t="n">
        <v>22</v>
      </c>
      <c r="F2764" s="28" t="s">
        <v>906</v>
      </c>
      <c r="G2764" s="19" t="n">
        <v>0.0801</v>
      </c>
    </row>
    <row r="2765" customFormat="false" ht="15" hidden="false" customHeight="false" outlineLevel="0" collapsed="false">
      <c r="A2765" s="28" t="s">
        <v>188</v>
      </c>
      <c r="B2765" s="28" t="s">
        <v>189</v>
      </c>
      <c r="C2765" s="28" t="s">
        <v>174</v>
      </c>
      <c r="D2765" s="23" t="n">
        <v>8</v>
      </c>
      <c r="E2765" s="23" t="n">
        <v>22</v>
      </c>
      <c r="F2765" s="28" t="s">
        <v>907</v>
      </c>
      <c r="G2765" s="19" t="n">
        <v>0.0798</v>
      </c>
    </row>
    <row r="2766" customFormat="false" ht="15" hidden="false" customHeight="false" outlineLevel="0" collapsed="false">
      <c r="A2766" s="28" t="s">
        <v>188</v>
      </c>
      <c r="B2766" s="28" t="s">
        <v>189</v>
      </c>
      <c r="C2766" s="28" t="s">
        <v>174</v>
      </c>
      <c r="D2766" s="23" t="n">
        <v>8</v>
      </c>
      <c r="E2766" s="23" t="n">
        <v>22</v>
      </c>
      <c r="F2766" s="28" t="s">
        <v>908</v>
      </c>
      <c r="G2766" s="19" t="n">
        <v>0.0814</v>
      </c>
    </row>
    <row r="2767" customFormat="false" ht="15" hidden="false" customHeight="false" outlineLevel="0" collapsed="false">
      <c r="A2767" s="28" t="s">
        <v>188</v>
      </c>
      <c r="B2767" s="28" t="s">
        <v>189</v>
      </c>
      <c r="C2767" s="28" t="s">
        <v>174</v>
      </c>
      <c r="D2767" s="23" t="n">
        <v>8</v>
      </c>
      <c r="E2767" s="23" t="n">
        <v>22</v>
      </c>
      <c r="F2767" s="28" t="s">
        <v>909</v>
      </c>
      <c r="G2767" s="19" t="n">
        <v>0.0815</v>
      </c>
    </row>
    <row r="2768" customFormat="false" ht="15" hidden="false" customHeight="false" outlineLevel="0" collapsed="false">
      <c r="A2768" s="28" t="s">
        <v>188</v>
      </c>
      <c r="B2768" s="28" t="s">
        <v>189</v>
      </c>
      <c r="C2768" s="28" t="s">
        <v>174</v>
      </c>
      <c r="D2768" s="23" t="n">
        <v>8</v>
      </c>
      <c r="E2768" s="23" t="n">
        <v>22</v>
      </c>
      <c r="F2768" s="28" t="s">
        <v>910</v>
      </c>
      <c r="G2768" s="19" t="n">
        <v>0.0819</v>
      </c>
    </row>
    <row r="2769" customFormat="false" ht="15" hidden="false" customHeight="false" outlineLevel="0" collapsed="false">
      <c r="A2769" s="28" t="s">
        <v>188</v>
      </c>
      <c r="B2769" s="28" t="s">
        <v>189</v>
      </c>
      <c r="C2769" s="28" t="s">
        <v>174</v>
      </c>
      <c r="D2769" s="23" t="n">
        <v>8</v>
      </c>
      <c r="E2769" s="23" t="n">
        <v>22</v>
      </c>
      <c r="F2769" s="28" t="s">
        <v>911</v>
      </c>
      <c r="G2769" s="19" t="n">
        <v>0.083</v>
      </c>
    </row>
    <row r="2770" customFormat="false" ht="15" hidden="false" customHeight="false" outlineLevel="0" collapsed="false">
      <c r="A2770" s="28" t="s">
        <v>188</v>
      </c>
      <c r="B2770" s="28" t="s">
        <v>189</v>
      </c>
      <c r="C2770" s="28" t="s">
        <v>174</v>
      </c>
      <c r="D2770" s="23" t="n">
        <v>8</v>
      </c>
      <c r="E2770" s="23" t="n">
        <v>22</v>
      </c>
      <c r="F2770" s="28" t="s">
        <v>912</v>
      </c>
      <c r="G2770" s="19" t="n">
        <v>0.0844</v>
      </c>
    </row>
    <row r="2771" customFormat="false" ht="15" hidden="false" customHeight="false" outlineLevel="0" collapsed="false">
      <c r="A2771" s="28" t="s">
        <v>188</v>
      </c>
      <c r="B2771" s="28" t="s">
        <v>189</v>
      </c>
      <c r="C2771" s="28" t="s">
        <v>174</v>
      </c>
      <c r="D2771" s="23" t="n">
        <v>8</v>
      </c>
      <c r="E2771" s="23" t="n">
        <v>22</v>
      </c>
      <c r="F2771" s="28" t="s">
        <v>913</v>
      </c>
      <c r="G2771" s="19" t="n">
        <v>0.0893</v>
      </c>
    </row>
    <row r="2772" customFormat="false" ht="15" hidden="false" customHeight="false" outlineLevel="0" collapsed="false">
      <c r="A2772" s="28" t="s">
        <v>188</v>
      </c>
      <c r="B2772" s="28" t="s">
        <v>189</v>
      </c>
      <c r="C2772" s="28" t="s">
        <v>174</v>
      </c>
      <c r="D2772" s="23" t="n">
        <v>8</v>
      </c>
      <c r="E2772" s="23" t="n">
        <v>22</v>
      </c>
      <c r="F2772" s="28" t="s">
        <v>914</v>
      </c>
      <c r="G2772" s="19" t="n">
        <v>0.0891</v>
      </c>
    </row>
    <row r="2773" customFormat="false" ht="15" hidden="false" customHeight="false" outlineLevel="0" collapsed="false">
      <c r="A2773" s="28" t="s">
        <v>188</v>
      </c>
      <c r="B2773" s="28" t="s">
        <v>189</v>
      </c>
      <c r="C2773" s="28" t="s">
        <v>174</v>
      </c>
      <c r="D2773" s="23" t="n">
        <v>8</v>
      </c>
      <c r="E2773" s="23" t="n">
        <v>22</v>
      </c>
      <c r="F2773" s="28" t="s">
        <v>915</v>
      </c>
      <c r="G2773" s="19" t="n">
        <v>0.1049</v>
      </c>
    </row>
    <row r="2774" customFormat="false" ht="15" hidden="false" customHeight="false" outlineLevel="0" collapsed="false">
      <c r="A2774" s="28" t="s">
        <v>188</v>
      </c>
      <c r="B2774" s="28" t="s">
        <v>189</v>
      </c>
      <c r="C2774" s="28" t="s">
        <v>174</v>
      </c>
      <c r="D2774" s="23" t="n">
        <v>8</v>
      </c>
      <c r="E2774" s="23" t="n">
        <v>23</v>
      </c>
      <c r="F2774" s="28" t="s">
        <v>904</v>
      </c>
      <c r="G2774" s="19" t="n">
        <v>0.0763</v>
      </c>
    </row>
    <row r="2775" customFormat="false" ht="15" hidden="false" customHeight="false" outlineLevel="0" collapsed="false">
      <c r="A2775" s="28" t="s">
        <v>188</v>
      </c>
      <c r="B2775" s="28" t="s">
        <v>189</v>
      </c>
      <c r="C2775" s="28" t="s">
        <v>174</v>
      </c>
      <c r="D2775" s="23" t="n">
        <v>8</v>
      </c>
      <c r="E2775" s="23" t="n">
        <v>23</v>
      </c>
      <c r="F2775" s="28" t="s">
        <v>551</v>
      </c>
      <c r="G2775" s="19" t="n">
        <v>0.1075</v>
      </c>
    </row>
    <row r="2776" customFormat="false" ht="15" hidden="false" customHeight="false" outlineLevel="0" collapsed="false">
      <c r="A2776" s="28" t="s">
        <v>188</v>
      </c>
      <c r="B2776" s="28" t="s">
        <v>189</v>
      </c>
      <c r="C2776" s="28" t="s">
        <v>174</v>
      </c>
      <c r="D2776" s="23" t="n">
        <v>8</v>
      </c>
      <c r="E2776" s="23" t="n">
        <v>23</v>
      </c>
      <c r="F2776" s="28" t="s">
        <v>451</v>
      </c>
      <c r="G2776" s="19" t="n">
        <v>0.0761</v>
      </c>
    </row>
    <row r="2777" customFormat="false" ht="15" hidden="false" customHeight="false" outlineLevel="0" collapsed="false">
      <c r="A2777" s="28" t="s">
        <v>188</v>
      </c>
      <c r="B2777" s="28" t="s">
        <v>189</v>
      </c>
      <c r="C2777" s="28" t="s">
        <v>174</v>
      </c>
      <c r="D2777" s="23" t="n">
        <v>8</v>
      </c>
      <c r="E2777" s="23" t="n">
        <v>23</v>
      </c>
      <c r="F2777" s="28" t="s">
        <v>905</v>
      </c>
      <c r="G2777" s="19" t="n">
        <v>0.0787</v>
      </c>
    </row>
    <row r="2778" customFormat="false" ht="15" hidden="false" customHeight="false" outlineLevel="0" collapsed="false">
      <c r="A2778" s="28" t="s">
        <v>188</v>
      </c>
      <c r="B2778" s="28" t="s">
        <v>189</v>
      </c>
      <c r="C2778" s="28" t="s">
        <v>174</v>
      </c>
      <c r="D2778" s="23" t="n">
        <v>8</v>
      </c>
      <c r="E2778" s="23" t="n">
        <v>23</v>
      </c>
      <c r="F2778" s="28" t="s">
        <v>906</v>
      </c>
      <c r="G2778" s="19" t="n">
        <v>0.0801</v>
      </c>
    </row>
    <row r="2779" customFormat="false" ht="15" hidden="false" customHeight="false" outlineLevel="0" collapsed="false">
      <c r="A2779" s="28" t="s">
        <v>188</v>
      </c>
      <c r="B2779" s="28" t="s">
        <v>189</v>
      </c>
      <c r="C2779" s="28" t="s">
        <v>174</v>
      </c>
      <c r="D2779" s="23" t="n">
        <v>8</v>
      </c>
      <c r="E2779" s="23" t="n">
        <v>23</v>
      </c>
      <c r="F2779" s="28" t="s">
        <v>907</v>
      </c>
      <c r="G2779" s="19" t="n">
        <v>0.0798</v>
      </c>
    </row>
    <row r="2780" customFormat="false" ht="15" hidden="false" customHeight="false" outlineLevel="0" collapsed="false">
      <c r="A2780" s="28" t="s">
        <v>188</v>
      </c>
      <c r="B2780" s="28" t="s">
        <v>189</v>
      </c>
      <c r="C2780" s="28" t="s">
        <v>174</v>
      </c>
      <c r="D2780" s="23" t="n">
        <v>8</v>
      </c>
      <c r="E2780" s="23" t="n">
        <v>23</v>
      </c>
      <c r="F2780" s="28" t="s">
        <v>908</v>
      </c>
      <c r="G2780" s="19" t="n">
        <v>0.0814</v>
      </c>
    </row>
    <row r="2781" customFormat="false" ht="15" hidden="false" customHeight="false" outlineLevel="0" collapsed="false">
      <c r="A2781" s="28" t="s">
        <v>188</v>
      </c>
      <c r="B2781" s="28" t="s">
        <v>189</v>
      </c>
      <c r="C2781" s="28" t="s">
        <v>174</v>
      </c>
      <c r="D2781" s="23" t="n">
        <v>8</v>
      </c>
      <c r="E2781" s="23" t="n">
        <v>23</v>
      </c>
      <c r="F2781" s="28" t="s">
        <v>909</v>
      </c>
      <c r="G2781" s="19" t="n">
        <v>0.0815</v>
      </c>
    </row>
    <row r="2782" customFormat="false" ht="15" hidden="false" customHeight="false" outlineLevel="0" collapsed="false">
      <c r="A2782" s="28" t="s">
        <v>188</v>
      </c>
      <c r="B2782" s="28" t="s">
        <v>189</v>
      </c>
      <c r="C2782" s="28" t="s">
        <v>174</v>
      </c>
      <c r="D2782" s="23" t="n">
        <v>8</v>
      </c>
      <c r="E2782" s="23" t="n">
        <v>23</v>
      </c>
      <c r="F2782" s="28" t="s">
        <v>910</v>
      </c>
      <c r="G2782" s="19" t="n">
        <v>0.0819</v>
      </c>
    </row>
    <row r="2783" customFormat="false" ht="15" hidden="false" customHeight="false" outlineLevel="0" collapsed="false">
      <c r="A2783" s="28" t="s">
        <v>188</v>
      </c>
      <c r="B2783" s="28" t="s">
        <v>189</v>
      </c>
      <c r="C2783" s="28" t="s">
        <v>174</v>
      </c>
      <c r="D2783" s="23" t="n">
        <v>8</v>
      </c>
      <c r="E2783" s="23" t="n">
        <v>23</v>
      </c>
      <c r="F2783" s="28" t="s">
        <v>911</v>
      </c>
      <c r="G2783" s="19" t="n">
        <v>0.083</v>
      </c>
    </row>
    <row r="2784" customFormat="false" ht="15" hidden="false" customHeight="false" outlineLevel="0" collapsed="false">
      <c r="A2784" s="28" t="s">
        <v>188</v>
      </c>
      <c r="B2784" s="28" t="s">
        <v>189</v>
      </c>
      <c r="C2784" s="28" t="s">
        <v>174</v>
      </c>
      <c r="D2784" s="23" t="n">
        <v>8</v>
      </c>
      <c r="E2784" s="23" t="n">
        <v>23</v>
      </c>
      <c r="F2784" s="28" t="s">
        <v>912</v>
      </c>
      <c r="G2784" s="19" t="n">
        <v>0.0844</v>
      </c>
    </row>
    <row r="2785" customFormat="false" ht="15" hidden="false" customHeight="false" outlineLevel="0" collapsed="false">
      <c r="A2785" s="28" t="s">
        <v>188</v>
      </c>
      <c r="B2785" s="28" t="s">
        <v>189</v>
      </c>
      <c r="C2785" s="28" t="s">
        <v>174</v>
      </c>
      <c r="D2785" s="23" t="n">
        <v>8</v>
      </c>
      <c r="E2785" s="23" t="n">
        <v>23</v>
      </c>
      <c r="F2785" s="28" t="s">
        <v>913</v>
      </c>
      <c r="G2785" s="19" t="n">
        <v>0.0893</v>
      </c>
    </row>
    <row r="2786" customFormat="false" ht="15" hidden="false" customHeight="false" outlineLevel="0" collapsed="false">
      <c r="A2786" s="28" t="s">
        <v>188</v>
      </c>
      <c r="B2786" s="28" t="s">
        <v>189</v>
      </c>
      <c r="C2786" s="28" t="s">
        <v>174</v>
      </c>
      <c r="D2786" s="23" t="n">
        <v>8</v>
      </c>
      <c r="E2786" s="23" t="n">
        <v>23</v>
      </c>
      <c r="F2786" s="28" t="s">
        <v>914</v>
      </c>
      <c r="G2786" s="19" t="n">
        <v>0.0891</v>
      </c>
    </row>
    <row r="2787" customFormat="false" ht="15" hidden="false" customHeight="false" outlineLevel="0" collapsed="false">
      <c r="A2787" s="28" t="s">
        <v>188</v>
      </c>
      <c r="B2787" s="28" t="s">
        <v>189</v>
      </c>
      <c r="C2787" s="28" t="s">
        <v>174</v>
      </c>
      <c r="D2787" s="23" t="n">
        <v>8</v>
      </c>
      <c r="E2787" s="23" t="n">
        <v>23</v>
      </c>
      <c r="F2787" s="28" t="s">
        <v>915</v>
      </c>
      <c r="G2787" s="19" t="n">
        <v>0.1049</v>
      </c>
    </row>
    <row r="2788" customFormat="false" ht="15" hidden="false" customHeight="false" outlineLevel="0" collapsed="false">
      <c r="A2788" s="28" t="s">
        <v>188</v>
      </c>
      <c r="B2788" s="28" t="s">
        <v>189</v>
      </c>
      <c r="C2788" s="28" t="s">
        <v>174</v>
      </c>
      <c r="D2788" s="23" t="n">
        <v>8</v>
      </c>
      <c r="E2788" s="23" t="n">
        <v>24</v>
      </c>
      <c r="F2788" s="28" t="s">
        <v>904</v>
      </c>
      <c r="G2788" s="19" t="n">
        <v>0.0763</v>
      </c>
    </row>
    <row r="2789" customFormat="false" ht="15" hidden="false" customHeight="false" outlineLevel="0" collapsed="false">
      <c r="A2789" s="28" t="s">
        <v>188</v>
      </c>
      <c r="B2789" s="28" t="s">
        <v>189</v>
      </c>
      <c r="C2789" s="28" t="s">
        <v>174</v>
      </c>
      <c r="D2789" s="23" t="n">
        <v>8</v>
      </c>
      <c r="E2789" s="23" t="n">
        <v>24</v>
      </c>
      <c r="F2789" s="28" t="s">
        <v>551</v>
      </c>
      <c r="G2789" s="19" t="n">
        <v>0.1075</v>
      </c>
    </row>
    <row r="2790" customFormat="false" ht="15" hidden="false" customHeight="false" outlineLevel="0" collapsed="false">
      <c r="A2790" s="28" t="s">
        <v>188</v>
      </c>
      <c r="B2790" s="28" t="s">
        <v>189</v>
      </c>
      <c r="C2790" s="28" t="s">
        <v>174</v>
      </c>
      <c r="D2790" s="23" t="n">
        <v>8</v>
      </c>
      <c r="E2790" s="23" t="n">
        <v>24</v>
      </c>
      <c r="F2790" s="28" t="s">
        <v>451</v>
      </c>
      <c r="G2790" s="19" t="n">
        <v>0.0761</v>
      </c>
    </row>
    <row r="2791" customFormat="false" ht="15" hidden="false" customHeight="false" outlineLevel="0" collapsed="false">
      <c r="A2791" s="28" t="s">
        <v>188</v>
      </c>
      <c r="B2791" s="28" t="s">
        <v>189</v>
      </c>
      <c r="C2791" s="28" t="s">
        <v>174</v>
      </c>
      <c r="D2791" s="23" t="n">
        <v>8</v>
      </c>
      <c r="E2791" s="23" t="n">
        <v>24</v>
      </c>
      <c r="F2791" s="28" t="s">
        <v>905</v>
      </c>
      <c r="G2791" s="19" t="n">
        <v>0.0787</v>
      </c>
    </row>
    <row r="2792" customFormat="false" ht="15" hidden="false" customHeight="false" outlineLevel="0" collapsed="false">
      <c r="A2792" s="28" t="s">
        <v>188</v>
      </c>
      <c r="B2792" s="28" t="s">
        <v>189</v>
      </c>
      <c r="C2792" s="28" t="s">
        <v>174</v>
      </c>
      <c r="D2792" s="23" t="n">
        <v>8</v>
      </c>
      <c r="E2792" s="23" t="n">
        <v>24</v>
      </c>
      <c r="F2792" s="28" t="s">
        <v>906</v>
      </c>
      <c r="G2792" s="19" t="n">
        <v>0.0801</v>
      </c>
    </row>
    <row r="2793" customFormat="false" ht="15" hidden="false" customHeight="false" outlineLevel="0" collapsed="false">
      <c r="A2793" s="28" t="s">
        <v>188</v>
      </c>
      <c r="B2793" s="28" t="s">
        <v>189</v>
      </c>
      <c r="C2793" s="28" t="s">
        <v>174</v>
      </c>
      <c r="D2793" s="23" t="n">
        <v>8</v>
      </c>
      <c r="E2793" s="23" t="n">
        <v>24</v>
      </c>
      <c r="F2793" s="28" t="s">
        <v>907</v>
      </c>
      <c r="G2793" s="19" t="n">
        <v>0.0798</v>
      </c>
    </row>
    <row r="2794" customFormat="false" ht="15" hidden="false" customHeight="false" outlineLevel="0" collapsed="false">
      <c r="A2794" s="28" t="s">
        <v>188</v>
      </c>
      <c r="B2794" s="28" t="s">
        <v>189</v>
      </c>
      <c r="C2794" s="28" t="s">
        <v>174</v>
      </c>
      <c r="D2794" s="23" t="n">
        <v>8</v>
      </c>
      <c r="E2794" s="23" t="n">
        <v>24</v>
      </c>
      <c r="F2794" s="28" t="s">
        <v>908</v>
      </c>
      <c r="G2794" s="19" t="n">
        <v>0.0814</v>
      </c>
    </row>
    <row r="2795" customFormat="false" ht="15" hidden="false" customHeight="false" outlineLevel="0" collapsed="false">
      <c r="A2795" s="28" t="s">
        <v>188</v>
      </c>
      <c r="B2795" s="28" t="s">
        <v>189</v>
      </c>
      <c r="C2795" s="28" t="s">
        <v>174</v>
      </c>
      <c r="D2795" s="23" t="n">
        <v>8</v>
      </c>
      <c r="E2795" s="23" t="n">
        <v>24</v>
      </c>
      <c r="F2795" s="28" t="s">
        <v>909</v>
      </c>
      <c r="G2795" s="19" t="n">
        <v>0.0815</v>
      </c>
    </row>
    <row r="2796" customFormat="false" ht="15" hidden="false" customHeight="false" outlineLevel="0" collapsed="false">
      <c r="A2796" s="28" t="s">
        <v>188</v>
      </c>
      <c r="B2796" s="28" t="s">
        <v>189</v>
      </c>
      <c r="C2796" s="28" t="s">
        <v>174</v>
      </c>
      <c r="D2796" s="23" t="n">
        <v>8</v>
      </c>
      <c r="E2796" s="23" t="n">
        <v>24</v>
      </c>
      <c r="F2796" s="28" t="s">
        <v>910</v>
      </c>
      <c r="G2796" s="19" t="n">
        <v>0.0819</v>
      </c>
    </row>
    <row r="2797" customFormat="false" ht="15" hidden="false" customHeight="false" outlineLevel="0" collapsed="false">
      <c r="A2797" s="28" t="s">
        <v>188</v>
      </c>
      <c r="B2797" s="28" t="s">
        <v>189</v>
      </c>
      <c r="C2797" s="28" t="s">
        <v>174</v>
      </c>
      <c r="D2797" s="23" t="n">
        <v>8</v>
      </c>
      <c r="E2797" s="23" t="n">
        <v>24</v>
      </c>
      <c r="F2797" s="28" t="s">
        <v>911</v>
      </c>
      <c r="G2797" s="19" t="n">
        <v>0.083</v>
      </c>
    </row>
    <row r="2798" customFormat="false" ht="15" hidden="false" customHeight="false" outlineLevel="0" collapsed="false">
      <c r="A2798" s="28" t="s">
        <v>188</v>
      </c>
      <c r="B2798" s="28" t="s">
        <v>189</v>
      </c>
      <c r="C2798" s="28" t="s">
        <v>174</v>
      </c>
      <c r="D2798" s="23" t="n">
        <v>8</v>
      </c>
      <c r="E2798" s="23" t="n">
        <v>24</v>
      </c>
      <c r="F2798" s="28" t="s">
        <v>912</v>
      </c>
      <c r="G2798" s="19" t="n">
        <v>0.0844</v>
      </c>
    </row>
    <row r="2799" customFormat="false" ht="15" hidden="false" customHeight="false" outlineLevel="0" collapsed="false">
      <c r="A2799" s="28" t="s">
        <v>188</v>
      </c>
      <c r="B2799" s="28" t="s">
        <v>189</v>
      </c>
      <c r="C2799" s="28" t="s">
        <v>174</v>
      </c>
      <c r="D2799" s="23" t="n">
        <v>8</v>
      </c>
      <c r="E2799" s="23" t="n">
        <v>24</v>
      </c>
      <c r="F2799" s="28" t="s">
        <v>913</v>
      </c>
      <c r="G2799" s="19" t="n">
        <v>0.0893</v>
      </c>
    </row>
    <row r="2800" customFormat="false" ht="15" hidden="false" customHeight="false" outlineLevel="0" collapsed="false">
      <c r="A2800" s="28" t="s">
        <v>188</v>
      </c>
      <c r="B2800" s="28" t="s">
        <v>189</v>
      </c>
      <c r="C2800" s="28" t="s">
        <v>174</v>
      </c>
      <c r="D2800" s="23" t="n">
        <v>8</v>
      </c>
      <c r="E2800" s="23" t="n">
        <v>24</v>
      </c>
      <c r="F2800" s="28" t="s">
        <v>914</v>
      </c>
      <c r="G2800" s="19" t="n">
        <v>0.0891</v>
      </c>
    </row>
    <row r="2801" customFormat="false" ht="15" hidden="false" customHeight="false" outlineLevel="0" collapsed="false">
      <c r="A2801" s="28" t="s">
        <v>188</v>
      </c>
      <c r="B2801" s="28" t="s">
        <v>189</v>
      </c>
      <c r="C2801" s="28" t="s">
        <v>174</v>
      </c>
      <c r="D2801" s="23" t="n">
        <v>8</v>
      </c>
      <c r="E2801" s="23" t="n">
        <v>24</v>
      </c>
      <c r="F2801" s="28" t="s">
        <v>915</v>
      </c>
      <c r="G2801" s="19" t="n">
        <v>0.1049</v>
      </c>
    </row>
    <row r="2802" customFormat="false" ht="15" hidden="false" customHeight="false" outlineLevel="0" collapsed="false">
      <c r="A2802" s="28" t="s">
        <v>190</v>
      </c>
      <c r="B2802" s="28" t="s">
        <v>191</v>
      </c>
      <c r="C2802" s="28" t="s">
        <v>192</v>
      </c>
      <c r="D2802" s="23" t="n">
        <v>9</v>
      </c>
      <c r="E2802" s="23" t="n">
        <v>0</v>
      </c>
      <c r="F2802" s="28" t="s">
        <v>904</v>
      </c>
      <c r="G2802" s="19" t="n">
        <v>0.0363</v>
      </c>
    </row>
    <row r="2803" customFormat="false" ht="15" hidden="false" customHeight="false" outlineLevel="0" collapsed="false">
      <c r="A2803" s="28" t="s">
        <v>190</v>
      </c>
      <c r="B2803" s="28" t="s">
        <v>191</v>
      </c>
      <c r="C2803" s="28" t="s">
        <v>192</v>
      </c>
      <c r="D2803" s="23" t="n">
        <v>9</v>
      </c>
      <c r="E2803" s="23" t="n">
        <v>0</v>
      </c>
      <c r="F2803" s="28" t="s">
        <v>551</v>
      </c>
      <c r="G2803" s="19" t="n">
        <v>0.0675</v>
      </c>
    </row>
    <row r="2804" customFormat="false" ht="15" hidden="false" customHeight="false" outlineLevel="0" collapsed="false">
      <c r="A2804" s="28" t="s">
        <v>190</v>
      </c>
      <c r="B2804" s="28" t="s">
        <v>191</v>
      </c>
      <c r="C2804" s="28" t="s">
        <v>192</v>
      </c>
      <c r="D2804" s="23" t="n">
        <v>9</v>
      </c>
      <c r="E2804" s="23" t="n">
        <v>0</v>
      </c>
      <c r="F2804" s="28" t="s">
        <v>451</v>
      </c>
      <c r="G2804" s="19" t="n">
        <v>0.0361</v>
      </c>
    </row>
    <row r="2805" customFormat="false" ht="15" hidden="false" customHeight="false" outlineLevel="0" collapsed="false">
      <c r="A2805" s="28" t="s">
        <v>190</v>
      </c>
      <c r="B2805" s="28" t="s">
        <v>191</v>
      </c>
      <c r="C2805" s="28" t="s">
        <v>192</v>
      </c>
      <c r="D2805" s="23" t="n">
        <v>9</v>
      </c>
      <c r="E2805" s="23" t="n">
        <v>0</v>
      </c>
      <c r="F2805" s="28" t="s">
        <v>905</v>
      </c>
      <c r="G2805" s="19" t="n">
        <v>0.0387</v>
      </c>
    </row>
    <row r="2806" customFormat="false" ht="15" hidden="false" customHeight="false" outlineLevel="0" collapsed="false">
      <c r="A2806" s="28" t="s">
        <v>190</v>
      </c>
      <c r="B2806" s="28" t="s">
        <v>191</v>
      </c>
      <c r="C2806" s="28" t="s">
        <v>192</v>
      </c>
      <c r="D2806" s="23" t="n">
        <v>9</v>
      </c>
      <c r="E2806" s="23" t="n">
        <v>0</v>
      </c>
      <c r="F2806" s="28" t="s">
        <v>906</v>
      </c>
      <c r="G2806" s="19" t="n">
        <v>0.0401</v>
      </c>
    </row>
    <row r="2807" customFormat="false" ht="15" hidden="false" customHeight="false" outlineLevel="0" collapsed="false">
      <c r="A2807" s="28" t="s">
        <v>190</v>
      </c>
      <c r="B2807" s="28" t="s">
        <v>191</v>
      </c>
      <c r="C2807" s="28" t="s">
        <v>192</v>
      </c>
      <c r="D2807" s="23" t="n">
        <v>9</v>
      </c>
      <c r="E2807" s="23" t="n">
        <v>0</v>
      </c>
      <c r="F2807" s="28" t="s">
        <v>907</v>
      </c>
      <c r="G2807" s="19" t="n">
        <v>0.0398</v>
      </c>
    </row>
    <row r="2808" customFormat="false" ht="15" hidden="false" customHeight="false" outlineLevel="0" collapsed="false">
      <c r="A2808" s="28" t="s">
        <v>190</v>
      </c>
      <c r="B2808" s="28" t="s">
        <v>191</v>
      </c>
      <c r="C2808" s="28" t="s">
        <v>192</v>
      </c>
      <c r="D2808" s="23" t="n">
        <v>9</v>
      </c>
      <c r="E2808" s="23" t="n">
        <v>0</v>
      </c>
      <c r="F2808" s="28" t="s">
        <v>908</v>
      </c>
      <c r="G2808" s="19" t="n">
        <v>0.0414</v>
      </c>
    </row>
    <row r="2809" customFormat="false" ht="15" hidden="false" customHeight="false" outlineLevel="0" collapsed="false">
      <c r="A2809" s="28" t="s">
        <v>190</v>
      </c>
      <c r="B2809" s="28" t="s">
        <v>191</v>
      </c>
      <c r="C2809" s="28" t="s">
        <v>192</v>
      </c>
      <c r="D2809" s="23" t="n">
        <v>9</v>
      </c>
      <c r="E2809" s="23" t="n">
        <v>0</v>
      </c>
      <c r="F2809" s="28" t="s">
        <v>909</v>
      </c>
      <c r="G2809" s="19" t="n">
        <v>0.0415</v>
      </c>
    </row>
    <row r="2810" customFormat="false" ht="15" hidden="false" customHeight="false" outlineLevel="0" collapsed="false">
      <c r="A2810" s="28" t="s">
        <v>190</v>
      </c>
      <c r="B2810" s="28" t="s">
        <v>191</v>
      </c>
      <c r="C2810" s="28" t="s">
        <v>192</v>
      </c>
      <c r="D2810" s="23" t="n">
        <v>9</v>
      </c>
      <c r="E2810" s="23" t="n">
        <v>0</v>
      </c>
      <c r="F2810" s="28" t="s">
        <v>910</v>
      </c>
      <c r="G2810" s="19" t="n">
        <v>0.0419</v>
      </c>
    </row>
    <row r="2811" customFormat="false" ht="15" hidden="false" customHeight="false" outlineLevel="0" collapsed="false">
      <c r="A2811" s="28" t="s">
        <v>190</v>
      </c>
      <c r="B2811" s="28" t="s">
        <v>191</v>
      </c>
      <c r="C2811" s="28" t="s">
        <v>192</v>
      </c>
      <c r="D2811" s="23" t="n">
        <v>9</v>
      </c>
      <c r="E2811" s="23" t="n">
        <v>0</v>
      </c>
      <c r="F2811" s="28" t="s">
        <v>911</v>
      </c>
      <c r="G2811" s="19" t="n">
        <v>0.043</v>
      </c>
    </row>
    <row r="2812" customFormat="false" ht="15" hidden="false" customHeight="false" outlineLevel="0" collapsed="false">
      <c r="A2812" s="28" t="s">
        <v>190</v>
      </c>
      <c r="B2812" s="28" t="s">
        <v>191</v>
      </c>
      <c r="C2812" s="28" t="s">
        <v>192</v>
      </c>
      <c r="D2812" s="23" t="n">
        <v>9</v>
      </c>
      <c r="E2812" s="23" t="n">
        <v>0</v>
      </c>
      <c r="F2812" s="28" t="s">
        <v>912</v>
      </c>
      <c r="G2812" s="19" t="n">
        <v>0.0444</v>
      </c>
    </row>
    <row r="2813" customFormat="false" ht="15" hidden="false" customHeight="false" outlineLevel="0" collapsed="false">
      <c r="A2813" s="28" t="s">
        <v>190</v>
      </c>
      <c r="B2813" s="28" t="s">
        <v>191</v>
      </c>
      <c r="C2813" s="28" t="s">
        <v>192</v>
      </c>
      <c r="D2813" s="23" t="n">
        <v>9</v>
      </c>
      <c r="E2813" s="23" t="n">
        <v>0</v>
      </c>
      <c r="F2813" s="28" t="s">
        <v>913</v>
      </c>
      <c r="G2813" s="19" t="n">
        <v>0.0493</v>
      </c>
    </row>
    <row r="2814" customFormat="false" ht="15" hidden="false" customHeight="false" outlineLevel="0" collapsed="false">
      <c r="A2814" s="28" t="s">
        <v>190</v>
      </c>
      <c r="B2814" s="28" t="s">
        <v>191</v>
      </c>
      <c r="C2814" s="28" t="s">
        <v>192</v>
      </c>
      <c r="D2814" s="23" t="n">
        <v>9</v>
      </c>
      <c r="E2814" s="23" t="n">
        <v>0</v>
      </c>
      <c r="F2814" s="28" t="s">
        <v>914</v>
      </c>
      <c r="G2814" s="19" t="n">
        <v>0.0491</v>
      </c>
    </row>
    <row r="2815" customFormat="false" ht="15" hidden="false" customHeight="false" outlineLevel="0" collapsed="false">
      <c r="A2815" s="28" t="s">
        <v>190</v>
      </c>
      <c r="B2815" s="28" t="s">
        <v>191</v>
      </c>
      <c r="C2815" s="28" t="s">
        <v>192</v>
      </c>
      <c r="D2815" s="23" t="n">
        <v>9</v>
      </c>
      <c r="E2815" s="23" t="n">
        <v>0</v>
      </c>
      <c r="F2815" s="28" t="s">
        <v>915</v>
      </c>
      <c r="G2815" s="19" t="n">
        <v>0.0649</v>
      </c>
    </row>
    <row r="2816" customFormat="false" ht="15" hidden="false" customHeight="false" outlineLevel="0" collapsed="false">
      <c r="A2816" s="28" t="s">
        <v>190</v>
      </c>
      <c r="B2816" s="28" t="s">
        <v>191</v>
      </c>
      <c r="C2816" s="28" t="s">
        <v>192</v>
      </c>
      <c r="D2816" s="23" t="n">
        <v>9</v>
      </c>
      <c r="E2816" s="23" t="n">
        <v>1</v>
      </c>
      <c r="F2816" s="28" t="s">
        <v>904</v>
      </c>
      <c r="G2816" s="19" t="n">
        <v>0.034633</v>
      </c>
    </row>
    <row r="2817" customFormat="false" ht="15" hidden="false" customHeight="false" outlineLevel="0" collapsed="false">
      <c r="A2817" s="28" t="s">
        <v>190</v>
      </c>
      <c r="B2817" s="28" t="s">
        <v>191</v>
      </c>
      <c r="C2817" s="28" t="s">
        <v>192</v>
      </c>
      <c r="D2817" s="23" t="n">
        <v>9</v>
      </c>
      <c r="E2817" s="23" t="n">
        <v>1</v>
      </c>
      <c r="F2817" s="28" t="s">
        <v>551</v>
      </c>
      <c r="G2817" s="19" t="n">
        <v>0.065833</v>
      </c>
    </row>
    <row r="2818" customFormat="false" ht="15" hidden="false" customHeight="false" outlineLevel="0" collapsed="false">
      <c r="A2818" s="28" t="s">
        <v>190</v>
      </c>
      <c r="B2818" s="28" t="s">
        <v>191</v>
      </c>
      <c r="C2818" s="28" t="s">
        <v>192</v>
      </c>
      <c r="D2818" s="23" t="n">
        <v>9</v>
      </c>
      <c r="E2818" s="23" t="n">
        <v>1</v>
      </c>
      <c r="F2818" s="28" t="s">
        <v>451</v>
      </c>
      <c r="G2818" s="19" t="n">
        <v>0.034433</v>
      </c>
    </row>
    <row r="2819" customFormat="false" ht="15" hidden="false" customHeight="false" outlineLevel="0" collapsed="false">
      <c r="A2819" s="28" t="s">
        <v>190</v>
      </c>
      <c r="B2819" s="28" t="s">
        <v>191</v>
      </c>
      <c r="C2819" s="28" t="s">
        <v>192</v>
      </c>
      <c r="D2819" s="23" t="n">
        <v>9</v>
      </c>
      <c r="E2819" s="23" t="n">
        <v>1</v>
      </c>
      <c r="F2819" s="28" t="s">
        <v>905</v>
      </c>
      <c r="G2819" s="19" t="n">
        <v>0.037033</v>
      </c>
    </row>
    <row r="2820" customFormat="false" ht="15" hidden="false" customHeight="false" outlineLevel="0" collapsed="false">
      <c r="A2820" s="28" t="s">
        <v>190</v>
      </c>
      <c r="B2820" s="28" t="s">
        <v>191</v>
      </c>
      <c r="C2820" s="28" t="s">
        <v>192</v>
      </c>
      <c r="D2820" s="23" t="n">
        <v>9</v>
      </c>
      <c r="E2820" s="23" t="n">
        <v>1</v>
      </c>
      <c r="F2820" s="28" t="s">
        <v>906</v>
      </c>
      <c r="G2820" s="19" t="n">
        <v>0.038433</v>
      </c>
    </row>
    <row r="2821" customFormat="false" ht="15" hidden="false" customHeight="false" outlineLevel="0" collapsed="false">
      <c r="A2821" s="28" t="s">
        <v>190</v>
      </c>
      <c r="B2821" s="28" t="s">
        <v>191</v>
      </c>
      <c r="C2821" s="28" t="s">
        <v>192</v>
      </c>
      <c r="D2821" s="23" t="n">
        <v>9</v>
      </c>
      <c r="E2821" s="23" t="n">
        <v>1</v>
      </c>
      <c r="F2821" s="28" t="s">
        <v>907</v>
      </c>
      <c r="G2821" s="19" t="n">
        <v>0.038133</v>
      </c>
    </row>
    <row r="2822" customFormat="false" ht="15" hidden="false" customHeight="false" outlineLevel="0" collapsed="false">
      <c r="A2822" s="28" t="s">
        <v>190</v>
      </c>
      <c r="B2822" s="28" t="s">
        <v>191</v>
      </c>
      <c r="C2822" s="28" t="s">
        <v>192</v>
      </c>
      <c r="D2822" s="23" t="n">
        <v>9</v>
      </c>
      <c r="E2822" s="23" t="n">
        <v>1</v>
      </c>
      <c r="F2822" s="28" t="s">
        <v>908</v>
      </c>
      <c r="G2822" s="19" t="n">
        <v>0.039733</v>
      </c>
    </row>
    <row r="2823" customFormat="false" ht="15" hidden="false" customHeight="false" outlineLevel="0" collapsed="false">
      <c r="A2823" s="28" t="s">
        <v>190</v>
      </c>
      <c r="B2823" s="28" t="s">
        <v>191</v>
      </c>
      <c r="C2823" s="28" t="s">
        <v>192</v>
      </c>
      <c r="D2823" s="23" t="n">
        <v>9</v>
      </c>
      <c r="E2823" s="23" t="n">
        <v>1</v>
      </c>
      <c r="F2823" s="28" t="s">
        <v>909</v>
      </c>
      <c r="G2823" s="19" t="n">
        <v>0.039833</v>
      </c>
    </row>
    <row r="2824" customFormat="false" ht="15" hidden="false" customHeight="false" outlineLevel="0" collapsed="false">
      <c r="A2824" s="28" t="s">
        <v>190</v>
      </c>
      <c r="B2824" s="28" t="s">
        <v>191</v>
      </c>
      <c r="C2824" s="28" t="s">
        <v>192</v>
      </c>
      <c r="D2824" s="23" t="n">
        <v>9</v>
      </c>
      <c r="E2824" s="23" t="n">
        <v>1</v>
      </c>
      <c r="F2824" s="28" t="s">
        <v>910</v>
      </c>
      <c r="G2824" s="19" t="n">
        <v>0.040233</v>
      </c>
    </row>
    <row r="2825" customFormat="false" ht="15" hidden="false" customHeight="false" outlineLevel="0" collapsed="false">
      <c r="A2825" s="28" t="s">
        <v>190</v>
      </c>
      <c r="B2825" s="28" t="s">
        <v>191</v>
      </c>
      <c r="C2825" s="28" t="s">
        <v>192</v>
      </c>
      <c r="D2825" s="23" t="n">
        <v>9</v>
      </c>
      <c r="E2825" s="23" t="n">
        <v>1</v>
      </c>
      <c r="F2825" s="28" t="s">
        <v>911</v>
      </c>
      <c r="G2825" s="19" t="n">
        <v>0.041333</v>
      </c>
    </row>
    <row r="2826" customFormat="false" ht="15" hidden="false" customHeight="false" outlineLevel="0" collapsed="false">
      <c r="A2826" s="28" t="s">
        <v>190</v>
      </c>
      <c r="B2826" s="28" t="s">
        <v>191</v>
      </c>
      <c r="C2826" s="28" t="s">
        <v>192</v>
      </c>
      <c r="D2826" s="23" t="n">
        <v>9</v>
      </c>
      <c r="E2826" s="23" t="n">
        <v>1</v>
      </c>
      <c r="F2826" s="28" t="s">
        <v>912</v>
      </c>
      <c r="G2826" s="19" t="n">
        <v>0.042733</v>
      </c>
    </row>
    <row r="2827" customFormat="false" ht="15" hidden="false" customHeight="false" outlineLevel="0" collapsed="false">
      <c r="A2827" s="28" t="s">
        <v>190</v>
      </c>
      <c r="B2827" s="28" t="s">
        <v>191</v>
      </c>
      <c r="C2827" s="28" t="s">
        <v>192</v>
      </c>
      <c r="D2827" s="23" t="n">
        <v>9</v>
      </c>
      <c r="E2827" s="23" t="n">
        <v>1</v>
      </c>
      <c r="F2827" s="28" t="s">
        <v>913</v>
      </c>
      <c r="G2827" s="19" t="n">
        <v>0.047633</v>
      </c>
    </row>
    <row r="2828" customFormat="false" ht="15" hidden="false" customHeight="false" outlineLevel="0" collapsed="false">
      <c r="A2828" s="28" t="s">
        <v>190</v>
      </c>
      <c r="B2828" s="28" t="s">
        <v>191</v>
      </c>
      <c r="C2828" s="28" t="s">
        <v>192</v>
      </c>
      <c r="D2828" s="23" t="n">
        <v>9</v>
      </c>
      <c r="E2828" s="23" t="n">
        <v>1</v>
      </c>
      <c r="F2828" s="28" t="s">
        <v>914</v>
      </c>
      <c r="G2828" s="19" t="n">
        <v>0.047433</v>
      </c>
    </row>
    <row r="2829" customFormat="false" ht="15" hidden="false" customHeight="false" outlineLevel="0" collapsed="false">
      <c r="A2829" s="28" t="s">
        <v>190</v>
      </c>
      <c r="B2829" s="28" t="s">
        <v>191</v>
      </c>
      <c r="C2829" s="28" t="s">
        <v>192</v>
      </c>
      <c r="D2829" s="23" t="n">
        <v>9</v>
      </c>
      <c r="E2829" s="23" t="n">
        <v>1</v>
      </c>
      <c r="F2829" s="28" t="s">
        <v>915</v>
      </c>
      <c r="G2829" s="19" t="n">
        <v>0.063233</v>
      </c>
    </row>
    <row r="2830" customFormat="false" ht="15" hidden="false" customHeight="false" outlineLevel="0" collapsed="false">
      <c r="A2830" s="28" t="s">
        <v>190</v>
      </c>
      <c r="B2830" s="28" t="s">
        <v>191</v>
      </c>
      <c r="C2830" s="28" t="s">
        <v>192</v>
      </c>
      <c r="D2830" s="23" t="n">
        <v>9</v>
      </c>
      <c r="E2830" s="23" t="n">
        <v>2</v>
      </c>
      <c r="F2830" s="28" t="s">
        <v>904</v>
      </c>
      <c r="G2830" s="19" t="n">
        <v>0.032967</v>
      </c>
    </row>
    <row r="2831" customFormat="false" ht="15" hidden="false" customHeight="false" outlineLevel="0" collapsed="false">
      <c r="A2831" s="28" t="s">
        <v>190</v>
      </c>
      <c r="B2831" s="28" t="s">
        <v>191</v>
      </c>
      <c r="C2831" s="28" t="s">
        <v>192</v>
      </c>
      <c r="D2831" s="23" t="n">
        <v>9</v>
      </c>
      <c r="E2831" s="23" t="n">
        <v>2</v>
      </c>
      <c r="F2831" s="28" t="s">
        <v>551</v>
      </c>
      <c r="G2831" s="19" t="n">
        <v>0.064167</v>
      </c>
    </row>
    <row r="2832" customFormat="false" ht="15" hidden="false" customHeight="false" outlineLevel="0" collapsed="false">
      <c r="A2832" s="28" t="s">
        <v>190</v>
      </c>
      <c r="B2832" s="28" t="s">
        <v>191</v>
      </c>
      <c r="C2832" s="28" t="s">
        <v>192</v>
      </c>
      <c r="D2832" s="23" t="n">
        <v>9</v>
      </c>
      <c r="E2832" s="23" t="n">
        <v>2</v>
      </c>
      <c r="F2832" s="28" t="s">
        <v>451</v>
      </c>
      <c r="G2832" s="19" t="n">
        <v>0.032767</v>
      </c>
    </row>
    <row r="2833" customFormat="false" ht="15" hidden="false" customHeight="false" outlineLevel="0" collapsed="false">
      <c r="A2833" s="28" t="s">
        <v>190</v>
      </c>
      <c r="B2833" s="28" t="s">
        <v>191</v>
      </c>
      <c r="C2833" s="28" t="s">
        <v>192</v>
      </c>
      <c r="D2833" s="23" t="n">
        <v>9</v>
      </c>
      <c r="E2833" s="23" t="n">
        <v>2</v>
      </c>
      <c r="F2833" s="28" t="s">
        <v>905</v>
      </c>
      <c r="G2833" s="19" t="n">
        <v>0.035367</v>
      </c>
    </row>
    <row r="2834" customFormat="false" ht="15" hidden="false" customHeight="false" outlineLevel="0" collapsed="false">
      <c r="A2834" s="28" t="s">
        <v>190</v>
      </c>
      <c r="B2834" s="28" t="s">
        <v>191</v>
      </c>
      <c r="C2834" s="28" t="s">
        <v>192</v>
      </c>
      <c r="D2834" s="23" t="n">
        <v>9</v>
      </c>
      <c r="E2834" s="23" t="n">
        <v>2</v>
      </c>
      <c r="F2834" s="28" t="s">
        <v>906</v>
      </c>
      <c r="G2834" s="19" t="n">
        <v>0.036767</v>
      </c>
    </row>
    <row r="2835" customFormat="false" ht="15" hidden="false" customHeight="false" outlineLevel="0" collapsed="false">
      <c r="A2835" s="28" t="s">
        <v>190</v>
      </c>
      <c r="B2835" s="28" t="s">
        <v>191</v>
      </c>
      <c r="C2835" s="28" t="s">
        <v>192</v>
      </c>
      <c r="D2835" s="23" t="n">
        <v>9</v>
      </c>
      <c r="E2835" s="23" t="n">
        <v>2</v>
      </c>
      <c r="F2835" s="28" t="s">
        <v>907</v>
      </c>
      <c r="G2835" s="19" t="n">
        <v>0.036467</v>
      </c>
    </row>
    <row r="2836" customFormat="false" ht="15" hidden="false" customHeight="false" outlineLevel="0" collapsed="false">
      <c r="A2836" s="28" t="s">
        <v>190</v>
      </c>
      <c r="B2836" s="28" t="s">
        <v>191</v>
      </c>
      <c r="C2836" s="28" t="s">
        <v>192</v>
      </c>
      <c r="D2836" s="23" t="n">
        <v>9</v>
      </c>
      <c r="E2836" s="23" t="n">
        <v>2</v>
      </c>
      <c r="F2836" s="28" t="s">
        <v>908</v>
      </c>
      <c r="G2836" s="19" t="n">
        <v>0.038067</v>
      </c>
    </row>
    <row r="2837" customFormat="false" ht="15" hidden="false" customHeight="false" outlineLevel="0" collapsed="false">
      <c r="A2837" s="28" t="s">
        <v>190</v>
      </c>
      <c r="B2837" s="28" t="s">
        <v>191</v>
      </c>
      <c r="C2837" s="28" t="s">
        <v>192</v>
      </c>
      <c r="D2837" s="23" t="n">
        <v>9</v>
      </c>
      <c r="E2837" s="23" t="n">
        <v>2</v>
      </c>
      <c r="F2837" s="28" t="s">
        <v>909</v>
      </c>
      <c r="G2837" s="19" t="n">
        <v>0.038167</v>
      </c>
    </row>
    <row r="2838" customFormat="false" ht="15" hidden="false" customHeight="false" outlineLevel="0" collapsed="false">
      <c r="A2838" s="28" t="s">
        <v>190</v>
      </c>
      <c r="B2838" s="28" t="s">
        <v>191</v>
      </c>
      <c r="C2838" s="28" t="s">
        <v>192</v>
      </c>
      <c r="D2838" s="23" t="n">
        <v>9</v>
      </c>
      <c r="E2838" s="23" t="n">
        <v>2</v>
      </c>
      <c r="F2838" s="28" t="s">
        <v>910</v>
      </c>
      <c r="G2838" s="19" t="n">
        <v>0.038567</v>
      </c>
    </row>
    <row r="2839" customFormat="false" ht="15" hidden="false" customHeight="false" outlineLevel="0" collapsed="false">
      <c r="A2839" s="28" t="s">
        <v>190</v>
      </c>
      <c r="B2839" s="28" t="s">
        <v>191</v>
      </c>
      <c r="C2839" s="28" t="s">
        <v>192</v>
      </c>
      <c r="D2839" s="23" t="n">
        <v>9</v>
      </c>
      <c r="E2839" s="23" t="n">
        <v>2</v>
      </c>
      <c r="F2839" s="28" t="s">
        <v>911</v>
      </c>
      <c r="G2839" s="19" t="n">
        <v>0.039667</v>
      </c>
    </row>
    <row r="2840" customFormat="false" ht="15" hidden="false" customHeight="false" outlineLevel="0" collapsed="false">
      <c r="A2840" s="28" t="s">
        <v>190</v>
      </c>
      <c r="B2840" s="28" t="s">
        <v>191</v>
      </c>
      <c r="C2840" s="28" t="s">
        <v>192</v>
      </c>
      <c r="D2840" s="23" t="n">
        <v>9</v>
      </c>
      <c r="E2840" s="23" t="n">
        <v>2</v>
      </c>
      <c r="F2840" s="28" t="s">
        <v>912</v>
      </c>
      <c r="G2840" s="19" t="n">
        <v>0.041067</v>
      </c>
    </row>
    <row r="2841" customFormat="false" ht="15" hidden="false" customHeight="false" outlineLevel="0" collapsed="false">
      <c r="A2841" s="28" t="s">
        <v>190</v>
      </c>
      <c r="B2841" s="28" t="s">
        <v>191</v>
      </c>
      <c r="C2841" s="28" t="s">
        <v>192</v>
      </c>
      <c r="D2841" s="23" t="n">
        <v>9</v>
      </c>
      <c r="E2841" s="23" t="n">
        <v>2</v>
      </c>
      <c r="F2841" s="28" t="s">
        <v>913</v>
      </c>
      <c r="G2841" s="19" t="n">
        <v>0.045967</v>
      </c>
    </row>
    <row r="2842" customFormat="false" ht="15" hidden="false" customHeight="false" outlineLevel="0" collapsed="false">
      <c r="A2842" s="28" t="s">
        <v>190</v>
      </c>
      <c r="B2842" s="28" t="s">
        <v>191</v>
      </c>
      <c r="C2842" s="28" t="s">
        <v>192</v>
      </c>
      <c r="D2842" s="23" t="n">
        <v>9</v>
      </c>
      <c r="E2842" s="23" t="n">
        <v>2</v>
      </c>
      <c r="F2842" s="28" t="s">
        <v>914</v>
      </c>
      <c r="G2842" s="19" t="n">
        <v>0.045767</v>
      </c>
    </row>
    <row r="2843" customFormat="false" ht="15" hidden="false" customHeight="false" outlineLevel="0" collapsed="false">
      <c r="A2843" s="28" t="s">
        <v>190</v>
      </c>
      <c r="B2843" s="28" t="s">
        <v>191</v>
      </c>
      <c r="C2843" s="28" t="s">
        <v>192</v>
      </c>
      <c r="D2843" s="23" t="n">
        <v>9</v>
      </c>
      <c r="E2843" s="23" t="n">
        <v>2</v>
      </c>
      <c r="F2843" s="28" t="s">
        <v>915</v>
      </c>
      <c r="G2843" s="19" t="n">
        <v>0.061567</v>
      </c>
    </row>
    <row r="2844" customFormat="false" ht="15" hidden="false" customHeight="false" outlineLevel="0" collapsed="false">
      <c r="A2844" s="28" t="s">
        <v>190</v>
      </c>
      <c r="B2844" s="28" t="s">
        <v>191</v>
      </c>
      <c r="C2844" s="28" t="s">
        <v>192</v>
      </c>
      <c r="D2844" s="23" t="n">
        <v>9</v>
      </c>
      <c r="E2844" s="23" t="n">
        <v>3</v>
      </c>
      <c r="F2844" s="28" t="s">
        <v>904</v>
      </c>
      <c r="G2844" s="19" t="n">
        <v>0.0313</v>
      </c>
    </row>
    <row r="2845" customFormat="false" ht="15" hidden="false" customHeight="false" outlineLevel="0" collapsed="false">
      <c r="A2845" s="28" t="s">
        <v>190</v>
      </c>
      <c r="B2845" s="28" t="s">
        <v>191</v>
      </c>
      <c r="C2845" s="28" t="s">
        <v>192</v>
      </c>
      <c r="D2845" s="23" t="n">
        <v>9</v>
      </c>
      <c r="E2845" s="23" t="n">
        <v>3</v>
      </c>
      <c r="F2845" s="28" t="s">
        <v>551</v>
      </c>
      <c r="G2845" s="19" t="n">
        <v>0.0625</v>
      </c>
    </row>
    <row r="2846" customFormat="false" ht="15" hidden="false" customHeight="false" outlineLevel="0" collapsed="false">
      <c r="A2846" s="28" t="s">
        <v>190</v>
      </c>
      <c r="B2846" s="28" t="s">
        <v>191</v>
      </c>
      <c r="C2846" s="28" t="s">
        <v>192</v>
      </c>
      <c r="D2846" s="23" t="n">
        <v>9</v>
      </c>
      <c r="E2846" s="23" t="n">
        <v>3</v>
      </c>
      <c r="F2846" s="28" t="s">
        <v>451</v>
      </c>
      <c r="G2846" s="19" t="n">
        <v>0.0311</v>
      </c>
    </row>
    <row r="2847" customFormat="false" ht="15" hidden="false" customHeight="false" outlineLevel="0" collapsed="false">
      <c r="A2847" s="28" t="s">
        <v>190</v>
      </c>
      <c r="B2847" s="28" t="s">
        <v>191</v>
      </c>
      <c r="C2847" s="28" t="s">
        <v>192</v>
      </c>
      <c r="D2847" s="23" t="n">
        <v>9</v>
      </c>
      <c r="E2847" s="23" t="n">
        <v>3</v>
      </c>
      <c r="F2847" s="28" t="s">
        <v>905</v>
      </c>
      <c r="G2847" s="19" t="n">
        <v>0.0337</v>
      </c>
    </row>
    <row r="2848" customFormat="false" ht="15" hidden="false" customHeight="false" outlineLevel="0" collapsed="false">
      <c r="A2848" s="28" t="s">
        <v>190</v>
      </c>
      <c r="B2848" s="28" t="s">
        <v>191</v>
      </c>
      <c r="C2848" s="28" t="s">
        <v>192</v>
      </c>
      <c r="D2848" s="23" t="n">
        <v>9</v>
      </c>
      <c r="E2848" s="23" t="n">
        <v>3</v>
      </c>
      <c r="F2848" s="28" t="s">
        <v>906</v>
      </c>
      <c r="G2848" s="19" t="n">
        <v>0.0351</v>
      </c>
    </row>
    <row r="2849" customFormat="false" ht="15" hidden="false" customHeight="false" outlineLevel="0" collapsed="false">
      <c r="A2849" s="28" t="s">
        <v>190</v>
      </c>
      <c r="B2849" s="28" t="s">
        <v>191</v>
      </c>
      <c r="C2849" s="28" t="s">
        <v>192</v>
      </c>
      <c r="D2849" s="23" t="n">
        <v>9</v>
      </c>
      <c r="E2849" s="23" t="n">
        <v>3</v>
      </c>
      <c r="F2849" s="28" t="s">
        <v>907</v>
      </c>
      <c r="G2849" s="19" t="n">
        <v>0.0348</v>
      </c>
    </row>
    <row r="2850" customFormat="false" ht="15" hidden="false" customHeight="false" outlineLevel="0" collapsed="false">
      <c r="A2850" s="28" t="s">
        <v>190</v>
      </c>
      <c r="B2850" s="28" t="s">
        <v>191</v>
      </c>
      <c r="C2850" s="28" t="s">
        <v>192</v>
      </c>
      <c r="D2850" s="23" t="n">
        <v>9</v>
      </c>
      <c r="E2850" s="23" t="n">
        <v>3</v>
      </c>
      <c r="F2850" s="28" t="s">
        <v>908</v>
      </c>
      <c r="G2850" s="19" t="n">
        <v>0.0364</v>
      </c>
    </row>
    <row r="2851" customFormat="false" ht="15" hidden="false" customHeight="false" outlineLevel="0" collapsed="false">
      <c r="A2851" s="28" t="s">
        <v>190</v>
      </c>
      <c r="B2851" s="28" t="s">
        <v>191</v>
      </c>
      <c r="C2851" s="28" t="s">
        <v>192</v>
      </c>
      <c r="D2851" s="23" t="n">
        <v>9</v>
      </c>
      <c r="E2851" s="23" t="n">
        <v>3</v>
      </c>
      <c r="F2851" s="28" t="s">
        <v>909</v>
      </c>
      <c r="G2851" s="19" t="n">
        <v>0.0365</v>
      </c>
    </row>
    <row r="2852" customFormat="false" ht="15" hidden="false" customHeight="false" outlineLevel="0" collapsed="false">
      <c r="A2852" s="28" t="s">
        <v>190</v>
      </c>
      <c r="B2852" s="28" t="s">
        <v>191</v>
      </c>
      <c r="C2852" s="28" t="s">
        <v>192</v>
      </c>
      <c r="D2852" s="23" t="n">
        <v>9</v>
      </c>
      <c r="E2852" s="23" t="n">
        <v>3</v>
      </c>
      <c r="F2852" s="28" t="s">
        <v>910</v>
      </c>
      <c r="G2852" s="19" t="n">
        <v>0.0369</v>
      </c>
    </row>
    <row r="2853" customFormat="false" ht="15" hidden="false" customHeight="false" outlineLevel="0" collapsed="false">
      <c r="A2853" s="28" t="s">
        <v>190</v>
      </c>
      <c r="B2853" s="28" t="s">
        <v>191</v>
      </c>
      <c r="C2853" s="28" t="s">
        <v>192</v>
      </c>
      <c r="D2853" s="23" t="n">
        <v>9</v>
      </c>
      <c r="E2853" s="23" t="n">
        <v>3</v>
      </c>
      <c r="F2853" s="28" t="s">
        <v>911</v>
      </c>
      <c r="G2853" s="19" t="n">
        <v>0.038</v>
      </c>
    </row>
    <row r="2854" customFormat="false" ht="15" hidden="false" customHeight="false" outlineLevel="0" collapsed="false">
      <c r="A2854" s="28" t="s">
        <v>190</v>
      </c>
      <c r="B2854" s="28" t="s">
        <v>191</v>
      </c>
      <c r="C2854" s="28" t="s">
        <v>192</v>
      </c>
      <c r="D2854" s="23" t="n">
        <v>9</v>
      </c>
      <c r="E2854" s="23" t="n">
        <v>3</v>
      </c>
      <c r="F2854" s="28" t="s">
        <v>912</v>
      </c>
      <c r="G2854" s="19" t="n">
        <v>0.0394</v>
      </c>
    </row>
    <row r="2855" customFormat="false" ht="15" hidden="false" customHeight="false" outlineLevel="0" collapsed="false">
      <c r="A2855" s="28" t="s">
        <v>190</v>
      </c>
      <c r="B2855" s="28" t="s">
        <v>191</v>
      </c>
      <c r="C2855" s="28" t="s">
        <v>192</v>
      </c>
      <c r="D2855" s="23" t="n">
        <v>9</v>
      </c>
      <c r="E2855" s="23" t="n">
        <v>3</v>
      </c>
      <c r="F2855" s="28" t="s">
        <v>913</v>
      </c>
      <c r="G2855" s="19" t="n">
        <v>0.0443</v>
      </c>
    </row>
    <row r="2856" customFormat="false" ht="15" hidden="false" customHeight="false" outlineLevel="0" collapsed="false">
      <c r="A2856" s="28" t="s">
        <v>190</v>
      </c>
      <c r="B2856" s="28" t="s">
        <v>191</v>
      </c>
      <c r="C2856" s="28" t="s">
        <v>192</v>
      </c>
      <c r="D2856" s="23" t="n">
        <v>9</v>
      </c>
      <c r="E2856" s="23" t="n">
        <v>3</v>
      </c>
      <c r="F2856" s="28" t="s">
        <v>914</v>
      </c>
      <c r="G2856" s="19" t="n">
        <v>0.0441</v>
      </c>
    </row>
    <row r="2857" customFormat="false" ht="15" hidden="false" customHeight="false" outlineLevel="0" collapsed="false">
      <c r="A2857" s="28" t="s">
        <v>190</v>
      </c>
      <c r="B2857" s="28" t="s">
        <v>191</v>
      </c>
      <c r="C2857" s="28" t="s">
        <v>192</v>
      </c>
      <c r="D2857" s="23" t="n">
        <v>9</v>
      </c>
      <c r="E2857" s="23" t="n">
        <v>3</v>
      </c>
      <c r="F2857" s="28" t="s">
        <v>915</v>
      </c>
      <c r="G2857" s="19" t="n">
        <v>0.0599</v>
      </c>
    </row>
    <row r="2858" customFormat="false" ht="15" hidden="false" customHeight="false" outlineLevel="0" collapsed="false">
      <c r="A2858" s="28" t="s">
        <v>190</v>
      </c>
      <c r="B2858" s="28" t="s">
        <v>191</v>
      </c>
      <c r="C2858" s="28" t="s">
        <v>192</v>
      </c>
      <c r="D2858" s="23" t="n">
        <v>9</v>
      </c>
      <c r="E2858" s="23" t="n">
        <v>4</v>
      </c>
      <c r="F2858" s="28" t="s">
        <v>904</v>
      </c>
      <c r="G2858" s="19" t="n">
        <v>0.029633</v>
      </c>
    </row>
    <row r="2859" customFormat="false" ht="15" hidden="false" customHeight="false" outlineLevel="0" collapsed="false">
      <c r="A2859" s="28" t="s">
        <v>190</v>
      </c>
      <c r="B2859" s="28" t="s">
        <v>191</v>
      </c>
      <c r="C2859" s="28" t="s">
        <v>192</v>
      </c>
      <c r="D2859" s="23" t="n">
        <v>9</v>
      </c>
      <c r="E2859" s="23" t="n">
        <v>4</v>
      </c>
      <c r="F2859" s="28" t="s">
        <v>551</v>
      </c>
      <c r="G2859" s="19" t="n">
        <v>0.060833</v>
      </c>
    </row>
    <row r="2860" customFormat="false" ht="15" hidden="false" customHeight="false" outlineLevel="0" collapsed="false">
      <c r="A2860" s="28" t="s">
        <v>190</v>
      </c>
      <c r="B2860" s="28" t="s">
        <v>191</v>
      </c>
      <c r="C2860" s="28" t="s">
        <v>192</v>
      </c>
      <c r="D2860" s="23" t="n">
        <v>9</v>
      </c>
      <c r="E2860" s="23" t="n">
        <v>4</v>
      </c>
      <c r="F2860" s="28" t="s">
        <v>451</v>
      </c>
      <c r="G2860" s="19" t="n">
        <v>0.029433</v>
      </c>
    </row>
    <row r="2861" customFormat="false" ht="15" hidden="false" customHeight="false" outlineLevel="0" collapsed="false">
      <c r="A2861" s="28" t="s">
        <v>190</v>
      </c>
      <c r="B2861" s="28" t="s">
        <v>191</v>
      </c>
      <c r="C2861" s="28" t="s">
        <v>192</v>
      </c>
      <c r="D2861" s="23" t="n">
        <v>9</v>
      </c>
      <c r="E2861" s="23" t="n">
        <v>4</v>
      </c>
      <c r="F2861" s="28" t="s">
        <v>905</v>
      </c>
      <c r="G2861" s="19" t="n">
        <v>0.032033</v>
      </c>
    </row>
    <row r="2862" customFormat="false" ht="15" hidden="false" customHeight="false" outlineLevel="0" collapsed="false">
      <c r="A2862" s="28" t="s">
        <v>190</v>
      </c>
      <c r="B2862" s="28" t="s">
        <v>191</v>
      </c>
      <c r="C2862" s="28" t="s">
        <v>192</v>
      </c>
      <c r="D2862" s="23" t="n">
        <v>9</v>
      </c>
      <c r="E2862" s="23" t="n">
        <v>4</v>
      </c>
      <c r="F2862" s="28" t="s">
        <v>906</v>
      </c>
      <c r="G2862" s="19" t="n">
        <v>0.033433</v>
      </c>
    </row>
    <row r="2863" customFormat="false" ht="15" hidden="false" customHeight="false" outlineLevel="0" collapsed="false">
      <c r="A2863" s="28" t="s">
        <v>190</v>
      </c>
      <c r="B2863" s="28" t="s">
        <v>191</v>
      </c>
      <c r="C2863" s="28" t="s">
        <v>192</v>
      </c>
      <c r="D2863" s="23" t="n">
        <v>9</v>
      </c>
      <c r="E2863" s="23" t="n">
        <v>4</v>
      </c>
      <c r="F2863" s="28" t="s">
        <v>907</v>
      </c>
      <c r="G2863" s="19" t="n">
        <v>0.033133</v>
      </c>
    </row>
    <row r="2864" customFormat="false" ht="15" hidden="false" customHeight="false" outlineLevel="0" collapsed="false">
      <c r="A2864" s="28" t="s">
        <v>190</v>
      </c>
      <c r="B2864" s="28" t="s">
        <v>191</v>
      </c>
      <c r="C2864" s="28" t="s">
        <v>192</v>
      </c>
      <c r="D2864" s="23" t="n">
        <v>9</v>
      </c>
      <c r="E2864" s="23" t="n">
        <v>4</v>
      </c>
      <c r="F2864" s="28" t="s">
        <v>908</v>
      </c>
      <c r="G2864" s="19" t="n">
        <v>0.034733</v>
      </c>
    </row>
    <row r="2865" customFormat="false" ht="15" hidden="false" customHeight="false" outlineLevel="0" collapsed="false">
      <c r="A2865" s="28" t="s">
        <v>190</v>
      </c>
      <c r="B2865" s="28" t="s">
        <v>191</v>
      </c>
      <c r="C2865" s="28" t="s">
        <v>192</v>
      </c>
      <c r="D2865" s="23" t="n">
        <v>9</v>
      </c>
      <c r="E2865" s="23" t="n">
        <v>4</v>
      </c>
      <c r="F2865" s="28" t="s">
        <v>909</v>
      </c>
      <c r="G2865" s="19" t="n">
        <v>0.034833</v>
      </c>
    </row>
    <row r="2866" customFormat="false" ht="15" hidden="false" customHeight="false" outlineLevel="0" collapsed="false">
      <c r="A2866" s="28" t="s">
        <v>190</v>
      </c>
      <c r="B2866" s="28" t="s">
        <v>191</v>
      </c>
      <c r="C2866" s="28" t="s">
        <v>192</v>
      </c>
      <c r="D2866" s="23" t="n">
        <v>9</v>
      </c>
      <c r="E2866" s="23" t="n">
        <v>4</v>
      </c>
      <c r="F2866" s="28" t="s">
        <v>910</v>
      </c>
      <c r="G2866" s="19" t="n">
        <v>0.035233</v>
      </c>
    </row>
    <row r="2867" customFormat="false" ht="15" hidden="false" customHeight="false" outlineLevel="0" collapsed="false">
      <c r="A2867" s="28" t="s">
        <v>190</v>
      </c>
      <c r="B2867" s="28" t="s">
        <v>191</v>
      </c>
      <c r="C2867" s="28" t="s">
        <v>192</v>
      </c>
      <c r="D2867" s="23" t="n">
        <v>9</v>
      </c>
      <c r="E2867" s="23" t="n">
        <v>4</v>
      </c>
      <c r="F2867" s="28" t="s">
        <v>911</v>
      </c>
      <c r="G2867" s="19" t="n">
        <v>0.036333</v>
      </c>
    </row>
    <row r="2868" customFormat="false" ht="15" hidden="false" customHeight="false" outlineLevel="0" collapsed="false">
      <c r="A2868" s="28" t="s">
        <v>190</v>
      </c>
      <c r="B2868" s="28" t="s">
        <v>191</v>
      </c>
      <c r="C2868" s="28" t="s">
        <v>192</v>
      </c>
      <c r="D2868" s="23" t="n">
        <v>9</v>
      </c>
      <c r="E2868" s="23" t="n">
        <v>4</v>
      </c>
      <c r="F2868" s="28" t="s">
        <v>912</v>
      </c>
      <c r="G2868" s="19" t="n">
        <v>0.037733</v>
      </c>
    </row>
    <row r="2869" customFormat="false" ht="15" hidden="false" customHeight="false" outlineLevel="0" collapsed="false">
      <c r="A2869" s="28" t="s">
        <v>190</v>
      </c>
      <c r="B2869" s="28" t="s">
        <v>191</v>
      </c>
      <c r="C2869" s="28" t="s">
        <v>192</v>
      </c>
      <c r="D2869" s="23" t="n">
        <v>9</v>
      </c>
      <c r="E2869" s="23" t="n">
        <v>4</v>
      </c>
      <c r="F2869" s="28" t="s">
        <v>913</v>
      </c>
      <c r="G2869" s="19" t="n">
        <v>0.042633</v>
      </c>
    </row>
    <row r="2870" customFormat="false" ht="15" hidden="false" customHeight="false" outlineLevel="0" collapsed="false">
      <c r="A2870" s="28" t="s">
        <v>190</v>
      </c>
      <c r="B2870" s="28" t="s">
        <v>191</v>
      </c>
      <c r="C2870" s="28" t="s">
        <v>192</v>
      </c>
      <c r="D2870" s="23" t="n">
        <v>9</v>
      </c>
      <c r="E2870" s="23" t="n">
        <v>4</v>
      </c>
      <c r="F2870" s="28" t="s">
        <v>914</v>
      </c>
      <c r="G2870" s="19" t="n">
        <v>0.042433</v>
      </c>
    </row>
    <row r="2871" customFormat="false" ht="15" hidden="false" customHeight="false" outlineLevel="0" collapsed="false">
      <c r="A2871" s="28" t="s">
        <v>190</v>
      </c>
      <c r="B2871" s="28" t="s">
        <v>191</v>
      </c>
      <c r="C2871" s="28" t="s">
        <v>192</v>
      </c>
      <c r="D2871" s="23" t="n">
        <v>9</v>
      </c>
      <c r="E2871" s="23" t="n">
        <v>4</v>
      </c>
      <c r="F2871" s="28" t="s">
        <v>915</v>
      </c>
      <c r="G2871" s="19" t="n">
        <v>0.058233</v>
      </c>
    </row>
    <row r="2872" customFormat="false" ht="15" hidden="false" customHeight="false" outlineLevel="0" collapsed="false">
      <c r="A2872" s="28" t="s">
        <v>190</v>
      </c>
      <c r="B2872" s="28" t="s">
        <v>191</v>
      </c>
      <c r="C2872" s="28" t="s">
        <v>192</v>
      </c>
      <c r="D2872" s="23" t="n">
        <v>9</v>
      </c>
      <c r="E2872" s="23" t="n">
        <v>5</v>
      </c>
      <c r="F2872" s="28" t="s">
        <v>904</v>
      </c>
      <c r="G2872" s="19" t="n">
        <v>0.027967</v>
      </c>
    </row>
    <row r="2873" customFormat="false" ht="15" hidden="false" customHeight="false" outlineLevel="0" collapsed="false">
      <c r="A2873" s="28" t="s">
        <v>190</v>
      </c>
      <c r="B2873" s="28" t="s">
        <v>191</v>
      </c>
      <c r="C2873" s="28" t="s">
        <v>192</v>
      </c>
      <c r="D2873" s="23" t="n">
        <v>9</v>
      </c>
      <c r="E2873" s="23" t="n">
        <v>5</v>
      </c>
      <c r="F2873" s="28" t="s">
        <v>551</v>
      </c>
      <c r="G2873" s="19" t="n">
        <v>0.059167</v>
      </c>
    </row>
    <row r="2874" customFormat="false" ht="15" hidden="false" customHeight="false" outlineLevel="0" collapsed="false">
      <c r="A2874" s="28" t="s">
        <v>190</v>
      </c>
      <c r="B2874" s="28" t="s">
        <v>191</v>
      </c>
      <c r="C2874" s="28" t="s">
        <v>192</v>
      </c>
      <c r="D2874" s="23" t="n">
        <v>9</v>
      </c>
      <c r="E2874" s="23" t="n">
        <v>5</v>
      </c>
      <c r="F2874" s="28" t="s">
        <v>451</v>
      </c>
      <c r="G2874" s="19" t="n">
        <v>0.027767</v>
      </c>
    </row>
    <row r="2875" customFormat="false" ht="15" hidden="false" customHeight="false" outlineLevel="0" collapsed="false">
      <c r="A2875" s="28" t="s">
        <v>190</v>
      </c>
      <c r="B2875" s="28" t="s">
        <v>191</v>
      </c>
      <c r="C2875" s="28" t="s">
        <v>192</v>
      </c>
      <c r="D2875" s="23" t="n">
        <v>9</v>
      </c>
      <c r="E2875" s="23" t="n">
        <v>5</v>
      </c>
      <c r="F2875" s="28" t="s">
        <v>905</v>
      </c>
      <c r="G2875" s="19" t="n">
        <v>0.030367</v>
      </c>
    </row>
    <row r="2876" customFormat="false" ht="15" hidden="false" customHeight="false" outlineLevel="0" collapsed="false">
      <c r="A2876" s="28" t="s">
        <v>190</v>
      </c>
      <c r="B2876" s="28" t="s">
        <v>191</v>
      </c>
      <c r="C2876" s="28" t="s">
        <v>192</v>
      </c>
      <c r="D2876" s="23" t="n">
        <v>9</v>
      </c>
      <c r="E2876" s="23" t="n">
        <v>5</v>
      </c>
      <c r="F2876" s="28" t="s">
        <v>906</v>
      </c>
      <c r="G2876" s="19" t="n">
        <v>0.031767</v>
      </c>
    </row>
    <row r="2877" customFormat="false" ht="15" hidden="false" customHeight="false" outlineLevel="0" collapsed="false">
      <c r="A2877" s="28" t="s">
        <v>190</v>
      </c>
      <c r="B2877" s="28" t="s">
        <v>191</v>
      </c>
      <c r="C2877" s="28" t="s">
        <v>192</v>
      </c>
      <c r="D2877" s="23" t="n">
        <v>9</v>
      </c>
      <c r="E2877" s="23" t="n">
        <v>5</v>
      </c>
      <c r="F2877" s="28" t="s">
        <v>907</v>
      </c>
      <c r="G2877" s="19" t="n">
        <v>0.031467</v>
      </c>
    </row>
    <row r="2878" customFormat="false" ht="15" hidden="false" customHeight="false" outlineLevel="0" collapsed="false">
      <c r="A2878" s="28" t="s">
        <v>190</v>
      </c>
      <c r="B2878" s="28" t="s">
        <v>191</v>
      </c>
      <c r="C2878" s="28" t="s">
        <v>192</v>
      </c>
      <c r="D2878" s="23" t="n">
        <v>9</v>
      </c>
      <c r="E2878" s="23" t="n">
        <v>5</v>
      </c>
      <c r="F2878" s="28" t="s">
        <v>908</v>
      </c>
      <c r="G2878" s="19" t="n">
        <v>0.033067</v>
      </c>
    </row>
    <row r="2879" customFormat="false" ht="15" hidden="false" customHeight="false" outlineLevel="0" collapsed="false">
      <c r="A2879" s="28" t="s">
        <v>190</v>
      </c>
      <c r="B2879" s="28" t="s">
        <v>191</v>
      </c>
      <c r="C2879" s="28" t="s">
        <v>192</v>
      </c>
      <c r="D2879" s="23" t="n">
        <v>9</v>
      </c>
      <c r="E2879" s="23" t="n">
        <v>5</v>
      </c>
      <c r="F2879" s="28" t="s">
        <v>909</v>
      </c>
      <c r="G2879" s="19" t="n">
        <v>0.033167</v>
      </c>
    </row>
    <row r="2880" customFormat="false" ht="15" hidden="false" customHeight="false" outlineLevel="0" collapsed="false">
      <c r="A2880" s="28" t="s">
        <v>190</v>
      </c>
      <c r="B2880" s="28" t="s">
        <v>191</v>
      </c>
      <c r="C2880" s="28" t="s">
        <v>192</v>
      </c>
      <c r="D2880" s="23" t="n">
        <v>9</v>
      </c>
      <c r="E2880" s="23" t="n">
        <v>5</v>
      </c>
      <c r="F2880" s="28" t="s">
        <v>910</v>
      </c>
      <c r="G2880" s="19" t="n">
        <v>0.033567</v>
      </c>
    </row>
    <row r="2881" customFormat="false" ht="15" hidden="false" customHeight="false" outlineLevel="0" collapsed="false">
      <c r="A2881" s="28" t="s">
        <v>190</v>
      </c>
      <c r="B2881" s="28" t="s">
        <v>191</v>
      </c>
      <c r="C2881" s="28" t="s">
        <v>192</v>
      </c>
      <c r="D2881" s="23" t="n">
        <v>9</v>
      </c>
      <c r="E2881" s="23" t="n">
        <v>5</v>
      </c>
      <c r="F2881" s="28" t="s">
        <v>911</v>
      </c>
      <c r="G2881" s="19" t="n">
        <v>0.034667</v>
      </c>
    </row>
    <row r="2882" customFormat="false" ht="15" hidden="false" customHeight="false" outlineLevel="0" collapsed="false">
      <c r="A2882" s="28" t="s">
        <v>190</v>
      </c>
      <c r="B2882" s="28" t="s">
        <v>191</v>
      </c>
      <c r="C2882" s="28" t="s">
        <v>192</v>
      </c>
      <c r="D2882" s="23" t="n">
        <v>9</v>
      </c>
      <c r="E2882" s="23" t="n">
        <v>5</v>
      </c>
      <c r="F2882" s="28" t="s">
        <v>912</v>
      </c>
      <c r="G2882" s="19" t="n">
        <v>0.036067</v>
      </c>
    </row>
    <row r="2883" customFormat="false" ht="15" hidden="false" customHeight="false" outlineLevel="0" collapsed="false">
      <c r="A2883" s="28" t="s">
        <v>190</v>
      </c>
      <c r="B2883" s="28" t="s">
        <v>191</v>
      </c>
      <c r="C2883" s="28" t="s">
        <v>192</v>
      </c>
      <c r="D2883" s="23" t="n">
        <v>9</v>
      </c>
      <c r="E2883" s="23" t="n">
        <v>5</v>
      </c>
      <c r="F2883" s="28" t="s">
        <v>913</v>
      </c>
      <c r="G2883" s="19" t="n">
        <v>0.040967</v>
      </c>
    </row>
    <row r="2884" customFormat="false" ht="15" hidden="false" customHeight="false" outlineLevel="0" collapsed="false">
      <c r="A2884" s="28" t="s">
        <v>190</v>
      </c>
      <c r="B2884" s="28" t="s">
        <v>191</v>
      </c>
      <c r="C2884" s="28" t="s">
        <v>192</v>
      </c>
      <c r="D2884" s="23" t="n">
        <v>9</v>
      </c>
      <c r="E2884" s="23" t="n">
        <v>5</v>
      </c>
      <c r="F2884" s="28" t="s">
        <v>914</v>
      </c>
      <c r="G2884" s="19" t="n">
        <v>0.040767</v>
      </c>
    </row>
    <row r="2885" customFormat="false" ht="15" hidden="false" customHeight="false" outlineLevel="0" collapsed="false">
      <c r="A2885" s="28" t="s">
        <v>190</v>
      </c>
      <c r="B2885" s="28" t="s">
        <v>191</v>
      </c>
      <c r="C2885" s="28" t="s">
        <v>192</v>
      </c>
      <c r="D2885" s="23" t="n">
        <v>9</v>
      </c>
      <c r="E2885" s="23" t="n">
        <v>5</v>
      </c>
      <c r="F2885" s="28" t="s">
        <v>915</v>
      </c>
      <c r="G2885" s="19" t="n">
        <v>0.056567</v>
      </c>
    </row>
    <row r="2886" customFormat="false" ht="15" hidden="false" customHeight="false" outlineLevel="0" collapsed="false">
      <c r="A2886" s="28" t="s">
        <v>190</v>
      </c>
      <c r="B2886" s="28" t="s">
        <v>191</v>
      </c>
      <c r="C2886" s="28" t="s">
        <v>192</v>
      </c>
      <c r="D2886" s="23" t="n">
        <v>9</v>
      </c>
      <c r="E2886" s="23" t="n">
        <v>6</v>
      </c>
      <c r="F2886" s="28" t="s">
        <v>904</v>
      </c>
      <c r="G2886" s="19" t="n">
        <v>0.0263</v>
      </c>
    </row>
    <row r="2887" customFormat="false" ht="15" hidden="false" customHeight="false" outlineLevel="0" collapsed="false">
      <c r="A2887" s="28" t="s">
        <v>190</v>
      </c>
      <c r="B2887" s="28" t="s">
        <v>191</v>
      </c>
      <c r="C2887" s="28" t="s">
        <v>192</v>
      </c>
      <c r="D2887" s="23" t="n">
        <v>9</v>
      </c>
      <c r="E2887" s="23" t="n">
        <v>6</v>
      </c>
      <c r="F2887" s="28" t="s">
        <v>551</v>
      </c>
      <c r="G2887" s="19" t="n">
        <v>0.0575</v>
      </c>
    </row>
    <row r="2888" customFormat="false" ht="15" hidden="false" customHeight="false" outlineLevel="0" collapsed="false">
      <c r="A2888" s="28" t="s">
        <v>190</v>
      </c>
      <c r="B2888" s="28" t="s">
        <v>191</v>
      </c>
      <c r="C2888" s="28" t="s">
        <v>192</v>
      </c>
      <c r="D2888" s="23" t="n">
        <v>9</v>
      </c>
      <c r="E2888" s="23" t="n">
        <v>6</v>
      </c>
      <c r="F2888" s="28" t="s">
        <v>451</v>
      </c>
      <c r="G2888" s="19" t="n">
        <v>0.0261</v>
      </c>
    </row>
    <row r="2889" customFormat="false" ht="15" hidden="false" customHeight="false" outlineLevel="0" collapsed="false">
      <c r="A2889" s="28" t="s">
        <v>190</v>
      </c>
      <c r="B2889" s="28" t="s">
        <v>191</v>
      </c>
      <c r="C2889" s="28" t="s">
        <v>192</v>
      </c>
      <c r="D2889" s="23" t="n">
        <v>9</v>
      </c>
      <c r="E2889" s="23" t="n">
        <v>6</v>
      </c>
      <c r="F2889" s="28" t="s">
        <v>905</v>
      </c>
      <c r="G2889" s="19" t="n">
        <v>0.0287</v>
      </c>
    </row>
    <row r="2890" customFormat="false" ht="15" hidden="false" customHeight="false" outlineLevel="0" collapsed="false">
      <c r="A2890" s="28" t="s">
        <v>190</v>
      </c>
      <c r="B2890" s="28" t="s">
        <v>191</v>
      </c>
      <c r="C2890" s="28" t="s">
        <v>192</v>
      </c>
      <c r="D2890" s="23" t="n">
        <v>9</v>
      </c>
      <c r="E2890" s="23" t="n">
        <v>6</v>
      </c>
      <c r="F2890" s="28" t="s">
        <v>906</v>
      </c>
      <c r="G2890" s="19" t="n">
        <v>0.0301</v>
      </c>
    </row>
    <row r="2891" customFormat="false" ht="15" hidden="false" customHeight="false" outlineLevel="0" collapsed="false">
      <c r="A2891" s="28" t="s">
        <v>190</v>
      </c>
      <c r="B2891" s="28" t="s">
        <v>191</v>
      </c>
      <c r="C2891" s="28" t="s">
        <v>192</v>
      </c>
      <c r="D2891" s="23" t="n">
        <v>9</v>
      </c>
      <c r="E2891" s="23" t="n">
        <v>6</v>
      </c>
      <c r="F2891" s="28" t="s">
        <v>907</v>
      </c>
      <c r="G2891" s="19" t="n">
        <v>0.0298</v>
      </c>
    </row>
    <row r="2892" customFormat="false" ht="15" hidden="false" customHeight="false" outlineLevel="0" collapsed="false">
      <c r="A2892" s="28" t="s">
        <v>190</v>
      </c>
      <c r="B2892" s="28" t="s">
        <v>191</v>
      </c>
      <c r="C2892" s="28" t="s">
        <v>192</v>
      </c>
      <c r="D2892" s="23" t="n">
        <v>9</v>
      </c>
      <c r="E2892" s="23" t="n">
        <v>6</v>
      </c>
      <c r="F2892" s="28" t="s">
        <v>908</v>
      </c>
      <c r="G2892" s="19" t="n">
        <v>0.0314</v>
      </c>
    </row>
    <row r="2893" customFormat="false" ht="15" hidden="false" customHeight="false" outlineLevel="0" collapsed="false">
      <c r="A2893" s="28" t="s">
        <v>190</v>
      </c>
      <c r="B2893" s="28" t="s">
        <v>191</v>
      </c>
      <c r="C2893" s="28" t="s">
        <v>192</v>
      </c>
      <c r="D2893" s="23" t="n">
        <v>9</v>
      </c>
      <c r="E2893" s="23" t="n">
        <v>6</v>
      </c>
      <c r="F2893" s="28" t="s">
        <v>909</v>
      </c>
      <c r="G2893" s="19" t="n">
        <v>0.0315</v>
      </c>
    </row>
    <row r="2894" customFormat="false" ht="15" hidden="false" customHeight="false" outlineLevel="0" collapsed="false">
      <c r="A2894" s="28" t="s">
        <v>190</v>
      </c>
      <c r="B2894" s="28" t="s">
        <v>191</v>
      </c>
      <c r="C2894" s="28" t="s">
        <v>192</v>
      </c>
      <c r="D2894" s="23" t="n">
        <v>9</v>
      </c>
      <c r="E2894" s="23" t="n">
        <v>6</v>
      </c>
      <c r="F2894" s="28" t="s">
        <v>910</v>
      </c>
      <c r="G2894" s="19" t="n">
        <v>0.0319</v>
      </c>
    </row>
    <row r="2895" customFormat="false" ht="15" hidden="false" customHeight="false" outlineLevel="0" collapsed="false">
      <c r="A2895" s="28" t="s">
        <v>190</v>
      </c>
      <c r="B2895" s="28" t="s">
        <v>191</v>
      </c>
      <c r="C2895" s="28" t="s">
        <v>192</v>
      </c>
      <c r="D2895" s="23" t="n">
        <v>9</v>
      </c>
      <c r="E2895" s="23" t="n">
        <v>6</v>
      </c>
      <c r="F2895" s="28" t="s">
        <v>911</v>
      </c>
      <c r="G2895" s="19" t="n">
        <v>0.033</v>
      </c>
    </row>
    <row r="2896" customFormat="false" ht="15" hidden="false" customHeight="false" outlineLevel="0" collapsed="false">
      <c r="A2896" s="28" t="s">
        <v>190</v>
      </c>
      <c r="B2896" s="28" t="s">
        <v>191</v>
      </c>
      <c r="C2896" s="28" t="s">
        <v>192</v>
      </c>
      <c r="D2896" s="23" t="n">
        <v>9</v>
      </c>
      <c r="E2896" s="23" t="n">
        <v>6</v>
      </c>
      <c r="F2896" s="28" t="s">
        <v>912</v>
      </c>
      <c r="G2896" s="19" t="n">
        <v>0.0344</v>
      </c>
    </row>
    <row r="2897" customFormat="false" ht="15" hidden="false" customHeight="false" outlineLevel="0" collapsed="false">
      <c r="A2897" s="28" t="s">
        <v>190</v>
      </c>
      <c r="B2897" s="28" t="s">
        <v>191</v>
      </c>
      <c r="C2897" s="28" t="s">
        <v>192</v>
      </c>
      <c r="D2897" s="23" t="n">
        <v>9</v>
      </c>
      <c r="E2897" s="23" t="n">
        <v>6</v>
      </c>
      <c r="F2897" s="28" t="s">
        <v>913</v>
      </c>
      <c r="G2897" s="19" t="n">
        <v>0.0393</v>
      </c>
    </row>
    <row r="2898" customFormat="false" ht="15" hidden="false" customHeight="false" outlineLevel="0" collapsed="false">
      <c r="A2898" s="28" t="s">
        <v>190</v>
      </c>
      <c r="B2898" s="28" t="s">
        <v>191</v>
      </c>
      <c r="C2898" s="28" t="s">
        <v>192</v>
      </c>
      <c r="D2898" s="23" t="n">
        <v>9</v>
      </c>
      <c r="E2898" s="23" t="n">
        <v>6</v>
      </c>
      <c r="F2898" s="28" t="s">
        <v>914</v>
      </c>
      <c r="G2898" s="19" t="n">
        <v>0.0391</v>
      </c>
    </row>
    <row r="2899" customFormat="false" ht="15" hidden="false" customHeight="false" outlineLevel="0" collapsed="false">
      <c r="A2899" s="28" t="s">
        <v>190</v>
      </c>
      <c r="B2899" s="28" t="s">
        <v>191</v>
      </c>
      <c r="C2899" s="28" t="s">
        <v>192</v>
      </c>
      <c r="D2899" s="23" t="n">
        <v>9</v>
      </c>
      <c r="E2899" s="23" t="n">
        <v>6</v>
      </c>
      <c r="F2899" s="28" t="s">
        <v>915</v>
      </c>
      <c r="G2899" s="19" t="n">
        <v>0.0549</v>
      </c>
    </row>
    <row r="2900" customFormat="false" ht="15" hidden="false" customHeight="false" outlineLevel="0" collapsed="false">
      <c r="A2900" s="28" t="s">
        <v>190</v>
      </c>
      <c r="B2900" s="28" t="s">
        <v>191</v>
      </c>
      <c r="C2900" s="28" t="s">
        <v>192</v>
      </c>
      <c r="D2900" s="23" t="n">
        <v>9</v>
      </c>
      <c r="E2900" s="23" t="n">
        <v>7</v>
      </c>
      <c r="F2900" s="28" t="s">
        <v>904</v>
      </c>
      <c r="G2900" s="19" t="n">
        <v>0.024633</v>
      </c>
    </row>
    <row r="2901" customFormat="false" ht="15" hidden="false" customHeight="false" outlineLevel="0" collapsed="false">
      <c r="A2901" s="28" t="s">
        <v>190</v>
      </c>
      <c r="B2901" s="28" t="s">
        <v>191</v>
      </c>
      <c r="C2901" s="28" t="s">
        <v>192</v>
      </c>
      <c r="D2901" s="23" t="n">
        <v>9</v>
      </c>
      <c r="E2901" s="23" t="n">
        <v>7</v>
      </c>
      <c r="F2901" s="28" t="s">
        <v>551</v>
      </c>
      <c r="G2901" s="19" t="n">
        <v>0.055833</v>
      </c>
    </row>
    <row r="2902" customFormat="false" ht="15" hidden="false" customHeight="false" outlineLevel="0" collapsed="false">
      <c r="A2902" s="28" t="s">
        <v>190</v>
      </c>
      <c r="B2902" s="28" t="s">
        <v>191</v>
      </c>
      <c r="C2902" s="28" t="s">
        <v>192</v>
      </c>
      <c r="D2902" s="23" t="n">
        <v>9</v>
      </c>
      <c r="E2902" s="23" t="n">
        <v>7</v>
      </c>
      <c r="F2902" s="28" t="s">
        <v>451</v>
      </c>
      <c r="G2902" s="19" t="n">
        <v>0.024433</v>
      </c>
    </row>
    <row r="2903" customFormat="false" ht="15" hidden="false" customHeight="false" outlineLevel="0" collapsed="false">
      <c r="A2903" s="28" t="s">
        <v>190</v>
      </c>
      <c r="B2903" s="28" t="s">
        <v>191</v>
      </c>
      <c r="C2903" s="28" t="s">
        <v>192</v>
      </c>
      <c r="D2903" s="23" t="n">
        <v>9</v>
      </c>
      <c r="E2903" s="23" t="n">
        <v>7</v>
      </c>
      <c r="F2903" s="28" t="s">
        <v>905</v>
      </c>
      <c r="G2903" s="19" t="n">
        <v>0.027033</v>
      </c>
    </row>
    <row r="2904" customFormat="false" ht="15" hidden="false" customHeight="false" outlineLevel="0" collapsed="false">
      <c r="A2904" s="28" t="s">
        <v>190</v>
      </c>
      <c r="B2904" s="28" t="s">
        <v>191</v>
      </c>
      <c r="C2904" s="28" t="s">
        <v>192</v>
      </c>
      <c r="D2904" s="23" t="n">
        <v>9</v>
      </c>
      <c r="E2904" s="23" t="n">
        <v>7</v>
      </c>
      <c r="F2904" s="28" t="s">
        <v>906</v>
      </c>
      <c r="G2904" s="19" t="n">
        <v>0.028433</v>
      </c>
    </row>
    <row r="2905" customFormat="false" ht="15" hidden="false" customHeight="false" outlineLevel="0" collapsed="false">
      <c r="A2905" s="28" t="s">
        <v>190</v>
      </c>
      <c r="B2905" s="28" t="s">
        <v>191</v>
      </c>
      <c r="C2905" s="28" t="s">
        <v>192</v>
      </c>
      <c r="D2905" s="23" t="n">
        <v>9</v>
      </c>
      <c r="E2905" s="23" t="n">
        <v>7</v>
      </c>
      <c r="F2905" s="28" t="s">
        <v>907</v>
      </c>
      <c r="G2905" s="19" t="n">
        <v>0.028133</v>
      </c>
    </row>
    <row r="2906" customFormat="false" ht="15" hidden="false" customHeight="false" outlineLevel="0" collapsed="false">
      <c r="A2906" s="28" t="s">
        <v>190</v>
      </c>
      <c r="B2906" s="28" t="s">
        <v>191</v>
      </c>
      <c r="C2906" s="28" t="s">
        <v>192</v>
      </c>
      <c r="D2906" s="23" t="n">
        <v>9</v>
      </c>
      <c r="E2906" s="23" t="n">
        <v>7</v>
      </c>
      <c r="F2906" s="28" t="s">
        <v>908</v>
      </c>
      <c r="G2906" s="19" t="n">
        <v>0.029733</v>
      </c>
    </row>
    <row r="2907" customFormat="false" ht="15" hidden="false" customHeight="false" outlineLevel="0" collapsed="false">
      <c r="A2907" s="28" t="s">
        <v>190</v>
      </c>
      <c r="B2907" s="28" t="s">
        <v>191</v>
      </c>
      <c r="C2907" s="28" t="s">
        <v>192</v>
      </c>
      <c r="D2907" s="23" t="n">
        <v>9</v>
      </c>
      <c r="E2907" s="23" t="n">
        <v>7</v>
      </c>
      <c r="F2907" s="28" t="s">
        <v>909</v>
      </c>
      <c r="G2907" s="19" t="n">
        <v>0.029833</v>
      </c>
    </row>
    <row r="2908" customFormat="false" ht="15" hidden="false" customHeight="false" outlineLevel="0" collapsed="false">
      <c r="A2908" s="28" t="s">
        <v>190</v>
      </c>
      <c r="B2908" s="28" t="s">
        <v>191</v>
      </c>
      <c r="C2908" s="28" t="s">
        <v>192</v>
      </c>
      <c r="D2908" s="23" t="n">
        <v>9</v>
      </c>
      <c r="E2908" s="23" t="n">
        <v>7</v>
      </c>
      <c r="F2908" s="28" t="s">
        <v>910</v>
      </c>
      <c r="G2908" s="19" t="n">
        <v>0.030233</v>
      </c>
    </row>
    <row r="2909" customFormat="false" ht="15" hidden="false" customHeight="false" outlineLevel="0" collapsed="false">
      <c r="A2909" s="28" t="s">
        <v>190</v>
      </c>
      <c r="B2909" s="28" t="s">
        <v>191</v>
      </c>
      <c r="C2909" s="28" t="s">
        <v>192</v>
      </c>
      <c r="D2909" s="23" t="n">
        <v>9</v>
      </c>
      <c r="E2909" s="23" t="n">
        <v>7</v>
      </c>
      <c r="F2909" s="28" t="s">
        <v>911</v>
      </c>
      <c r="G2909" s="19" t="n">
        <v>0.031333</v>
      </c>
    </row>
    <row r="2910" customFormat="false" ht="15" hidden="false" customHeight="false" outlineLevel="0" collapsed="false">
      <c r="A2910" s="28" t="s">
        <v>190</v>
      </c>
      <c r="B2910" s="28" t="s">
        <v>191</v>
      </c>
      <c r="C2910" s="28" t="s">
        <v>192</v>
      </c>
      <c r="D2910" s="23" t="n">
        <v>9</v>
      </c>
      <c r="E2910" s="23" t="n">
        <v>7</v>
      </c>
      <c r="F2910" s="28" t="s">
        <v>912</v>
      </c>
      <c r="G2910" s="19" t="n">
        <v>0.032733</v>
      </c>
    </row>
    <row r="2911" customFormat="false" ht="15" hidden="false" customHeight="false" outlineLevel="0" collapsed="false">
      <c r="A2911" s="28" t="s">
        <v>190</v>
      </c>
      <c r="B2911" s="28" t="s">
        <v>191</v>
      </c>
      <c r="C2911" s="28" t="s">
        <v>192</v>
      </c>
      <c r="D2911" s="23" t="n">
        <v>9</v>
      </c>
      <c r="E2911" s="23" t="n">
        <v>7</v>
      </c>
      <c r="F2911" s="28" t="s">
        <v>913</v>
      </c>
      <c r="G2911" s="19" t="n">
        <v>0.037633</v>
      </c>
    </row>
    <row r="2912" customFormat="false" ht="15" hidden="false" customHeight="false" outlineLevel="0" collapsed="false">
      <c r="A2912" s="28" t="s">
        <v>190</v>
      </c>
      <c r="B2912" s="28" t="s">
        <v>191</v>
      </c>
      <c r="C2912" s="28" t="s">
        <v>192</v>
      </c>
      <c r="D2912" s="23" t="n">
        <v>9</v>
      </c>
      <c r="E2912" s="23" t="n">
        <v>7</v>
      </c>
      <c r="F2912" s="28" t="s">
        <v>914</v>
      </c>
      <c r="G2912" s="19" t="n">
        <v>0.037433</v>
      </c>
    </row>
    <row r="2913" customFormat="false" ht="15" hidden="false" customHeight="false" outlineLevel="0" collapsed="false">
      <c r="A2913" s="28" t="s">
        <v>190</v>
      </c>
      <c r="B2913" s="28" t="s">
        <v>191</v>
      </c>
      <c r="C2913" s="28" t="s">
        <v>192</v>
      </c>
      <c r="D2913" s="23" t="n">
        <v>9</v>
      </c>
      <c r="E2913" s="23" t="n">
        <v>7</v>
      </c>
      <c r="F2913" s="28" t="s">
        <v>915</v>
      </c>
      <c r="G2913" s="19" t="n">
        <v>0.053233</v>
      </c>
    </row>
    <row r="2914" customFormat="false" ht="15" hidden="false" customHeight="false" outlineLevel="0" collapsed="false">
      <c r="A2914" s="28" t="s">
        <v>190</v>
      </c>
      <c r="B2914" s="28" t="s">
        <v>191</v>
      </c>
      <c r="C2914" s="28" t="s">
        <v>192</v>
      </c>
      <c r="D2914" s="23" t="n">
        <v>9</v>
      </c>
      <c r="E2914" s="23" t="n">
        <v>8</v>
      </c>
      <c r="F2914" s="28" t="s">
        <v>904</v>
      </c>
      <c r="G2914" s="19" t="n">
        <v>0.022967</v>
      </c>
    </row>
    <row r="2915" customFormat="false" ht="15" hidden="false" customHeight="false" outlineLevel="0" collapsed="false">
      <c r="A2915" s="28" t="s">
        <v>190</v>
      </c>
      <c r="B2915" s="28" t="s">
        <v>191</v>
      </c>
      <c r="C2915" s="28" t="s">
        <v>192</v>
      </c>
      <c r="D2915" s="23" t="n">
        <v>9</v>
      </c>
      <c r="E2915" s="23" t="n">
        <v>8</v>
      </c>
      <c r="F2915" s="28" t="s">
        <v>551</v>
      </c>
      <c r="G2915" s="19" t="n">
        <v>0.054167</v>
      </c>
    </row>
    <row r="2916" customFormat="false" ht="15" hidden="false" customHeight="false" outlineLevel="0" collapsed="false">
      <c r="A2916" s="28" t="s">
        <v>190</v>
      </c>
      <c r="B2916" s="28" t="s">
        <v>191</v>
      </c>
      <c r="C2916" s="28" t="s">
        <v>192</v>
      </c>
      <c r="D2916" s="23" t="n">
        <v>9</v>
      </c>
      <c r="E2916" s="23" t="n">
        <v>8</v>
      </c>
      <c r="F2916" s="28" t="s">
        <v>451</v>
      </c>
      <c r="G2916" s="19" t="n">
        <v>0.022767</v>
      </c>
    </row>
    <row r="2917" customFormat="false" ht="15" hidden="false" customHeight="false" outlineLevel="0" collapsed="false">
      <c r="A2917" s="28" t="s">
        <v>190</v>
      </c>
      <c r="B2917" s="28" t="s">
        <v>191</v>
      </c>
      <c r="C2917" s="28" t="s">
        <v>192</v>
      </c>
      <c r="D2917" s="23" t="n">
        <v>9</v>
      </c>
      <c r="E2917" s="23" t="n">
        <v>8</v>
      </c>
      <c r="F2917" s="28" t="s">
        <v>905</v>
      </c>
      <c r="G2917" s="19" t="n">
        <v>0.025367</v>
      </c>
    </row>
    <row r="2918" customFormat="false" ht="15" hidden="false" customHeight="false" outlineLevel="0" collapsed="false">
      <c r="A2918" s="28" t="s">
        <v>190</v>
      </c>
      <c r="B2918" s="28" t="s">
        <v>191</v>
      </c>
      <c r="C2918" s="28" t="s">
        <v>192</v>
      </c>
      <c r="D2918" s="23" t="n">
        <v>9</v>
      </c>
      <c r="E2918" s="23" t="n">
        <v>8</v>
      </c>
      <c r="F2918" s="28" t="s">
        <v>906</v>
      </c>
      <c r="G2918" s="19" t="n">
        <v>0.026767</v>
      </c>
    </row>
    <row r="2919" customFormat="false" ht="15" hidden="false" customHeight="false" outlineLevel="0" collapsed="false">
      <c r="A2919" s="28" t="s">
        <v>190</v>
      </c>
      <c r="B2919" s="28" t="s">
        <v>191</v>
      </c>
      <c r="C2919" s="28" t="s">
        <v>192</v>
      </c>
      <c r="D2919" s="23" t="n">
        <v>9</v>
      </c>
      <c r="E2919" s="23" t="n">
        <v>8</v>
      </c>
      <c r="F2919" s="28" t="s">
        <v>907</v>
      </c>
      <c r="G2919" s="19" t="n">
        <v>0.026467</v>
      </c>
    </row>
    <row r="2920" customFormat="false" ht="15" hidden="false" customHeight="false" outlineLevel="0" collapsed="false">
      <c r="A2920" s="28" t="s">
        <v>190</v>
      </c>
      <c r="B2920" s="28" t="s">
        <v>191</v>
      </c>
      <c r="C2920" s="28" t="s">
        <v>192</v>
      </c>
      <c r="D2920" s="23" t="n">
        <v>9</v>
      </c>
      <c r="E2920" s="23" t="n">
        <v>8</v>
      </c>
      <c r="F2920" s="28" t="s">
        <v>908</v>
      </c>
      <c r="G2920" s="19" t="n">
        <v>0.028067</v>
      </c>
    </row>
    <row r="2921" customFormat="false" ht="15" hidden="false" customHeight="false" outlineLevel="0" collapsed="false">
      <c r="A2921" s="28" t="s">
        <v>190</v>
      </c>
      <c r="B2921" s="28" t="s">
        <v>191</v>
      </c>
      <c r="C2921" s="28" t="s">
        <v>192</v>
      </c>
      <c r="D2921" s="23" t="n">
        <v>9</v>
      </c>
      <c r="E2921" s="23" t="n">
        <v>8</v>
      </c>
      <c r="F2921" s="28" t="s">
        <v>909</v>
      </c>
      <c r="G2921" s="19" t="n">
        <v>0.028167</v>
      </c>
    </row>
    <row r="2922" customFormat="false" ht="15" hidden="false" customHeight="false" outlineLevel="0" collapsed="false">
      <c r="A2922" s="28" t="s">
        <v>190</v>
      </c>
      <c r="B2922" s="28" t="s">
        <v>191</v>
      </c>
      <c r="C2922" s="28" t="s">
        <v>192</v>
      </c>
      <c r="D2922" s="23" t="n">
        <v>9</v>
      </c>
      <c r="E2922" s="23" t="n">
        <v>8</v>
      </c>
      <c r="F2922" s="28" t="s">
        <v>910</v>
      </c>
      <c r="G2922" s="19" t="n">
        <v>0.028567</v>
      </c>
    </row>
    <row r="2923" customFormat="false" ht="15" hidden="false" customHeight="false" outlineLevel="0" collapsed="false">
      <c r="A2923" s="28" t="s">
        <v>190</v>
      </c>
      <c r="B2923" s="28" t="s">
        <v>191</v>
      </c>
      <c r="C2923" s="28" t="s">
        <v>192</v>
      </c>
      <c r="D2923" s="23" t="n">
        <v>9</v>
      </c>
      <c r="E2923" s="23" t="n">
        <v>8</v>
      </c>
      <c r="F2923" s="28" t="s">
        <v>911</v>
      </c>
      <c r="G2923" s="19" t="n">
        <v>0.029667</v>
      </c>
    </row>
    <row r="2924" customFormat="false" ht="15" hidden="false" customHeight="false" outlineLevel="0" collapsed="false">
      <c r="A2924" s="28" t="s">
        <v>190</v>
      </c>
      <c r="B2924" s="28" t="s">
        <v>191</v>
      </c>
      <c r="C2924" s="28" t="s">
        <v>192</v>
      </c>
      <c r="D2924" s="23" t="n">
        <v>9</v>
      </c>
      <c r="E2924" s="23" t="n">
        <v>8</v>
      </c>
      <c r="F2924" s="28" t="s">
        <v>912</v>
      </c>
      <c r="G2924" s="19" t="n">
        <v>0.031067</v>
      </c>
    </row>
    <row r="2925" customFormat="false" ht="15" hidden="false" customHeight="false" outlineLevel="0" collapsed="false">
      <c r="A2925" s="28" t="s">
        <v>190</v>
      </c>
      <c r="B2925" s="28" t="s">
        <v>191</v>
      </c>
      <c r="C2925" s="28" t="s">
        <v>192</v>
      </c>
      <c r="D2925" s="23" t="n">
        <v>9</v>
      </c>
      <c r="E2925" s="23" t="n">
        <v>8</v>
      </c>
      <c r="F2925" s="28" t="s">
        <v>913</v>
      </c>
      <c r="G2925" s="19" t="n">
        <v>0.035967</v>
      </c>
    </row>
    <row r="2926" customFormat="false" ht="15" hidden="false" customHeight="false" outlineLevel="0" collapsed="false">
      <c r="A2926" s="28" t="s">
        <v>190</v>
      </c>
      <c r="B2926" s="28" t="s">
        <v>191</v>
      </c>
      <c r="C2926" s="28" t="s">
        <v>192</v>
      </c>
      <c r="D2926" s="23" t="n">
        <v>9</v>
      </c>
      <c r="E2926" s="23" t="n">
        <v>8</v>
      </c>
      <c r="F2926" s="28" t="s">
        <v>914</v>
      </c>
      <c r="G2926" s="19" t="n">
        <v>0.035767</v>
      </c>
    </row>
    <row r="2927" customFormat="false" ht="15" hidden="false" customHeight="false" outlineLevel="0" collapsed="false">
      <c r="A2927" s="28" t="s">
        <v>190</v>
      </c>
      <c r="B2927" s="28" t="s">
        <v>191</v>
      </c>
      <c r="C2927" s="28" t="s">
        <v>192</v>
      </c>
      <c r="D2927" s="23" t="n">
        <v>9</v>
      </c>
      <c r="E2927" s="23" t="n">
        <v>8</v>
      </c>
      <c r="F2927" s="28" t="s">
        <v>915</v>
      </c>
      <c r="G2927" s="19" t="n">
        <v>0.051567</v>
      </c>
    </row>
    <row r="2928" customFormat="false" ht="15" hidden="false" customHeight="false" outlineLevel="0" collapsed="false">
      <c r="A2928" s="28" t="s">
        <v>190</v>
      </c>
      <c r="B2928" s="28" t="s">
        <v>191</v>
      </c>
      <c r="C2928" s="28" t="s">
        <v>192</v>
      </c>
      <c r="D2928" s="23" t="n">
        <v>9</v>
      </c>
      <c r="E2928" s="23" t="n">
        <v>9</v>
      </c>
      <c r="F2928" s="28" t="s">
        <v>904</v>
      </c>
      <c r="G2928" s="19" t="n">
        <v>0.0213</v>
      </c>
    </row>
    <row r="2929" customFormat="false" ht="15" hidden="false" customHeight="false" outlineLevel="0" collapsed="false">
      <c r="A2929" s="28" t="s">
        <v>190</v>
      </c>
      <c r="B2929" s="28" t="s">
        <v>191</v>
      </c>
      <c r="C2929" s="28" t="s">
        <v>192</v>
      </c>
      <c r="D2929" s="23" t="n">
        <v>9</v>
      </c>
      <c r="E2929" s="23" t="n">
        <v>9</v>
      </c>
      <c r="F2929" s="28" t="s">
        <v>551</v>
      </c>
      <c r="G2929" s="19" t="n">
        <v>0.0525</v>
      </c>
    </row>
    <row r="2930" customFormat="false" ht="15" hidden="false" customHeight="false" outlineLevel="0" collapsed="false">
      <c r="A2930" s="28" t="s">
        <v>190</v>
      </c>
      <c r="B2930" s="28" t="s">
        <v>191</v>
      </c>
      <c r="C2930" s="28" t="s">
        <v>192</v>
      </c>
      <c r="D2930" s="23" t="n">
        <v>9</v>
      </c>
      <c r="E2930" s="23" t="n">
        <v>9</v>
      </c>
      <c r="F2930" s="28" t="s">
        <v>451</v>
      </c>
      <c r="G2930" s="19" t="n">
        <v>0.0211</v>
      </c>
    </row>
    <row r="2931" customFormat="false" ht="15" hidden="false" customHeight="false" outlineLevel="0" collapsed="false">
      <c r="A2931" s="28" t="s">
        <v>190</v>
      </c>
      <c r="B2931" s="28" t="s">
        <v>191</v>
      </c>
      <c r="C2931" s="28" t="s">
        <v>192</v>
      </c>
      <c r="D2931" s="23" t="n">
        <v>9</v>
      </c>
      <c r="E2931" s="23" t="n">
        <v>9</v>
      </c>
      <c r="F2931" s="28" t="s">
        <v>905</v>
      </c>
      <c r="G2931" s="19" t="n">
        <v>0.0237</v>
      </c>
    </row>
    <row r="2932" customFormat="false" ht="15" hidden="false" customHeight="false" outlineLevel="0" collapsed="false">
      <c r="A2932" s="28" t="s">
        <v>190</v>
      </c>
      <c r="B2932" s="28" t="s">
        <v>191</v>
      </c>
      <c r="C2932" s="28" t="s">
        <v>192</v>
      </c>
      <c r="D2932" s="23" t="n">
        <v>9</v>
      </c>
      <c r="E2932" s="23" t="n">
        <v>9</v>
      </c>
      <c r="F2932" s="28" t="s">
        <v>906</v>
      </c>
      <c r="G2932" s="19" t="n">
        <v>0.0251</v>
      </c>
    </row>
    <row r="2933" customFormat="false" ht="15" hidden="false" customHeight="false" outlineLevel="0" collapsed="false">
      <c r="A2933" s="28" t="s">
        <v>190</v>
      </c>
      <c r="B2933" s="28" t="s">
        <v>191</v>
      </c>
      <c r="C2933" s="28" t="s">
        <v>192</v>
      </c>
      <c r="D2933" s="23" t="n">
        <v>9</v>
      </c>
      <c r="E2933" s="23" t="n">
        <v>9</v>
      </c>
      <c r="F2933" s="28" t="s">
        <v>907</v>
      </c>
      <c r="G2933" s="19" t="n">
        <v>0.0248</v>
      </c>
    </row>
    <row r="2934" customFormat="false" ht="15" hidden="false" customHeight="false" outlineLevel="0" collapsed="false">
      <c r="A2934" s="28" t="s">
        <v>190</v>
      </c>
      <c r="B2934" s="28" t="s">
        <v>191</v>
      </c>
      <c r="C2934" s="28" t="s">
        <v>192</v>
      </c>
      <c r="D2934" s="23" t="n">
        <v>9</v>
      </c>
      <c r="E2934" s="23" t="n">
        <v>9</v>
      </c>
      <c r="F2934" s="28" t="s">
        <v>908</v>
      </c>
      <c r="G2934" s="19" t="n">
        <v>0.0264</v>
      </c>
    </row>
    <row r="2935" customFormat="false" ht="15" hidden="false" customHeight="false" outlineLevel="0" collapsed="false">
      <c r="A2935" s="28" t="s">
        <v>190</v>
      </c>
      <c r="B2935" s="28" t="s">
        <v>191</v>
      </c>
      <c r="C2935" s="28" t="s">
        <v>192</v>
      </c>
      <c r="D2935" s="23" t="n">
        <v>9</v>
      </c>
      <c r="E2935" s="23" t="n">
        <v>9</v>
      </c>
      <c r="F2935" s="28" t="s">
        <v>909</v>
      </c>
      <c r="G2935" s="19" t="n">
        <v>0.0265</v>
      </c>
    </row>
    <row r="2936" customFormat="false" ht="15" hidden="false" customHeight="false" outlineLevel="0" collapsed="false">
      <c r="A2936" s="28" t="s">
        <v>190</v>
      </c>
      <c r="B2936" s="28" t="s">
        <v>191</v>
      </c>
      <c r="C2936" s="28" t="s">
        <v>192</v>
      </c>
      <c r="D2936" s="23" t="n">
        <v>9</v>
      </c>
      <c r="E2936" s="23" t="n">
        <v>9</v>
      </c>
      <c r="F2936" s="28" t="s">
        <v>910</v>
      </c>
      <c r="G2936" s="19" t="n">
        <v>0.0269</v>
      </c>
    </row>
    <row r="2937" customFormat="false" ht="15" hidden="false" customHeight="false" outlineLevel="0" collapsed="false">
      <c r="A2937" s="28" t="s">
        <v>190</v>
      </c>
      <c r="B2937" s="28" t="s">
        <v>191</v>
      </c>
      <c r="C2937" s="28" t="s">
        <v>192</v>
      </c>
      <c r="D2937" s="23" t="n">
        <v>9</v>
      </c>
      <c r="E2937" s="23" t="n">
        <v>9</v>
      </c>
      <c r="F2937" s="28" t="s">
        <v>911</v>
      </c>
      <c r="G2937" s="19" t="n">
        <v>0.028</v>
      </c>
    </row>
    <row r="2938" customFormat="false" ht="15" hidden="false" customHeight="false" outlineLevel="0" collapsed="false">
      <c r="A2938" s="28" t="s">
        <v>190</v>
      </c>
      <c r="B2938" s="28" t="s">
        <v>191</v>
      </c>
      <c r="C2938" s="28" t="s">
        <v>192</v>
      </c>
      <c r="D2938" s="23" t="n">
        <v>9</v>
      </c>
      <c r="E2938" s="23" t="n">
        <v>9</v>
      </c>
      <c r="F2938" s="28" t="s">
        <v>912</v>
      </c>
      <c r="G2938" s="19" t="n">
        <v>0.0294</v>
      </c>
    </row>
    <row r="2939" customFormat="false" ht="15" hidden="false" customHeight="false" outlineLevel="0" collapsed="false">
      <c r="A2939" s="28" t="s">
        <v>190</v>
      </c>
      <c r="B2939" s="28" t="s">
        <v>191</v>
      </c>
      <c r="C2939" s="28" t="s">
        <v>192</v>
      </c>
      <c r="D2939" s="23" t="n">
        <v>9</v>
      </c>
      <c r="E2939" s="23" t="n">
        <v>9</v>
      </c>
      <c r="F2939" s="28" t="s">
        <v>913</v>
      </c>
      <c r="G2939" s="19" t="n">
        <v>0.0343</v>
      </c>
    </row>
    <row r="2940" customFormat="false" ht="15" hidden="false" customHeight="false" outlineLevel="0" collapsed="false">
      <c r="A2940" s="28" t="s">
        <v>190</v>
      </c>
      <c r="B2940" s="28" t="s">
        <v>191</v>
      </c>
      <c r="C2940" s="28" t="s">
        <v>192</v>
      </c>
      <c r="D2940" s="23" t="n">
        <v>9</v>
      </c>
      <c r="E2940" s="23" t="n">
        <v>9</v>
      </c>
      <c r="F2940" s="28" t="s">
        <v>914</v>
      </c>
      <c r="G2940" s="19" t="n">
        <v>0.0341</v>
      </c>
    </row>
    <row r="2941" customFormat="false" ht="15" hidden="false" customHeight="false" outlineLevel="0" collapsed="false">
      <c r="A2941" s="28" t="s">
        <v>190</v>
      </c>
      <c r="B2941" s="28" t="s">
        <v>191</v>
      </c>
      <c r="C2941" s="28" t="s">
        <v>192</v>
      </c>
      <c r="D2941" s="23" t="n">
        <v>9</v>
      </c>
      <c r="E2941" s="23" t="n">
        <v>9</v>
      </c>
      <c r="F2941" s="28" t="s">
        <v>915</v>
      </c>
      <c r="G2941" s="19" t="n">
        <v>0.0499</v>
      </c>
    </row>
    <row r="2942" customFormat="false" ht="15" hidden="false" customHeight="false" outlineLevel="0" collapsed="false">
      <c r="A2942" s="28" t="s">
        <v>190</v>
      </c>
      <c r="B2942" s="28" t="s">
        <v>191</v>
      </c>
      <c r="C2942" s="28" t="s">
        <v>192</v>
      </c>
      <c r="D2942" s="23" t="n">
        <v>9</v>
      </c>
      <c r="E2942" s="23" t="n">
        <v>10</v>
      </c>
      <c r="F2942" s="28" t="s">
        <v>904</v>
      </c>
      <c r="G2942" s="19" t="n">
        <v>0.019633</v>
      </c>
    </row>
    <row r="2943" customFormat="false" ht="15" hidden="false" customHeight="false" outlineLevel="0" collapsed="false">
      <c r="A2943" s="28" t="s">
        <v>190</v>
      </c>
      <c r="B2943" s="28" t="s">
        <v>191</v>
      </c>
      <c r="C2943" s="28" t="s">
        <v>192</v>
      </c>
      <c r="D2943" s="23" t="n">
        <v>9</v>
      </c>
      <c r="E2943" s="23" t="n">
        <v>10</v>
      </c>
      <c r="F2943" s="28" t="s">
        <v>551</v>
      </c>
      <c r="G2943" s="19" t="n">
        <v>0.050833</v>
      </c>
    </row>
    <row r="2944" customFormat="false" ht="15" hidden="false" customHeight="false" outlineLevel="0" collapsed="false">
      <c r="A2944" s="28" t="s">
        <v>190</v>
      </c>
      <c r="B2944" s="28" t="s">
        <v>191</v>
      </c>
      <c r="C2944" s="28" t="s">
        <v>192</v>
      </c>
      <c r="D2944" s="23" t="n">
        <v>9</v>
      </c>
      <c r="E2944" s="23" t="n">
        <v>10</v>
      </c>
      <c r="F2944" s="28" t="s">
        <v>451</v>
      </c>
      <c r="G2944" s="19" t="n">
        <v>0.019433</v>
      </c>
    </row>
    <row r="2945" customFormat="false" ht="15" hidden="false" customHeight="false" outlineLevel="0" collapsed="false">
      <c r="A2945" s="28" t="s">
        <v>190</v>
      </c>
      <c r="B2945" s="28" t="s">
        <v>191</v>
      </c>
      <c r="C2945" s="28" t="s">
        <v>192</v>
      </c>
      <c r="D2945" s="23" t="n">
        <v>9</v>
      </c>
      <c r="E2945" s="23" t="n">
        <v>10</v>
      </c>
      <c r="F2945" s="28" t="s">
        <v>905</v>
      </c>
      <c r="G2945" s="19" t="n">
        <v>0.022033</v>
      </c>
    </row>
    <row r="2946" customFormat="false" ht="15" hidden="false" customHeight="false" outlineLevel="0" collapsed="false">
      <c r="A2946" s="28" t="s">
        <v>190</v>
      </c>
      <c r="B2946" s="28" t="s">
        <v>191</v>
      </c>
      <c r="C2946" s="28" t="s">
        <v>192</v>
      </c>
      <c r="D2946" s="23" t="n">
        <v>9</v>
      </c>
      <c r="E2946" s="23" t="n">
        <v>10</v>
      </c>
      <c r="F2946" s="28" t="s">
        <v>906</v>
      </c>
      <c r="G2946" s="19" t="n">
        <v>0.023433</v>
      </c>
    </row>
    <row r="2947" customFormat="false" ht="15" hidden="false" customHeight="false" outlineLevel="0" collapsed="false">
      <c r="A2947" s="28" t="s">
        <v>190</v>
      </c>
      <c r="B2947" s="28" t="s">
        <v>191</v>
      </c>
      <c r="C2947" s="28" t="s">
        <v>192</v>
      </c>
      <c r="D2947" s="23" t="n">
        <v>9</v>
      </c>
      <c r="E2947" s="23" t="n">
        <v>10</v>
      </c>
      <c r="F2947" s="28" t="s">
        <v>907</v>
      </c>
      <c r="G2947" s="19" t="n">
        <v>0.023133</v>
      </c>
    </row>
    <row r="2948" customFormat="false" ht="15" hidden="false" customHeight="false" outlineLevel="0" collapsed="false">
      <c r="A2948" s="28" t="s">
        <v>190</v>
      </c>
      <c r="B2948" s="28" t="s">
        <v>191</v>
      </c>
      <c r="C2948" s="28" t="s">
        <v>192</v>
      </c>
      <c r="D2948" s="23" t="n">
        <v>9</v>
      </c>
      <c r="E2948" s="23" t="n">
        <v>10</v>
      </c>
      <c r="F2948" s="28" t="s">
        <v>908</v>
      </c>
      <c r="G2948" s="19" t="n">
        <v>0.024733</v>
      </c>
    </row>
    <row r="2949" customFormat="false" ht="15" hidden="false" customHeight="false" outlineLevel="0" collapsed="false">
      <c r="A2949" s="28" t="s">
        <v>190</v>
      </c>
      <c r="B2949" s="28" t="s">
        <v>191</v>
      </c>
      <c r="C2949" s="28" t="s">
        <v>192</v>
      </c>
      <c r="D2949" s="23" t="n">
        <v>9</v>
      </c>
      <c r="E2949" s="23" t="n">
        <v>10</v>
      </c>
      <c r="F2949" s="28" t="s">
        <v>909</v>
      </c>
      <c r="G2949" s="19" t="n">
        <v>0.024833</v>
      </c>
    </row>
    <row r="2950" customFormat="false" ht="15" hidden="false" customHeight="false" outlineLevel="0" collapsed="false">
      <c r="A2950" s="28" t="s">
        <v>190</v>
      </c>
      <c r="B2950" s="28" t="s">
        <v>191</v>
      </c>
      <c r="C2950" s="28" t="s">
        <v>192</v>
      </c>
      <c r="D2950" s="23" t="n">
        <v>9</v>
      </c>
      <c r="E2950" s="23" t="n">
        <v>10</v>
      </c>
      <c r="F2950" s="28" t="s">
        <v>910</v>
      </c>
      <c r="G2950" s="19" t="n">
        <v>0.025233</v>
      </c>
    </row>
    <row r="2951" customFormat="false" ht="15" hidden="false" customHeight="false" outlineLevel="0" collapsed="false">
      <c r="A2951" s="28" t="s">
        <v>190</v>
      </c>
      <c r="B2951" s="28" t="s">
        <v>191</v>
      </c>
      <c r="C2951" s="28" t="s">
        <v>192</v>
      </c>
      <c r="D2951" s="23" t="n">
        <v>9</v>
      </c>
      <c r="E2951" s="23" t="n">
        <v>10</v>
      </c>
      <c r="F2951" s="28" t="s">
        <v>911</v>
      </c>
      <c r="G2951" s="19" t="n">
        <v>0.026333</v>
      </c>
    </row>
    <row r="2952" customFormat="false" ht="15" hidden="false" customHeight="false" outlineLevel="0" collapsed="false">
      <c r="A2952" s="28" t="s">
        <v>190</v>
      </c>
      <c r="B2952" s="28" t="s">
        <v>191</v>
      </c>
      <c r="C2952" s="28" t="s">
        <v>192</v>
      </c>
      <c r="D2952" s="23" t="n">
        <v>9</v>
      </c>
      <c r="E2952" s="23" t="n">
        <v>10</v>
      </c>
      <c r="F2952" s="28" t="s">
        <v>912</v>
      </c>
      <c r="G2952" s="19" t="n">
        <v>0.027733</v>
      </c>
    </row>
    <row r="2953" customFormat="false" ht="15" hidden="false" customHeight="false" outlineLevel="0" collapsed="false">
      <c r="A2953" s="28" t="s">
        <v>190</v>
      </c>
      <c r="B2953" s="28" t="s">
        <v>191</v>
      </c>
      <c r="C2953" s="28" t="s">
        <v>192</v>
      </c>
      <c r="D2953" s="23" t="n">
        <v>9</v>
      </c>
      <c r="E2953" s="23" t="n">
        <v>10</v>
      </c>
      <c r="F2953" s="28" t="s">
        <v>913</v>
      </c>
      <c r="G2953" s="19" t="n">
        <v>0.032633</v>
      </c>
    </row>
    <row r="2954" customFormat="false" ht="15" hidden="false" customHeight="false" outlineLevel="0" collapsed="false">
      <c r="A2954" s="28" t="s">
        <v>190</v>
      </c>
      <c r="B2954" s="28" t="s">
        <v>191</v>
      </c>
      <c r="C2954" s="28" t="s">
        <v>192</v>
      </c>
      <c r="D2954" s="23" t="n">
        <v>9</v>
      </c>
      <c r="E2954" s="23" t="n">
        <v>10</v>
      </c>
      <c r="F2954" s="28" t="s">
        <v>914</v>
      </c>
      <c r="G2954" s="19" t="n">
        <v>0.032433</v>
      </c>
    </row>
    <row r="2955" customFormat="false" ht="15" hidden="false" customHeight="false" outlineLevel="0" collapsed="false">
      <c r="A2955" s="28" t="s">
        <v>190</v>
      </c>
      <c r="B2955" s="28" t="s">
        <v>191</v>
      </c>
      <c r="C2955" s="28" t="s">
        <v>192</v>
      </c>
      <c r="D2955" s="23" t="n">
        <v>9</v>
      </c>
      <c r="E2955" s="23" t="n">
        <v>10</v>
      </c>
      <c r="F2955" s="28" t="s">
        <v>915</v>
      </c>
      <c r="G2955" s="19" t="n">
        <v>0.048233</v>
      </c>
    </row>
    <row r="2956" customFormat="false" ht="15" hidden="false" customHeight="false" outlineLevel="0" collapsed="false">
      <c r="A2956" s="28" t="s">
        <v>190</v>
      </c>
      <c r="B2956" s="28" t="s">
        <v>191</v>
      </c>
      <c r="C2956" s="28" t="s">
        <v>192</v>
      </c>
      <c r="D2956" s="23" t="n">
        <v>9</v>
      </c>
      <c r="E2956" s="23" t="n">
        <v>11</v>
      </c>
      <c r="F2956" s="28" t="s">
        <v>904</v>
      </c>
      <c r="G2956" s="19" t="n">
        <v>0.017967</v>
      </c>
    </row>
    <row r="2957" customFormat="false" ht="15" hidden="false" customHeight="false" outlineLevel="0" collapsed="false">
      <c r="A2957" s="28" t="s">
        <v>190</v>
      </c>
      <c r="B2957" s="28" t="s">
        <v>191</v>
      </c>
      <c r="C2957" s="28" t="s">
        <v>192</v>
      </c>
      <c r="D2957" s="23" t="n">
        <v>9</v>
      </c>
      <c r="E2957" s="23" t="n">
        <v>11</v>
      </c>
      <c r="F2957" s="28" t="s">
        <v>551</v>
      </c>
      <c r="G2957" s="19" t="n">
        <v>0.049167</v>
      </c>
    </row>
    <row r="2958" customFormat="false" ht="15" hidden="false" customHeight="false" outlineLevel="0" collapsed="false">
      <c r="A2958" s="28" t="s">
        <v>190</v>
      </c>
      <c r="B2958" s="28" t="s">
        <v>191</v>
      </c>
      <c r="C2958" s="28" t="s">
        <v>192</v>
      </c>
      <c r="D2958" s="23" t="n">
        <v>9</v>
      </c>
      <c r="E2958" s="23" t="n">
        <v>11</v>
      </c>
      <c r="F2958" s="28" t="s">
        <v>451</v>
      </c>
      <c r="G2958" s="19" t="n">
        <v>0.017767</v>
      </c>
    </row>
    <row r="2959" customFormat="false" ht="15" hidden="false" customHeight="false" outlineLevel="0" collapsed="false">
      <c r="A2959" s="28" t="s">
        <v>190</v>
      </c>
      <c r="B2959" s="28" t="s">
        <v>191</v>
      </c>
      <c r="C2959" s="28" t="s">
        <v>192</v>
      </c>
      <c r="D2959" s="23" t="n">
        <v>9</v>
      </c>
      <c r="E2959" s="23" t="n">
        <v>11</v>
      </c>
      <c r="F2959" s="28" t="s">
        <v>905</v>
      </c>
      <c r="G2959" s="19" t="n">
        <v>0.020367</v>
      </c>
    </row>
    <row r="2960" customFormat="false" ht="15" hidden="false" customHeight="false" outlineLevel="0" collapsed="false">
      <c r="A2960" s="28" t="s">
        <v>190</v>
      </c>
      <c r="B2960" s="28" t="s">
        <v>191</v>
      </c>
      <c r="C2960" s="28" t="s">
        <v>192</v>
      </c>
      <c r="D2960" s="23" t="n">
        <v>9</v>
      </c>
      <c r="E2960" s="23" t="n">
        <v>11</v>
      </c>
      <c r="F2960" s="28" t="s">
        <v>906</v>
      </c>
      <c r="G2960" s="19" t="n">
        <v>0.021767</v>
      </c>
    </row>
    <row r="2961" customFormat="false" ht="15" hidden="false" customHeight="false" outlineLevel="0" collapsed="false">
      <c r="A2961" s="28" t="s">
        <v>190</v>
      </c>
      <c r="B2961" s="28" t="s">
        <v>191</v>
      </c>
      <c r="C2961" s="28" t="s">
        <v>192</v>
      </c>
      <c r="D2961" s="23" t="n">
        <v>9</v>
      </c>
      <c r="E2961" s="23" t="n">
        <v>11</v>
      </c>
      <c r="F2961" s="28" t="s">
        <v>907</v>
      </c>
      <c r="G2961" s="19" t="n">
        <v>0.021467</v>
      </c>
    </row>
    <row r="2962" customFormat="false" ht="15" hidden="false" customHeight="false" outlineLevel="0" collapsed="false">
      <c r="A2962" s="28" t="s">
        <v>190</v>
      </c>
      <c r="B2962" s="28" t="s">
        <v>191</v>
      </c>
      <c r="C2962" s="28" t="s">
        <v>192</v>
      </c>
      <c r="D2962" s="23" t="n">
        <v>9</v>
      </c>
      <c r="E2962" s="23" t="n">
        <v>11</v>
      </c>
      <c r="F2962" s="28" t="s">
        <v>908</v>
      </c>
      <c r="G2962" s="19" t="n">
        <v>0.023067</v>
      </c>
    </row>
    <row r="2963" customFormat="false" ht="15" hidden="false" customHeight="false" outlineLevel="0" collapsed="false">
      <c r="A2963" s="28" t="s">
        <v>190</v>
      </c>
      <c r="B2963" s="28" t="s">
        <v>191</v>
      </c>
      <c r="C2963" s="28" t="s">
        <v>192</v>
      </c>
      <c r="D2963" s="23" t="n">
        <v>9</v>
      </c>
      <c r="E2963" s="23" t="n">
        <v>11</v>
      </c>
      <c r="F2963" s="28" t="s">
        <v>909</v>
      </c>
      <c r="G2963" s="19" t="n">
        <v>0.023167</v>
      </c>
    </row>
    <row r="2964" customFormat="false" ht="15" hidden="false" customHeight="false" outlineLevel="0" collapsed="false">
      <c r="A2964" s="28" t="s">
        <v>190</v>
      </c>
      <c r="B2964" s="28" t="s">
        <v>191</v>
      </c>
      <c r="C2964" s="28" t="s">
        <v>192</v>
      </c>
      <c r="D2964" s="23" t="n">
        <v>9</v>
      </c>
      <c r="E2964" s="23" t="n">
        <v>11</v>
      </c>
      <c r="F2964" s="28" t="s">
        <v>910</v>
      </c>
      <c r="G2964" s="19" t="n">
        <v>0.023567</v>
      </c>
    </row>
    <row r="2965" customFormat="false" ht="15" hidden="false" customHeight="false" outlineLevel="0" collapsed="false">
      <c r="A2965" s="28" t="s">
        <v>190</v>
      </c>
      <c r="B2965" s="28" t="s">
        <v>191</v>
      </c>
      <c r="C2965" s="28" t="s">
        <v>192</v>
      </c>
      <c r="D2965" s="23" t="n">
        <v>9</v>
      </c>
      <c r="E2965" s="23" t="n">
        <v>11</v>
      </c>
      <c r="F2965" s="28" t="s">
        <v>911</v>
      </c>
      <c r="G2965" s="19" t="n">
        <v>0.024667</v>
      </c>
    </row>
    <row r="2966" customFormat="false" ht="15" hidden="false" customHeight="false" outlineLevel="0" collapsed="false">
      <c r="A2966" s="28" t="s">
        <v>190</v>
      </c>
      <c r="B2966" s="28" t="s">
        <v>191</v>
      </c>
      <c r="C2966" s="28" t="s">
        <v>192</v>
      </c>
      <c r="D2966" s="23" t="n">
        <v>9</v>
      </c>
      <c r="E2966" s="23" t="n">
        <v>11</v>
      </c>
      <c r="F2966" s="28" t="s">
        <v>912</v>
      </c>
      <c r="G2966" s="19" t="n">
        <v>0.026067</v>
      </c>
    </row>
    <row r="2967" customFormat="false" ht="15" hidden="false" customHeight="false" outlineLevel="0" collapsed="false">
      <c r="A2967" s="28" t="s">
        <v>190</v>
      </c>
      <c r="B2967" s="28" t="s">
        <v>191</v>
      </c>
      <c r="C2967" s="28" t="s">
        <v>192</v>
      </c>
      <c r="D2967" s="23" t="n">
        <v>9</v>
      </c>
      <c r="E2967" s="23" t="n">
        <v>11</v>
      </c>
      <c r="F2967" s="28" t="s">
        <v>913</v>
      </c>
      <c r="G2967" s="19" t="n">
        <v>0.030967</v>
      </c>
    </row>
    <row r="2968" customFormat="false" ht="15" hidden="false" customHeight="false" outlineLevel="0" collapsed="false">
      <c r="A2968" s="28" t="s">
        <v>190</v>
      </c>
      <c r="B2968" s="28" t="s">
        <v>191</v>
      </c>
      <c r="C2968" s="28" t="s">
        <v>192</v>
      </c>
      <c r="D2968" s="23" t="n">
        <v>9</v>
      </c>
      <c r="E2968" s="23" t="n">
        <v>11</v>
      </c>
      <c r="F2968" s="28" t="s">
        <v>914</v>
      </c>
      <c r="G2968" s="19" t="n">
        <v>0.030767</v>
      </c>
    </row>
    <row r="2969" customFormat="false" ht="15" hidden="false" customHeight="false" outlineLevel="0" collapsed="false">
      <c r="A2969" s="28" t="s">
        <v>190</v>
      </c>
      <c r="B2969" s="28" t="s">
        <v>191</v>
      </c>
      <c r="C2969" s="28" t="s">
        <v>192</v>
      </c>
      <c r="D2969" s="23" t="n">
        <v>9</v>
      </c>
      <c r="E2969" s="23" t="n">
        <v>11</v>
      </c>
      <c r="F2969" s="28" t="s">
        <v>915</v>
      </c>
      <c r="G2969" s="19" t="n">
        <v>0.046567</v>
      </c>
    </row>
    <row r="2970" customFormat="false" ht="15" hidden="false" customHeight="false" outlineLevel="0" collapsed="false">
      <c r="A2970" s="28" t="s">
        <v>190</v>
      </c>
      <c r="B2970" s="28" t="s">
        <v>191</v>
      </c>
      <c r="C2970" s="28" t="s">
        <v>192</v>
      </c>
      <c r="D2970" s="23" t="n">
        <v>9</v>
      </c>
      <c r="E2970" s="23" t="n">
        <v>12</v>
      </c>
      <c r="F2970" s="28" t="s">
        <v>904</v>
      </c>
      <c r="G2970" s="19" t="n">
        <v>0.0163</v>
      </c>
    </row>
    <row r="2971" customFormat="false" ht="15" hidden="false" customHeight="false" outlineLevel="0" collapsed="false">
      <c r="A2971" s="28" t="s">
        <v>190</v>
      </c>
      <c r="B2971" s="28" t="s">
        <v>191</v>
      </c>
      <c r="C2971" s="28" t="s">
        <v>192</v>
      </c>
      <c r="D2971" s="23" t="n">
        <v>9</v>
      </c>
      <c r="E2971" s="23" t="n">
        <v>12</v>
      </c>
      <c r="F2971" s="28" t="s">
        <v>551</v>
      </c>
      <c r="G2971" s="19" t="n">
        <v>0.0475</v>
      </c>
    </row>
    <row r="2972" customFormat="false" ht="15" hidden="false" customHeight="false" outlineLevel="0" collapsed="false">
      <c r="A2972" s="28" t="s">
        <v>190</v>
      </c>
      <c r="B2972" s="28" t="s">
        <v>191</v>
      </c>
      <c r="C2972" s="28" t="s">
        <v>192</v>
      </c>
      <c r="D2972" s="23" t="n">
        <v>9</v>
      </c>
      <c r="E2972" s="23" t="n">
        <v>12</v>
      </c>
      <c r="F2972" s="28" t="s">
        <v>451</v>
      </c>
      <c r="G2972" s="19" t="n">
        <v>0.0161</v>
      </c>
    </row>
    <row r="2973" customFormat="false" ht="15" hidden="false" customHeight="false" outlineLevel="0" collapsed="false">
      <c r="A2973" s="28" t="s">
        <v>190</v>
      </c>
      <c r="B2973" s="28" t="s">
        <v>191</v>
      </c>
      <c r="C2973" s="28" t="s">
        <v>192</v>
      </c>
      <c r="D2973" s="23" t="n">
        <v>9</v>
      </c>
      <c r="E2973" s="23" t="n">
        <v>12</v>
      </c>
      <c r="F2973" s="28" t="s">
        <v>905</v>
      </c>
      <c r="G2973" s="19" t="n">
        <v>0.0187</v>
      </c>
    </row>
    <row r="2974" customFormat="false" ht="15" hidden="false" customHeight="false" outlineLevel="0" collapsed="false">
      <c r="A2974" s="28" t="s">
        <v>190</v>
      </c>
      <c r="B2974" s="28" t="s">
        <v>191</v>
      </c>
      <c r="C2974" s="28" t="s">
        <v>192</v>
      </c>
      <c r="D2974" s="23" t="n">
        <v>9</v>
      </c>
      <c r="E2974" s="23" t="n">
        <v>12</v>
      </c>
      <c r="F2974" s="28" t="s">
        <v>906</v>
      </c>
      <c r="G2974" s="19" t="n">
        <v>0.0201</v>
      </c>
    </row>
    <row r="2975" customFormat="false" ht="15" hidden="false" customHeight="false" outlineLevel="0" collapsed="false">
      <c r="A2975" s="28" t="s">
        <v>190</v>
      </c>
      <c r="B2975" s="28" t="s">
        <v>191</v>
      </c>
      <c r="C2975" s="28" t="s">
        <v>192</v>
      </c>
      <c r="D2975" s="23" t="n">
        <v>9</v>
      </c>
      <c r="E2975" s="23" t="n">
        <v>12</v>
      </c>
      <c r="F2975" s="28" t="s">
        <v>907</v>
      </c>
      <c r="G2975" s="19" t="n">
        <v>0.0198</v>
      </c>
    </row>
    <row r="2976" customFormat="false" ht="15" hidden="false" customHeight="false" outlineLevel="0" collapsed="false">
      <c r="A2976" s="28" t="s">
        <v>190</v>
      </c>
      <c r="B2976" s="28" t="s">
        <v>191</v>
      </c>
      <c r="C2976" s="28" t="s">
        <v>192</v>
      </c>
      <c r="D2976" s="23" t="n">
        <v>9</v>
      </c>
      <c r="E2976" s="23" t="n">
        <v>12</v>
      </c>
      <c r="F2976" s="28" t="s">
        <v>908</v>
      </c>
      <c r="G2976" s="19" t="n">
        <v>0.0214</v>
      </c>
    </row>
    <row r="2977" customFormat="false" ht="15" hidden="false" customHeight="false" outlineLevel="0" collapsed="false">
      <c r="A2977" s="28" t="s">
        <v>190</v>
      </c>
      <c r="B2977" s="28" t="s">
        <v>191</v>
      </c>
      <c r="C2977" s="28" t="s">
        <v>192</v>
      </c>
      <c r="D2977" s="23" t="n">
        <v>9</v>
      </c>
      <c r="E2977" s="23" t="n">
        <v>12</v>
      </c>
      <c r="F2977" s="28" t="s">
        <v>909</v>
      </c>
      <c r="G2977" s="19" t="n">
        <v>0.0215</v>
      </c>
    </row>
    <row r="2978" customFormat="false" ht="15" hidden="false" customHeight="false" outlineLevel="0" collapsed="false">
      <c r="A2978" s="28" t="s">
        <v>190</v>
      </c>
      <c r="B2978" s="28" t="s">
        <v>191</v>
      </c>
      <c r="C2978" s="28" t="s">
        <v>192</v>
      </c>
      <c r="D2978" s="23" t="n">
        <v>9</v>
      </c>
      <c r="E2978" s="23" t="n">
        <v>12</v>
      </c>
      <c r="F2978" s="28" t="s">
        <v>910</v>
      </c>
      <c r="G2978" s="19" t="n">
        <v>0.0219</v>
      </c>
    </row>
    <row r="2979" customFormat="false" ht="15" hidden="false" customHeight="false" outlineLevel="0" collapsed="false">
      <c r="A2979" s="28" t="s">
        <v>190</v>
      </c>
      <c r="B2979" s="28" t="s">
        <v>191</v>
      </c>
      <c r="C2979" s="28" t="s">
        <v>192</v>
      </c>
      <c r="D2979" s="23" t="n">
        <v>9</v>
      </c>
      <c r="E2979" s="23" t="n">
        <v>12</v>
      </c>
      <c r="F2979" s="28" t="s">
        <v>911</v>
      </c>
      <c r="G2979" s="19" t="n">
        <v>0.023</v>
      </c>
    </row>
    <row r="2980" customFormat="false" ht="15" hidden="false" customHeight="false" outlineLevel="0" collapsed="false">
      <c r="A2980" s="28" t="s">
        <v>190</v>
      </c>
      <c r="B2980" s="28" t="s">
        <v>191</v>
      </c>
      <c r="C2980" s="28" t="s">
        <v>192</v>
      </c>
      <c r="D2980" s="23" t="n">
        <v>9</v>
      </c>
      <c r="E2980" s="23" t="n">
        <v>12</v>
      </c>
      <c r="F2980" s="28" t="s">
        <v>912</v>
      </c>
      <c r="G2980" s="19" t="n">
        <v>0.0244</v>
      </c>
    </row>
    <row r="2981" customFormat="false" ht="15" hidden="false" customHeight="false" outlineLevel="0" collapsed="false">
      <c r="A2981" s="28" t="s">
        <v>190</v>
      </c>
      <c r="B2981" s="28" t="s">
        <v>191</v>
      </c>
      <c r="C2981" s="28" t="s">
        <v>192</v>
      </c>
      <c r="D2981" s="23" t="n">
        <v>9</v>
      </c>
      <c r="E2981" s="23" t="n">
        <v>12</v>
      </c>
      <c r="F2981" s="28" t="s">
        <v>913</v>
      </c>
      <c r="G2981" s="19" t="n">
        <v>0.0293</v>
      </c>
    </row>
    <row r="2982" customFormat="false" ht="15" hidden="false" customHeight="false" outlineLevel="0" collapsed="false">
      <c r="A2982" s="28" t="s">
        <v>190</v>
      </c>
      <c r="B2982" s="28" t="s">
        <v>191</v>
      </c>
      <c r="C2982" s="28" t="s">
        <v>192</v>
      </c>
      <c r="D2982" s="23" t="n">
        <v>9</v>
      </c>
      <c r="E2982" s="23" t="n">
        <v>12</v>
      </c>
      <c r="F2982" s="28" t="s">
        <v>914</v>
      </c>
      <c r="G2982" s="19" t="n">
        <v>0.0291</v>
      </c>
    </row>
    <row r="2983" customFormat="false" ht="15" hidden="false" customHeight="false" outlineLevel="0" collapsed="false">
      <c r="A2983" s="28" t="s">
        <v>190</v>
      </c>
      <c r="B2983" s="28" t="s">
        <v>191</v>
      </c>
      <c r="C2983" s="28" t="s">
        <v>192</v>
      </c>
      <c r="D2983" s="23" t="n">
        <v>9</v>
      </c>
      <c r="E2983" s="23" t="n">
        <v>12</v>
      </c>
      <c r="F2983" s="28" t="s">
        <v>915</v>
      </c>
      <c r="G2983" s="19" t="n">
        <v>0.0449</v>
      </c>
    </row>
    <row r="2984" customFormat="false" ht="15" hidden="false" customHeight="false" outlineLevel="0" collapsed="false">
      <c r="A2984" s="28" t="s">
        <v>190</v>
      </c>
      <c r="B2984" s="28" t="s">
        <v>191</v>
      </c>
      <c r="C2984" s="28" t="s">
        <v>192</v>
      </c>
      <c r="D2984" s="23" t="n">
        <v>9</v>
      </c>
      <c r="E2984" s="23" t="n">
        <v>13</v>
      </c>
      <c r="F2984" s="28" t="s">
        <v>904</v>
      </c>
      <c r="G2984" s="19" t="n">
        <v>0.0163</v>
      </c>
    </row>
    <row r="2985" customFormat="false" ht="15" hidden="false" customHeight="false" outlineLevel="0" collapsed="false">
      <c r="A2985" s="28" t="s">
        <v>190</v>
      </c>
      <c r="B2985" s="28" t="s">
        <v>191</v>
      </c>
      <c r="C2985" s="28" t="s">
        <v>192</v>
      </c>
      <c r="D2985" s="23" t="n">
        <v>9</v>
      </c>
      <c r="E2985" s="23" t="n">
        <v>13</v>
      </c>
      <c r="F2985" s="28" t="s">
        <v>551</v>
      </c>
      <c r="G2985" s="19" t="n">
        <v>0.0475</v>
      </c>
    </row>
    <row r="2986" customFormat="false" ht="15" hidden="false" customHeight="false" outlineLevel="0" collapsed="false">
      <c r="A2986" s="28" t="s">
        <v>190</v>
      </c>
      <c r="B2986" s="28" t="s">
        <v>191</v>
      </c>
      <c r="C2986" s="28" t="s">
        <v>192</v>
      </c>
      <c r="D2986" s="23" t="n">
        <v>9</v>
      </c>
      <c r="E2986" s="23" t="n">
        <v>13</v>
      </c>
      <c r="F2986" s="28" t="s">
        <v>451</v>
      </c>
      <c r="G2986" s="19" t="n">
        <v>0.0161</v>
      </c>
    </row>
    <row r="2987" customFormat="false" ht="15" hidden="false" customHeight="false" outlineLevel="0" collapsed="false">
      <c r="A2987" s="28" t="s">
        <v>190</v>
      </c>
      <c r="B2987" s="28" t="s">
        <v>191</v>
      </c>
      <c r="C2987" s="28" t="s">
        <v>192</v>
      </c>
      <c r="D2987" s="23" t="n">
        <v>9</v>
      </c>
      <c r="E2987" s="23" t="n">
        <v>13</v>
      </c>
      <c r="F2987" s="28" t="s">
        <v>905</v>
      </c>
      <c r="G2987" s="19" t="n">
        <v>0.0187</v>
      </c>
    </row>
    <row r="2988" customFormat="false" ht="15" hidden="false" customHeight="false" outlineLevel="0" collapsed="false">
      <c r="A2988" s="28" t="s">
        <v>190</v>
      </c>
      <c r="B2988" s="28" t="s">
        <v>191</v>
      </c>
      <c r="C2988" s="28" t="s">
        <v>192</v>
      </c>
      <c r="D2988" s="23" t="n">
        <v>9</v>
      </c>
      <c r="E2988" s="23" t="n">
        <v>13</v>
      </c>
      <c r="F2988" s="28" t="s">
        <v>906</v>
      </c>
      <c r="G2988" s="19" t="n">
        <v>0.0201</v>
      </c>
    </row>
    <row r="2989" customFormat="false" ht="15" hidden="false" customHeight="false" outlineLevel="0" collapsed="false">
      <c r="A2989" s="28" t="s">
        <v>190</v>
      </c>
      <c r="B2989" s="28" t="s">
        <v>191</v>
      </c>
      <c r="C2989" s="28" t="s">
        <v>192</v>
      </c>
      <c r="D2989" s="23" t="n">
        <v>9</v>
      </c>
      <c r="E2989" s="23" t="n">
        <v>13</v>
      </c>
      <c r="F2989" s="28" t="s">
        <v>907</v>
      </c>
      <c r="G2989" s="19" t="n">
        <v>0.0198</v>
      </c>
    </row>
    <row r="2990" customFormat="false" ht="15" hidden="false" customHeight="false" outlineLevel="0" collapsed="false">
      <c r="A2990" s="28" t="s">
        <v>190</v>
      </c>
      <c r="B2990" s="28" t="s">
        <v>191</v>
      </c>
      <c r="C2990" s="28" t="s">
        <v>192</v>
      </c>
      <c r="D2990" s="23" t="n">
        <v>9</v>
      </c>
      <c r="E2990" s="23" t="n">
        <v>13</v>
      </c>
      <c r="F2990" s="28" t="s">
        <v>908</v>
      </c>
      <c r="G2990" s="19" t="n">
        <v>0.0214</v>
      </c>
    </row>
    <row r="2991" customFormat="false" ht="15" hidden="false" customHeight="false" outlineLevel="0" collapsed="false">
      <c r="A2991" s="28" t="s">
        <v>190</v>
      </c>
      <c r="B2991" s="28" t="s">
        <v>191</v>
      </c>
      <c r="C2991" s="28" t="s">
        <v>192</v>
      </c>
      <c r="D2991" s="23" t="n">
        <v>9</v>
      </c>
      <c r="E2991" s="23" t="n">
        <v>13</v>
      </c>
      <c r="F2991" s="28" t="s">
        <v>909</v>
      </c>
      <c r="G2991" s="19" t="n">
        <v>0.0215</v>
      </c>
    </row>
    <row r="2992" customFormat="false" ht="15" hidden="false" customHeight="false" outlineLevel="0" collapsed="false">
      <c r="A2992" s="28" t="s">
        <v>190</v>
      </c>
      <c r="B2992" s="28" t="s">
        <v>191</v>
      </c>
      <c r="C2992" s="28" t="s">
        <v>192</v>
      </c>
      <c r="D2992" s="23" t="n">
        <v>9</v>
      </c>
      <c r="E2992" s="23" t="n">
        <v>13</v>
      </c>
      <c r="F2992" s="28" t="s">
        <v>910</v>
      </c>
      <c r="G2992" s="19" t="n">
        <v>0.0219</v>
      </c>
    </row>
    <row r="2993" customFormat="false" ht="15" hidden="false" customHeight="false" outlineLevel="0" collapsed="false">
      <c r="A2993" s="28" t="s">
        <v>190</v>
      </c>
      <c r="B2993" s="28" t="s">
        <v>191</v>
      </c>
      <c r="C2993" s="28" t="s">
        <v>192</v>
      </c>
      <c r="D2993" s="23" t="n">
        <v>9</v>
      </c>
      <c r="E2993" s="23" t="n">
        <v>13</v>
      </c>
      <c r="F2993" s="28" t="s">
        <v>911</v>
      </c>
      <c r="G2993" s="19" t="n">
        <v>0.023</v>
      </c>
    </row>
    <row r="2994" customFormat="false" ht="15" hidden="false" customHeight="false" outlineLevel="0" collapsed="false">
      <c r="A2994" s="28" t="s">
        <v>190</v>
      </c>
      <c r="B2994" s="28" t="s">
        <v>191</v>
      </c>
      <c r="C2994" s="28" t="s">
        <v>192</v>
      </c>
      <c r="D2994" s="23" t="n">
        <v>9</v>
      </c>
      <c r="E2994" s="23" t="n">
        <v>13</v>
      </c>
      <c r="F2994" s="28" t="s">
        <v>912</v>
      </c>
      <c r="G2994" s="19" t="n">
        <v>0.0244</v>
      </c>
    </row>
    <row r="2995" customFormat="false" ht="15" hidden="false" customHeight="false" outlineLevel="0" collapsed="false">
      <c r="A2995" s="28" t="s">
        <v>190</v>
      </c>
      <c r="B2995" s="28" t="s">
        <v>191</v>
      </c>
      <c r="C2995" s="28" t="s">
        <v>192</v>
      </c>
      <c r="D2995" s="23" t="n">
        <v>9</v>
      </c>
      <c r="E2995" s="23" t="n">
        <v>13</v>
      </c>
      <c r="F2995" s="28" t="s">
        <v>913</v>
      </c>
      <c r="G2995" s="19" t="n">
        <v>0.0293</v>
      </c>
    </row>
    <row r="2996" customFormat="false" ht="15" hidden="false" customHeight="false" outlineLevel="0" collapsed="false">
      <c r="A2996" s="28" t="s">
        <v>190</v>
      </c>
      <c r="B2996" s="28" t="s">
        <v>191</v>
      </c>
      <c r="C2996" s="28" t="s">
        <v>192</v>
      </c>
      <c r="D2996" s="23" t="n">
        <v>9</v>
      </c>
      <c r="E2996" s="23" t="n">
        <v>13</v>
      </c>
      <c r="F2996" s="28" t="s">
        <v>914</v>
      </c>
      <c r="G2996" s="19" t="n">
        <v>0.0291</v>
      </c>
    </row>
    <row r="2997" customFormat="false" ht="15" hidden="false" customHeight="false" outlineLevel="0" collapsed="false">
      <c r="A2997" s="28" t="s">
        <v>190</v>
      </c>
      <c r="B2997" s="28" t="s">
        <v>191</v>
      </c>
      <c r="C2997" s="28" t="s">
        <v>192</v>
      </c>
      <c r="D2997" s="23" t="n">
        <v>9</v>
      </c>
      <c r="E2997" s="23" t="n">
        <v>13</v>
      </c>
      <c r="F2997" s="28" t="s">
        <v>915</v>
      </c>
      <c r="G2997" s="19" t="n">
        <v>0.0449</v>
      </c>
    </row>
    <row r="2998" customFormat="false" ht="15" hidden="false" customHeight="false" outlineLevel="0" collapsed="false">
      <c r="A2998" s="28" t="s">
        <v>190</v>
      </c>
      <c r="B2998" s="28" t="s">
        <v>191</v>
      </c>
      <c r="C2998" s="28" t="s">
        <v>192</v>
      </c>
      <c r="D2998" s="23" t="n">
        <v>9</v>
      </c>
      <c r="E2998" s="23" t="n">
        <v>14</v>
      </c>
      <c r="F2998" s="28" t="s">
        <v>904</v>
      </c>
      <c r="G2998" s="19" t="n">
        <v>0.0163</v>
      </c>
    </row>
    <row r="2999" customFormat="false" ht="15" hidden="false" customHeight="false" outlineLevel="0" collapsed="false">
      <c r="A2999" s="28" t="s">
        <v>190</v>
      </c>
      <c r="B2999" s="28" t="s">
        <v>191</v>
      </c>
      <c r="C2999" s="28" t="s">
        <v>192</v>
      </c>
      <c r="D2999" s="23" t="n">
        <v>9</v>
      </c>
      <c r="E2999" s="23" t="n">
        <v>14</v>
      </c>
      <c r="F2999" s="28" t="s">
        <v>551</v>
      </c>
      <c r="G2999" s="19" t="n">
        <v>0.0475</v>
      </c>
    </row>
    <row r="3000" customFormat="false" ht="15" hidden="false" customHeight="false" outlineLevel="0" collapsed="false">
      <c r="A3000" s="28" t="s">
        <v>190</v>
      </c>
      <c r="B3000" s="28" t="s">
        <v>191</v>
      </c>
      <c r="C3000" s="28" t="s">
        <v>192</v>
      </c>
      <c r="D3000" s="23" t="n">
        <v>9</v>
      </c>
      <c r="E3000" s="23" t="n">
        <v>14</v>
      </c>
      <c r="F3000" s="28" t="s">
        <v>451</v>
      </c>
      <c r="G3000" s="19" t="n">
        <v>0.0161</v>
      </c>
    </row>
    <row r="3001" customFormat="false" ht="15" hidden="false" customHeight="false" outlineLevel="0" collapsed="false">
      <c r="A3001" s="28" t="s">
        <v>190</v>
      </c>
      <c r="B3001" s="28" t="s">
        <v>191</v>
      </c>
      <c r="C3001" s="28" t="s">
        <v>192</v>
      </c>
      <c r="D3001" s="23" t="n">
        <v>9</v>
      </c>
      <c r="E3001" s="23" t="n">
        <v>14</v>
      </c>
      <c r="F3001" s="28" t="s">
        <v>905</v>
      </c>
      <c r="G3001" s="19" t="n">
        <v>0.0187</v>
      </c>
    </row>
    <row r="3002" customFormat="false" ht="15" hidden="false" customHeight="false" outlineLevel="0" collapsed="false">
      <c r="A3002" s="28" t="s">
        <v>190</v>
      </c>
      <c r="B3002" s="28" t="s">
        <v>191</v>
      </c>
      <c r="C3002" s="28" t="s">
        <v>192</v>
      </c>
      <c r="D3002" s="23" t="n">
        <v>9</v>
      </c>
      <c r="E3002" s="23" t="n">
        <v>14</v>
      </c>
      <c r="F3002" s="28" t="s">
        <v>906</v>
      </c>
      <c r="G3002" s="19" t="n">
        <v>0.0201</v>
      </c>
    </row>
    <row r="3003" customFormat="false" ht="15" hidden="false" customHeight="false" outlineLevel="0" collapsed="false">
      <c r="A3003" s="28" t="s">
        <v>190</v>
      </c>
      <c r="B3003" s="28" t="s">
        <v>191</v>
      </c>
      <c r="C3003" s="28" t="s">
        <v>192</v>
      </c>
      <c r="D3003" s="23" t="n">
        <v>9</v>
      </c>
      <c r="E3003" s="23" t="n">
        <v>14</v>
      </c>
      <c r="F3003" s="28" t="s">
        <v>907</v>
      </c>
      <c r="G3003" s="19" t="n">
        <v>0.0198</v>
      </c>
    </row>
    <row r="3004" customFormat="false" ht="15" hidden="false" customHeight="false" outlineLevel="0" collapsed="false">
      <c r="A3004" s="28" t="s">
        <v>190</v>
      </c>
      <c r="B3004" s="28" t="s">
        <v>191</v>
      </c>
      <c r="C3004" s="28" t="s">
        <v>192</v>
      </c>
      <c r="D3004" s="23" t="n">
        <v>9</v>
      </c>
      <c r="E3004" s="23" t="n">
        <v>14</v>
      </c>
      <c r="F3004" s="28" t="s">
        <v>908</v>
      </c>
      <c r="G3004" s="19" t="n">
        <v>0.0214</v>
      </c>
    </row>
    <row r="3005" customFormat="false" ht="15" hidden="false" customHeight="false" outlineLevel="0" collapsed="false">
      <c r="A3005" s="28" t="s">
        <v>190</v>
      </c>
      <c r="B3005" s="28" t="s">
        <v>191</v>
      </c>
      <c r="C3005" s="28" t="s">
        <v>192</v>
      </c>
      <c r="D3005" s="23" t="n">
        <v>9</v>
      </c>
      <c r="E3005" s="23" t="n">
        <v>14</v>
      </c>
      <c r="F3005" s="28" t="s">
        <v>909</v>
      </c>
      <c r="G3005" s="19" t="n">
        <v>0.0215</v>
      </c>
    </row>
    <row r="3006" customFormat="false" ht="15" hidden="false" customHeight="false" outlineLevel="0" collapsed="false">
      <c r="A3006" s="28" t="s">
        <v>190</v>
      </c>
      <c r="B3006" s="28" t="s">
        <v>191</v>
      </c>
      <c r="C3006" s="28" t="s">
        <v>192</v>
      </c>
      <c r="D3006" s="23" t="n">
        <v>9</v>
      </c>
      <c r="E3006" s="23" t="n">
        <v>14</v>
      </c>
      <c r="F3006" s="28" t="s">
        <v>910</v>
      </c>
      <c r="G3006" s="19" t="n">
        <v>0.0219</v>
      </c>
    </row>
    <row r="3007" customFormat="false" ht="15" hidden="false" customHeight="false" outlineLevel="0" collapsed="false">
      <c r="A3007" s="28" t="s">
        <v>190</v>
      </c>
      <c r="B3007" s="28" t="s">
        <v>191</v>
      </c>
      <c r="C3007" s="28" t="s">
        <v>192</v>
      </c>
      <c r="D3007" s="23" t="n">
        <v>9</v>
      </c>
      <c r="E3007" s="23" t="n">
        <v>14</v>
      </c>
      <c r="F3007" s="28" t="s">
        <v>911</v>
      </c>
      <c r="G3007" s="19" t="n">
        <v>0.023</v>
      </c>
    </row>
    <row r="3008" customFormat="false" ht="15" hidden="false" customHeight="false" outlineLevel="0" collapsed="false">
      <c r="A3008" s="28" t="s">
        <v>190</v>
      </c>
      <c r="B3008" s="28" t="s">
        <v>191</v>
      </c>
      <c r="C3008" s="28" t="s">
        <v>192</v>
      </c>
      <c r="D3008" s="23" t="n">
        <v>9</v>
      </c>
      <c r="E3008" s="23" t="n">
        <v>14</v>
      </c>
      <c r="F3008" s="28" t="s">
        <v>912</v>
      </c>
      <c r="G3008" s="19" t="n">
        <v>0.0244</v>
      </c>
    </row>
    <row r="3009" customFormat="false" ht="15" hidden="false" customHeight="false" outlineLevel="0" collapsed="false">
      <c r="A3009" s="28" t="s">
        <v>190</v>
      </c>
      <c r="B3009" s="28" t="s">
        <v>191</v>
      </c>
      <c r="C3009" s="28" t="s">
        <v>192</v>
      </c>
      <c r="D3009" s="23" t="n">
        <v>9</v>
      </c>
      <c r="E3009" s="23" t="n">
        <v>14</v>
      </c>
      <c r="F3009" s="28" t="s">
        <v>913</v>
      </c>
      <c r="G3009" s="19" t="n">
        <v>0.0293</v>
      </c>
    </row>
    <row r="3010" customFormat="false" ht="15" hidden="false" customHeight="false" outlineLevel="0" collapsed="false">
      <c r="A3010" s="28" t="s">
        <v>190</v>
      </c>
      <c r="B3010" s="28" t="s">
        <v>191</v>
      </c>
      <c r="C3010" s="28" t="s">
        <v>192</v>
      </c>
      <c r="D3010" s="23" t="n">
        <v>9</v>
      </c>
      <c r="E3010" s="23" t="n">
        <v>14</v>
      </c>
      <c r="F3010" s="28" t="s">
        <v>914</v>
      </c>
      <c r="G3010" s="19" t="n">
        <v>0.0291</v>
      </c>
    </row>
    <row r="3011" customFormat="false" ht="15" hidden="false" customHeight="false" outlineLevel="0" collapsed="false">
      <c r="A3011" s="28" t="s">
        <v>190</v>
      </c>
      <c r="B3011" s="28" t="s">
        <v>191</v>
      </c>
      <c r="C3011" s="28" t="s">
        <v>192</v>
      </c>
      <c r="D3011" s="23" t="n">
        <v>9</v>
      </c>
      <c r="E3011" s="23" t="n">
        <v>14</v>
      </c>
      <c r="F3011" s="28" t="s">
        <v>915</v>
      </c>
      <c r="G3011" s="19" t="n">
        <v>0.0449</v>
      </c>
    </row>
    <row r="3012" customFormat="false" ht="15" hidden="false" customHeight="false" outlineLevel="0" collapsed="false">
      <c r="A3012" s="28" t="s">
        <v>190</v>
      </c>
      <c r="B3012" s="28" t="s">
        <v>191</v>
      </c>
      <c r="C3012" s="28" t="s">
        <v>192</v>
      </c>
      <c r="D3012" s="23" t="n">
        <v>9</v>
      </c>
      <c r="E3012" s="23" t="n">
        <v>15</v>
      </c>
      <c r="F3012" s="28" t="s">
        <v>904</v>
      </c>
      <c r="G3012" s="19" t="n">
        <v>0.0163</v>
      </c>
    </row>
    <row r="3013" customFormat="false" ht="15" hidden="false" customHeight="false" outlineLevel="0" collapsed="false">
      <c r="A3013" s="28" t="s">
        <v>190</v>
      </c>
      <c r="B3013" s="28" t="s">
        <v>191</v>
      </c>
      <c r="C3013" s="28" t="s">
        <v>192</v>
      </c>
      <c r="D3013" s="23" t="n">
        <v>9</v>
      </c>
      <c r="E3013" s="23" t="n">
        <v>15</v>
      </c>
      <c r="F3013" s="28" t="s">
        <v>551</v>
      </c>
      <c r="G3013" s="19" t="n">
        <v>0.0475</v>
      </c>
    </row>
    <row r="3014" customFormat="false" ht="15" hidden="false" customHeight="false" outlineLevel="0" collapsed="false">
      <c r="A3014" s="28" t="s">
        <v>190</v>
      </c>
      <c r="B3014" s="28" t="s">
        <v>191</v>
      </c>
      <c r="C3014" s="28" t="s">
        <v>192</v>
      </c>
      <c r="D3014" s="23" t="n">
        <v>9</v>
      </c>
      <c r="E3014" s="23" t="n">
        <v>15</v>
      </c>
      <c r="F3014" s="28" t="s">
        <v>451</v>
      </c>
      <c r="G3014" s="19" t="n">
        <v>0.0161</v>
      </c>
    </row>
    <row r="3015" customFormat="false" ht="15" hidden="false" customHeight="false" outlineLevel="0" collapsed="false">
      <c r="A3015" s="28" t="s">
        <v>190</v>
      </c>
      <c r="B3015" s="28" t="s">
        <v>191</v>
      </c>
      <c r="C3015" s="28" t="s">
        <v>192</v>
      </c>
      <c r="D3015" s="23" t="n">
        <v>9</v>
      </c>
      <c r="E3015" s="23" t="n">
        <v>15</v>
      </c>
      <c r="F3015" s="28" t="s">
        <v>905</v>
      </c>
      <c r="G3015" s="19" t="n">
        <v>0.0187</v>
      </c>
    </row>
    <row r="3016" customFormat="false" ht="15" hidden="false" customHeight="false" outlineLevel="0" collapsed="false">
      <c r="A3016" s="28" t="s">
        <v>190</v>
      </c>
      <c r="B3016" s="28" t="s">
        <v>191</v>
      </c>
      <c r="C3016" s="28" t="s">
        <v>192</v>
      </c>
      <c r="D3016" s="23" t="n">
        <v>9</v>
      </c>
      <c r="E3016" s="23" t="n">
        <v>15</v>
      </c>
      <c r="F3016" s="28" t="s">
        <v>906</v>
      </c>
      <c r="G3016" s="19" t="n">
        <v>0.0201</v>
      </c>
    </row>
    <row r="3017" customFormat="false" ht="15" hidden="false" customHeight="false" outlineLevel="0" collapsed="false">
      <c r="A3017" s="28" t="s">
        <v>190</v>
      </c>
      <c r="B3017" s="28" t="s">
        <v>191</v>
      </c>
      <c r="C3017" s="28" t="s">
        <v>192</v>
      </c>
      <c r="D3017" s="23" t="n">
        <v>9</v>
      </c>
      <c r="E3017" s="23" t="n">
        <v>15</v>
      </c>
      <c r="F3017" s="28" t="s">
        <v>907</v>
      </c>
      <c r="G3017" s="19" t="n">
        <v>0.0198</v>
      </c>
    </row>
    <row r="3018" customFormat="false" ht="15" hidden="false" customHeight="false" outlineLevel="0" collapsed="false">
      <c r="A3018" s="28" t="s">
        <v>190</v>
      </c>
      <c r="B3018" s="28" t="s">
        <v>191</v>
      </c>
      <c r="C3018" s="28" t="s">
        <v>192</v>
      </c>
      <c r="D3018" s="23" t="n">
        <v>9</v>
      </c>
      <c r="E3018" s="23" t="n">
        <v>15</v>
      </c>
      <c r="F3018" s="28" t="s">
        <v>908</v>
      </c>
      <c r="G3018" s="19" t="n">
        <v>0.0214</v>
      </c>
    </row>
    <row r="3019" customFormat="false" ht="15" hidden="false" customHeight="false" outlineLevel="0" collapsed="false">
      <c r="A3019" s="28" t="s">
        <v>190</v>
      </c>
      <c r="B3019" s="28" t="s">
        <v>191</v>
      </c>
      <c r="C3019" s="28" t="s">
        <v>192</v>
      </c>
      <c r="D3019" s="23" t="n">
        <v>9</v>
      </c>
      <c r="E3019" s="23" t="n">
        <v>15</v>
      </c>
      <c r="F3019" s="28" t="s">
        <v>909</v>
      </c>
      <c r="G3019" s="19" t="n">
        <v>0.0215</v>
      </c>
    </row>
    <row r="3020" customFormat="false" ht="15" hidden="false" customHeight="false" outlineLevel="0" collapsed="false">
      <c r="A3020" s="28" t="s">
        <v>190</v>
      </c>
      <c r="B3020" s="28" t="s">
        <v>191</v>
      </c>
      <c r="C3020" s="28" t="s">
        <v>192</v>
      </c>
      <c r="D3020" s="23" t="n">
        <v>9</v>
      </c>
      <c r="E3020" s="23" t="n">
        <v>15</v>
      </c>
      <c r="F3020" s="28" t="s">
        <v>910</v>
      </c>
      <c r="G3020" s="19" t="n">
        <v>0.0219</v>
      </c>
    </row>
    <row r="3021" customFormat="false" ht="15" hidden="false" customHeight="false" outlineLevel="0" collapsed="false">
      <c r="A3021" s="28" t="s">
        <v>190</v>
      </c>
      <c r="B3021" s="28" t="s">
        <v>191</v>
      </c>
      <c r="C3021" s="28" t="s">
        <v>192</v>
      </c>
      <c r="D3021" s="23" t="n">
        <v>9</v>
      </c>
      <c r="E3021" s="23" t="n">
        <v>15</v>
      </c>
      <c r="F3021" s="28" t="s">
        <v>911</v>
      </c>
      <c r="G3021" s="19" t="n">
        <v>0.023</v>
      </c>
    </row>
    <row r="3022" customFormat="false" ht="15" hidden="false" customHeight="false" outlineLevel="0" collapsed="false">
      <c r="A3022" s="28" t="s">
        <v>190</v>
      </c>
      <c r="B3022" s="28" t="s">
        <v>191</v>
      </c>
      <c r="C3022" s="28" t="s">
        <v>192</v>
      </c>
      <c r="D3022" s="23" t="n">
        <v>9</v>
      </c>
      <c r="E3022" s="23" t="n">
        <v>15</v>
      </c>
      <c r="F3022" s="28" t="s">
        <v>912</v>
      </c>
      <c r="G3022" s="19" t="n">
        <v>0.0244</v>
      </c>
    </row>
    <row r="3023" customFormat="false" ht="15" hidden="false" customHeight="false" outlineLevel="0" collapsed="false">
      <c r="A3023" s="28" t="s">
        <v>190</v>
      </c>
      <c r="B3023" s="28" t="s">
        <v>191</v>
      </c>
      <c r="C3023" s="28" t="s">
        <v>192</v>
      </c>
      <c r="D3023" s="23" t="n">
        <v>9</v>
      </c>
      <c r="E3023" s="23" t="n">
        <v>15</v>
      </c>
      <c r="F3023" s="28" t="s">
        <v>913</v>
      </c>
      <c r="G3023" s="19" t="n">
        <v>0.0293</v>
      </c>
    </row>
    <row r="3024" customFormat="false" ht="15" hidden="false" customHeight="false" outlineLevel="0" collapsed="false">
      <c r="A3024" s="28" t="s">
        <v>190</v>
      </c>
      <c r="B3024" s="28" t="s">
        <v>191</v>
      </c>
      <c r="C3024" s="28" t="s">
        <v>192</v>
      </c>
      <c r="D3024" s="23" t="n">
        <v>9</v>
      </c>
      <c r="E3024" s="23" t="n">
        <v>15</v>
      </c>
      <c r="F3024" s="28" t="s">
        <v>914</v>
      </c>
      <c r="G3024" s="19" t="n">
        <v>0.0291</v>
      </c>
    </row>
    <row r="3025" customFormat="false" ht="15" hidden="false" customHeight="false" outlineLevel="0" collapsed="false">
      <c r="A3025" s="28" t="s">
        <v>190</v>
      </c>
      <c r="B3025" s="28" t="s">
        <v>191</v>
      </c>
      <c r="C3025" s="28" t="s">
        <v>192</v>
      </c>
      <c r="D3025" s="23" t="n">
        <v>9</v>
      </c>
      <c r="E3025" s="23" t="n">
        <v>15</v>
      </c>
      <c r="F3025" s="28" t="s">
        <v>915</v>
      </c>
      <c r="G3025" s="19" t="n">
        <v>0.0449</v>
      </c>
    </row>
    <row r="3026" customFormat="false" ht="15" hidden="false" customHeight="false" outlineLevel="0" collapsed="false">
      <c r="A3026" s="28" t="s">
        <v>190</v>
      </c>
      <c r="B3026" s="28" t="s">
        <v>191</v>
      </c>
      <c r="C3026" s="28" t="s">
        <v>192</v>
      </c>
      <c r="D3026" s="23" t="n">
        <v>9</v>
      </c>
      <c r="E3026" s="23" t="n">
        <v>16</v>
      </c>
      <c r="F3026" s="28" t="s">
        <v>904</v>
      </c>
      <c r="G3026" s="19" t="n">
        <v>0.0163</v>
      </c>
    </row>
    <row r="3027" customFormat="false" ht="15" hidden="false" customHeight="false" outlineLevel="0" collapsed="false">
      <c r="A3027" s="28" t="s">
        <v>190</v>
      </c>
      <c r="B3027" s="28" t="s">
        <v>191</v>
      </c>
      <c r="C3027" s="28" t="s">
        <v>192</v>
      </c>
      <c r="D3027" s="23" t="n">
        <v>9</v>
      </c>
      <c r="E3027" s="23" t="n">
        <v>16</v>
      </c>
      <c r="F3027" s="28" t="s">
        <v>551</v>
      </c>
      <c r="G3027" s="19" t="n">
        <v>0.0475</v>
      </c>
    </row>
    <row r="3028" customFormat="false" ht="15" hidden="false" customHeight="false" outlineLevel="0" collapsed="false">
      <c r="A3028" s="28" t="s">
        <v>190</v>
      </c>
      <c r="B3028" s="28" t="s">
        <v>191</v>
      </c>
      <c r="C3028" s="28" t="s">
        <v>192</v>
      </c>
      <c r="D3028" s="23" t="n">
        <v>9</v>
      </c>
      <c r="E3028" s="23" t="n">
        <v>16</v>
      </c>
      <c r="F3028" s="28" t="s">
        <v>451</v>
      </c>
      <c r="G3028" s="19" t="n">
        <v>0.0161</v>
      </c>
    </row>
    <row r="3029" customFormat="false" ht="15" hidden="false" customHeight="false" outlineLevel="0" collapsed="false">
      <c r="A3029" s="28" t="s">
        <v>190</v>
      </c>
      <c r="B3029" s="28" t="s">
        <v>191</v>
      </c>
      <c r="C3029" s="28" t="s">
        <v>192</v>
      </c>
      <c r="D3029" s="23" t="n">
        <v>9</v>
      </c>
      <c r="E3029" s="23" t="n">
        <v>16</v>
      </c>
      <c r="F3029" s="28" t="s">
        <v>905</v>
      </c>
      <c r="G3029" s="19" t="n">
        <v>0.0187</v>
      </c>
    </row>
    <row r="3030" customFormat="false" ht="15" hidden="false" customHeight="false" outlineLevel="0" collapsed="false">
      <c r="A3030" s="28" t="s">
        <v>190</v>
      </c>
      <c r="B3030" s="28" t="s">
        <v>191</v>
      </c>
      <c r="C3030" s="28" t="s">
        <v>192</v>
      </c>
      <c r="D3030" s="23" t="n">
        <v>9</v>
      </c>
      <c r="E3030" s="23" t="n">
        <v>16</v>
      </c>
      <c r="F3030" s="28" t="s">
        <v>906</v>
      </c>
      <c r="G3030" s="19" t="n">
        <v>0.0201</v>
      </c>
    </row>
    <row r="3031" customFormat="false" ht="15" hidden="false" customHeight="false" outlineLevel="0" collapsed="false">
      <c r="A3031" s="28" t="s">
        <v>190</v>
      </c>
      <c r="B3031" s="28" t="s">
        <v>191</v>
      </c>
      <c r="C3031" s="28" t="s">
        <v>192</v>
      </c>
      <c r="D3031" s="23" t="n">
        <v>9</v>
      </c>
      <c r="E3031" s="23" t="n">
        <v>16</v>
      </c>
      <c r="F3031" s="28" t="s">
        <v>907</v>
      </c>
      <c r="G3031" s="19" t="n">
        <v>0.0198</v>
      </c>
    </row>
    <row r="3032" customFormat="false" ht="15" hidden="false" customHeight="false" outlineLevel="0" collapsed="false">
      <c r="A3032" s="28" t="s">
        <v>190</v>
      </c>
      <c r="B3032" s="28" t="s">
        <v>191</v>
      </c>
      <c r="C3032" s="28" t="s">
        <v>192</v>
      </c>
      <c r="D3032" s="23" t="n">
        <v>9</v>
      </c>
      <c r="E3032" s="23" t="n">
        <v>16</v>
      </c>
      <c r="F3032" s="28" t="s">
        <v>908</v>
      </c>
      <c r="G3032" s="19" t="n">
        <v>0.0214</v>
      </c>
    </row>
    <row r="3033" customFormat="false" ht="15" hidden="false" customHeight="false" outlineLevel="0" collapsed="false">
      <c r="A3033" s="28" t="s">
        <v>190</v>
      </c>
      <c r="B3033" s="28" t="s">
        <v>191</v>
      </c>
      <c r="C3033" s="28" t="s">
        <v>192</v>
      </c>
      <c r="D3033" s="23" t="n">
        <v>9</v>
      </c>
      <c r="E3033" s="23" t="n">
        <v>16</v>
      </c>
      <c r="F3033" s="28" t="s">
        <v>909</v>
      </c>
      <c r="G3033" s="19" t="n">
        <v>0.0215</v>
      </c>
    </row>
    <row r="3034" customFormat="false" ht="15" hidden="false" customHeight="false" outlineLevel="0" collapsed="false">
      <c r="A3034" s="28" t="s">
        <v>190</v>
      </c>
      <c r="B3034" s="28" t="s">
        <v>191</v>
      </c>
      <c r="C3034" s="28" t="s">
        <v>192</v>
      </c>
      <c r="D3034" s="23" t="n">
        <v>9</v>
      </c>
      <c r="E3034" s="23" t="n">
        <v>16</v>
      </c>
      <c r="F3034" s="28" t="s">
        <v>910</v>
      </c>
      <c r="G3034" s="19" t="n">
        <v>0.0219</v>
      </c>
    </row>
    <row r="3035" customFormat="false" ht="15" hidden="false" customHeight="false" outlineLevel="0" collapsed="false">
      <c r="A3035" s="28" t="s">
        <v>190</v>
      </c>
      <c r="B3035" s="28" t="s">
        <v>191</v>
      </c>
      <c r="C3035" s="28" t="s">
        <v>192</v>
      </c>
      <c r="D3035" s="23" t="n">
        <v>9</v>
      </c>
      <c r="E3035" s="23" t="n">
        <v>16</v>
      </c>
      <c r="F3035" s="28" t="s">
        <v>911</v>
      </c>
      <c r="G3035" s="19" t="n">
        <v>0.023</v>
      </c>
    </row>
    <row r="3036" customFormat="false" ht="15" hidden="false" customHeight="false" outlineLevel="0" collapsed="false">
      <c r="A3036" s="28" t="s">
        <v>190</v>
      </c>
      <c r="B3036" s="28" t="s">
        <v>191</v>
      </c>
      <c r="C3036" s="28" t="s">
        <v>192</v>
      </c>
      <c r="D3036" s="23" t="n">
        <v>9</v>
      </c>
      <c r="E3036" s="23" t="n">
        <v>16</v>
      </c>
      <c r="F3036" s="28" t="s">
        <v>912</v>
      </c>
      <c r="G3036" s="19" t="n">
        <v>0.0244</v>
      </c>
    </row>
    <row r="3037" customFormat="false" ht="15" hidden="false" customHeight="false" outlineLevel="0" collapsed="false">
      <c r="A3037" s="28" t="s">
        <v>190</v>
      </c>
      <c r="B3037" s="28" t="s">
        <v>191</v>
      </c>
      <c r="C3037" s="28" t="s">
        <v>192</v>
      </c>
      <c r="D3037" s="23" t="n">
        <v>9</v>
      </c>
      <c r="E3037" s="23" t="n">
        <v>16</v>
      </c>
      <c r="F3037" s="28" t="s">
        <v>913</v>
      </c>
      <c r="G3037" s="19" t="n">
        <v>0.0293</v>
      </c>
    </row>
    <row r="3038" customFormat="false" ht="15" hidden="false" customHeight="false" outlineLevel="0" collapsed="false">
      <c r="A3038" s="28" t="s">
        <v>190</v>
      </c>
      <c r="B3038" s="28" t="s">
        <v>191</v>
      </c>
      <c r="C3038" s="28" t="s">
        <v>192</v>
      </c>
      <c r="D3038" s="23" t="n">
        <v>9</v>
      </c>
      <c r="E3038" s="23" t="n">
        <v>16</v>
      </c>
      <c r="F3038" s="28" t="s">
        <v>914</v>
      </c>
      <c r="G3038" s="19" t="n">
        <v>0.0291</v>
      </c>
    </row>
    <row r="3039" customFormat="false" ht="15" hidden="false" customHeight="false" outlineLevel="0" collapsed="false">
      <c r="A3039" s="28" t="s">
        <v>190</v>
      </c>
      <c r="B3039" s="28" t="s">
        <v>191</v>
      </c>
      <c r="C3039" s="28" t="s">
        <v>192</v>
      </c>
      <c r="D3039" s="23" t="n">
        <v>9</v>
      </c>
      <c r="E3039" s="23" t="n">
        <v>16</v>
      </c>
      <c r="F3039" s="28" t="s">
        <v>915</v>
      </c>
      <c r="G3039" s="19" t="n">
        <v>0.0449</v>
      </c>
    </row>
    <row r="3040" customFormat="false" ht="15" hidden="false" customHeight="false" outlineLevel="0" collapsed="false">
      <c r="A3040" s="28" t="s">
        <v>190</v>
      </c>
      <c r="B3040" s="28" t="s">
        <v>191</v>
      </c>
      <c r="C3040" s="28" t="s">
        <v>192</v>
      </c>
      <c r="D3040" s="23" t="n">
        <v>9</v>
      </c>
      <c r="E3040" s="23" t="n">
        <v>17</v>
      </c>
      <c r="F3040" s="28" t="s">
        <v>904</v>
      </c>
      <c r="G3040" s="19" t="n">
        <v>0.0163</v>
      </c>
    </row>
    <row r="3041" customFormat="false" ht="15" hidden="false" customHeight="false" outlineLevel="0" collapsed="false">
      <c r="A3041" s="28" t="s">
        <v>190</v>
      </c>
      <c r="B3041" s="28" t="s">
        <v>191</v>
      </c>
      <c r="C3041" s="28" t="s">
        <v>192</v>
      </c>
      <c r="D3041" s="23" t="n">
        <v>9</v>
      </c>
      <c r="E3041" s="23" t="n">
        <v>17</v>
      </c>
      <c r="F3041" s="28" t="s">
        <v>551</v>
      </c>
      <c r="G3041" s="19" t="n">
        <v>0.0475</v>
      </c>
    </row>
    <row r="3042" customFormat="false" ht="15" hidden="false" customHeight="false" outlineLevel="0" collapsed="false">
      <c r="A3042" s="28" t="s">
        <v>190</v>
      </c>
      <c r="B3042" s="28" t="s">
        <v>191</v>
      </c>
      <c r="C3042" s="28" t="s">
        <v>192</v>
      </c>
      <c r="D3042" s="23" t="n">
        <v>9</v>
      </c>
      <c r="E3042" s="23" t="n">
        <v>17</v>
      </c>
      <c r="F3042" s="28" t="s">
        <v>451</v>
      </c>
      <c r="G3042" s="19" t="n">
        <v>0.0161</v>
      </c>
    </row>
    <row r="3043" customFormat="false" ht="15" hidden="false" customHeight="false" outlineLevel="0" collapsed="false">
      <c r="A3043" s="28" t="s">
        <v>190</v>
      </c>
      <c r="B3043" s="28" t="s">
        <v>191</v>
      </c>
      <c r="C3043" s="28" t="s">
        <v>192</v>
      </c>
      <c r="D3043" s="23" t="n">
        <v>9</v>
      </c>
      <c r="E3043" s="23" t="n">
        <v>17</v>
      </c>
      <c r="F3043" s="28" t="s">
        <v>905</v>
      </c>
      <c r="G3043" s="19" t="n">
        <v>0.0187</v>
      </c>
    </row>
    <row r="3044" customFormat="false" ht="15" hidden="false" customHeight="false" outlineLevel="0" collapsed="false">
      <c r="A3044" s="28" t="s">
        <v>190</v>
      </c>
      <c r="B3044" s="28" t="s">
        <v>191</v>
      </c>
      <c r="C3044" s="28" t="s">
        <v>192</v>
      </c>
      <c r="D3044" s="23" t="n">
        <v>9</v>
      </c>
      <c r="E3044" s="23" t="n">
        <v>17</v>
      </c>
      <c r="F3044" s="28" t="s">
        <v>906</v>
      </c>
      <c r="G3044" s="19" t="n">
        <v>0.0201</v>
      </c>
    </row>
    <row r="3045" customFormat="false" ht="15" hidden="false" customHeight="false" outlineLevel="0" collapsed="false">
      <c r="A3045" s="28" t="s">
        <v>190</v>
      </c>
      <c r="B3045" s="28" t="s">
        <v>191</v>
      </c>
      <c r="C3045" s="28" t="s">
        <v>192</v>
      </c>
      <c r="D3045" s="23" t="n">
        <v>9</v>
      </c>
      <c r="E3045" s="23" t="n">
        <v>17</v>
      </c>
      <c r="F3045" s="28" t="s">
        <v>907</v>
      </c>
      <c r="G3045" s="19" t="n">
        <v>0.0198</v>
      </c>
    </row>
    <row r="3046" customFormat="false" ht="15" hidden="false" customHeight="false" outlineLevel="0" collapsed="false">
      <c r="A3046" s="28" t="s">
        <v>190</v>
      </c>
      <c r="B3046" s="28" t="s">
        <v>191</v>
      </c>
      <c r="C3046" s="28" t="s">
        <v>192</v>
      </c>
      <c r="D3046" s="23" t="n">
        <v>9</v>
      </c>
      <c r="E3046" s="23" t="n">
        <v>17</v>
      </c>
      <c r="F3046" s="28" t="s">
        <v>908</v>
      </c>
      <c r="G3046" s="19" t="n">
        <v>0.0214</v>
      </c>
    </row>
    <row r="3047" customFormat="false" ht="15" hidden="false" customHeight="false" outlineLevel="0" collapsed="false">
      <c r="A3047" s="28" t="s">
        <v>190</v>
      </c>
      <c r="B3047" s="28" t="s">
        <v>191</v>
      </c>
      <c r="C3047" s="28" t="s">
        <v>192</v>
      </c>
      <c r="D3047" s="23" t="n">
        <v>9</v>
      </c>
      <c r="E3047" s="23" t="n">
        <v>17</v>
      </c>
      <c r="F3047" s="28" t="s">
        <v>909</v>
      </c>
      <c r="G3047" s="19" t="n">
        <v>0.0215</v>
      </c>
    </row>
    <row r="3048" customFormat="false" ht="15" hidden="false" customHeight="false" outlineLevel="0" collapsed="false">
      <c r="A3048" s="28" t="s">
        <v>190</v>
      </c>
      <c r="B3048" s="28" t="s">
        <v>191</v>
      </c>
      <c r="C3048" s="28" t="s">
        <v>192</v>
      </c>
      <c r="D3048" s="23" t="n">
        <v>9</v>
      </c>
      <c r="E3048" s="23" t="n">
        <v>17</v>
      </c>
      <c r="F3048" s="28" t="s">
        <v>910</v>
      </c>
      <c r="G3048" s="19" t="n">
        <v>0.0219</v>
      </c>
    </row>
    <row r="3049" customFormat="false" ht="15" hidden="false" customHeight="false" outlineLevel="0" collapsed="false">
      <c r="A3049" s="28" t="s">
        <v>190</v>
      </c>
      <c r="B3049" s="28" t="s">
        <v>191</v>
      </c>
      <c r="C3049" s="28" t="s">
        <v>192</v>
      </c>
      <c r="D3049" s="23" t="n">
        <v>9</v>
      </c>
      <c r="E3049" s="23" t="n">
        <v>17</v>
      </c>
      <c r="F3049" s="28" t="s">
        <v>911</v>
      </c>
      <c r="G3049" s="19" t="n">
        <v>0.023</v>
      </c>
    </row>
    <row r="3050" customFormat="false" ht="15" hidden="false" customHeight="false" outlineLevel="0" collapsed="false">
      <c r="A3050" s="28" t="s">
        <v>190</v>
      </c>
      <c r="B3050" s="28" t="s">
        <v>191</v>
      </c>
      <c r="C3050" s="28" t="s">
        <v>192</v>
      </c>
      <c r="D3050" s="23" t="n">
        <v>9</v>
      </c>
      <c r="E3050" s="23" t="n">
        <v>17</v>
      </c>
      <c r="F3050" s="28" t="s">
        <v>912</v>
      </c>
      <c r="G3050" s="19" t="n">
        <v>0.0244</v>
      </c>
    </row>
    <row r="3051" customFormat="false" ht="15" hidden="false" customHeight="false" outlineLevel="0" collapsed="false">
      <c r="A3051" s="28" t="s">
        <v>190</v>
      </c>
      <c r="B3051" s="28" t="s">
        <v>191</v>
      </c>
      <c r="C3051" s="28" t="s">
        <v>192</v>
      </c>
      <c r="D3051" s="23" t="n">
        <v>9</v>
      </c>
      <c r="E3051" s="23" t="n">
        <v>17</v>
      </c>
      <c r="F3051" s="28" t="s">
        <v>913</v>
      </c>
      <c r="G3051" s="19" t="n">
        <v>0.0293</v>
      </c>
    </row>
    <row r="3052" customFormat="false" ht="15" hidden="false" customHeight="false" outlineLevel="0" collapsed="false">
      <c r="A3052" s="28" t="s">
        <v>190</v>
      </c>
      <c r="B3052" s="28" t="s">
        <v>191</v>
      </c>
      <c r="C3052" s="28" t="s">
        <v>192</v>
      </c>
      <c r="D3052" s="23" t="n">
        <v>9</v>
      </c>
      <c r="E3052" s="23" t="n">
        <v>17</v>
      </c>
      <c r="F3052" s="28" t="s">
        <v>914</v>
      </c>
      <c r="G3052" s="19" t="n">
        <v>0.0291</v>
      </c>
    </row>
    <row r="3053" customFormat="false" ht="15" hidden="false" customHeight="false" outlineLevel="0" collapsed="false">
      <c r="A3053" s="28" t="s">
        <v>190</v>
      </c>
      <c r="B3053" s="28" t="s">
        <v>191</v>
      </c>
      <c r="C3053" s="28" t="s">
        <v>192</v>
      </c>
      <c r="D3053" s="23" t="n">
        <v>9</v>
      </c>
      <c r="E3053" s="23" t="n">
        <v>17</v>
      </c>
      <c r="F3053" s="28" t="s">
        <v>915</v>
      </c>
      <c r="G3053" s="19" t="n">
        <v>0.0449</v>
      </c>
    </row>
    <row r="3054" customFormat="false" ht="15" hidden="false" customHeight="false" outlineLevel="0" collapsed="false">
      <c r="A3054" s="28" t="s">
        <v>190</v>
      </c>
      <c r="B3054" s="28" t="s">
        <v>191</v>
      </c>
      <c r="C3054" s="28" t="s">
        <v>192</v>
      </c>
      <c r="D3054" s="23" t="n">
        <v>9</v>
      </c>
      <c r="E3054" s="23" t="n">
        <v>18</v>
      </c>
      <c r="F3054" s="28" t="s">
        <v>904</v>
      </c>
      <c r="G3054" s="19" t="n">
        <v>0.0163</v>
      </c>
    </row>
    <row r="3055" customFormat="false" ht="15" hidden="false" customHeight="false" outlineLevel="0" collapsed="false">
      <c r="A3055" s="28" t="s">
        <v>190</v>
      </c>
      <c r="B3055" s="28" t="s">
        <v>191</v>
      </c>
      <c r="C3055" s="28" t="s">
        <v>192</v>
      </c>
      <c r="D3055" s="23" t="n">
        <v>9</v>
      </c>
      <c r="E3055" s="23" t="n">
        <v>18</v>
      </c>
      <c r="F3055" s="28" t="s">
        <v>551</v>
      </c>
      <c r="G3055" s="19" t="n">
        <v>0.0475</v>
      </c>
    </row>
    <row r="3056" customFormat="false" ht="15" hidden="false" customHeight="false" outlineLevel="0" collapsed="false">
      <c r="A3056" s="28" t="s">
        <v>190</v>
      </c>
      <c r="B3056" s="28" t="s">
        <v>191</v>
      </c>
      <c r="C3056" s="28" t="s">
        <v>192</v>
      </c>
      <c r="D3056" s="23" t="n">
        <v>9</v>
      </c>
      <c r="E3056" s="23" t="n">
        <v>18</v>
      </c>
      <c r="F3056" s="28" t="s">
        <v>451</v>
      </c>
      <c r="G3056" s="19" t="n">
        <v>0.0161</v>
      </c>
    </row>
    <row r="3057" customFormat="false" ht="15" hidden="false" customHeight="false" outlineLevel="0" collapsed="false">
      <c r="A3057" s="28" t="s">
        <v>190</v>
      </c>
      <c r="B3057" s="28" t="s">
        <v>191</v>
      </c>
      <c r="C3057" s="28" t="s">
        <v>192</v>
      </c>
      <c r="D3057" s="23" t="n">
        <v>9</v>
      </c>
      <c r="E3057" s="23" t="n">
        <v>18</v>
      </c>
      <c r="F3057" s="28" t="s">
        <v>905</v>
      </c>
      <c r="G3057" s="19" t="n">
        <v>0.0187</v>
      </c>
    </row>
    <row r="3058" customFormat="false" ht="15" hidden="false" customHeight="false" outlineLevel="0" collapsed="false">
      <c r="A3058" s="28" t="s">
        <v>190</v>
      </c>
      <c r="B3058" s="28" t="s">
        <v>191</v>
      </c>
      <c r="C3058" s="28" t="s">
        <v>192</v>
      </c>
      <c r="D3058" s="23" t="n">
        <v>9</v>
      </c>
      <c r="E3058" s="23" t="n">
        <v>18</v>
      </c>
      <c r="F3058" s="28" t="s">
        <v>906</v>
      </c>
      <c r="G3058" s="19" t="n">
        <v>0.0201</v>
      </c>
    </row>
    <row r="3059" customFormat="false" ht="15" hidden="false" customHeight="false" outlineLevel="0" collapsed="false">
      <c r="A3059" s="28" t="s">
        <v>190</v>
      </c>
      <c r="B3059" s="28" t="s">
        <v>191</v>
      </c>
      <c r="C3059" s="28" t="s">
        <v>192</v>
      </c>
      <c r="D3059" s="23" t="n">
        <v>9</v>
      </c>
      <c r="E3059" s="23" t="n">
        <v>18</v>
      </c>
      <c r="F3059" s="28" t="s">
        <v>907</v>
      </c>
      <c r="G3059" s="19" t="n">
        <v>0.0198</v>
      </c>
    </row>
    <row r="3060" customFormat="false" ht="15" hidden="false" customHeight="false" outlineLevel="0" collapsed="false">
      <c r="A3060" s="28" t="s">
        <v>190</v>
      </c>
      <c r="B3060" s="28" t="s">
        <v>191</v>
      </c>
      <c r="C3060" s="28" t="s">
        <v>192</v>
      </c>
      <c r="D3060" s="23" t="n">
        <v>9</v>
      </c>
      <c r="E3060" s="23" t="n">
        <v>18</v>
      </c>
      <c r="F3060" s="28" t="s">
        <v>908</v>
      </c>
      <c r="G3060" s="19" t="n">
        <v>0.0214</v>
      </c>
    </row>
    <row r="3061" customFormat="false" ht="15" hidden="false" customHeight="false" outlineLevel="0" collapsed="false">
      <c r="A3061" s="28" t="s">
        <v>190</v>
      </c>
      <c r="B3061" s="28" t="s">
        <v>191</v>
      </c>
      <c r="C3061" s="28" t="s">
        <v>192</v>
      </c>
      <c r="D3061" s="23" t="n">
        <v>9</v>
      </c>
      <c r="E3061" s="23" t="n">
        <v>18</v>
      </c>
      <c r="F3061" s="28" t="s">
        <v>909</v>
      </c>
      <c r="G3061" s="19" t="n">
        <v>0.0215</v>
      </c>
    </row>
    <row r="3062" customFormat="false" ht="15" hidden="false" customHeight="false" outlineLevel="0" collapsed="false">
      <c r="A3062" s="28" t="s">
        <v>190</v>
      </c>
      <c r="B3062" s="28" t="s">
        <v>191</v>
      </c>
      <c r="C3062" s="28" t="s">
        <v>192</v>
      </c>
      <c r="D3062" s="23" t="n">
        <v>9</v>
      </c>
      <c r="E3062" s="23" t="n">
        <v>18</v>
      </c>
      <c r="F3062" s="28" t="s">
        <v>910</v>
      </c>
      <c r="G3062" s="19" t="n">
        <v>0.0219</v>
      </c>
    </row>
    <row r="3063" customFormat="false" ht="15" hidden="false" customHeight="false" outlineLevel="0" collapsed="false">
      <c r="A3063" s="28" t="s">
        <v>190</v>
      </c>
      <c r="B3063" s="28" t="s">
        <v>191</v>
      </c>
      <c r="C3063" s="28" t="s">
        <v>192</v>
      </c>
      <c r="D3063" s="23" t="n">
        <v>9</v>
      </c>
      <c r="E3063" s="23" t="n">
        <v>18</v>
      </c>
      <c r="F3063" s="28" t="s">
        <v>911</v>
      </c>
      <c r="G3063" s="19" t="n">
        <v>0.023</v>
      </c>
    </row>
    <row r="3064" customFormat="false" ht="15" hidden="false" customHeight="false" outlineLevel="0" collapsed="false">
      <c r="A3064" s="28" t="s">
        <v>190</v>
      </c>
      <c r="B3064" s="28" t="s">
        <v>191</v>
      </c>
      <c r="C3064" s="28" t="s">
        <v>192</v>
      </c>
      <c r="D3064" s="23" t="n">
        <v>9</v>
      </c>
      <c r="E3064" s="23" t="n">
        <v>18</v>
      </c>
      <c r="F3064" s="28" t="s">
        <v>912</v>
      </c>
      <c r="G3064" s="19" t="n">
        <v>0.0244</v>
      </c>
    </row>
    <row r="3065" customFormat="false" ht="15" hidden="false" customHeight="false" outlineLevel="0" collapsed="false">
      <c r="A3065" s="28" t="s">
        <v>190</v>
      </c>
      <c r="B3065" s="28" t="s">
        <v>191</v>
      </c>
      <c r="C3065" s="28" t="s">
        <v>192</v>
      </c>
      <c r="D3065" s="23" t="n">
        <v>9</v>
      </c>
      <c r="E3065" s="23" t="n">
        <v>18</v>
      </c>
      <c r="F3065" s="28" t="s">
        <v>913</v>
      </c>
      <c r="G3065" s="19" t="n">
        <v>0.0293</v>
      </c>
    </row>
    <row r="3066" customFormat="false" ht="15" hidden="false" customHeight="false" outlineLevel="0" collapsed="false">
      <c r="A3066" s="28" t="s">
        <v>190</v>
      </c>
      <c r="B3066" s="28" t="s">
        <v>191</v>
      </c>
      <c r="C3066" s="28" t="s">
        <v>192</v>
      </c>
      <c r="D3066" s="23" t="n">
        <v>9</v>
      </c>
      <c r="E3066" s="23" t="n">
        <v>18</v>
      </c>
      <c r="F3066" s="28" t="s">
        <v>914</v>
      </c>
      <c r="G3066" s="19" t="n">
        <v>0.0291</v>
      </c>
    </row>
    <row r="3067" customFormat="false" ht="15" hidden="false" customHeight="false" outlineLevel="0" collapsed="false">
      <c r="A3067" s="28" t="s">
        <v>190</v>
      </c>
      <c r="B3067" s="28" t="s">
        <v>191</v>
      </c>
      <c r="C3067" s="28" t="s">
        <v>192</v>
      </c>
      <c r="D3067" s="23" t="n">
        <v>9</v>
      </c>
      <c r="E3067" s="23" t="n">
        <v>18</v>
      </c>
      <c r="F3067" s="28" t="s">
        <v>915</v>
      </c>
      <c r="G3067" s="19" t="n">
        <v>0.0449</v>
      </c>
    </row>
    <row r="3068" customFormat="false" ht="15" hidden="false" customHeight="false" outlineLevel="0" collapsed="false">
      <c r="A3068" s="28" t="s">
        <v>190</v>
      </c>
      <c r="B3068" s="28" t="s">
        <v>191</v>
      </c>
      <c r="C3068" s="28" t="s">
        <v>192</v>
      </c>
      <c r="D3068" s="23" t="n">
        <v>9</v>
      </c>
      <c r="E3068" s="23" t="n">
        <v>19</v>
      </c>
      <c r="F3068" s="28" t="s">
        <v>904</v>
      </c>
      <c r="G3068" s="19" t="n">
        <v>0.0163</v>
      </c>
    </row>
    <row r="3069" customFormat="false" ht="15" hidden="false" customHeight="false" outlineLevel="0" collapsed="false">
      <c r="A3069" s="28" t="s">
        <v>190</v>
      </c>
      <c r="B3069" s="28" t="s">
        <v>191</v>
      </c>
      <c r="C3069" s="28" t="s">
        <v>192</v>
      </c>
      <c r="D3069" s="23" t="n">
        <v>9</v>
      </c>
      <c r="E3069" s="23" t="n">
        <v>19</v>
      </c>
      <c r="F3069" s="28" t="s">
        <v>551</v>
      </c>
      <c r="G3069" s="19" t="n">
        <v>0.0475</v>
      </c>
    </row>
    <row r="3070" customFormat="false" ht="15" hidden="false" customHeight="false" outlineLevel="0" collapsed="false">
      <c r="A3070" s="28" t="s">
        <v>190</v>
      </c>
      <c r="B3070" s="28" t="s">
        <v>191</v>
      </c>
      <c r="C3070" s="28" t="s">
        <v>192</v>
      </c>
      <c r="D3070" s="23" t="n">
        <v>9</v>
      </c>
      <c r="E3070" s="23" t="n">
        <v>19</v>
      </c>
      <c r="F3070" s="28" t="s">
        <v>451</v>
      </c>
      <c r="G3070" s="19" t="n">
        <v>0.0161</v>
      </c>
    </row>
    <row r="3071" customFormat="false" ht="15" hidden="false" customHeight="false" outlineLevel="0" collapsed="false">
      <c r="A3071" s="28" t="s">
        <v>190</v>
      </c>
      <c r="B3071" s="28" t="s">
        <v>191</v>
      </c>
      <c r="C3071" s="28" t="s">
        <v>192</v>
      </c>
      <c r="D3071" s="23" t="n">
        <v>9</v>
      </c>
      <c r="E3071" s="23" t="n">
        <v>19</v>
      </c>
      <c r="F3071" s="28" t="s">
        <v>905</v>
      </c>
      <c r="G3071" s="19" t="n">
        <v>0.0187</v>
      </c>
    </row>
    <row r="3072" customFormat="false" ht="15" hidden="false" customHeight="false" outlineLevel="0" collapsed="false">
      <c r="A3072" s="28" t="s">
        <v>190</v>
      </c>
      <c r="B3072" s="28" t="s">
        <v>191</v>
      </c>
      <c r="C3072" s="28" t="s">
        <v>192</v>
      </c>
      <c r="D3072" s="23" t="n">
        <v>9</v>
      </c>
      <c r="E3072" s="23" t="n">
        <v>19</v>
      </c>
      <c r="F3072" s="28" t="s">
        <v>906</v>
      </c>
      <c r="G3072" s="19" t="n">
        <v>0.0201</v>
      </c>
    </row>
    <row r="3073" customFormat="false" ht="15" hidden="false" customHeight="false" outlineLevel="0" collapsed="false">
      <c r="A3073" s="28" t="s">
        <v>190</v>
      </c>
      <c r="B3073" s="28" t="s">
        <v>191</v>
      </c>
      <c r="C3073" s="28" t="s">
        <v>192</v>
      </c>
      <c r="D3073" s="23" t="n">
        <v>9</v>
      </c>
      <c r="E3073" s="23" t="n">
        <v>19</v>
      </c>
      <c r="F3073" s="28" t="s">
        <v>907</v>
      </c>
      <c r="G3073" s="19" t="n">
        <v>0.0198</v>
      </c>
    </row>
    <row r="3074" customFormat="false" ht="15" hidden="false" customHeight="false" outlineLevel="0" collapsed="false">
      <c r="A3074" s="28" t="s">
        <v>190</v>
      </c>
      <c r="B3074" s="28" t="s">
        <v>191</v>
      </c>
      <c r="C3074" s="28" t="s">
        <v>192</v>
      </c>
      <c r="D3074" s="23" t="n">
        <v>9</v>
      </c>
      <c r="E3074" s="23" t="n">
        <v>19</v>
      </c>
      <c r="F3074" s="28" t="s">
        <v>908</v>
      </c>
      <c r="G3074" s="19" t="n">
        <v>0.0214</v>
      </c>
    </row>
    <row r="3075" customFormat="false" ht="15" hidden="false" customHeight="false" outlineLevel="0" collapsed="false">
      <c r="A3075" s="28" t="s">
        <v>190</v>
      </c>
      <c r="B3075" s="28" t="s">
        <v>191</v>
      </c>
      <c r="C3075" s="28" t="s">
        <v>192</v>
      </c>
      <c r="D3075" s="23" t="n">
        <v>9</v>
      </c>
      <c r="E3075" s="23" t="n">
        <v>19</v>
      </c>
      <c r="F3075" s="28" t="s">
        <v>909</v>
      </c>
      <c r="G3075" s="19" t="n">
        <v>0.0215</v>
      </c>
    </row>
    <row r="3076" customFormat="false" ht="15" hidden="false" customHeight="false" outlineLevel="0" collapsed="false">
      <c r="A3076" s="28" t="s">
        <v>190</v>
      </c>
      <c r="B3076" s="28" t="s">
        <v>191</v>
      </c>
      <c r="C3076" s="28" t="s">
        <v>192</v>
      </c>
      <c r="D3076" s="23" t="n">
        <v>9</v>
      </c>
      <c r="E3076" s="23" t="n">
        <v>19</v>
      </c>
      <c r="F3076" s="28" t="s">
        <v>910</v>
      </c>
      <c r="G3076" s="19" t="n">
        <v>0.0219</v>
      </c>
    </row>
    <row r="3077" customFormat="false" ht="15" hidden="false" customHeight="false" outlineLevel="0" collapsed="false">
      <c r="A3077" s="28" t="s">
        <v>190</v>
      </c>
      <c r="B3077" s="28" t="s">
        <v>191</v>
      </c>
      <c r="C3077" s="28" t="s">
        <v>192</v>
      </c>
      <c r="D3077" s="23" t="n">
        <v>9</v>
      </c>
      <c r="E3077" s="23" t="n">
        <v>19</v>
      </c>
      <c r="F3077" s="28" t="s">
        <v>911</v>
      </c>
      <c r="G3077" s="19" t="n">
        <v>0.023</v>
      </c>
    </row>
    <row r="3078" customFormat="false" ht="15" hidden="false" customHeight="false" outlineLevel="0" collapsed="false">
      <c r="A3078" s="28" t="s">
        <v>190</v>
      </c>
      <c r="B3078" s="28" t="s">
        <v>191</v>
      </c>
      <c r="C3078" s="28" t="s">
        <v>192</v>
      </c>
      <c r="D3078" s="23" t="n">
        <v>9</v>
      </c>
      <c r="E3078" s="23" t="n">
        <v>19</v>
      </c>
      <c r="F3078" s="28" t="s">
        <v>912</v>
      </c>
      <c r="G3078" s="19" t="n">
        <v>0.0244</v>
      </c>
    </row>
    <row r="3079" customFormat="false" ht="15" hidden="false" customHeight="false" outlineLevel="0" collapsed="false">
      <c r="A3079" s="28" t="s">
        <v>190</v>
      </c>
      <c r="B3079" s="28" t="s">
        <v>191</v>
      </c>
      <c r="C3079" s="28" t="s">
        <v>192</v>
      </c>
      <c r="D3079" s="23" t="n">
        <v>9</v>
      </c>
      <c r="E3079" s="23" t="n">
        <v>19</v>
      </c>
      <c r="F3079" s="28" t="s">
        <v>913</v>
      </c>
      <c r="G3079" s="19" t="n">
        <v>0.0293</v>
      </c>
    </row>
    <row r="3080" customFormat="false" ht="15" hidden="false" customHeight="false" outlineLevel="0" collapsed="false">
      <c r="A3080" s="28" t="s">
        <v>190</v>
      </c>
      <c r="B3080" s="28" t="s">
        <v>191</v>
      </c>
      <c r="C3080" s="28" t="s">
        <v>192</v>
      </c>
      <c r="D3080" s="23" t="n">
        <v>9</v>
      </c>
      <c r="E3080" s="23" t="n">
        <v>19</v>
      </c>
      <c r="F3080" s="28" t="s">
        <v>914</v>
      </c>
      <c r="G3080" s="19" t="n">
        <v>0.0291</v>
      </c>
    </row>
    <row r="3081" customFormat="false" ht="15" hidden="false" customHeight="false" outlineLevel="0" collapsed="false">
      <c r="A3081" s="28" t="s">
        <v>190</v>
      </c>
      <c r="B3081" s="28" t="s">
        <v>191</v>
      </c>
      <c r="C3081" s="28" t="s">
        <v>192</v>
      </c>
      <c r="D3081" s="23" t="n">
        <v>9</v>
      </c>
      <c r="E3081" s="23" t="n">
        <v>19</v>
      </c>
      <c r="F3081" s="28" t="s">
        <v>915</v>
      </c>
      <c r="G3081" s="19" t="n">
        <v>0.0449</v>
      </c>
    </row>
    <row r="3082" customFormat="false" ht="15" hidden="false" customHeight="false" outlineLevel="0" collapsed="false">
      <c r="A3082" s="28" t="s">
        <v>190</v>
      </c>
      <c r="B3082" s="28" t="s">
        <v>191</v>
      </c>
      <c r="C3082" s="28" t="s">
        <v>192</v>
      </c>
      <c r="D3082" s="23" t="n">
        <v>9</v>
      </c>
      <c r="E3082" s="23" t="n">
        <v>20</v>
      </c>
      <c r="F3082" s="28" t="s">
        <v>904</v>
      </c>
      <c r="G3082" s="19" t="n">
        <v>0.0163</v>
      </c>
    </row>
    <row r="3083" customFormat="false" ht="15" hidden="false" customHeight="false" outlineLevel="0" collapsed="false">
      <c r="A3083" s="28" t="s">
        <v>190</v>
      </c>
      <c r="B3083" s="28" t="s">
        <v>191</v>
      </c>
      <c r="C3083" s="28" t="s">
        <v>192</v>
      </c>
      <c r="D3083" s="23" t="n">
        <v>9</v>
      </c>
      <c r="E3083" s="23" t="n">
        <v>20</v>
      </c>
      <c r="F3083" s="28" t="s">
        <v>551</v>
      </c>
      <c r="G3083" s="19" t="n">
        <v>0.0475</v>
      </c>
    </row>
    <row r="3084" customFormat="false" ht="15" hidden="false" customHeight="false" outlineLevel="0" collapsed="false">
      <c r="A3084" s="28" t="s">
        <v>190</v>
      </c>
      <c r="B3084" s="28" t="s">
        <v>191</v>
      </c>
      <c r="C3084" s="28" t="s">
        <v>192</v>
      </c>
      <c r="D3084" s="23" t="n">
        <v>9</v>
      </c>
      <c r="E3084" s="23" t="n">
        <v>20</v>
      </c>
      <c r="F3084" s="28" t="s">
        <v>451</v>
      </c>
      <c r="G3084" s="19" t="n">
        <v>0.0161</v>
      </c>
    </row>
    <row r="3085" customFormat="false" ht="15" hidden="false" customHeight="false" outlineLevel="0" collapsed="false">
      <c r="A3085" s="28" t="s">
        <v>190</v>
      </c>
      <c r="B3085" s="28" t="s">
        <v>191</v>
      </c>
      <c r="C3085" s="28" t="s">
        <v>192</v>
      </c>
      <c r="D3085" s="23" t="n">
        <v>9</v>
      </c>
      <c r="E3085" s="23" t="n">
        <v>20</v>
      </c>
      <c r="F3085" s="28" t="s">
        <v>905</v>
      </c>
      <c r="G3085" s="19" t="n">
        <v>0.0187</v>
      </c>
    </row>
    <row r="3086" customFormat="false" ht="15" hidden="false" customHeight="false" outlineLevel="0" collapsed="false">
      <c r="A3086" s="28" t="s">
        <v>190</v>
      </c>
      <c r="B3086" s="28" t="s">
        <v>191</v>
      </c>
      <c r="C3086" s="28" t="s">
        <v>192</v>
      </c>
      <c r="D3086" s="23" t="n">
        <v>9</v>
      </c>
      <c r="E3086" s="23" t="n">
        <v>20</v>
      </c>
      <c r="F3086" s="28" t="s">
        <v>906</v>
      </c>
      <c r="G3086" s="19" t="n">
        <v>0.0201</v>
      </c>
    </row>
    <row r="3087" customFormat="false" ht="15" hidden="false" customHeight="false" outlineLevel="0" collapsed="false">
      <c r="A3087" s="28" t="s">
        <v>190</v>
      </c>
      <c r="B3087" s="28" t="s">
        <v>191</v>
      </c>
      <c r="C3087" s="28" t="s">
        <v>192</v>
      </c>
      <c r="D3087" s="23" t="n">
        <v>9</v>
      </c>
      <c r="E3087" s="23" t="n">
        <v>20</v>
      </c>
      <c r="F3087" s="28" t="s">
        <v>907</v>
      </c>
      <c r="G3087" s="19" t="n">
        <v>0.0198</v>
      </c>
    </row>
    <row r="3088" customFormat="false" ht="15" hidden="false" customHeight="false" outlineLevel="0" collapsed="false">
      <c r="A3088" s="28" t="s">
        <v>190</v>
      </c>
      <c r="B3088" s="28" t="s">
        <v>191</v>
      </c>
      <c r="C3088" s="28" t="s">
        <v>192</v>
      </c>
      <c r="D3088" s="23" t="n">
        <v>9</v>
      </c>
      <c r="E3088" s="23" t="n">
        <v>20</v>
      </c>
      <c r="F3088" s="28" t="s">
        <v>908</v>
      </c>
      <c r="G3088" s="19" t="n">
        <v>0.0214</v>
      </c>
    </row>
    <row r="3089" customFormat="false" ht="15" hidden="false" customHeight="false" outlineLevel="0" collapsed="false">
      <c r="A3089" s="28" t="s">
        <v>190</v>
      </c>
      <c r="B3089" s="28" t="s">
        <v>191</v>
      </c>
      <c r="C3089" s="28" t="s">
        <v>192</v>
      </c>
      <c r="D3089" s="23" t="n">
        <v>9</v>
      </c>
      <c r="E3089" s="23" t="n">
        <v>20</v>
      </c>
      <c r="F3089" s="28" t="s">
        <v>909</v>
      </c>
      <c r="G3089" s="19" t="n">
        <v>0.0215</v>
      </c>
    </row>
    <row r="3090" customFormat="false" ht="15" hidden="false" customHeight="false" outlineLevel="0" collapsed="false">
      <c r="A3090" s="28" t="s">
        <v>190</v>
      </c>
      <c r="B3090" s="28" t="s">
        <v>191</v>
      </c>
      <c r="C3090" s="28" t="s">
        <v>192</v>
      </c>
      <c r="D3090" s="23" t="n">
        <v>9</v>
      </c>
      <c r="E3090" s="23" t="n">
        <v>20</v>
      </c>
      <c r="F3090" s="28" t="s">
        <v>910</v>
      </c>
      <c r="G3090" s="19" t="n">
        <v>0.0219</v>
      </c>
    </row>
    <row r="3091" customFormat="false" ht="15" hidden="false" customHeight="false" outlineLevel="0" collapsed="false">
      <c r="A3091" s="28" t="s">
        <v>190</v>
      </c>
      <c r="B3091" s="28" t="s">
        <v>191</v>
      </c>
      <c r="C3091" s="28" t="s">
        <v>192</v>
      </c>
      <c r="D3091" s="23" t="n">
        <v>9</v>
      </c>
      <c r="E3091" s="23" t="n">
        <v>20</v>
      </c>
      <c r="F3091" s="28" t="s">
        <v>911</v>
      </c>
      <c r="G3091" s="19" t="n">
        <v>0.023</v>
      </c>
    </row>
    <row r="3092" customFormat="false" ht="15" hidden="false" customHeight="false" outlineLevel="0" collapsed="false">
      <c r="A3092" s="28" t="s">
        <v>190</v>
      </c>
      <c r="B3092" s="28" t="s">
        <v>191</v>
      </c>
      <c r="C3092" s="28" t="s">
        <v>192</v>
      </c>
      <c r="D3092" s="23" t="n">
        <v>9</v>
      </c>
      <c r="E3092" s="23" t="n">
        <v>20</v>
      </c>
      <c r="F3092" s="28" t="s">
        <v>912</v>
      </c>
      <c r="G3092" s="19" t="n">
        <v>0.0244</v>
      </c>
    </row>
    <row r="3093" customFormat="false" ht="15" hidden="false" customHeight="false" outlineLevel="0" collapsed="false">
      <c r="A3093" s="28" t="s">
        <v>190</v>
      </c>
      <c r="B3093" s="28" t="s">
        <v>191</v>
      </c>
      <c r="C3093" s="28" t="s">
        <v>192</v>
      </c>
      <c r="D3093" s="23" t="n">
        <v>9</v>
      </c>
      <c r="E3093" s="23" t="n">
        <v>20</v>
      </c>
      <c r="F3093" s="28" t="s">
        <v>913</v>
      </c>
      <c r="G3093" s="19" t="n">
        <v>0.0293</v>
      </c>
    </row>
    <row r="3094" customFormat="false" ht="15" hidden="false" customHeight="false" outlineLevel="0" collapsed="false">
      <c r="A3094" s="28" t="s">
        <v>190</v>
      </c>
      <c r="B3094" s="28" t="s">
        <v>191</v>
      </c>
      <c r="C3094" s="28" t="s">
        <v>192</v>
      </c>
      <c r="D3094" s="23" t="n">
        <v>9</v>
      </c>
      <c r="E3094" s="23" t="n">
        <v>20</v>
      </c>
      <c r="F3094" s="28" t="s">
        <v>914</v>
      </c>
      <c r="G3094" s="19" t="n">
        <v>0.0291</v>
      </c>
    </row>
    <row r="3095" customFormat="false" ht="15" hidden="false" customHeight="false" outlineLevel="0" collapsed="false">
      <c r="A3095" s="28" t="s">
        <v>190</v>
      </c>
      <c r="B3095" s="28" t="s">
        <v>191</v>
      </c>
      <c r="C3095" s="28" t="s">
        <v>192</v>
      </c>
      <c r="D3095" s="23" t="n">
        <v>9</v>
      </c>
      <c r="E3095" s="23" t="n">
        <v>20</v>
      </c>
      <c r="F3095" s="28" t="s">
        <v>915</v>
      </c>
      <c r="G3095" s="19" t="n">
        <v>0.0449</v>
      </c>
    </row>
    <row r="3096" customFormat="false" ht="15" hidden="false" customHeight="false" outlineLevel="0" collapsed="false">
      <c r="A3096" s="28" t="s">
        <v>190</v>
      </c>
      <c r="B3096" s="28" t="s">
        <v>191</v>
      </c>
      <c r="C3096" s="28" t="s">
        <v>192</v>
      </c>
      <c r="D3096" s="23" t="n">
        <v>9</v>
      </c>
      <c r="E3096" s="23" t="n">
        <v>21</v>
      </c>
      <c r="F3096" s="28" t="s">
        <v>904</v>
      </c>
      <c r="G3096" s="19" t="n">
        <v>0.0163</v>
      </c>
    </row>
    <row r="3097" customFormat="false" ht="15" hidden="false" customHeight="false" outlineLevel="0" collapsed="false">
      <c r="A3097" s="28" t="s">
        <v>190</v>
      </c>
      <c r="B3097" s="28" t="s">
        <v>191</v>
      </c>
      <c r="C3097" s="28" t="s">
        <v>192</v>
      </c>
      <c r="D3097" s="23" t="n">
        <v>9</v>
      </c>
      <c r="E3097" s="23" t="n">
        <v>21</v>
      </c>
      <c r="F3097" s="28" t="s">
        <v>551</v>
      </c>
      <c r="G3097" s="19" t="n">
        <v>0.0475</v>
      </c>
    </row>
    <row r="3098" customFormat="false" ht="15" hidden="false" customHeight="false" outlineLevel="0" collapsed="false">
      <c r="A3098" s="28" t="s">
        <v>190</v>
      </c>
      <c r="B3098" s="28" t="s">
        <v>191</v>
      </c>
      <c r="C3098" s="28" t="s">
        <v>192</v>
      </c>
      <c r="D3098" s="23" t="n">
        <v>9</v>
      </c>
      <c r="E3098" s="23" t="n">
        <v>21</v>
      </c>
      <c r="F3098" s="28" t="s">
        <v>451</v>
      </c>
      <c r="G3098" s="19" t="n">
        <v>0.0161</v>
      </c>
    </row>
    <row r="3099" customFormat="false" ht="15" hidden="false" customHeight="false" outlineLevel="0" collapsed="false">
      <c r="A3099" s="28" t="s">
        <v>190</v>
      </c>
      <c r="B3099" s="28" t="s">
        <v>191</v>
      </c>
      <c r="C3099" s="28" t="s">
        <v>192</v>
      </c>
      <c r="D3099" s="23" t="n">
        <v>9</v>
      </c>
      <c r="E3099" s="23" t="n">
        <v>21</v>
      </c>
      <c r="F3099" s="28" t="s">
        <v>905</v>
      </c>
      <c r="G3099" s="19" t="n">
        <v>0.0187</v>
      </c>
    </row>
    <row r="3100" customFormat="false" ht="15" hidden="false" customHeight="false" outlineLevel="0" collapsed="false">
      <c r="A3100" s="28" t="s">
        <v>190</v>
      </c>
      <c r="B3100" s="28" t="s">
        <v>191</v>
      </c>
      <c r="C3100" s="28" t="s">
        <v>192</v>
      </c>
      <c r="D3100" s="23" t="n">
        <v>9</v>
      </c>
      <c r="E3100" s="23" t="n">
        <v>21</v>
      </c>
      <c r="F3100" s="28" t="s">
        <v>906</v>
      </c>
      <c r="G3100" s="19" t="n">
        <v>0.0201</v>
      </c>
    </row>
    <row r="3101" customFormat="false" ht="15" hidden="false" customHeight="false" outlineLevel="0" collapsed="false">
      <c r="A3101" s="28" t="s">
        <v>190</v>
      </c>
      <c r="B3101" s="28" t="s">
        <v>191</v>
      </c>
      <c r="C3101" s="28" t="s">
        <v>192</v>
      </c>
      <c r="D3101" s="23" t="n">
        <v>9</v>
      </c>
      <c r="E3101" s="23" t="n">
        <v>21</v>
      </c>
      <c r="F3101" s="28" t="s">
        <v>907</v>
      </c>
      <c r="G3101" s="19" t="n">
        <v>0.0198</v>
      </c>
    </row>
    <row r="3102" customFormat="false" ht="15" hidden="false" customHeight="false" outlineLevel="0" collapsed="false">
      <c r="A3102" s="28" t="s">
        <v>190</v>
      </c>
      <c r="B3102" s="28" t="s">
        <v>191</v>
      </c>
      <c r="C3102" s="28" t="s">
        <v>192</v>
      </c>
      <c r="D3102" s="23" t="n">
        <v>9</v>
      </c>
      <c r="E3102" s="23" t="n">
        <v>21</v>
      </c>
      <c r="F3102" s="28" t="s">
        <v>908</v>
      </c>
      <c r="G3102" s="19" t="n">
        <v>0.0214</v>
      </c>
    </row>
    <row r="3103" customFormat="false" ht="15" hidden="false" customHeight="false" outlineLevel="0" collapsed="false">
      <c r="A3103" s="28" t="s">
        <v>190</v>
      </c>
      <c r="B3103" s="28" t="s">
        <v>191</v>
      </c>
      <c r="C3103" s="28" t="s">
        <v>192</v>
      </c>
      <c r="D3103" s="23" t="n">
        <v>9</v>
      </c>
      <c r="E3103" s="23" t="n">
        <v>21</v>
      </c>
      <c r="F3103" s="28" t="s">
        <v>909</v>
      </c>
      <c r="G3103" s="19" t="n">
        <v>0.0215</v>
      </c>
    </row>
    <row r="3104" customFormat="false" ht="15" hidden="false" customHeight="false" outlineLevel="0" collapsed="false">
      <c r="A3104" s="28" t="s">
        <v>190</v>
      </c>
      <c r="B3104" s="28" t="s">
        <v>191</v>
      </c>
      <c r="C3104" s="28" t="s">
        <v>192</v>
      </c>
      <c r="D3104" s="23" t="n">
        <v>9</v>
      </c>
      <c r="E3104" s="23" t="n">
        <v>21</v>
      </c>
      <c r="F3104" s="28" t="s">
        <v>910</v>
      </c>
      <c r="G3104" s="19" t="n">
        <v>0.0219</v>
      </c>
    </row>
    <row r="3105" customFormat="false" ht="15" hidden="false" customHeight="false" outlineLevel="0" collapsed="false">
      <c r="A3105" s="28" t="s">
        <v>190</v>
      </c>
      <c r="B3105" s="28" t="s">
        <v>191</v>
      </c>
      <c r="C3105" s="28" t="s">
        <v>192</v>
      </c>
      <c r="D3105" s="23" t="n">
        <v>9</v>
      </c>
      <c r="E3105" s="23" t="n">
        <v>21</v>
      </c>
      <c r="F3105" s="28" t="s">
        <v>911</v>
      </c>
      <c r="G3105" s="19" t="n">
        <v>0.023</v>
      </c>
    </row>
    <row r="3106" customFormat="false" ht="15" hidden="false" customHeight="false" outlineLevel="0" collapsed="false">
      <c r="A3106" s="28" t="s">
        <v>190</v>
      </c>
      <c r="B3106" s="28" t="s">
        <v>191</v>
      </c>
      <c r="C3106" s="28" t="s">
        <v>192</v>
      </c>
      <c r="D3106" s="23" t="n">
        <v>9</v>
      </c>
      <c r="E3106" s="23" t="n">
        <v>21</v>
      </c>
      <c r="F3106" s="28" t="s">
        <v>912</v>
      </c>
      <c r="G3106" s="19" t="n">
        <v>0.0244</v>
      </c>
    </row>
    <row r="3107" customFormat="false" ht="15" hidden="false" customHeight="false" outlineLevel="0" collapsed="false">
      <c r="A3107" s="28" t="s">
        <v>190</v>
      </c>
      <c r="B3107" s="28" t="s">
        <v>191</v>
      </c>
      <c r="C3107" s="28" t="s">
        <v>192</v>
      </c>
      <c r="D3107" s="23" t="n">
        <v>9</v>
      </c>
      <c r="E3107" s="23" t="n">
        <v>21</v>
      </c>
      <c r="F3107" s="28" t="s">
        <v>913</v>
      </c>
      <c r="G3107" s="19" t="n">
        <v>0.0293</v>
      </c>
    </row>
    <row r="3108" customFormat="false" ht="15" hidden="false" customHeight="false" outlineLevel="0" collapsed="false">
      <c r="A3108" s="28" t="s">
        <v>190</v>
      </c>
      <c r="B3108" s="28" t="s">
        <v>191</v>
      </c>
      <c r="C3108" s="28" t="s">
        <v>192</v>
      </c>
      <c r="D3108" s="23" t="n">
        <v>9</v>
      </c>
      <c r="E3108" s="23" t="n">
        <v>21</v>
      </c>
      <c r="F3108" s="28" t="s">
        <v>914</v>
      </c>
      <c r="G3108" s="19" t="n">
        <v>0.0291</v>
      </c>
    </row>
    <row r="3109" customFormat="false" ht="15" hidden="false" customHeight="false" outlineLevel="0" collapsed="false">
      <c r="A3109" s="28" t="s">
        <v>190</v>
      </c>
      <c r="B3109" s="28" t="s">
        <v>191</v>
      </c>
      <c r="C3109" s="28" t="s">
        <v>192</v>
      </c>
      <c r="D3109" s="23" t="n">
        <v>9</v>
      </c>
      <c r="E3109" s="23" t="n">
        <v>21</v>
      </c>
      <c r="F3109" s="28" t="s">
        <v>915</v>
      </c>
      <c r="G3109" s="19" t="n">
        <v>0.0449</v>
      </c>
    </row>
    <row r="3110" customFormat="false" ht="15" hidden="false" customHeight="false" outlineLevel="0" collapsed="false">
      <c r="A3110" s="28" t="s">
        <v>190</v>
      </c>
      <c r="B3110" s="28" t="s">
        <v>191</v>
      </c>
      <c r="C3110" s="28" t="s">
        <v>192</v>
      </c>
      <c r="D3110" s="23" t="n">
        <v>9</v>
      </c>
      <c r="E3110" s="23" t="n">
        <v>22</v>
      </c>
      <c r="F3110" s="28" t="s">
        <v>904</v>
      </c>
      <c r="G3110" s="19" t="n">
        <v>0.0163</v>
      </c>
    </row>
    <row r="3111" customFormat="false" ht="15" hidden="false" customHeight="false" outlineLevel="0" collapsed="false">
      <c r="A3111" s="28" t="s">
        <v>190</v>
      </c>
      <c r="B3111" s="28" t="s">
        <v>191</v>
      </c>
      <c r="C3111" s="28" t="s">
        <v>192</v>
      </c>
      <c r="D3111" s="23" t="n">
        <v>9</v>
      </c>
      <c r="E3111" s="23" t="n">
        <v>22</v>
      </c>
      <c r="F3111" s="28" t="s">
        <v>551</v>
      </c>
      <c r="G3111" s="19" t="n">
        <v>0.0475</v>
      </c>
    </row>
    <row r="3112" customFormat="false" ht="15" hidden="false" customHeight="false" outlineLevel="0" collapsed="false">
      <c r="A3112" s="28" t="s">
        <v>190</v>
      </c>
      <c r="B3112" s="28" t="s">
        <v>191</v>
      </c>
      <c r="C3112" s="28" t="s">
        <v>192</v>
      </c>
      <c r="D3112" s="23" t="n">
        <v>9</v>
      </c>
      <c r="E3112" s="23" t="n">
        <v>22</v>
      </c>
      <c r="F3112" s="28" t="s">
        <v>451</v>
      </c>
      <c r="G3112" s="19" t="n">
        <v>0.0161</v>
      </c>
    </row>
    <row r="3113" customFormat="false" ht="15" hidden="false" customHeight="false" outlineLevel="0" collapsed="false">
      <c r="A3113" s="28" t="s">
        <v>190</v>
      </c>
      <c r="B3113" s="28" t="s">
        <v>191</v>
      </c>
      <c r="C3113" s="28" t="s">
        <v>192</v>
      </c>
      <c r="D3113" s="23" t="n">
        <v>9</v>
      </c>
      <c r="E3113" s="23" t="n">
        <v>22</v>
      </c>
      <c r="F3113" s="28" t="s">
        <v>905</v>
      </c>
      <c r="G3113" s="19" t="n">
        <v>0.0187</v>
      </c>
    </row>
    <row r="3114" customFormat="false" ht="15" hidden="false" customHeight="false" outlineLevel="0" collapsed="false">
      <c r="A3114" s="28" t="s">
        <v>190</v>
      </c>
      <c r="B3114" s="28" t="s">
        <v>191</v>
      </c>
      <c r="C3114" s="28" t="s">
        <v>192</v>
      </c>
      <c r="D3114" s="23" t="n">
        <v>9</v>
      </c>
      <c r="E3114" s="23" t="n">
        <v>22</v>
      </c>
      <c r="F3114" s="28" t="s">
        <v>906</v>
      </c>
      <c r="G3114" s="19" t="n">
        <v>0.0201</v>
      </c>
    </row>
    <row r="3115" customFormat="false" ht="15" hidden="false" customHeight="false" outlineLevel="0" collapsed="false">
      <c r="A3115" s="28" t="s">
        <v>190</v>
      </c>
      <c r="B3115" s="28" t="s">
        <v>191</v>
      </c>
      <c r="C3115" s="28" t="s">
        <v>192</v>
      </c>
      <c r="D3115" s="23" t="n">
        <v>9</v>
      </c>
      <c r="E3115" s="23" t="n">
        <v>22</v>
      </c>
      <c r="F3115" s="28" t="s">
        <v>907</v>
      </c>
      <c r="G3115" s="19" t="n">
        <v>0.0198</v>
      </c>
    </row>
    <row r="3116" customFormat="false" ht="15" hidden="false" customHeight="false" outlineLevel="0" collapsed="false">
      <c r="A3116" s="28" t="s">
        <v>190</v>
      </c>
      <c r="B3116" s="28" t="s">
        <v>191</v>
      </c>
      <c r="C3116" s="28" t="s">
        <v>192</v>
      </c>
      <c r="D3116" s="23" t="n">
        <v>9</v>
      </c>
      <c r="E3116" s="23" t="n">
        <v>22</v>
      </c>
      <c r="F3116" s="28" t="s">
        <v>908</v>
      </c>
      <c r="G3116" s="19" t="n">
        <v>0.0214</v>
      </c>
    </row>
    <row r="3117" customFormat="false" ht="15" hidden="false" customHeight="false" outlineLevel="0" collapsed="false">
      <c r="A3117" s="28" t="s">
        <v>190</v>
      </c>
      <c r="B3117" s="28" t="s">
        <v>191</v>
      </c>
      <c r="C3117" s="28" t="s">
        <v>192</v>
      </c>
      <c r="D3117" s="23" t="n">
        <v>9</v>
      </c>
      <c r="E3117" s="23" t="n">
        <v>22</v>
      </c>
      <c r="F3117" s="28" t="s">
        <v>909</v>
      </c>
      <c r="G3117" s="19" t="n">
        <v>0.0215</v>
      </c>
    </row>
    <row r="3118" customFormat="false" ht="15" hidden="false" customHeight="false" outlineLevel="0" collapsed="false">
      <c r="A3118" s="28" t="s">
        <v>190</v>
      </c>
      <c r="B3118" s="28" t="s">
        <v>191</v>
      </c>
      <c r="C3118" s="28" t="s">
        <v>192</v>
      </c>
      <c r="D3118" s="23" t="n">
        <v>9</v>
      </c>
      <c r="E3118" s="23" t="n">
        <v>22</v>
      </c>
      <c r="F3118" s="28" t="s">
        <v>910</v>
      </c>
      <c r="G3118" s="19" t="n">
        <v>0.0219</v>
      </c>
    </row>
    <row r="3119" customFormat="false" ht="15" hidden="false" customHeight="false" outlineLevel="0" collapsed="false">
      <c r="A3119" s="28" t="s">
        <v>190</v>
      </c>
      <c r="B3119" s="28" t="s">
        <v>191</v>
      </c>
      <c r="C3119" s="28" t="s">
        <v>192</v>
      </c>
      <c r="D3119" s="23" t="n">
        <v>9</v>
      </c>
      <c r="E3119" s="23" t="n">
        <v>22</v>
      </c>
      <c r="F3119" s="28" t="s">
        <v>911</v>
      </c>
      <c r="G3119" s="19" t="n">
        <v>0.023</v>
      </c>
    </row>
    <row r="3120" customFormat="false" ht="15" hidden="false" customHeight="false" outlineLevel="0" collapsed="false">
      <c r="A3120" s="28" t="s">
        <v>190</v>
      </c>
      <c r="B3120" s="28" t="s">
        <v>191</v>
      </c>
      <c r="C3120" s="28" t="s">
        <v>192</v>
      </c>
      <c r="D3120" s="23" t="n">
        <v>9</v>
      </c>
      <c r="E3120" s="23" t="n">
        <v>22</v>
      </c>
      <c r="F3120" s="28" t="s">
        <v>912</v>
      </c>
      <c r="G3120" s="19" t="n">
        <v>0.0244</v>
      </c>
    </row>
    <row r="3121" customFormat="false" ht="15" hidden="false" customHeight="false" outlineLevel="0" collapsed="false">
      <c r="A3121" s="28" t="s">
        <v>190</v>
      </c>
      <c r="B3121" s="28" t="s">
        <v>191</v>
      </c>
      <c r="C3121" s="28" t="s">
        <v>192</v>
      </c>
      <c r="D3121" s="23" t="n">
        <v>9</v>
      </c>
      <c r="E3121" s="23" t="n">
        <v>22</v>
      </c>
      <c r="F3121" s="28" t="s">
        <v>913</v>
      </c>
      <c r="G3121" s="19" t="n">
        <v>0.0293</v>
      </c>
    </row>
    <row r="3122" customFormat="false" ht="15" hidden="false" customHeight="false" outlineLevel="0" collapsed="false">
      <c r="A3122" s="28" t="s">
        <v>190</v>
      </c>
      <c r="B3122" s="28" t="s">
        <v>191</v>
      </c>
      <c r="C3122" s="28" t="s">
        <v>192</v>
      </c>
      <c r="D3122" s="23" t="n">
        <v>9</v>
      </c>
      <c r="E3122" s="23" t="n">
        <v>22</v>
      </c>
      <c r="F3122" s="28" t="s">
        <v>914</v>
      </c>
      <c r="G3122" s="19" t="n">
        <v>0.0291</v>
      </c>
    </row>
    <row r="3123" customFormat="false" ht="15" hidden="false" customHeight="false" outlineLevel="0" collapsed="false">
      <c r="A3123" s="28" t="s">
        <v>190</v>
      </c>
      <c r="B3123" s="28" t="s">
        <v>191</v>
      </c>
      <c r="C3123" s="28" t="s">
        <v>192</v>
      </c>
      <c r="D3123" s="23" t="n">
        <v>9</v>
      </c>
      <c r="E3123" s="23" t="n">
        <v>22</v>
      </c>
      <c r="F3123" s="28" t="s">
        <v>915</v>
      </c>
      <c r="G3123" s="19" t="n">
        <v>0.0449</v>
      </c>
    </row>
    <row r="3124" customFormat="false" ht="15" hidden="false" customHeight="false" outlineLevel="0" collapsed="false">
      <c r="A3124" s="28" t="s">
        <v>190</v>
      </c>
      <c r="B3124" s="28" t="s">
        <v>191</v>
      </c>
      <c r="C3124" s="28" t="s">
        <v>192</v>
      </c>
      <c r="D3124" s="23" t="n">
        <v>9</v>
      </c>
      <c r="E3124" s="23" t="n">
        <v>23</v>
      </c>
      <c r="F3124" s="28" t="s">
        <v>904</v>
      </c>
      <c r="G3124" s="19" t="n">
        <v>0.0163</v>
      </c>
    </row>
    <row r="3125" customFormat="false" ht="15" hidden="false" customHeight="false" outlineLevel="0" collapsed="false">
      <c r="A3125" s="28" t="s">
        <v>190</v>
      </c>
      <c r="B3125" s="28" t="s">
        <v>191</v>
      </c>
      <c r="C3125" s="28" t="s">
        <v>192</v>
      </c>
      <c r="D3125" s="23" t="n">
        <v>9</v>
      </c>
      <c r="E3125" s="23" t="n">
        <v>23</v>
      </c>
      <c r="F3125" s="28" t="s">
        <v>551</v>
      </c>
      <c r="G3125" s="19" t="n">
        <v>0.0475</v>
      </c>
    </row>
    <row r="3126" customFormat="false" ht="15" hidden="false" customHeight="false" outlineLevel="0" collapsed="false">
      <c r="A3126" s="28" t="s">
        <v>190</v>
      </c>
      <c r="B3126" s="28" t="s">
        <v>191</v>
      </c>
      <c r="C3126" s="28" t="s">
        <v>192</v>
      </c>
      <c r="D3126" s="23" t="n">
        <v>9</v>
      </c>
      <c r="E3126" s="23" t="n">
        <v>23</v>
      </c>
      <c r="F3126" s="28" t="s">
        <v>451</v>
      </c>
      <c r="G3126" s="19" t="n">
        <v>0.0161</v>
      </c>
    </row>
    <row r="3127" customFormat="false" ht="15" hidden="false" customHeight="false" outlineLevel="0" collapsed="false">
      <c r="A3127" s="28" t="s">
        <v>190</v>
      </c>
      <c r="B3127" s="28" t="s">
        <v>191</v>
      </c>
      <c r="C3127" s="28" t="s">
        <v>192</v>
      </c>
      <c r="D3127" s="23" t="n">
        <v>9</v>
      </c>
      <c r="E3127" s="23" t="n">
        <v>23</v>
      </c>
      <c r="F3127" s="28" t="s">
        <v>905</v>
      </c>
      <c r="G3127" s="19" t="n">
        <v>0.0187</v>
      </c>
    </row>
    <row r="3128" customFormat="false" ht="15" hidden="false" customHeight="false" outlineLevel="0" collapsed="false">
      <c r="A3128" s="28" t="s">
        <v>190</v>
      </c>
      <c r="B3128" s="28" t="s">
        <v>191</v>
      </c>
      <c r="C3128" s="28" t="s">
        <v>192</v>
      </c>
      <c r="D3128" s="23" t="n">
        <v>9</v>
      </c>
      <c r="E3128" s="23" t="n">
        <v>23</v>
      </c>
      <c r="F3128" s="28" t="s">
        <v>906</v>
      </c>
      <c r="G3128" s="19" t="n">
        <v>0.0201</v>
      </c>
    </row>
    <row r="3129" customFormat="false" ht="15" hidden="false" customHeight="false" outlineLevel="0" collapsed="false">
      <c r="A3129" s="28" t="s">
        <v>190</v>
      </c>
      <c r="B3129" s="28" t="s">
        <v>191</v>
      </c>
      <c r="C3129" s="28" t="s">
        <v>192</v>
      </c>
      <c r="D3129" s="23" t="n">
        <v>9</v>
      </c>
      <c r="E3129" s="23" t="n">
        <v>23</v>
      </c>
      <c r="F3129" s="28" t="s">
        <v>907</v>
      </c>
      <c r="G3129" s="19" t="n">
        <v>0.0198</v>
      </c>
    </row>
    <row r="3130" customFormat="false" ht="15" hidden="false" customHeight="false" outlineLevel="0" collapsed="false">
      <c r="A3130" s="28" t="s">
        <v>190</v>
      </c>
      <c r="B3130" s="28" t="s">
        <v>191</v>
      </c>
      <c r="C3130" s="28" t="s">
        <v>192</v>
      </c>
      <c r="D3130" s="23" t="n">
        <v>9</v>
      </c>
      <c r="E3130" s="23" t="n">
        <v>23</v>
      </c>
      <c r="F3130" s="28" t="s">
        <v>908</v>
      </c>
      <c r="G3130" s="19" t="n">
        <v>0.0214</v>
      </c>
    </row>
    <row r="3131" customFormat="false" ht="15" hidden="false" customHeight="false" outlineLevel="0" collapsed="false">
      <c r="A3131" s="28" t="s">
        <v>190</v>
      </c>
      <c r="B3131" s="28" t="s">
        <v>191</v>
      </c>
      <c r="C3131" s="28" t="s">
        <v>192</v>
      </c>
      <c r="D3131" s="23" t="n">
        <v>9</v>
      </c>
      <c r="E3131" s="23" t="n">
        <v>23</v>
      </c>
      <c r="F3131" s="28" t="s">
        <v>909</v>
      </c>
      <c r="G3131" s="19" t="n">
        <v>0.0215</v>
      </c>
    </row>
    <row r="3132" customFormat="false" ht="15" hidden="false" customHeight="false" outlineLevel="0" collapsed="false">
      <c r="A3132" s="28" t="s">
        <v>190</v>
      </c>
      <c r="B3132" s="28" t="s">
        <v>191</v>
      </c>
      <c r="C3132" s="28" t="s">
        <v>192</v>
      </c>
      <c r="D3132" s="23" t="n">
        <v>9</v>
      </c>
      <c r="E3132" s="23" t="n">
        <v>23</v>
      </c>
      <c r="F3132" s="28" t="s">
        <v>910</v>
      </c>
      <c r="G3132" s="19" t="n">
        <v>0.0219</v>
      </c>
    </row>
    <row r="3133" customFormat="false" ht="15" hidden="false" customHeight="false" outlineLevel="0" collapsed="false">
      <c r="A3133" s="28" t="s">
        <v>190</v>
      </c>
      <c r="B3133" s="28" t="s">
        <v>191</v>
      </c>
      <c r="C3133" s="28" t="s">
        <v>192</v>
      </c>
      <c r="D3133" s="23" t="n">
        <v>9</v>
      </c>
      <c r="E3133" s="23" t="n">
        <v>23</v>
      </c>
      <c r="F3133" s="28" t="s">
        <v>911</v>
      </c>
      <c r="G3133" s="19" t="n">
        <v>0.023</v>
      </c>
    </row>
    <row r="3134" customFormat="false" ht="15" hidden="false" customHeight="false" outlineLevel="0" collapsed="false">
      <c r="A3134" s="28" t="s">
        <v>190</v>
      </c>
      <c r="B3134" s="28" t="s">
        <v>191</v>
      </c>
      <c r="C3134" s="28" t="s">
        <v>192</v>
      </c>
      <c r="D3134" s="23" t="n">
        <v>9</v>
      </c>
      <c r="E3134" s="23" t="n">
        <v>23</v>
      </c>
      <c r="F3134" s="28" t="s">
        <v>912</v>
      </c>
      <c r="G3134" s="19" t="n">
        <v>0.0244</v>
      </c>
    </row>
    <row r="3135" customFormat="false" ht="15" hidden="false" customHeight="false" outlineLevel="0" collapsed="false">
      <c r="A3135" s="28" t="s">
        <v>190</v>
      </c>
      <c r="B3135" s="28" t="s">
        <v>191</v>
      </c>
      <c r="C3135" s="28" t="s">
        <v>192</v>
      </c>
      <c r="D3135" s="23" t="n">
        <v>9</v>
      </c>
      <c r="E3135" s="23" t="n">
        <v>23</v>
      </c>
      <c r="F3135" s="28" t="s">
        <v>913</v>
      </c>
      <c r="G3135" s="19" t="n">
        <v>0.0293</v>
      </c>
    </row>
    <row r="3136" customFormat="false" ht="15" hidden="false" customHeight="false" outlineLevel="0" collapsed="false">
      <c r="A3136" s="28" t="s">
        <v>190</v>
      </c>
      <c r="B3136" s="28" t="s">
        <v>191</v>
      </c>
      <c r="C3136" s="28" t="s">
        <v>192</v>
      </c>
      <c r="D3136" s="23" t="n">
        <v>9</v>
      </c>
      <c r="E3136" s="23" t="n">
        <v>23</v>
      </c>
      <c r="F3136" s="28" t="s">
        <v>914</v>
      </c>
      <c r="G3136" s="19" t="n">
        <v>0.0291</v>
      </c>
    </row>
    <row r="3137" customFormat="false" ht="15" hidden="false" customHeight="false" outlineLevel="0" collapsed="false">
      <c r="A3137" s="28" t="s">
        <v>190</v>
      </c>
      <c r="B3137" s="28" t="s">
        <v>191</v>
      </c>
      <c r="C3137" s="28" t="s">
        <v>192</v>
      </c>
      <c r="D3137" s="23" t="n">
        <v>9</v>
      </c>
      <c r="E3137" s="23" t="n">
        <v>23</v>
      </c>
      <c r="F3137" s="28" t="s">
        <v>915</v>
      </c>
      <c r="G3137" s="19" t="n">
        <v>0.0449</v>
      </c>
    </row>
    <row r="3138" customFormat="false" ht="15" hidden="false" customHeight="false" outlineLevel="0" collapsed="false">
      <c r="A3138" s="28" t="s">
        <v>190</v>
      </c>
      <c r="B3138" s="28" t="s">
        <v>191</v>
      </c>
      <c r="C3138" s="28" t="s">
        <v>192</v>
      </c>
      <c r="D3138" s="23" t="n">
        <v>9</v>
      </c>
      <c r="E3138" s="23" t="n">
        <v>24</v>
      </c>
      <c r="F3138" s="28" t="s">
        <v>904</v>
      </c>
      <c r="G3138" s="19" t="n">
        <v>0.0163</v>
      </c>
    </row>
    <row r="3139" customFormat="false" ht="15" hidden="false" customHeight="false" outlineLevel="0" collapsed="false">
      <c r="A3139" s="28" t="s">
        <v>190</v>
      </c>
      <c r="B3139" s="28" t="s">
        <v>191</v>
      </c>
      <c r="C3139" s="28" t="s">
        <v>192</v>
      </c>
      <c r="D3139" s="23" t="n">
        <v>9</v>
      </c>
      <c r="E3139" s="23" t="n">
        <v>24</v>
      </c>
      <c r="F3139" s="28" t="s">
        <v>551</v>
      </c>
      <c r="G3139" s="19" t="n">
        <v>0.0475</v>
      </c>
    </row>
    <row r="3140" customFormat="false" ht="15" hidden="false" customHeight="false" outlineLevel="0" collapsed="false">
      <c r="A3140" s="28" t="s">
        <v>190</v>
      </c>
      <c r="B3140" s="28" t="s">
        <v>191</v>
      </c>
      <c r="C3140" s="28" t="s">
        <v>192</v>
      </c>
      <c r="D3140" s="23" t="n">
        <v>9</v>
      </c>
      <c r="E3140" s="23" t="n">
        <v>24</v>
      </c>
      <c r="F3140" s="28" t="s">
        <v>451</v>
      </c>
      <c r="G3140" s="19" t="n">
        <v>0.0161</v>
      </c>
    </row>
    <row r="3141" customFormat="false" ht="15" hidden="false" customHeight="false" outlineLevel="0" collapsed="false">
      <c r="A3141" s="28" t="s">
        <v>190</v>
      </c>
      <c r="B3141" s="28" t="s">
        <v>191</v>
      </c>
      <c r="C3141" s="28" t="s">
        <v>192</v>
      </c>
      <c r="D3141" s="23" t="n">
        <v>9</v>
      </c>
      <c r="E3141" s="23" t="n">
        <v>24</v>
      </c>
      <c r="F3141" s="28" t="s">
        <v>905</v>
      </c>
      <c r="G3141" s="19" t="n">
        <v>0.0187</v>
      </c>
    </row>
    <row r="3142" customFormat="false" ht="15" hidden="false" customHeight="false" outlineLevel="0" collapsed="false">
      <c r="A3142" s="28" t="s">
        <v>190</v>
      </c>
      <c r="B3142" s="28" t="s">
        <v>191</v>
      </c>
      <c r="C3142" s="28" t="s">
        <v>192</v>
      </c>
      <c r="D3142" s="23" t="n">
        <v>9</v>
      </c>
      <c r="E3142" s="23" t="n">
        <v>24</v>
      </c>
      <c r="F3142" s="28" t="s">
        <v>906</v>
      </c>
      <c r="G3142" s="19" t="n">
        <v>0.0201</v>
      </c>
    </row>
    <row r="3143" customFormat="false" ht="15" hidden="false" customHeight="false" outlineLevel="0" collapsed="false">
      <c r="A3143" s="28" t="s">
        <v>190</v>
      </c>
      <c r="B3143" s="28" t="s">
        <v>191</v>
      </c>
      <c r="C3143" s="28" t="s">
        <v>192</v>
      </c>
      <c r="D3143" s="23" t="n">
        <v>9</v>
      </c>
      <c r="E3143" s="23" t="n">
        <v>24</v>
      </c>
      <c r="F3143" s="28" t="s">
        <v>907</v>
      </c>
      <c r="G3143" s="19" t="n">
        <v>0.0198</v>
      </c>
    </row>
    <row r="3144" customFormat="false" ht="15" hidden="false" customHeight="false" outlineLevel="0" collapsed="false">
      <c r="A3144" s="28" t="s">
        <v>190</v>
      </c>
      <c r="B3144" s="28" t="s">
        <v>191</v>
      </c>
      <c r="C3144" s="28" t="s">
        <v>192</v>
      </c>
      <c r="D3144" s="23" t="n">
        <v>9</v>
      </c>
      <c r="E3144" s="23" t="n">
        <v>24</v>
      </c>
      <c r="F3144" s="28" t="s">
        <v>908</v>
      </c>
      <c r="G3144" s="19" t="n">
        <v>0.0214</v>
      </c>
    </row>
    <row r="3145" customFormat="false" ht="15" hidden="false" customHeight="false" outlineLevel="0" collapsed="false">
      <c r="A3145" s="28" t="s">
        <v>190</v>
      </c>
      <c r="B3145" s="28" t="s">
        <v>191</v>
      </c>
      <c r="C3145" s="28" t="s">
        <v>192</v>
      </c>
      <c r="D3145" s="23" t="n">
        <v>9</v>
      </c>
      <c r="E3145" s="23" t="n">
        <v>24</v>
      </c>
      <c r="F3145" s="28" t="s">
        <v>909</v>
      </c>
      <c r="G3145" s="19" t="n">
        <v>0.0215</v>
      </c>
    </row>
    <row r="3146" customFormat="false" ht="15" hidden="false" customHeight="false" outlineLevel="0" collapsed="false">
      <c r="A3146" s="28" t="s">
        <v>190</v>
      </c>
      <c r="B3146" s="28" t="s">
        <v>191</v>
      </c>
      <c r="C3146" s="28" t="s">
        <v>192</v>
      </c>
      <c r="D3146" s="23" t="n">
        <v>9</v>
      </c>
      <c r="E3146" s="23" t="n">
        <v>24</v>
      </c>
      <c r="F3146" s="28" t="s">
        <v>910</v>
      </c>
      <c r="G3146" s="19" t="n">
        <v>0.0219</v>
      </c>
    </row>
    <row r="3147" customFormat="false" ht="15" hidden="false" customHeight="false" outlineLevel="0" collapsed="false">
      <c r="A3147" s="28" t="s">
        <v>190</v>
      </c>
      <c r="B3147" s="28" t="s">
        <v>191</v>
      </c>
      <c r="C3147" s="28" t="s">
        <v>192</v>
      </c>
      <c r="D3147" s="23" t="n">
        <v>9</v>
      </c>
      <c r="E3147" s="23" t="n">
        <v>24</v>
      </c>
      <c r="F3147" s="28" t="s">
        <v>911</v>
      </c>
      <c r="G3147" s="19" t="n">
        <v>0.023</v>
      </c>
    </row>
    <row r="3148" customFormat="false" ht="15" hidden="false" customHeight="false" outlineLevel="0" collapsed="false">
      <c r="A3148" s="28" t="s">
        <v>190</v>
      </c>
      <c r="B3148" s="28" t="s">
        <v>191</v>
      </c>
      <c r="C3148" s="28" t="s">
        <v>192</v>
      </c>
      <c r="D3148" s="23" t="n">
        <v>9</v>
      </c>
      <c r="E3148" s="23" t="n">
        <v>24</v>
      </c>
      <c r="F3148" s="28" t="s">
        <v>912</v>
      </c>
      <c r="G3148" s="19" t="n">
        <v>0.0244</v>
      </c>
    </row>
    <row r="3149" customFormat="false" ht="15" hidden="false" customHeight="false" outlineLevel="0" collapsed="false">
      <c r="A3149" s="28" t="s">
        <v>190</v>
      </c>
      <c r="B3149" s="28" t="s">
        <v>191</v>
      </c>
      <c r="C3149" s="28" t="s">
        <v>192</v>
      </c>
      <c r="D3149" s="23" t="n">
        <v>9</v>
      </c>
      <c r="E3149" s="23" t="n">
        <v>24</v>
      </c>
      <c r="F3149" s="28" t="s">
        <v>913</v>
      </c>
      <c r="G3149" s="19" t="n">
        <v>0.0293</v>
      </c>
    </row>
    <row r="3150" customFormat="false" ht="15" hidden="false" customHeight="false" outlineLevel="0" collapsed="false">
      <c r="A3150" s="28" t="s">
        <v>190</v>
      </c>
      <c r="B3150" s="28" t="s">
        <v>191</v>
      </c>
      <c r="C3150" s="28" t="s">
        <v>192</v>
      </c>
      <c r="D3150" s="23" t="n">
        <v>9</v>
      </c>
      <c r="E3150" s="23" t="n">
        <v>24</v>
      </c>
      <c r="F3150" s="28" t="s">
        <v>914</v>
      </c>
      <c r="G3150" s="19" t="n">
        <v>0.0291</v>
      </c>
    </row>
    <row r="3151" customFormat="false" ht="15" hidden="false" customHeight="false" outlineLevel="0" collapsed="false">
      <c r="A3151" s="28" t="s">
        <v>190</v>
      </c>
      <c r="B3151" s="28" t="s">
        <v>191</v>
      </c>
      <c r="C3151" s="28" t="s">
        <v>192</v>
      </c>
      <c r="D3151" s="23" t="n">
        <v>9</v>
      </c>
      <c r="E3151" s="23" t="n">
        <v>24</v>
      </c>
      <c r="F3151" s="28" t="s">
        <v>915</v>
      </c>
      <c r="G3151" s="19" t="n">
        <v>0.0449</v>
      </c>
    </row>
    <row r="3152" customFormat="false" ht="15" hidden="false" customHeight="false" outlineLevel="0" collapsed="false">
      <c r="A3152" s="28" t="s">
        <v>194</v>
      </c>
      <c r="B3152" s="28" t="s">
        <v>195</v>
      </c>
      <c r="C3152" s="28" t="s">
        <v>192</v>
      </c>
      <c r="D3152" s="23" t="n">
        <v>10</v>
      </c>
      <c r="E3152" s="23" t="n">
        <v>0</v>
      </c>
      <c r="F3152" s="28" t="s">
        <v>904</v>
      </c>
      <c r="G3152" s="19" t="n">
        <v>0.0363</v>
      </c>
    </row>
    <row r="3153" customFormat="false" ht="15" hidden="false" customHeight="false" outlineLevel="0" collapsed="false">
      <c r="A3153" s="28" t="s">
        <v>194</v>
      </c>
      <c r="B3153" s="28" t="s">
        <v>195</v>
      </c>
      <c r="C3153" s="28" t="s">
        <v>192</v>
      </c>
      <c r="D3153" s="23" t="n">
        <v>10</v>
      </c>
      <c r="E3153" s="23" t="n">
        <v>0</v>
      </c>
      <c r="F3153" s="28" t="s">
        <v>551</v>
      </c>
      <c r="G3153" s="19" t="n">
        <v>0.0675</v>
      </c>
    </row>
    <row r="3154" customFormat="false" ht="15" hidden="false" customHeight="false" outlineLevel="0" collapsed="false">
      <c r="A3154" s="28" t="s">
        <v>194</v>
      </c>
      <c r="B3154" s="28" t="s">
        <v>195</v>
      </c>
      <c r="C3154" s="28" t="s">
        <v>192</v>
      </c>
      <c r="D3154" s="23" t="n">
        <v>10</v>
      </c>
      <c r="E3154" s="23" t="n">
        <v>0</v>
      </c>
      <c r="F3154" s="28" t="s">
        <v>451</v>
      </c>
      <c r="G3154" s="19" t="n">
        <v>0.0361</v>
      </c>
    </row>
    <row r="3155" customFormat="false" ht="15" hidden="false" customHeight="false" outlineLevel="0" collapsed="false">
      <c r="A3155" s="28" t="s">
        <v>194</v>
      </c>
      <c r="B3155" s="28" t="s">
        <v>195</v>
      </c>
      <c r="C3155" s="28" t="s">
        <v>192</v>
      </c>
      <c r="D3155" s="23" t="n">
        <v>10</v>
      </c>
      <c r="E3155" s="23" t="n">
        <v>0</v>
      </c>
      <c r="F3155" s="28" t="s">
        <v>905</v>
      </c>
      <c r="G3155" s="19" t="n">
        <v>0.0387</v>
      </c>
    </row>
    <row r="3156" customFormat="false" ht="15" hidden="false" customHeight="false" outlineLevel="0" collapsed="false">
      <c r="A3156" s="28" t="s">
        <v>194</v>
      </c>
      <c r="B3156" s="28" t="s">
        <v>195</v>
      </c>
      <c r="C3156" s="28" t="s">
        <v>192</v>
      </c>
      <c r="D3156" s="23" t="n">
        <v>10</v>
      </c>
      <c r="E3156" s="23" t="n">
        <v>0</v>
      </c>
      <c r="F3156" s="28" t="s">
        <v>906</v>
      </c>
      <c r="G3156" s="19" t="n">
        <v>0.0401</v>
      </c>
    </row>
    <row r="3157" customFormat="false" ht="15" hidden="false" customHeight="false" outlineLevel="0" collapsed="false">
      <c r="A3157" s="28" t="s">
        <v>194</v>
      </c>
      <c r="B3157" s="28" t="s">
        <v>195</v>
      </c>
      <c r="C3157" s="28" t="s">
        <v>192</v>
      </c>
      <c r="D3157" s="23" t="n">
        <v>10</v>
      </c>
      <c r="E3157" s="23" t="n">
        <v>0</v>
      </c>
      <c r="F3157" s="28" t="s">
        <v>907</v>
      </c>
      <c r="G3157" s="19" t="n">
        <v>0.0398</v>
      </c>
    </row>
    <row r="3158" customFormat="false" ht="15" hidden="false" customHeight="false" outlineLevel="0" collapsed="false">
      <c r="A3158" s="28" t="s">
        <v>194</v>
      </c>
      <c r="B3158" s="28" t="s">
        <v>195</v>
      </c>
      <c r="C3158" s="28" t="s">
        <v>192</v>
      </c>
      <c r="D3158" s="23" t="n">
        <v>10</v>
      </c>
      <c r="E3158" s="23" t="n">
        <v>0</v>
      </c>
      <c r="F3158" s="28" t="s">
        <v>908</v>
      </c>
      <c r="G3158" s="19" t="n">
        <v>0.0414</v>
      </c>
    </row>
    <row r="3159" customFormat="false" ht="15" hidden="false" customHeight="false" outlineLevel="0" collapsed="false">
      <c r="A3159" s="28" t="s">
        <v>194</v>
      </c>
      <c r="B3159" s="28" t="s">
        <v>195</v>
      </c>
      <c r="C3159" s="28" t="s">
        <v>192</v>
      </c>
      <c r="D3159" s="23" t="n">
        <v>10</v>
      </c>
      <c r="E3159" s="23" t="n">
        <v>0</v>
      </c>
      <c r="F3159" s="28" t="s">
        <v>909</v>
      </c>
      <c r="G3159" s="19" t="n">
        <v>0.0415</v>
      </c>
    </row>
    <row r="3160" customFormat="false" ht="15" hidden="false" customHeight="false" outlineLevel="0" collapsed="false">
      <c r="A3160" s="28" t="s">
        <v>194</v>
      </c>
      <c r="B3160" s="28" t="s">
        <v>195</v>
      </c>
      <c r="C3160" s="28" t="s">
        <v>192</v>
      </c>
      <c r="D3160" s="23" t="n">
        <v>10</v>
      </c>
      <c r="E3160" s="23" t="n">
        <v>0</v>
      </c>
      <c r="F3160" s="28" t="s">
        <v>910</v>
      </c>
      <c r="G3160" s="19" t="n">
        <v>0.0419</v>
      </c>
    </row>
    <row r="3161" customFormat="false" ht="15" hidden="false" customHeight="false" outlineLevel="0" collapsed="false">
      <c r="A3161" s="28" t="s">
        <v>194</v>
      </c>
      <c r="B3161" s="28" t="s">
        <v>195</v>
      </c>
      <c r="C3161" s="28" t="s">
        <v>192</v>
      </c>
      <c r="D3161" s="23" t="n">
        <v>10</v>
      </c>
      <c r="E3161" s="23" t="n">
        <v>0</v>
      </c>
      <c r="F3161" s="28" t="s">
        <v>911</v>
      </c>
      <c r="G3161" s="19" t="n">
        <v>0.043</v>
      </c>
    </row>
    <row r="3162" customFormat="false" ht="15" hidden="false" customHeight="false" outlineLevel="0" collapsed="false">
      <c r="A3162" s="28" t="s">
        <v>194</v>
      </c>
      <c r="B3162" s="28" t="s">
        <v>195</v>
      </c>
      <c r="C3162" s="28" t="s">
        <v>192</v>
      </c>
      <c r="D3162" s="23" t="n">
        <v>10</v>
      </c>
      <c r="E3162" s="23" t="n">
        <v>0</v>
      </c>
      <c r="F3162" s="28" t="s">
        <v>912</v>
      </c>
      <c r="G3162" s="19" t="n">
        <v>0.0444</v>
      </c>
    </row>
    <row r="3163" customFormat="false" ht="15" hidden="false" customHeight="false" outlineLevel="0" collapsed="false">
      <c r="A3163" s="28" t="s">
        <v>194</v>
      </c>
      <c r="B3163" s="28" t="s">
        <v>195</v>
      </c>
      <c r="C3163" s="28" t="s">
        <v>192</v>
      </c>
      <c r="D3163" s="23" t="n">
        <v>10</v>
      </c>
      <c r="E3163" s="23" t="n">
        <v>0</v>
      </c>
      <c r="F3163" s="28" t="s">
        <v>913</v>
      </c>
      <c r="G3163" s="19" t="n">
        <v>0.0493</v>
      </c>
    </row>
    <row r="3164" customFormat="false" ht="15" hidden="false" customHeight="false" outlineLevel="0" collapsed="false">
      <c r="A3164" s="28" t="s">
        <v>194</v>
      </c>
      <c r="B3164" s="28" t="s">
        <v>195</v>
      </c>
      <c r="C3164" s="28" t="s">
        <v>192</v>
      </c>
      <c r="D3164" s="23" t="n">
        <v>10</v>
      </c>
      <c r="E3164" s="23" t="n">
        <v>0</v>
      </c>
      <c r="F3164" s="28" t="s">
        <v>914</v>
      </c>
      <c r="G3164" s="19" t="n">
        <v>0.0491</v>
      </c>
    </row>
    <row r="3165" customFormat="false" ht="15" hidden="false" customHeight="false" outlineLevel="0" collapsed="false">
      <c r="A3165" s="28" t="s">
        <v>194</v>
      </c>
      <c r="B3165" s="28" t="s">
        <v>195</v>
      </c>
      <c r="C3165" s="28" t="s">
        <v>192</v>
      </c>
      <c r="D3165" s="23" t="n">
        <v>10</v>
      </c>
      <c r="E3165" s="23" t="n">
        <v>0</v>
      </c>
      <c r="F3165" s="28" t="s">
        <v>915</v>
      </c>
      <c r="G3165" s="19" t="n">
        <v>0.0649</v>
      </c>
    </row>
    <row r="3166" customFormat="false" ht="15" hidden="false" customHeight="false" outlineLevel="0" collapsed="false">
      <c r="A3166" s="28" t="s">
        <v>194</v>
      </c>
      <c r="B3166" s="28" t="s">
        <v>195</v>
      </c>
      <c r="C3166" s="28" t="s">
        <v>192</v>
      </c>
      <c r="D3166" s="23" t="n">
        <v>10</v>
      </c>
      <c r="E3166" s="23" t="n">
        <v>1</v>
      </c>
      <c r="F3166" s="28" t="s">
        <v>904</v>
      </c>
      <c r="G3166" s="19" t="n">
        <v>0.035467</v>
      </c>
    </row>
    <row r="3167" customFormat="false" ht="15" hidden="false" customHeight="false" outlineLevel="0" collapsed="false">
      <c r="A3167" s="28" t="s">
        <v>194</v>
      </c>
      <c r="B3167" s="28" t="s">
        <v>195</v>
      </c>
      <c r="C3167" s="28" t="s">
        <v>192</v>
      </c>
      <c r="D3167" s="23" t="n">
        <v>10</v>
      </c>
      <c r="E3167" s="23" t="n">
        <v>1</v>
      </c>
      <c r="F3167" s="28" t="s">
        <v>551</v>
      </c>
      <c r="G3167" s="19" t="n">
        <v>0.066667</v>
      </c>
    </row>
    <row r="3168" customFormat="false" ht="15" hidden="false" customHeight="false" outlineLevel="0" collapsed="false">
      <c r="A3168" s="28" t="s">
        <v>194</v>
      </c>
      <c r="B3168" s="28" t="s">
        <v>195</v>
      </c>
      <c r="C3168" s="28" t="s">
        <v>192</v>
      </c>
      <c r="D3168" s="23" t="n">
        <v>10</v>
      </c>
      <c r="E3168" s="23" t="n">
        <v>1</v>
      </c>
      <c r="F3168" s="28" t="s">
        <v>451</v>
      </c>
      <c r="G3168" s="19" t="n">
        <v>0.035267</v>
      </c>
    </row>
    <row r="3169" customFormat="false" ht="15" hidden="false" customHeight="false" outlineLevel="0" collapsed="false">
      <c r="A3169" s="28" t="s">
        <v>194</v>
      </c>
      <c r="B3169" s="28" t="s">
        <v>195</v>
      </c>
      <c r="C3169" s="28" t="s">
        <v>192</v>
      </c>
      <c r="D3169" s="23" t="n">
        <v>10</v>
      </c>
      <c r="E3169" s="23" t="n">
        <v>1</v>
      </c>
      <c r="F3169" s="28" t="s">
        <v>905</v>
      </c>
      <c r="G3169" s="19" t="n">
        <v>0.037867</v>
      </c>
    </row>
    <row r="3170" customFormat="false" ht="15" hidden="false" customHeight="false" outlineLevel="0" collapsed="false">
      <c r="A3170" s="28" t="s">
        <v>194</v>
      </c>
      <c r="B3170" s="28" t="s">
        <v>195</v>
      </c>
      <c r="C3170" s="28" t="s">
        <v>192</v>
      </c>
      <c r="D3170" s="23" t="n">
        <v>10</v>
      </c>
      <c r="E3170" s="23" t="n">
        <v>1</v>
      </c>
      <c r="F3170" s="28" t="s">
        <v>906</v>
      </c>
      <c r="G3170" s="19" t="n">
        <v>0.039267</v>
      </c>
    </row>
    <row r="3171" customFormat="false" ht="15" hidden="false" customHeight="false" outlineLevel="0" collapsed="false">
      <c r="A3171" s="28" t="s">
        <v>194</v>
      </c>
      <c r="B3171" s="28" t="s">
        <v>195</v>
      </c>
      <c r="C3171" s="28" t="s">
        <v>192</v>
      </c>
      <c r="D3171" s="23" t="n">
        <v>10</v>
      </c>
      <c r="E3171" s="23" t="n">
        <v>1</v>
      </c>
      <c r="F3171" s="28" t="s">
        <v>907</v>
      </c>
      <c r="G3171" s="19" t="n">
        <v>0.038967</v>
      </c>
    </row>
    <row r="3172" customFormat="false" ht="15" hidden="false" customHeight="false" outlineLevel="0" collapsed="false">
      <c r="A3172" s="28" t="s">
        <v>194</v>
      </c>
      <c r="B3172" s="28" t="s">
        <v>195</v>
      </c>
      <c r="C3172" s="28" t="s">
        <v>192</v>
      </c>
      <c r="D3172" s="23" t="n">
        <v>10</v>
      </c>
      <c r="E3172" s="23" t="n">
        <v>1</v>
      </c>
      <c r="F3172" s="28" t="s">
        <v>908</v>
      </c>
      <c r="G3172" s="19" t="n">
        <v>0.040567</v>
      </c>
    </row>
    <row r="3173" customFormat="false" ht="15" hidden="false" customHeight="false" outlineLevel="0" collapsed="false">
      <c r="A3173" s="28" t="s">
        <v>194</v>
      </c>
      <c r="B3173" s="28" t="s">
        <v>195</v>
      </c>
      <c r="C3173" s="28" t="s">
        <v>192</v>
      </c>
      <c r="D3173" s="23" t="n">
        <v>10</v>
      </c>
      <c r="E3173" s="23" t="n">
        <v>1</v>
      </c>
      <c r="F3173" s="28" t="s">
        <v>909</v>
      </c>
      <c r="G3173" s="19" t="n">
        <v>0.040667</v>
      </c>
    </row>
    <row r="3174" customFormat="false" ht="15" hidden="false" customHeight="false" outlineLevel="0" collapsed="false">
      <c r="A3174" s="28" t="s">
        <v>194</v>
      </c>
      <c r="B3174" s="28" t="s">
        <v>195</v>
      </c>
      <c r="C3174" s="28" t="s">
        <v>192</v>
      </c>
      <c r="D3174" s="23" t="n">
        <v>10</v>
      </c>
      <c r="E3174" s="23" t="n">
        <v>1</v>
      </c>
      <c r="F3174" s="28" t="s">
        <v>910</v>
      </c>
      <c r="G3174" s="19" t="n">
        <v>0.041067</v>
      </c>
    </row>
    <row r="3175" customFormat="false" ht="15" hidden="false" customHeight="false" outlineLevel="0" collapsed="false">
      <c r="A3175" s="28" t="s">
        <v>194</v>
      </c>
      <c r="B3175" s="28" t="s">
        <v>195</v>
      </c>
      <c r="C3175" s="28" t="s">
        <v>192</v>
      </c>
      <c r="D3175" s="23" t="n">
        <v>10</v>
      </c>
      <c r="E3175" s="23" t="n">
        <v>1</v>
      </c>
      <c r="F3175" s="28" t="s">
        <v>911</v>
      </c>
      <c r="G3175" s="19" t="n">
        <v>0.042167</v>
      </c>
    </row>
    <row r="3176" customFormat="false" ht="15" hidden="false" customHeight="false" outlineLevel="0" collapsed="false">
      <c r="A3176" s="28" t="s">
        <v>194</v>
      </c>
      <c r="B3176" s="28" t="s">
        <v>195</v>
      </c>
      <c r="C3176" s="28" t="s">
        <v>192</v>
      </c>
      <c r="D3176" s="23" t="n">
        <v>10</v>
      </c>
      <c r="E3176" s="23" t="n">
        <v>1</v>
      </c>
      <c r="F3176" s="28" t="s">
        <v>912</v>
      </c>
      <c r="G3176" s="19" t="n">
        <v>0.043567</v>
      </c>
    </row>
    <row r="3177" customFormat="false" ht="15" hidden="false" customHeight="false" outlineLevel="0" collapsed="false">
      <c r="A3177" s="28" t="s">
        <v>194</v>
      </c>
      <c r="B3177" s="28" t="s">
        <v>195</v>
      </c>
      <c r="C3177" s="28" t="s">
        <v>192</v>
      </c>
      <c r="D3177" s="23" t="n">
        <v>10</v>
      </c>
      <c r="E3177" s="23" t="n">
        <v>1</v>
      </c>
      <c r="F3177" s="28" t="s">
        <v>913</v>
      </c>
      <c r="G3177" s="19" t="n">
        <v>0.048467</v>
      </c>
    </row>
    <row r="3178" customFormat="false" ht="15" hidden="false" customHeight="false" outlineLevel="0" collapsed="false">
      <c r="A3178" s="28" t="s">
        <v>194</v>
      </c>
      <c r="B3178" s="28" t="s">
        <v>195</v>
      </c>
      <c r="C3178" s="28" t="s">
        <v>192</v>
      </c>
      <c r="D3178" s="23" t="n">
        <v>10</v>
      </c>
      <c r="E3178" s="23" t="n">
        <v>1</v>
      </c>
      <c r="F3178" s="28" t="s">
        <v>914</v>
      </c>
      <c r="G3178" s="19" t="n">
        <v>0.048267</v>
      </c>
    </row>
    <row r="3179" customFormat="false" ht="15" hidden="false" customHeight="false" outlineLevel="0" collapsed="false">
      <c r="A3179" s="28" t="s">
        <v>194</v>
      </c>
      <c r="B3179" s="28" t="s">
        <v>195</v>
      </c>
      <c r="C3179" s="28" t="s">
        <v>192</v>
      </c>
      <c r="D3179" s="23" t="n">
        <v>10</v>
      </c>
      <c r="E3179" s="23" t="n">
        <v>1</v>
      </c>
      <c r="F3179" s="28" t="s">
        <v>915</v>
      </c>
      <c r="G3179" s="19" t="n">
        <v>0.064067</v>
      </c>
    </row>
    <row r="3180" customFormat="false" ht="15" hidden="false" customHeight="false" outlineLevel="0" collapsed="false">
      <c r="A3180" s="28" t="s">
        <v>194</v>
      </c>
      <c r="B3180" s="28" t="s">
        <v>195</v>
      </c>
      <c r="C3180" s="28" t="s">
        <v>192</v>
      </c>
      <c r="D3180" s="23" t="n">
        <v>10</v>
      </c>
      <c r="E3180" s="23" t="n">
        <v>2</v>
      </c>
      <c r="F3180" s="28" t="s">
        <v>904</v>
      </c>
      <c r="G3180" s="19" t="n">
        <v>0.034633</v>
      </c>
    </row>
    <row r="3181" customFormat="false" ht="15" hidden="false" customHeight="false" outlineLevel="0" collapsed="false">
      <c r="A3181" s="28" t="s">
        <v>194</v>
      </c>
      <c r="B3181" s="28" t="s">
        <v>195</v>
      </c>
      <c r="C3181" s="28" t="s">
        <v>192</v>
      </c>
      <c r="D3181" s="23" t="n">
        <v>10</v>
      </c>
      <c r="E3181" s="23" t="n">
        <v>2</v>
      </c>
      <c r="F3181" s="28" t="s">
        <v>551</v>
      </c>
      <c r="G3181" s="19" t="n">
        <v>0.065833</v>
      </c>
    </row>
    <row r="3182" customFormat="false" ht="15" hidden="false" customHeight="false" outlineLevel="0" collapsed="false">
      <c r="A3182" s="28" t="s">
        <v>194</v>
      </c>
      <c r="B3182" s="28" t="s">
        <v>195</v>
      </c>
      <c r="C3182" s="28" t="s">
        <v>192</v>
      </c>
      <c r="D3182" s="23" t="n">
        <v>10</v>
      </c>
      <c r="E3182" s="23" t="n">
        <v>2</v>
      </c>
      <c r="F3182" s="28" t="s">
        <v>451</v>
      </c>
      <c r="G3182" s="19" t="n">
        <v>0.034433</v>
      </c>
    </row>
    <row r="3183" customFormat="false" ht="15" hidden="false" customHeight="false" outlineLevel="0" collapsed="false">
      <c r="A3183" s="28" t="s">
        <v>194</v>
      </c>
      <c r="B3183" s="28" t="s">
        <v>195</v>
      </c>
      <c r="C3183" s="28" t="s">
        <v>192</v>
      </c>
      <c r="D3183" s="23" t="n">
        <v>10</v>
      </c>
      <c r="E3183" s="23" t="n">
        <v>2</v>
      </c>
      <c r="F3183" s="28" t="s">
        <v>905</v>
      </c>
      <c r="G3183" s="19" t="n">
        <v>0.037033</v>
      </c>
    </row>
    <row r="3184" customFormat="false" ht="15" hidden="false" customHeight="false" outlineLevel="0" collapsed="false">
      <c r="A3184" s="28" t="s">
        <v>194</v>
      </c>
      <c r="B3184" s="28" t="s">
        <v>195</v>
      </c>
      <c r="C3184" s="28" t="s">
        <v>192</v>
      </c>
      <c r="D3184" s="23" t="n">
        <v>10</v>
      </c>
      <c r="E3184" s="23" t="n">
        <v>2</v>
      </c>
      <c r="F3184" s="28" t="s">
        <v>906</v>
      </c>
      <c r="G3184" s="19" t="n">
        <v>0.038433</v>
      </c>
    </row>
    <row r="3185" customFormat="false" ht="15" hidden="false" customHeight="false" outlineLevel="0" collapsed="false">
      <c r="A3185" s="28" t="s">
        <v>194</v>
      </c>
      <c r="B3185" s="28" t="s">
        <v>195</v>
      </c>
      <c r="C3185" s="28" t="s">
        <v>192</v>
      </c>
      <c r="D3185" s="23" t="n">
        <v>10</v>
      </c>
      <c r="E3185" s="23" t="n">
        <v>2</v>
      </c>
      <c r="F3185" s="28" t="s">
        <v>907</v>
      </c>
      <c r="G3185" s="19" t="n">
        <v>0.038133</v>
      </c>
    </row>
    <row r="3186" customFormat="false" ht="15" hidden="false" customHeight="false" outlineLevel="0" collapsed="false">
      <c r="A3186" s="28" t="s">
        <v>194</v>
      </c>
      <c r="B3186" s="28" t="s">
        <v>195</v>
      </c>
      <c r="C3186" s="28" t="s">
        <v>192</v>
      </c>
      <c r="D3186" s="23" t="n">
        <v>10</v>
      </c>
      <c r="E3186" s="23" t="n">
        <v>2</v>
      </c>
      <c r="F3186" s="28" t="s">
        <v>908</v>
      </c>
      <c r="G3186" s="19" t="n">
        <v>0.039733</v>
      </c>
    </row>
    <row r="3187" customFormat="false" ht="15" hidden="false" customHeight="false" outlineLevel="0" collapsed="false">
      <c r="A3187" s="28" t="s">
        <v>194</v>
      </c>
      <c r="B3187" s="28" t="s">
        <v>195</v>
      </c>
      <c r="C3187" s="28" t="s">
        <v>192</v>
      </c>
      <c r="D3187" s="23" t="n">
        <v>10</v>
      </c>
      <c r="E3187" s="23" t="n">
        <v>2</v>
      </c>
      <c r="F3187" s="28" t="s">
        <v>909</v>
      </c>
      <c r="G3187" s="19" t="n">
        <v>0.039833</v>
      </c>
    </row>
    <row r="3188" customFormat="false" ht="15" hidden="false" customHeight="false" outlineLevel="0" collapsed="false">
      <c r="A3188" s="28" t="s">
        <v>194</v>
      </c>
      <c r="B3188" s="28" t="s">
        <v>195</v>
      </c>
      <c r="C3188" s="28" t="s">
        <v>192</v>
      </c>
      <c r="D3188" s="23" t="n">
        <v>10</v>
      </c>
      <c r="E3188" s="23" t="n">
        <v>2</v>
      </c>
      <c r="F3188" s="28" t="s">
        <v>910</v>
      </c>
      <c r="G3188" s="19" t="n">
        <v>0.040233</v>
      </c>
    </row>
    <row r="3189" customFormat="false" ht="15" hidden="false" customHeight="false" outlineLevel="0" collapsed="false">
      <c r="A3189" s="28" t="s">
        <v>194</v>
      </c>
      <c r="B3189" s="28" t="s">
        <v>195</v>
      </c>
      <c r="C3189" s="28" t="s">
        <v>192</v>
      </c>
      <c r="D3189" s="23" t="n">
        <v>10</v>
      </c>
      <c r="E3189" s="23" t="n">
        <v>2</v>
      </c>
      <c r="F3189" s="28" t="s">
        <v>911</v>
      </c>
      <c r="G3189" s="19" t="n">
        <v>0.041333</v>
      </c>
    </row>
    <row r="3190" customFormat="false" ht="15" hidden="false" customHeight="false" outlineLevel="0" collapsed="false">
      <c r="A3190" s="28" t="s">
        <v>194</v>
      </c>
      <c r="B3190" s="28" t="s">
        <v>195</v>
      </c>
      <c r="C3190" s="28" t="s">
        <v>192</v>
      </c>
      <c r="D3190" s="23" t="n">
        <v>10</v>
      </c>
      <c r="E3190" s="23" t="n">
        <v>2</v>
      </c>
      <c r="F3190" s="28" t="s">
        <v>912</v>
      </c>
      <c r="G3190" s="19" t="n">
        <v>0.042733</v>
      </c>
    </row>
    <row r="3191" customFormat="false" ht="15" hidden="false" customHeight="false" outlineLevel="0" collapsed="false">
      <c r="A3191" s="28" t="s">
        <v>194</v>
      </c>
      <c r="B3191" s="28" t="s">
        <v>195</v>
      </c>
      <c r="C3191" s="28" t="s">
        <v>192</v>
      </c>
      <c r="D3191" s="23" t="n">
        <v>10</v>
      </c>
      <c r="E3191" s="23" t="n">
        <v>2</v>
      </c>
      <c r="F3191" s="28" t="s">
        <v>913</v>
      </c>
      <c r="G3191" s="19" t="n">
        <v>0.047633</v>
      </c>
    </row>
    <row r="3192" customFormat="false" ht="15" hidden="false" customHeight="false" outlineLevel="0" collapsed="false">
      <c r="A3192" s="28" t="s">
        <v>194</v>
      </c>
      <c r="B3192" s="28" t="s">
        <v>195</v>
      </c>
      <c r="C3192" s="28" t="s">
        <v>192</v>
      </c>
      <c r="D3192" s="23" t="n">
        <v>10</v>
      </c>
      <c r="E3192" s="23" t="n">
        <v>2</v>
      </c>
      <c r="F3192" s="28" t="s">
        <v>914</v>
      </c>
      <c r="G3192" s="19" t="n">
        <v>0.047433</v>
      </c>
    </row>
    <row r="3193" customFormat="false" ht="15" hidden="false" customHeight="false" outlineLevel="0" collapsed="false">
      <c r="A3193" s="28" t="s">
        <v>194</v>
      </c>
      <c r="B3193" s="28" t="s">
        <v>195</v>
      </c>
      <c r="C3193" s="28" t="s">
        <v>192</v>
      </c>
      <c r="D3193" s="23" t="n">
        <v>10</v>
      </c>
      <c r="E3193" s="23" t="n">
        <v>2</v>
      </c>
      <c r="F3193" s="28" t="s">
        <v>915</v>
      </c>
      <c r="G3193" s="19" t="n">
        <v>0.063233</v>
      </c>
    </row>
    <row r="3194" customFormat="false" ht="15" hidden="false" customHeight="false" outlineLevel="0" collapsed="false">
      <c r="A3194" s="28" t="s">
        <v>194</v>
      </c>
      <c r="B3194" s="28" t="s">
        <v>195</v>
      </c>
      <c r="C3194" s="28" t="s">
        <v>192</v>
      </c>
      <c r="D3194" s="23" t="n">
        <v>10</v>
      </c>
      <c r="E3194" s="23" t="n">
        <v>3</v>
      </c>
      <c r="F3194" s="28" t="s">
        <v>904</v>
      </c>
      <c r="G3194" s="19" t="n">
        <v>0.0338</v>
      </c>
    </row>
    <row r="3195" customFormat="false" ht="15" hidden="false" customHeight="false" outlineLevel="0" collapsed="false">
      <c r="A3195" s="28" t="s">
        <v>194</v>
      </c>
      <c r="B3195" s="28" t="s">
        <v>195</v>
      </c>
      <c r="C3195" s="28" t="s">
        <v>192</v>
      </c>
      <c r="D3195" s="23" t="n">
        <v>10</v>
      </c>
      <c r="E3195" s="23" t="n">
        <v>3</v>
      </c>
      <c r="F3195" s="28" t="s">
        <v>551</v>
      </c>
      <c r="G3195" s="19" t="n">
        <v>0.065</v>
      </c>
    </row>
    <row r="3196" customFormat="false" ht="15" hidden="false" customHeight="false" outlineLevel="0" collapsed="false">
      <c r="A3196" s="28" t="s">
        <v>194</v>
      </c>
      <c r="B3196" s="28" t="s">
        <v>195</v>
      </c>
      <c r="C3196" s="28" t="s">
        <v>192</v>
      </c>
      <c r="D3196" s="23" t="n">
        <v>10</v>
      </c>
      <c r="E3196" s="23" t="n">
        <v>3</v>
      </c>
      <c r="F3196" s="28" t="s">
        <v>451</v>
      </c>
      <c r="G3196" s="19" t="n">
        <v>0.0336</v>
      </c>
    </row>
    <row r="3197" customFormat="false" ht="15" hidden="false" customHeight="false" outlineLevel="0" collapsed="false">
      <c r="A3197" s="28" t="s">
        <v>194</v>
      </c>
      <c r="B3197" s="28" t="s">
        <v>195</v>
      </c>
      <c r="C3197" s="28" t="s">
        <v>192</v>
      </c>
      <c r="D3197" s="23" t="n">
        <v>10</v>
      </c>
      <c r="E3197" s="23" t="n">
        <v>3</v>
      </c>
      <c r="F3197" s="28" t="s">
        <v>905</v>
      </c>
      <c r="G3197" s="19" t="n">
        <v>0.0362</v>
      </c>
    </row>
    <row r="3198" customFormat="false" ht="15" hidden="false" customHeight="false" outlineLevel="0" collapsed="false">
      <c r="A3198" s="28" t="s">
        <v>194</v>
      </c>
      <c r="B3198" s="28" t="s">
        <v>195</v>
      </c>
      <c r="C3198" s="28" t="s">
        <v>192</v>
      </c>
      <c r="D3198" s="23" t="n">
        <v>10</v>
      </c>
      <c r="E3198" s="23" t="n">
        <v>3</v>
      </c>
      <c r="F3198" s="28" t="s">
        <v>906</v>
      </c>
      <c r="G3198" s="19" t="n">
        <v>0.0376</v>
      </c>
    </row>
    <row r="3199" customFormat="false" ht="15" hidden="false" customHeight="false" outlineLevel="0" collapsed="false">
      <c r="A3199" s="28" t="s">
        <v>194</v>
      </c>
      <c r="B3199" s="28" t="s">
        <v>195</v>
      </c>
      <c r="C3199" s="28" t="s">
        <v>192</v>
      </c>
      <c r="D3199" s="23" t="n">
        <v>10</v>
      </c>
      <c r="E3199" s="23" t="n">
        <v>3</v>
      </c>
      <c r="F3199" s="28" t="s">
        <v>907</v>
      </c>
      <c r="G3199" s="19" t="n">
        <v>0.0373</v>
      </c>
    </row>
    <row r="3200" customFormat="false" ht="15" hidden="false" customHeight="false" outlineLevel="0" collapsed="false">
      <c r="A3200" s="28" t="s">
        <v>194</v>
      </c>
      <c r="B3200" s="28" t="s">
        <v>195</v>
      </c>
      <c r="C3200" s="28" t="s">
        <v>192</v>
      </c>
      <c r="D3200" s="23" t="n">
        <v>10</v>
      </c>
      <c r="E3200" s="23" t="n">
        <v>3</v>
      </c>
      <c r="F3200" s="28" t="s">
        <v>908</v>
      </c>
      <c r="G3200" s="19" t="n">
        <v>0.0389</v>
      </c>
    </row>
    <row r="3201" customFormat="false" ht="15" hidden="false" customHeight="false" outlineLevel="0" collapsed="false">
      <c r="A3201" s="28" t="s">
        <v>194</v>
      </c>
      <c r="B3201" s="28" t="s">
        <v>195</v>
      </c>
      <c r="C3201" s="28" t="s">
        <v>192</v>
      </c>
      <c r="D3201" s="23" t="n">
        <v>10</v>
      </c>
      <c r="E3201" s="23" t="n">
        <v>3</v>
      </c>
      <c r="F3201" s="28" t="s">
        <v>909</v>
      </c>
      <c r="G3201" s="19" t="n">
        <v>0.039</v>
      </c>
    </row>
    <row r="3202" customFormat="false" ht="15" hidden="false" customHeight="false" outlineLevel="0" collapsed="false">
      <c r="A3202" s="28" t="s">
        <v>194</v>
      </c>
      <c r="B3202" s="28" t="s">
        <v>195</v>
      </c>
      <c r="C3202" s="28" t="s">
        <v>192</v>
      </c>
      <c r="D3202" s="23" t="n">
        <v>10</v>
      </c>
      <c r="E3202" s="23" t="n">
        <v>3</v>
      </c>
      <c r="F3202" s="28" t="s">
        <v>910</v>
      </c>
      <c r="G3202" s="19" t="n">
        <v>0.0394</v>
      </c>
    </row>
    <row r="3203" customFormat="false" ht="15" hidden="false" customHeight="false" outlineLevel="0" collapsed="false">
      <c r="A3203" s="28" t="s">
        <v>194</v>
      </c>
      <c r="B3203" s="28" t="s">
        <v>195</v>
      </c>
      <c r="C3203" s="28" t="s">
        <v>192</v>
      </c>
      <c r="D3203" s="23" t="n">
        <v>10</v>
      </c>
      <c r="E3203" s="23" t="n">
        <v>3</v>
      </c>
      <c r="F3203" s="28" t="s">
        <v>911</v>
      </c>
      <c r="G3203" s="19" t="n">
        <v>0.0405</v>
      </c>
    </row>
    <row r="3204" customFormat="false" ht="15" hidden="false" customHeight="false" outlineLevel="0" collapsed="false">
      <c r="A3204" s="28" t="s">
        <v>194</v>
      </c>
      <c r="B3204" s="28" t="s">
        <v>195</v>
      </c>
      <c r="C3204" s="28" t="s">
        <v>192</v>
      </c>
      <c r="D3204" s="23" t="n">
        <v>10</v>
      </c>
      <c r="E3204" s="23" t="n">
        <v>3</v>
      </c>
      <c r="F3204" s="28" t="s">
        <v>912</v>
      </c>
      <c r="G3204" s="19" t="n">
        <v>0.0419</v>
      </c>
    </row>
    <row r="3205" customFormat="false" ht="15" hidden="false" customHeight="false" outlineLevel="0" collapsed="false">
      <c r="A3205" s="28" t="s">
        <v>194</v>
      </c>
      <c r="B3205" s="28" t="s">
        <v>195</v>
      </c>
      <c r="C3205" s="28" t="s">
        <v>192</v>
      </c>
      <c r="D3205" s="23" t="n">
        <v>10</v>
      </c>
      <c r="E3205" s="23" t="n">
        <v>3</v>
      </c>
      <c r="F3205" s="28" t="s">
        <v>913</v>
      </c>
      <c r="G3205" s="19" t="n">
        <v>0.0468</v>
      </c>
    </row>
    <row r="3206" customFormat="false" ht="15" hidden="false" customHeight="false" outlineLevel="0" collapsed="false">
      <c r="A3206" s="28" t="s">
        <v>194</v>
      </c>
      <c r="B3206" s="28" t="s">
        <v>195</v>
      </c>
      <c r="C3206" s="28" t="s">
        <v>192</v>
      </c>
      <c r="D3206" s="23" t="n">
        <v>10</v>
      </c>
      <c r="E3206" s="23" t="n">
        <v>3</v>
      </c>
      <c r="F3206" s="28" t="s">
        <v>914</v>
      </c>
      <c r="G3206" s="19" t="n">
        <v>0.0466</v>
      </c>
    </row>
    <row r="3207" customFormat="false" ht="15" hidden="false" customHeight="false" outlineLevel="0" collapsed="false">
      <c r="A3207" s="28" t="s">
        <v>194</v>
      </c>
      <c r="B3207" s="28" t="s">
        <v>195</v>
      </c>
      <c r="C3207" s="28" t="s">
        <v>192</v>
      </c>
      <c r="D3207" s="23" t="n">
        <v>10</v>
      </c>
      <c r="E3207" s="23" t="n">
        <v>3</v>
      </c>
      <c r="F3207" s="28" t="s">
        <v>915</v>
      </c>
      <c r="G3207" s="19" t="n">
        <v>0.0624</v>
      </c>
    </row>
    <row r="3208" customFormat="false" ht="15" hidden="false" customHeight="false" outlineLevel="0" collapsed="false">
      <c r="A3208" s="28" t="s">
        <v>194</v>
      </c>
      <c r="B3208" s="28" t="s">
        <v>195</v>
      </c>
      <c r="C3208" s="28" t="s">
        <v>192</v>
      </c>
      <c r="D3208" s="23" t="n">
        <v>10</v>
      </c>
      <c r="E3208" s="23" t="n">
        <v>4</v>
      </c>
      <c r="F3208" s="28" t="s">
        <v>904</v>
      </c>
      <c r="G3208" s="19" t="n">
        <v>0.032967</v>
      </c>
    </row>
    <row r="3209" customFormat="false" ht="15" hidden="false" customHeight="false" outlineLevel="0" collapsed="false">
      <c r="A3209" s="28" t="s">
        <v>194</v>
      </c>
      <c r="B3209" s="28" t="s">
        <v>195</v>
      </c>
      <c r="C3209" s="28" t="s">
        <v>192</v>
      </c>
      <c r="D3209" s="23" t="n">
        <v>10</v>
      </c>
      <c r="E3209" s="23" t="n">
        <v>4</v>
      </c>
      <c r="F3209" s="28" t="s">
        <v>551</v>
      </c>
      <c r="G3209" s="19" t="n">
        <v>0.064167</v>
      </c>
    </row>
    <row r="3210" customFormat="false" ht="15" hidden="false" customHeight="false" outlineLevel="0" collapsed="false">
      <c r="A3210" s="28" t="s">
        <v>194</v>
      </c>
      <c r="B3210" s="28" t="s">
        <v>195</v>
      </c>
      <c r="C3210" s="28" t="s">
        <v>192</v>
      </c>
      <c r="D3210" s="23" t="n">
        <v>10</v>
      </c>
      <c r="E3210" s="23" t="n">
        <v>4</v>
      </c>
      <c r="F3210" s="28" t="s">
        <v>451</v>
      </c>
      <c r="G3210" s="19" t="n">
        <v>0.032767</v>
      </c>
    </row>
    <row r="3211" customFormat="false" ht="15" hidden="false" customHeight="false" outlineLevel="0" collapsed="false">
      <c r="A3211" s="28" t="s">
        <v>194</v>
      </c>
      <c r="B3211" s="28" t="s">
        <v>195</v>
      </c>
      <c r="C3211" s="28" t="s">
        <v>192</v>
      </c>
      <c r="D3211" s="23" t="n">
        <v>10</v>
      </c>
      <c r="E3211" s="23" t="n">
        <v>4</v>
      </c>
      <c r="F3211" s="28" t="s">
        <v>905</v>
      </c>
      <c r="G3211" s="19" t="n">
        <v>0.035367</v>
      </c>
    </row>
    <row r="3212" customFormat="false" ht="15" hidden="false" customHeight="false" outlineLevel="0" collapsed="false">
      <c r="A3212" s="28" t="s">
        <v>194</v>
      </c>
      <c r="B3212" s="28" t="s">
        <v>195</v>
      </c>
      <c r="C3212" s="28" t="s">
        <v>192</v>
      </c>
      <c r="D3212" s="23" t="n">
        <v>10</v>
      </c>
      <c r="E3212" s="23" t="n">
        <v>4</v>
      </c>
      <c r="F3212" s="28" t="s">
        <v>906</v>
      </c>
      <c r="G3212" s="19" t="n">
        <v>0.036767</v>
      </c>
    </row>
    <row r="3213" customFormat="false" ht="15" hidden="false" customHeight="false" outlineLevel="0" collapsed="false">
      <c r="A3213" s="28" t="s">
        <v>194</v>
      </c>
      <c r="B3213" s="28" t="s">
        <v>195</v>
      </c>
      <c r="C3213" s="28" t="s">
        <v>192</v>
      </c>
      <c r="D3213" s="23" t="n">
        <v>10</v>
      </c>
      <c r="E3213" s="23" t="n">
        <v>4</v>
      </c>
      <c r="F3213" s="28" t="s">
        <v>907</v>
      </c>
      <c r="G3213" s="19" t="n">
        <v>0.036467</v>
      </c>
    </row>
    <row r="3214" customFormat="false" ht="15" hidden="false" customHeight="false" outlineLevel="0" collapsed="false">
      <c r="A3214" s="28" t="s">
        <v>194</v>
      </c>
      <c r="B3214" s="28" t="s">
        <v>195</v>
      </c>
      <c r="C3214" s="28" t="s">
        <v>192</v>
      </c>
      <c r="D3214" s="23" t="n">
        <v>10</v>
      </c>
      <c r="E3214" s="23" t="n">
        <v>4</v>
      </c>
      <c r="F3214" s="28" t="s">
        <v>908</v>
      </c>
      <c r="G3214" s="19" t="n">
        <v>0.038067</v>
      </c>
    </row>
    <row r="3215" customFormat="false" ht="15" hidden="false" customHeight="false" outlineLevel="0" collapsed="false">
      <c r="A3215" s="28" t="s">
        <v>194</v>
      </c>
      <c r="B3215" s="28" t="s">
        <v>195</v>
      </c>
      <c r="C3215" s="28" t="s">
        <v>192</v>
      </c>
      <c r="D3215" s="23" t="n">
        <v>10</v>
      </c>
      <c r="E3215" s="23" t="n">
        <v>4</v>
      </c>
      <c r="F3215" s="28" t="s">
        <v>909</v>
      </c>
      <c r="G3215" s="19" t="n">
        <v>0.038167</v>
      </c>
    </row>
    <row r="3216" customFormat="false" ht="15" hidden="false" customHeight="false" outlineLevel="0" collapsed="false">
      <c r="A3216" s="28" t="s">
        <v>194</v>
      </c>
      <c r="B3216" s="28" t="s">
        <v>195</v>
      </c>
      <c r="C3216" s="28" t="s">
        <v>192</v>
      </c>
      <c r="D3216" s="23" t="n">
        <v>10</v>
      </c>
      <c r="E3216" s="23" t="n">
        <v>4</v>
      </c>
      <c r="F3216" s="28" t="s">
        <v>910</v>
      </c>
      <c r="G3216" s="19" t="n">
        <v>0.038567</v>
      </c>
    </row>
    <row r="3217" customFormat="false" ht="15" hidden="false" customHeight="false" outlineLevel="0" collapsed="false">
      <c r="A3217" s="28" t="s">
        <v>194</v>
      </c>
      <c r="B3217" s="28" t="s">
        <v>195</v>
      </c>
      <c r="C3217" s="28" t="s">
        <v>192</v>
      </c>
      <c r="D3217" s="23" t="n">
        <v>10</v>
      </c>
      <c r="E3217" s="23" t="n">
        <v>4</v>
      </c>
      <c r="F3217" s="28" t="s">
        <v>911</v>
      </c>
      <c r="G3217" s="19" t="n">
        <v>0.039667</v>
      </c>
    </row>
    <row r="3218" customFormat="false" ht="15" hidden="false" customHeight="false" outlineLevel="0" collapsed="false">
      <c r="A3218" s="28" t="s">
        <v>194</v>
      </c>
      <c r="B3218" s="28" t="s">
        <v>195</v>
      </c>
      <c r="C3218" s="28" t="s">
        <v>192</v>
      </c>
      <c r="D3218" s="23" t="n">
        <v>10</v>
      </c>
      <c r="E3218" s="23" t="n">
        <v>4</v>
      </c>
      <c r="F3218" s="28" t="s">
        <v>912</v>
      </c>
      <c r="G3218" s="19" t="n">
        <v>0.041067</v>
      </c>
    </row>
    <row r="3219" customFormat="false" ht="15" hidden="false" customHeight="false" outlineLevel="0" collapsed="false">
      <c r="A3219" s="28" t="s">
        <v>194</v>
      </c>
      <c r="B3219" s="28" t="s">
        <v>195</v>
      </c>
      <c r="C3219" s="28" t="s">
        <v>192</v>
      </c>
      <c r="D3219" s="23" t="n">
        <v>10</v>
      </c>
      <c r="E3219" s="23" t="n">
        <v>4</v>
      </c>
      <c r="F3219" s="28" t="s">
        <v>913</v>
      </c>
      <c r="G3219" s="19" t="n">
        <v>0.045967</v>
      </c>
    </row>
    <row r="3220" customFormat="false" ht="15" hidden="false" customHeight="false" outlineLevel="0" collapsed="false">
      <c r="A3220" s="28" t="s">
        <v>194</v>
      </c>
      <c r="B3220" s="28" t="s">
        <v>195</v>
      </c>
      <c r="C3220" s="28" t="s">
        <v>192</v>
      </c>
      <c r="D3220" s="23" t="n">
        <v>10</v>
      </c>
      <c r="E3220" s="23" t="n">
        <v>4</v>
      </c>
      <c r="F3220" s="28" t="s">
        <v>914</v>
      </c>
      <c r="G3220" s="19" t="n">
        <v>0.045767</v>
      </c>
    </row>
    <row r="3221" customFormat="false" ht="15" hidden="false" customHeight="false" outlineLevel="0" collapsed="false">
      <c r="A3221" s="28" t="s">
        <v>194</v>
      </c>
      <c r="B3221" s="28" t="s">
        <v>195</v>
      </c>
      <c r="C3221" s="28" t="s">
        <v>192</v>
      </c>
      <c r="D3221" s="23" t="n">
        <v>10</v>
      </c>
      <c r="E3221" s="23" t="n">
        <v>4</v>
      </c>
      <c r="F3221" s="28" t="s">
        <v>915</v>
      </c>
      <c r="G3221" s="19" t="n">
        <v>0.061567</v>
      </c>
    </row>
    <row r="3222" customFormat="false" ht="15" hidden="false" customHeight="false" outlineLevel="0" collapsed="false">
      <c r="A3222" s="28" t="s">
        <v>194</v>
      </c>
      <c r="B3222" s="28" t="s">
        <v>195</v>
      </c>
      <c r="C3222" s="28" t="s">
        <v>192</v>
      </c>
      <c r="D3222" s="23" t="n">
        <v>10</v>
      </c>
      <c r="E3222" s="23" t="n">
        <v>5</v>
      </c>
      <c r="F3222" s="28" t="s">
        <v>904</v>
      </c>
      <c r="G3222" s="19" t="n">
        <v>0.032133</v>
      </c>
    </row>
    <row r="3223" customFormat="false" ht="15" hidden="false" customHeight="false" outlineLevel="0" collapsed="false">
      <c r="A3223" s="28" t="s">
        <v>194</v>
      </c>
      <c r="B3223" s="28" t="s">
        <v>195</v>
      </c>
      <c r="C3223" s="28" t="s">
        <v>192</v>
      </c>
      <c r="D3223" s="23" t="n">
        <v>10</v>
      </c>
      <c r="E3223" s="23" t="n">
        <v>5</v>
      </c>
      <c r="F3223" s="28" t="s">
        <v>551</v>
      </c>
      <c r="G3223" s="19" t="n">
        <v>0.063333</v>
      </c>
    </row>
    <row r="3224" customFormat="false" ht="15" hidden="false" customHeight="false" outlineLevel="0" collapsed="false">
      <c r="A3224" s="28" t="s">
        <v>194</v>
      </c>
      <c r="B3224" s="28" t="s">
        <v>195</v>
      </c>
      <c r="C3224" s="28" t="s">
        <v>192</v>
      </c>
      <c r="D3224" s="23" t="n">
        <v>10</v>
      </c>
      <c r="E3224" s="23" t="n">
        <v>5</v>
      </c>
      <c r="F3224" s="28" t="s">
        <v>451</v>
      </c>
      <c r="G3224" s="19" t="n">
        <v>0.031933</v>
      </c>
    </row>
    <row r="3225" customFormat="false" ht="15" hidden="false" customHeight="false" outlineLevel="0" collapsed="false">
      <c r="A3225" s="28" t="s">
        <v>194</v>
      </c>
      <c r="B3225" s="28" t="s">
        <v>195</v>
      </c>
      <c r="C3225" s="28" t="s">
        <v>192</v>
      </c>
      <c r="D3225" s="23" t="n">
        <v>10</v>
      </c>
      <c r="E3225" s="23" t="n">
        <v>5</v>
      </c>
      <c r="F3225" s="28" t="s">
        <v>905</v>
      </c>
      <c r="G3225" s="19" t="n">
        <v>0.034533</v>
      </c>
    </row>
    <row r="3226" customFormat="false" ht="15" hidden="false" customHeight="false" outlineLevel="0" collapsed="false">
      <c r="A3226" s="28" t="s">
        <v>194</v>
      </c>
      <c r="B3226" s="28" t="s">
        <v>195</v>
      </c>
      <c r="C3226" s="28" t="s">
        <v>192</v>
      </c>
      <c r="D3226" s="23" t="n">
        <v>10</v>
      </c>
      <c r="E3226" s="23" t="n">
        <v>5</v>
      </c>
      <c r="F3226" s="28" t="s">
        <v>906</v>
      </c>
      <c r="G3226" s="19" t="n">
        <v>0.035933</v>
      </c>
    </row>
    <row r="3227" customFormat="false" ht="15" hidden="false" customHeight="false" outlineLevel="0" collapsed="false">
      <c r="A3227" s="28" t="s">
        <v>194</v>
      </c>
      <c r="B3227" s="28" t="s">
        <v>195</v>
      </c>
      <c r="C3227" s="28" t="s">
        <v>192</v>
      </c>
      <c r="D3227" s="23" t="n">
        <v>10</v>
      </c>
      <c r="E3227" s="23" t="n">
        <v>5</v>
      </c>
      <c r="F3227" s="28" t="s">
        <v>907</v>
      </c>
      <c r="G3227" s="19" t="n">
        <v>0.035633</v>
      </c>
    </row>
    <row r="3228" customFormat="false" ht="15" hidden="false" customHeight="false" outlineLevel="0" collapsed="false">
      <c r="A3228" s="28" t="s">
        <v>194</v>
      </c>
      <c r="B3228" s="28" t="s">
        <v>195</v>
      </c>
      <c r="C3228" s="28" t="s">
        <v>192</v>
      </c>
      <c r="D3228" s="23" t="n">
        <v>10</v>
      </c>
      <c r="E3228" s="23" t="n">
        <v>5</v>
      </c>
      <c r="F3228" s="28" t="s">
        <v>908</v>
      </c>
      <c r="G3228" s="19" t="n">
        <v>0.037233</v>
      </c>
    </row>
    <row r="3229" customFormat="false" ht="15" hidden="false" customHeight="false" outlineLevel="0" collapsed="false">
      <c r="A3229" s="28" t="s">
        <v>194</v>
      </c>
      <c r="B3229" s="28" t="s">
        <v>195</v>
      </c>
      <c r="C3229" s="28" t="s">
        <v>192</v>
      </c>
      <c r="D3229" s="23" t="n">
        <v>10</v>
      </c>
      <c r="E3229" s="23" t="n">
        <v>5</v>
      </c>
      <c r="F3229" s="28" t="s">
        <v>909</v>
      </c>
      <c r="G3229" s="19" t="n">
        <v>0.037333</v>
      </c>
    </row>
    <row r="3230" customFormat="false" ht="15" hidden="false" customHeight="false" outlineLevel="0" collapsed="false">
      <c r="A3230" s="28" t="s">
        <v>194</v>
      </c>
      <c r="B3230" s="28" t="s">
        <v>195</v>
      </c>
      <c r="C3230" s="28" t="s">
        <v>192</v>
      </c>
      <c r="D3230" s="23" t="n">
        <v>10</v>
      </c>
      <c r="E3230" s="23" t="n">
        <v>5</v>
      </c>
      <c r="F3230" s="28" t="s">
        <v>910</v>
      </c>
      <c r="G3230" s="19" t="n">
        <v>0.037733</v>
      </c>
    </row>
    <row r="3231" customFormat="false" ht="15" hidden="false" customHeight="false" outlineLevel="0" collapsed="false">
      <c r="A3231" s="28" t="s">
        <v>194</v>
      </c>
      <c r="B3231" s="28" t="s">
        <v>195</v>
      </c>
      <c r="C3231" s="28" t="s">
        <v>192</v>
      </c>
      <c r="D3231" s="23" t="n">
        <v>10</v>
      </c>
      <c r="E3231" s="23" t="n">
        <v>5</v>
      </c>
      <c r="F3231" s="28" t="s">
        <v>911</v>
      </c>
      <c r="G3231" s="19" t="n">
        <v>0.038833</v>
      </c>
    </row>
    <row r="3232" customFormat="false" ht="15" hidden="false" customHeight="false" outlineLevel="0" collapsed="false">
      <c r="A3232" s="28" t="s">
        <v>194</v>
      </c>
      <c r="B3232" s="28" t="s">
        <v>195</v>
      </c>
      <c r="C3232" s="28" t="s">
        <v>192</v>
      </c>
      <c r="D3232" s="23" t="n">
        <v>10</v>
      </c>
      <c r="E3232" s="23" t="n">
        <v>5</v>
      </c>
      <c r="F3232" s="28" t="s">
        <v>912</v>
      </c>
      <c r="G3232" s="19" t="n">
        <v>0.040233</v>
      </c>
    </row>
    <row r="3233" customFormat="false" ht="15" hidden="false" customHeight="false" outlineLevel="0" collapsed="false">
      <c r="A3233" s="28" t="s">
        <v>194</v>
      </c>
      <c r="B3233" s="28" t="s">
        <v>195</v>
      </c>
      <c r="C3233" s="28" t="s">
        <v>192</v>
      </c>
      <c r="D3233" s="23" t="n">
        <v>10</v>
      </c>
      <c r="E3233" s="23" t="n">
        <v>5</v>
      </c>
      <c r="F3233" s="28" t="s">
        <v>913</v>
      </c>
      <c r="G3233" s="19" t="n">
        <v>0.045133</v>
      </c>
    </row>
    <row r="3234" customFormat="false" ht="15" hidden="false" customHeight="false" outlineLevel="0" collapsed="false">
      <c r="A3234" s="28" t="s">
        <v>194</v>
      </c>
      <c r="B3234" s="28" t="s">
        <v>195</v>
      </c>
      <c r="C3234" s="28" t="s">
        <v>192</v>
      </c>
      <c r="D3234" s="23" t="n">
        <v>10</v>
      </c>
      <c r="E3234" s="23" t="n">
        <v>5</v>
      </c>
      <c r="F3234" s="28" t="s">
        <v>914</v>
      </c>
      <c r="G3234" s="19" t="n">
        <v>0.044933</v>
      </c>
    </row>
    <row r="3235" customFormat="false" ht="15" hidden="false" customHeight="false" outlineLevel="0" collapsed="false">
      <c r="A3235" s="28" t="s">
        <v>194</v>
      </c>
      <c r="B3235" s="28" t="s">
        <v>195</v>
      </c>
      <c r="C3235" s="28" t="s">
        <v>192</v>
      </c>
      <c r="D3235" s="23" t="n">
        <v>10</v>
      </c>
      <c r="E3235" s="23" t="n">
        <v>5</v>
      </c>
      <c r="F3235" s="28" t="s">
        <v>915</v>
      </c>
      <c r="G3235" s="19" t="n">
        <v>0.060733</v>
      </c>
    </row>
    <row r="3236" customFormat="false" ht="15" hidden="false" customHeight="false" outlineLevel="0" collapsed="false">
      <c r="A3236" s="28" t="s">
        <v>194</v>
      </c>
      <c r="B3236" s="28" t="s">
        <v>195</v>
      </c>
      <c r="C3236" s="28" t="s">
        <v>192</v>
      </c>
      <c r="D3236" s="23" t="n">
        <v>10</v>
      </c>
      <c r="E3236" s="23" t="n">
        <v>6</v>
      </c>
      <c r="F3236" s="28" t="s">
        <v>904</v>
      </c>
      <c r="G3236" s="19" t="n">
        <v>0.0313</v>
      </c>
    </row>
    <row r="3237" customFormat="false" ht="15" hidden="false" customHeight="false" outlineLevel="0" collapsed="false">
      <c r="A3237" s="28" t="s">
        <v>194</v>
      </c>
      <c r="B3237" s="28" t="s">
        <v>195</v>
      </c>
      <c r="C3237" s="28" t="s">
        <v>192</v>
      </c>
      <c r="D3237" s="23" t="n">
        <v>10</v>
      </c>
      <c r="E3237" s="23" t="n">
        <v>6</v>
      </c>
      <c r="F3237" s="28" t="s">
        <v>551</v>
      </c>
      <c r="G3237" s="19" t="n">
        <v>0.0625</v>
      </c>
    </row>
    <row r="3238" customFormat="false" ht="15" hidden="false" customHeight="false" outlineLevel="0" collapsed="false">
      <c r="A3238" s="28" t="s">
        <v>194</v>
      </c>
      <c r="B3238" s="28" t="s">
        <v>195</v>
      </c>
      <c r="C3238" s="28" t="s">
        <v>192</v>
      </c>
      <c r="D3238" s="23" t="n">
        <v>10</v>
      </c>
      <c r="E3238" s="23" t="n">
        <v>6</v>
      </c>
      <c r="F3238" s="28" t="s">
        <v>451</v>
      </c>
      <c r="G3238" s="19" t="n">
        <v>0.0311</v>
      </c>
    </row>
    <row r="3239" customFormat="false" ht="15" hidden="false" customHeight="false" outlineLevel="0" collapsed="false">
      <c r="A3239" s="28" t="s">
        <v>194</v>
      </c>
      <c r="B3239" s="28" t="s">
        <v>195</v>
      </c>
      <c r="C3239" s="28" t="s">
        <v>192</v>
      </c>
      <c r="D3239" s="23" t="n">
        <v>10</v>
      </c>
      <c r="E3239" s="23" t="n">
        <v>6</v>
      </c>
      <c r="F3239" s="28" t="s">
        <v>905</v>
      </c>
      <c r="G3239" s="19" t="n">
        <v>0.0337</v>
      </c>
    </row>
    <row r="3240" customFormat="false" ht="15" hidden="false" customHeight="false" outlineLevel="0" collapsed="false">
      <c r="A3240" s="28" t="s">
        <v>194</v>
      </c>
      <c r="B3240" s="28" t="s">
        <v>195</v>
      </c>
      <c r="C3240" s="28" t="s">
        <v>192</v>
      </c>
      <c r="D3240" s="23" t="n">
        <v>10</v>
      </c>
      <c r="E3240" s="23" t="n">
        <v>6</v>
      </c>
      <c r="F3240" s="28" t="s">
        <v>906</v>
      </c>
      <c r="G3240" s="19" t="n">
        <v>0.0351</v>
      </c>
    </row>
    <row r="3241" customFormat="false" ht="15" hidden="false" customHeight="false" outlineLevel="0" collapsed="false">
      <c r="A3241" s="28" t="s">
        <v>194</v>
      </c>
      <c r="B3241" s="28" t="s">
        <v>195</v>
      </c>
      <c r="C3241" s="28" t="s">
        <v>192</v>
      </c>
      <c r="D3241" s="23" t="n">
        <v>10</v>
      </c>
      <c r="E3241" s="23" t="n">
        <v>6</v>
      </c>
      <c r="F3241" s="28" t="s">
        <v>907</v>
      </c>
      <c r="G3241" s="19" t="n">
        <v>0.0348</v>
      </c>
    </row>
    <row r="3242" customFormat="false" ht="15" hidden="false" customHeight="false" outlineLevel="0" collapsed="false">
      <c r="A3242" s="28" t="s">
        <v>194</v>
      </c>
      <c r="B3242" s="28" t="s">
        <v>195</v>
      </c>
      <c r="C3242" s="28" t="s">
        <v>192</v>
      </c>
      <c r="D3242" s="23" t="n">
        <v>10</v>
      </c>
      <c r="E3242" s="23" t="n">
        <v>6</v>
      </c>
      <c r="F3242" s="28" t="s">
        <v>908</v>
      </c>
      <c r="G3242" s="19" t="n">
        <v>0.0364</v>
      </c>
    </row>
    <row r="3243" customFormat="false" ht="15" hidden="false" customHeight="false" outlineLevel="0" collapsed="false">
      <c r="A3243" s="28" t="s">
        <v>194</v>
      </c>
      <c r="B3243" s="28" t="s">
        <v>195</v>
      </c>
      <c r="C3243" s="28" t="s">
        <v>192</v>
      </c>
      <c r="D3243" s="23" t="n">
        <v>10</v>
      </c>
      <c r="E3243" s="23" t="n">
        <v>6</v>
      </c>
      <c r="F3243" s="28" t="s">
        <v>909</v>
      </c>
      <c r="G3243" s="19" t="n">
        <v>0.0365</v>
      </c>
    </row>
    <row r="3244" customFormat="false" ht="15" hidden="false" customHeight="false" outlineLevel="0" collapsed="false">
      <c r="A3244" s="28" t="s">
        <v>194</v>
      </c>
      <c r="B3244" s="28" t="s">
        <v>195</v>
      </c>
      <c r="C3244" s="28" t="s">
        <v>192</v>
      </c>
      <c r="D3244" s="23" t="n">
        <v>10</v>
      </c>
      <c r="E3244" s="23" t="n">
        <v>6</v>
      </c>
      <c r="F3244" s="28" t="s">
        <v>910</v>
      </c>
      <c r="G3244" s="19" t="n">
        <v>0.0369</v>
      </c>
    </row>
    <row r="3245" customFormat="false" ht="15" hidden="false" customHeight="false" outlineLevel="0" collapsed="false">
      <c r="A3245" s="28" t="s">
        <v>194</v>
      </c>
      <c r="B3245" s="28" t="s">
        <v>195</v>
      </c>
      <c r="C3245" s="28" t="s">
        <v>192</v>
      </c>
      <c r="D3245" s="23" t="n">
        <v>10</v>
      </c>
      <c r="E3245" s="23" t="n">
        <v>6</v>
      </c>
      <c r="F3245" s="28" t="s">
        <v>911</v>
      </c>
      <c r="G3245" s="19" t="n">
        <v>0.038</v>
      </c>
    </row>
    <row r="3246" customFormat="false" ht="15" hidden="false" customHeight="false" outlineLevel="0" collapsed="false">
      <c r="A3246" s="28" t="s">
        <v>194</v>
      </c>
      <c r="B3246" s="28" t="s">
        <v>195</v>
      </c>
      <c r="C3246" s="28" t="s">
        <v>192</v>
      </c>
      <c r="D3246" s="23" t="n">
        <v>10</v>
      </c>
      <c r="E3246" s="23" t="n">
        <v>6</v>
      </c>
      <c r="F3246" s="28" t="s">
        <v>912</v>
      </c>
      <c r="G3246" s="19" t="n">
        <v>0.0394</v>
      </c>
    </row>
    <row r="3247" customFormat="false" ht="15" hidden="false" customHeight="false" outlineLevel="0" collapsed="false">
      <c r="A3247" s="28" t="s">
        <v>194</v>
      </c>
      <c r="B3247" s="28" t="s">
        <v>195</v>
      </c>
      <c r="C3247" s="28" t="s">
        <v>192</v>
      </c>
      <c r="D3247" s="23" t="n">
        <v>10</v>
      </c>
      <c r="E3247" s="23" t="n">
        <v>6</v>
      </c>
      <c r="F3247" s="28" t="s">
        <v>913</v>
      </c>
      <c r="G3247" s="19" t="n">
        <v>0.0443</v>
      </c>
    </row>
    <row r="3248" customFormat="false" ht="15" hidden="false" customHeight="false" outlineLevel="0" collapsed="false">
      <c r="A3248" s="28" t="s">
        <v>194</v>
      </c>
      <c r="B3248" s="28" t="s">
        <v>195</v>
      </c>
      <c r="C3248" s="28" t="s">
        <v>192</v>
      </c>
      <c r="D3248" s="23" t="n">
        <v>10</v>
      </c>
      <c r="E3248" s="23" t="n">
        <v>6</v>
      </c>
      <c r="F3248" s="28" t="s">
        <v>914</v>
      </c>
      <c r="G3248" s="19" t="n">
        <v>0.0441</v>
      </c>
    </row>
    <row r="3249" customFormat="false" ht="15" hidden="false" customHeight="false" outlineLevel="0" collapsed="false">
      <c r="A3249" s="28" t="s">
        <v>194</v>
      </c>
      <c r="B3249" s="28" t="s">
        <v>195</v>
      </c>
      <c r="C3249" s="28" t="s">
        <v>192</v>
      </c>
      <c r="D3249" s="23" t="n">
        <v>10</v>
      </c>
      <c r="E3249" s="23" t="n">
        <v>6</v>
      </c>
      <c r="F3249" s="28" t="s">
        <v>915</v>
      </c>
      <c r="G3249" s="19" t="n">
        <v>0.0599</v>
      </c>
    </row>
    <row r="3250" customFormat="false" ht="15" hidden="false" customHeight="false" outlineLevel="0" collapsed="false">
      <c r="A3250" s="28" t="s">
        <v>194</v>
      </c>
      <c r="B3250" s="28" t="s">
        <v>195</v>
      </c>
      <c r="C3250" s="28" t="s">
        <v>192</v>
      </c>
      <c r="D3250" s="23" t="n">
        <v>10</v>
      </c>
      <c r="E3250" s="23" t="n">
        <v>7</v>
      </c>
      <c r="F3250" s="28" t="s">
        <v>904</v>
      </c>
      <c r="G3250" s="19" t="n">
        <v>0.030467</v>
      </c>
    </row>
    <row r="3251" customFormat="false" ht="15" hidden="false" customHeight="false" outlineLevel="0" collapsed="false">
      <c r="A3251" s="28" t="s">
        <v>194</v>
      </c>
      <c r="B3251" s="28" t="s">
        <v>195</v>
      </c>
      <c r="C3251" s="28" t="s">
        <v>192</v>
      </c>
      <c r="D3251" s="23" t="n">
        <v>10</v>
      </c>
      <c r="E3251" s="23" t="n">
        <v>7</v>
      </c>
      <c r="F3251" s="28" t="s">
        <v>551</v>
      </c>
      <c r="G3251" s="19" t="n">
        <v>0.061667</v>
      </c>
    </row>
    <row r="3252" customFormat="false" ht="15" hidden="false" customHeight="false" outlineLevel="0" collapsed="false">
      <c r="A3252" s="28" t="s">
        <v>194</v>
      </c>
      <c r="B3252" s="28" t="s">
        <v>195</v>
      </c>
      <c r="C3252" s="28" t="s">
        <v>192</v>
      </c>
      <c r="D3252" s="23" t="n">
        <v>10</v>
      </c>
      <c r="E3252" s="23" t="n">
        <v>7</v>
      </c>
      <c r="F3252" s="28" t="s">
        <v>451</v>
      </c>
      <c r="G3252" s="19" t="n">
        <v>0.030267</v>
      </c>
    </row>
    <row r="3253" customFormat="false" ht="15" hidden="false" customHeight="false" outlineLevel="0" collapsed="false">
      <c r="A3253" s="28" t="s">
        <v>194</v>
      </c>
      <c r="B3253" s="28" t="s">
        <v>195</v>
      </c>
      <c r="C3253" s="28" t="s">
        <v>192</v>
      </c>
      <c r="D3253" s="23" t="n">
        <v>10</v>
      </c>
      <c r="E3253" s="23" t="n">
        <v>7</v>
      </c>
      <c r="F3253" s="28" t="s">
        <v>905</v>
      </c>
      <c r="G3253" s="19" t="n">
        <v>0.032867</v>
      </c>
    </row>
    <row r="3254" customFormat="false" ht="15" hidden="false" customHeight="false" outlineLevel="0" collapsed="false">
      <c r="A3254" s="28" t="s">
        <v>194</v>
      </c>
      <c r="B3254" s="28" t="s">
        <v>195</v>
      </c>
      <c r="C3254" s="28" t="s">
        <v>192</v>
      </c>
      <c r="D3254" s="23" t="n">
        <v>10</v>
      </c>
      <c r="E3254" s="23" t="n">
        <v>7</v>
      </c>
      <c r="F3254" s="28" t="s">
        <v>906</v>
      </c>
      <c r="G3254" s="19" t="n">
        <v>0.034267</v>
      </c>
    </row>
    <row r="3255" customFormat="false" ht="15" hidden="false" customHeight="false" outlineLevel="0" collapsed="false">
      <c r="A3255" s="28" t="s">
        <v>194</v>
      </c>
      <c r="B3255" s="28" t="s">
        <v>195</v>
      </c>
      <c r="C3255" s="28" t="s">
        <v>192</v>
      </c>
      <c r="D3255" s="23" t="n">
        <v>10</v>
      </c>
      <c r="E3255" s="23" t="n">
        <v>7</v>
      </c>
      <c r="F3255" s="28" t="s">
        <v>907</v>
      </c>
      <c r="G3255" s="19" t="n">
        <v>0.033967</v>
      </c>
    </row>
    <row r="3256" customFormat="false" ht="15" hidden="false" customHeight="false" outlineLevel="0" collapsed="false">
      <c r="A3256" s="28" t="s">
        <v>194</v>
      </c>
      <c r="B3256" s="28" t="s">
        <v>195</v>
      </c>
      <c r="C3256" s="28" t="s">
        <v>192</v>
      </c>
      <c r="D3256" s="23" t="n">
        <v>10</v>
      </c>
      <c r="E3256" s="23" t="n">
        <v>7</v>
      </c>
      <c r="F3256" s="28" t="s">
        <v>908</v>
      </c>
      <c r="G3256" s="19" t="n">
        <v>0.035567</v>
      </c>
    </row>
    <row r="3257" customFormat="false" ht="15" hidden="false" customHeight="false" outlineLevel="0" collapsed="false">
      <c r="A3257" s="28" t="s">
        <v>194</v>
      </c>
      <c r="B3257" s="28" t="s">
        <v>195</v>
      </c>
      <c r="C3257" s="28" t="s">
        <v>192</v>
      </c>
      <c r="D3257" s="23" t="n">
        <v>10</v>
      </c>
      <c r="E3257" s="23" t="n">
        <v>7</v>
      </c>
      <c r="F3257" s="28" t="s">
        <v>909</v>
      </c>
      <c r="G3257" s="19" t="n">
        <v>0.035667</v>
      </c>
    </row>
    <row r="3258" customFormat="false" ht="15" hidden="false" customHeight="false" outlineLevel="0" collapsed="false">
      <c r="A3258" s="28" t="s">
        <v>194</v>
      </c>
      <c r="B3258" s="28" t="s">
        <v>195</v>
      </c>
      <c r="C3258" s="28" t="s">
        <v>192</v>
      </c>
      <c r="D3258" s="23" t="n">
        <v>10</v>
      </c>
      <c r="E3258" s="23" t="n">
        <v>7</v>
      </c>
      <c r="F3258" s="28" t="s">
        <v>910</v>
      </c>
      <c r="G3258" s="19" t="n">
        <v>0.036067</v>
      </c>
    </row>
    <row r="3259" customFormat="false" ht="15" hidden="false" customHeight="false" outlineLevel="0" collapsed="false">
      <c r="A3259" s="28" t="s">
        <v>194</v>
      </c>
      <c r="B3259" s="28" t="s">
        <v>195</v>
      </c>
      <c r="C3259" s="28" t="s">
        <v>192</v>
      </c>
      <c r="D3259" s="23" t="n">
        <v>10</v>
      </c>
      <c r="E3259" s="23" t="n">
        <v>7</v>
      </c>
      <c r="F3259" s="28" t="s">
        <v>911</v>
      </c>
      <c r="G3259" s="19" t="n">
        <v>0.037167</v>
      </c>
    </row>
    <row r="3260" customFormat="false" ht="15" hidden="false" customHeight="false" outlineLevel="0" collapsed="false">
      <c r="A3260" s="28" t="s">
        <v>194</v>
      </c>
      <c r="B3260" s="28" t="s">
        <v>195</v>
      </c>
      <c r="C3260" s="28" t="s">
        <v>192</v>
      </c>
      <c r="D3260" s="23" t="n">
        <v>10</v>
      </c>
      <c r="E3260" s="23" t="n">
        <v>7</v>
      </c>
      <c r="F3260" s="28" t="s">
        <v>912</v>
      </c>
      <c r="G3260" s="19" t="n">
        <v>0.038567</v>
      </c>
    </row>
    <row r="3261" customFormat="false" ht="15" hidden="false" customHeight="false" outlineLevel="0" collapsed="false">
      <c r="A3261" s="28" t="s">
        <v>194</v>
      </c>
      <c r="B3261" s="28" t="s">
        <v>195</v>
      </c>
      <c r="C3261" s="28" t="s">
        <v>192</v>
      </c>
      <c r="D3261" s="23" t="n">
        <v>10</v>
      </c>
      <c r="E3261" s="23" t="n">
        <v>7</v>
      </c>
      <c r="F3261" s="28" t="s">
        <v>913</v>
      </c>
      <c r="G3261" s="19" t="n">
        <v>0.043467</v>
      </c>
    </row>
    <row r="3262" customFormat="false" ht="15" hidden="false" customHeight="false" outlineLevel="0" collapsed="false">
      <c r="A3262" s="28" t="s">
        <v>194</v>
      </c>
      <c r="B3262" s="28" t="s">
        <v>195</v>
      </c>
      <c r="C3262" s="28" t="s">
        <v>192</v>
      </c>
      <c r="D3262" s="23" t="n">
        <v>10</v>
      </c>
      <c r="E3262" s="23" t="n">
        <v>7</v>
      </c>
      <c r="F3262" s="28" t="s">
        <v>914</v>
      </c>
      <c r="G3262" s="19" t="n">
        <v>0.043267</v>
      </c>
    </row>
    <row r="3263" customFormat="false" ht="15" hidden="false" customHeight="false" outlineLevel="0" collapsed="false">
      <c r="A3263" s="28" t="s">
        <v>194</v>
      </c>
      <c r="B3263" s="28" t="s">
        <v>195</v>
      </c>
      <c r="C3263" s="28" t="s">
        <v>192</v>
      </c>
      <c r="D3263" s="23" t="n">
        <v>10</v>
      </c>
      <c r="E3263" s="23" t="n">
        <v>7</v>
      </c>
      <c r="F3263" s="28" t="s">
        <v>915</v>
      </c>
      <c r="G3263" s="19" t="n">
        <v>0.059067</v>
      </c>
    </row>
    <row r="3264" customFormat="false" ht="15" hidden="false" customHeight="false" outlineLevel="0" collapsed="false">
      <c r="A3264" s="28" t="s">
        <v>194</v>
      </c>
      <c r="B3264" s="28" t="s">
        <v>195</v>
      </c>
      <c r="C3264" s="28" t="s">
        <v>192</v>
      </c>
      <c r="D3264" s="23" t="n">
        <v>10</v>
      </c>
      <c r="E3264" s="23" t="n">
        <v>8</v>
      </c>
      <c r="F3264" s="28" t="s">
        <v>904</v>
      </c>
      <c r="G3264" s="19" t="n">
        <v>0.029633</v>
      </c>
    </row>
    <row r="3265" customFormat="false" ht="15" hidden="false" customHeight="false" outlineLevel="0" collapsed="false">
      <c r="A3265" s="28" t="s">
        <v>194</v>
      </c>
      <c r="B3265" s="28" t="s">
        <v>195</v>
      </c>
      <c r="C3265" s="28" t="s">
        <v>192</v>
      </c>
      <c r="D3265" s="23" t="n">
        <v>10</v>
      </c>
      <c r="E3265" s="23" t="n">
        <v>8</v>
      </c>
      <c r="F3265" s="28" t="s">
        <v>551</v>
      </c>
      <c r="G3265" s="19" t="n">
        <v>0.060833</v>
      </c>
    </row>
    <row r="3266" customFormat="false" ht="15" hidden="false" customHeight="false" outlineLevel="0" collapsed="false">
      <c r="A3266" s="28" t="s">
        <v>194</v>
      </c>
      <c r="B3266" s="28" t="s">
        <v>195</v>
      </c>
      <c r="C3266" s="28" t="s">
        <v>192</v>
      </c>
      <c r="D3266" s="23" t="n">
        <v>10</v>
      </c>
      <c r="E3266" s="23" t="n">
        <v>8</v>
      </c>
      <c r="F3266" s="28" t="s">
        <v>451</v>
      </c>
      <c r="G3266" s="19" t="n">
        <v>0.029433</v>
      </c>
    </row>
    <row r="3267" customFormat="false" ht="15" hidden="false" customHeight="false" outlineLevel="0" collapsed="false">
      <c r="A3267" s="28" t="s">
        <v>194</v>
      </c>
      <c r="B3267" s="28" t="s">
        <v>195</v>
      </c>
      <c r="C3267" s="28" t="s">
        <v>192</v>
      </c>
      <c r="D3267" s="23" t="n">
        <v>10</v>
      </c>
      <c r="E3267" s="23" t="n">
        <v>8</v>
      </c>
      <c r="F3267" s="28" t="s">
        <v>905</v>
      </c>
      <c r="G3267" s="19" t="n">
        <v>0.032033</v>
      </c>
    </row>
    <row r="3268" customFormat="false" ht="15" hidden="false" customHeight="false" outlineLevel="0" collapsed="false">
      <c r="A3268" s="28" t="s">
        <v>194</v>
      </c>
      <c r="B3268" s="28" t="s">
        <v>195</v>
      </c>
      <c r="C3268" s="28" t="s">
        <v>192</v>
      </c>
      <c r="D3268" s="23" t="n">
        <v>10</v>
      </c>
      <c r="E3268" s="23" t="n">
        <v>8</v>
      </c>
      <c r="F3268" s="28" t="s">
        <v>906</v>
      </c>
      <c r="G3268" s="19" t="n">
        <v>0.033433</v>
      </c>
    </row>
    <row r="3269" customFormat="false" ht="15" hidden="false" customHeight="false" outlineLevel="0" collapsed="false">
      <c r="A3269" s="28" t="s">
        <v>194</v>
      </c>
      <c r="B3269" s="28" t="s">
        <v>195</v>
      </c>
      <c r="C3269" s="28" t="s">
        <v>192</v>
      </c>
      <c r="D3269" s="23" t="n">
        <v>10</v>
      </c>
      <c r="E3269" s="23" t="n">
        <v>8</v>
      </c>
      <c r="F3269" s="28" t="s">
        <v>907</v>
      </c>
      <c r="G3269" s="19" t="n">
        <v>0.033133</v>
      </c>
    </row>
    <row r="3270" customFormat="false" ht="15" hidden="false" customHeight="false" outlineLevel="0" collapsed="false">
      <c r="A3270" s="28" t="s">
        <v>194</v>
      </c>
      <c r="B3270" s="28" t="s">
        <v>195</v>
      </c>
      <c r="C3270" s="28" t="s">
        <v>192</v>
      </c>
      <c r="D3270" s="23" t="n">
        <v>10</v>
      </c>
      <c r="E3270" s="23" t="n">
        <v>8</v>
      </c>
      <c r="F3270" s="28" t="s">
        <v>908</v>
      </c>
      <c r="G3270" s="19" t="n">
        <v>0.034733</v>
      </c>
    </row>
    <row r="3271" customFormat="false" ht="15" hidden="false" customHeight="false" outlineLevel="0" collapsed="false">
      <c r="A3271" s="28" t="s">
        <v>194</v>
      </c>
      <c r="B3271" s="28" t="s">
        <v>195</v>
      </c>
      <c r="C3271" s="28" t="s">
        <v>192</v>
      </c>
      <c r="D3271" s="23" t="n">
        <v>10</v>
      </c>
      <c r="E3271" s="23" t="n">
        <v>8</v>
      </c>
      <c r="F3271" s="28" t="s">
        <v>909</v>
      </c>
      <c r="G3271" s="19" t="n">
        <v>0.034833</v>
      </c>
    </row>
    <row r="3272" customFormat="false" ht="15" hidden="false" customHeight="false" outlineLevel="0" collapsed="false">
      <c r="A3272" s="28" t="s">
        <v>194</v>
      </c>
      <c r="B3272" s="28" t="s">
        <v>195</v>
      </c>
      <c r="C3272" s="28" t="s">
        <v>192</v>
      </c>
      <c r="D3272" s="23" t="n">
        <v>10</v>
      </c>
      <c r="E3272" s="23" t="n">
        <v>8</v>
      </c>
      <c r="F3272" s="28" t="s">
        <v>910</v>
      </c>
      <c r="G3272" s="19" t="n">
        <v>0.035233</v>
      </c>
    </row>
    <row r="3273" customFormat="false" ht="15" hidden="false" customHeight="false" outlineLevel="0" collapsed="false">
      <c r="A3273" s="28" t="s">
        <v>194</v>
      </c>
      <c r="B3273" s="28" t="s">
        <v>195</v>
      </c>
      <c r="C3273" s="28" t="s">
        <v>192</v>
      </c>
      <c r="D3273" s="23" t="n">
        <v>10</v>
      </c>
      <c r="E3273" s="23" t="n">
        <v>8</v>
      </c>
      <c r="F3273" s="28" t="s">
        <v>911</v>
      </c>
      <c r="G3273" s="19" t="n">
        <v>0.036333</v>
      </c>
    </row>
    <row r="3274" customFormat="false" ht="15" hidden="false" customHeight="false" outlineLevel="0" collapsed="false">
      <c r="A3274" s="28" t="s">
        <v>194</v>
      </c>
      <c r="B3274" s="28" t="s">
        <v>195</v>
      </c>
      <c r="C3274" s="28" t="s">
        <v>192</v>
      </c>
      <c r="D3274" s="23" t="n">
        <v>10</v>
      </c>
      <c r="E3274" s="23" t="n">
        <v>8</v>
      </c>
      <c r="F3274" s="28" t="s">
        <v>912</v>
      </c>
      <c r="G3274" s="19" t="n">
        <v>0.037733</v>
      </c>
    </row>
    <row r="3275" customFormat="false" ht="15" hidden="false" customHeight="false" outlineLevel="0" collapsed="false">
      <c r="A3275" s="28" t="s">
        <v>194</v>
      </c>
      <c r="B3275" s="28" t="s">
        <v>195</v>
      </c>
      <c r="C3275" s="28" t="s">
        <v>192</v>
      </c>
      <c r="D3275" s="23" t="n">
        <v>10</v>
      </c>
      <c r="E3275" s="23" t="n">
        <v>8</v>
      </c>
      <c r="F3275" s="28" t="s">
        <v>913</v>
      </c>
      <c r="G3275" s="19" t="n">
        <v>0.042633</v>
      </c>
    </row>
    <row r="3276" customFormat="false" ht="15" hidden="false" customHeight="false" outlineLevel="0" collapsed="false">
      <c r="A3276" s="28" t="s">
        <v>194</v>
      </c>
      <c r="B3276" s="28" t="s">
        <v>195</v>
      </c>
      <c r="C3276" s="28" t="s">
        <v>192</v>
      </c>
      <c r="D3276" s="23" t="n">
        <v>10</v>
      </c>
      <c r="E3276" s="23" t="n">
        <v>8</v>
      </c>
      <c r="F3276" s="28" t="s">
        <v>914</v>
      </c>
      <c r="G3276" s="19" t="n">
        <v>0.042433</v>
      </c>
    </row>
    <row r="3277" customFormat="false" ht="15" hidden="false" customHeight="false" outlineLevel="0" collapsed="false">
      <c r="A3277" s="28" t="s">
        <v>194</v>
      </c>
      <c r="B3277" s="28" t="s">
        <v>195</v>
      </c>
      <c r="C3277" s="28" t="s">
        <v>192</v>
      </c>
      <c r="D3277" s="23" t="n">
        <v>10</v>
      </c>
      <c r="E3277" s="23" t="n">
        <v>8</v>
      </c>
      <c r="F3277" s="28" t="s">
        <v>915</v>
      </c>
      <c r="G3277" s="19" t="n">
        <v>0.058233</v>
      </c>
    </row>
    <row r="3278" customFormat="false" ht="15" hidden="false" customHeight="false" outlineLevel="0" collapsed="false">
      <c r="A3278" s="28" t="s">
        <v>194</v>
      </c>
      <c r="B3278" s="28" t="s">
        <v>195</v>
      </c>
      <c r="C3278" s="28" t="s">
        <v>192</v>
      </c>
      <c r="D3278" s="23" t="n">
        <v>10</v>
      </c>
      <c r="E3278" s="23" t="n">
        <v>9</v>
      </c>
      <c r="F3278" s="28" t="s">
        <v>904</v>
      </c>
      <c r="G3278" s="19" t="n">
        <v>0.0288</v>
      </c>
    </row>
    <row r="3279" customFormat="false" ht="15" hidden="false" customHeight="false" outlineLevel="0" collapsed="false">
      <c r="A3279" s="28" t="s">
        <v>194</v>
      </c>
      <c r="B3279" s="28" t="s">
        <v>195</v>
      </c>
      <c r="C3279" s="28" t="s">
        <v>192</v>
      </c>
      <c r="D3279" s="23" t="n">
        <v>10</v>
      </c>
      <c r="E3279" s="23" t="n">
        <v>9</v>
      </c>
      <c r="F3279" s="28" t="s">
        <v>551</v>
      </c>
      <c r="G3279" s="19" t="n">
        <v>0.06</v>
      </c>
    </row>
    <row r="3280" customFormat="false" ht="15" hidden="false" customHeight="false" outlineLevel="0" collapsed="false">
      <c r="A3280" s="28" t="s">
        <v>194</v>
      </c>
      <c r="B3280" s="28" t="s">
        <v>195</v>
      </c>
      <c r="C3280" s="28" t="s">
        <v>192</v>
      </c>
      <c r="D3280" s="23" t="n">
        <v>10</v>
      </c>
      <c r="E3280" s="23" t="n">
        <v>9</v>
      </c>
      <c r="F3280" s="28" t="s">
        <v>451</v>
      </c>
      <c r="G3280" s="19" t="n">
        <v>0.0286</v>
      </c>
    </row>
    <row r="3281" customFormat="false" ht="15" hidden="false" customHeight="false" outlineLevel="0" collapsed="false">
      <c r="A3281" s="28" t="s">
        <v>194</v>
      </c>
      <c r="B3281" s="28" t="s">
        <v>195</v>
      </c>
      <c r="C3281" s="28" t="s">
        <v>192</v>
      </c>
      <c r="D3281" s="23" t="n">
        <v>10</v>
      </c>
      <c r="E3281" s="23" t="n">
        <v>9</v>
      </c>
      <c r="F3281" s="28" t="s">
        <v>905</v>
      </c>
      <c r="G3281" s="19" t="n">
        <v>0.0312</v>
      </c>
    </row>
    <row r="3282" customFormat="false" ht="15" hidden="false" customHeight="false" outlineLevel="0" collapsed="false">
      <c r="A3282" s="28" t="s">
        <v>194</v>
      </c>
      <c r="B3282" s="28" t="s">
        <v>195</v>
      </c>
      <c r="C3282" s="28" t="s">
        <v>192</v>
      </c>
      <c r="D3282" s="23" t="n">
        <v>10</v>
      </c>
      <c r="E3282" s="23" t="n">
        <v>9</v>
      </c>
      <c r="F3282" s="28" t="s">
        <v>906</v>
      </c>
      <c r="G3282" s="19" t="n">
        <v>0.0326</v>
      </c>
    </row>
    <row r="3283" customFormat="false" ht="15" hidden="false" customHeight="false" outlineLevel="0" collapsed="false">
      <c r="A3283" s="28" t="s">
        <v>194</v>
      </c>
      <c r="B3283" s="28" t="s">
        <v>195</v>
      </c>
      <c r="C3283" s="28" t="s">
        <v>192</v>
      </c>
      <c r="D3283" s="23" t="n">
        <v>10</v>
      </c>
      <c r="E3283" s="23" t="n">
        <v>9</v>
      </c>
      <c r="F3283" s="28" t="s">
        <v>907</v>
      </c>
      <c r="G3283" s="19" t="n">
        <v>0.0323</v>
      </c>
    </row>
    <row r="3284" customFormat="false" ht="15" hidden="false" customHeight="false" outlineLevel="0" collapsed="false">
      <c r="A3284" s="28" t="s">
        <v>194</v>
      </c>
      <c r="B3284" s="28" t="s">
        <v>195</v>
      </c>
      <c r="C3284" s="28" t="s">
        <v>192</v>
      </c>
      <c r="D3284" s="23" t="n">
        <v>10</v>
      </c>
      <c r="E3284" s="23" t="n">
        <v>9</v>
      </c>
      <c r="F3284" s="28" t="s">
        <v>908</v>
      </c>
      <c r="G3284" s="19" t="n">
        <v>0.0339</v>
      </c>
    </row>
    <row r="3285" customFormat="false" ht="15" hidden="false" customHeight="false" outlineLevel="0" collapsed="false">
      <c r="A3285" s="28" t="s">
        <v>194</v>
      </c>
      <c r="B3285" s="28" t="s">
        <v>195</v>
      </c>
      <c r="C3285" s="28" t="s">
        <v>192</v>
      </c>
      <c r="D3285" s="23" t="n">
        <v>10</v>
      </c>
      <c r="E3285" s="23" t="n">
        <v>9</v>
      </c>
      <c r="F3285" s="28" t="s">
        <v>909</v>
      </c>
      <c r="G3285" s="19" t="n">
        <v>0.034</v>
      </c>
    </row>
    <row r="3286" customFormat="false" ht="15" hidden="false" customHeight="false" outlineLevel="0" collapsed="false">
      <c r="A3286" s="28" t="s">
        <v>194</v>
      </c>
      <c r="B3286" s="28" t="s">
        <v>195</v>
      </c>
      <c r="C3286" s="28" t="s">
        <v>192</v>
      </c>
      <c r="D3286" s="23" t="n">
        <v>10</v>
      </c>
      <c r="E3286" s="23" t="n">
        <v>9</v>
      </c>
      <c r="F3286" s="28" t="s">
        <v>910</v>
      </c>
      <c r="G3286" s="19" t="n">
        <v>0.0344</v>
      </c>
    </row>
    <row r="3287" customFormat="false" ht="15" hidden="false" customHeight="false" outlineLevel="0" collapsed="false">
      <c r="A3287" s="28" t="s">
        <v>194</v>
      </c>
      <c r="B3287" s="28" t="s">
        <v>195</v>
      </c>
      <c r="C3287" s="28" t="s">
        <v>192</v>
      </c>
      <c r="D3287" s="23" t="n">
        <v>10</v>
      </c>
      <c r="E3287" s="23" t="n">
        <v>9</v>
      </c>
      <c r="F3287" s="28" t="s">
        <v>911</v>
      </c>
      <c r="G3287" s="19" t="n">
        <v>0.0355</v>
      </c>
    </row>
    <row r="3288" customFormat="false" ht="15" hidden="false" customHeight="false" outlineLevel="0" collapsed="false">
      <c r="A3288" s="28" t="s">
        <v>194</v>
      </c>
      <c r="B3288" s="28" t="s">
        <v>195</v>
      </c>
      <c r="C3288" s="28" t="s">
        <v>192</v>
      </c>
      <c r="D3288" s="23" t="n">
        <v>10</v>
      </c>
      <c r="E3288" s="23" t="n">
        <v>9</v>
      </c>
      <c r="F3288" s="28" t="s">
        <v>912</v>
      </c>
      <c r="G3288" s="19" t="n">
        <v>0.0369</v>
      </c>
    </row>
    <row r="3289" customFormat="false" ht="15" hidden="false" customHeight="false" outlineLevel="0" collapsed="false">
      <c r="A3289" s="28" t="s">
        <v>194</v>
      </c>
      <c r="B3289" s="28" t="s">
        <v>195</v>
      </c>
      <c r="C3289" s="28" t="s">
        <v>192</v>
      </c>
      <c r="D3289" s="23" t="n">
        <v>10</v>
      </c>
      <c r="E3289" s="23" t="n">
        <v>9</v>
      </c>
      <c r="F3289" s="28" t="s">
        <v>913</v>
      </c>
      <c r="G3289" s="19" t="n">
        <v>0.0418</v>
      </c>
    </row>
    <row r="3290" customFormat="false" ht="15" hidden="false" customHeight="false" outlineLevel="0" collapsed="false">
      <c r="A3290" s="28" t="s">
        <v>194</v>
      </c>
      <c r="B3290" s="28" t="s">
        <v>195</v>
      </c>
      <c r="C3290" s="28" t="s">
        <v>192</v>
      </c>
      <c r="D3290" s="23" t="n">
        <v>10</v>
      </c>
      <c r="E3290" s="23" t="n">
        <v>9</v>
      </c>
      <c r="F3290" s="28" t="s">
        <v>914</v>
      </c>
      <c r="G3290" s="19" t="n">
        <v>0.0416</v>
      </c>
    </row>
    <row r="3291" customFormat="false" ht="15" hidden="false" customHeight="false" outlineLevel="0" collapsed="false">
      <c r="A3291" s="28" t="s">
        <v>194</v>
      </c>
      <c r="B3291" s="28" t="s">
        <v>195</v>
      </c>
      <c r="C3291" s="28" t="s">
        <v>192</v>
      </c>
      <c r="D3291" s="23" t="n">
        <v>10</v>
      </c>
      <c r="E3291" s="23" t="n">
        <v>9</v>
      </c>
      <c r="F3291" s="28" t="s">
        <v>915</v>
      </c>
      <c r="G3291" s="19" t="n">
        <v>0.0574</v>
      </c>
    </row>
    <row r="3292" customFormat="false" ht="15" hidden="false" customHeight="false" outlineLevel="0" collapsed="false">
      <c r="A3292" s="28" t="s">
        <v>194</v>
      </c>
      <c r="B3292" s="28" t="s">
        <v>195</v>
      </c>
      <c r="C3292" s="28" t="s">
        <v>192</v>
      </c>
      <c r="D3292" s="23" t="n">
        <v>10</v>
      </c>
      <c r="E3292" s="23" t="n">
        <v>10</v>
      </c>
      <c r="F3292" s="28" t="s">
        <v>904</v>
      </c>
      <c r="G3292" s="19" t="n">
        <v>0.027967</v>
      </c>
    </row>
    <row r="3293" customFormat="false" ht="15" hidden="false" customHeight="false" outlineLevel="0" collapsed="false">
      <c r="A3293" s="28" t="s">
        <v>194</v>
      </c>
      <c r="B3293" s="28" t="s">
        <v>195</v>
      </c>
      <c r="C3293" s="28" t="s">
        <v>192</v>
      </c>
      <c r="D3293" s="23" t="n">
        <v>10</v>
      </c>
      <c r="E3293" s="23" t="n">
        <v>10</v>
      </c>
      <c r="F3293" s="28" t="s">
        <v>551</v>
      </c>
      <c r="G3293" s="19" t="n">
        <v>0.059167</v>
      </c>
    </row>
    <row r="3294" customFormat="false" ht="15" hidden="false" customHeight="false" outlineLevel="0" collapsed="false">
      <c r="A3294" s="28" t="s">
        <v>194</v>
      </c>
      <c r="B3294" s="28" t="s">
        <v>195</v>
      </c>
      <c r="C3294" s="28" t="s">
        <v>192</v>
      </c>
      <c r="D3294" s="23" t="n">
        <v>10</v>
      </c>
      <c r="E3294" s="23" t="n">
        <v>10</v>
      </c>
      <c r="F3294" s="28" t="s">
        <v>451</v>
      </c>
      <c r="G3294" s="19" t="n">
        <v>0.027767</v>
      </c>
    </row>
    <row r="3295" customFormat="false" ht="15" hidden="false" customHeight="false" outlineLevel="0" collapsed="false">
      <c r="A3295" s="28" t="s">
        <v>194</v>
      </c>
      <c r="B3295" s="28" t="s">
        <v>195</v>
      </c>
      <c r="C3295" s="28" t="s">
        <v>192</v>
      </c>
      <c r="D3295" s="23" t="n">
        <v>10</v>
      </c>
      <c r="E3295" s="23" t="n">
        <v>10</v>
      </c>
      <c r="F3295" s="28" t="s">
        <v>905</v>
      </c>
      <c r="G3295" s="19" t="n">
        <v>0.030367</v>
      </c>
    </row>
    <row r="3296" customFormat="false" ht="15" hidden="false" customHeight="false" outlineLevel="0" collapsed="false">
      <c r="A3296" s="28" t="s">
        <v>194</v>
      </c>
      <c r="B3296" s="28" t="s">
        <v>195</v>
      </c>
      <c r="C3296" s="28" t="s">
        <v>192</v>
      </c>
      <c r="D3296" s="23" t="n">
        <v>10</v>
      </c>
      <c r="E3296" s="23" t="n">
        <v>10</v>
      </c>
      <c r="F3296" s="28" t="s">
        <v>906</v>
      </c>
      <c r="G3296" s="19" t="n">
        <v>0.031767</v>
      </c>
    </row>
    <row r="3297" customFormat="false" ht="15" hidden="false" customHeight="false" outlineLevel="0" collapsed="false">
      <c r="A3297" s="28" t="s">
        <v>194</v>
      </c>
      <c r="B3297" s="28" t="s">
        <v>195</v>
      </c>
      <c r="C3297" s="28" t="s">
        <v>192</v>
      </c>
      <c r="D3297" s="23" t="n">
        <v>10</v>
      </c>
      <c r="E3297" s="23" t="n">
        <v>10</v>
      </c>
      <c r="F3297" s="28" t="s">
        <v>907</v>
      </c>
      <c r="G3297" s="19" t="n">
        <v>0.031467</v>
      </c>
    </row>
    <row r="3298" customFormat="false" ht="15" hidden="false" customHeight="false" outlineLevel="0" collapsed="false">
      <c r="A3298" s="28" t="s">
        <v>194</v>
      </c>
      <c r="B3298" s="28" t="s">
        <v>195</v>
      </c>
      <c r="C3298" s="28" t="s">
        <v>192</v>
      </c>
      <c r="D3298" s="23" t="n">
        <v>10</v>
      </c>
      <c r="E3298" s="23" t="n">
        <v>10</v>
      </c>
      <c r="F3298" s="28" t="s">
        <v>908</v>
      </c>
      <c r="G3298" s="19" t="n">
        <v>0.033067</v>
      </c>
    </row>
    <row r="3299" customFormat="false" ht="15" hidden="false" customHeight="false" outlineLevel="0" collapsed="false">
      <c r="A3299" s="28" t="s">
        <v>194</v>
      </c>
      <c r="B3299" s="28" t="s">
        <v>195</v>
      </c>
      <c r="C3299" s="28" t="s">
        <v>192</v>
      </c>
      <c r="D3299" s="23" t="n">
        <v>10</v>
      </c>
      <c r="E3299" s="23" t="n">
        <v>10</v>
      </c>
      <c r="F3299" s="28" t="s">
        <v>909</v>
      </c>
      <c r="G3299" s="19" t="n">
        <v>0.033167</v>
      </c>
    </row>
    <row r="3300" customFormat="false" ht="15" hidden="false" customHeight="false" outlineLevel="0" collapsed="false">
      <c r="A3300" s="28" t="s">
        <v>194</v>
      </c>
      <c r="B3300" s="28" t="s">
        <v>195</v>
      </c>
      <c r="C3300" s="28" t="s">
        <v>192</v>
      </c>
      <c r="D3300" s="23" t="n">
        <v>10</v>
      </c>
      <c r="E3300" s="23" t="n">
        <v>10</v>
      </c>
      <c r="F3300" s="28" t="s">
        <v>910</v>
      </c>
      <c r="G3300" s="19" t="n">
        <v>0.033567</v>
      </c>
    </row>
    <row r="3301" customFormat="false" ht="15" hidden="false" customHeight="false" outlineLevel="0" collapsed="false">
      <c r="A3301" s="28" t="s">
        <v>194</v>
      </c>
      <c r="B3301" s="28" t="s">
        <v>195</v>
      </c>
      <c r="C3301" s="28" t="s">
        <v>192</v>
      </c>
      <c r="D3301" s="23" t="n">
        <v>10</v>
      </c>
      <c r="E3301" s="23" t="n">
        <v>10</v>
      </c>
      <c r="F3301" s="28" t="s">
        <v>911</v>
      </c>
      <c r="G3301" s="19" t="n">
        <v>0.034667</v>
      </c>
    </row>
    <row r="3302" customFormat="false" ht="15" hidden="false" customHeight="false" outlineLevel="0" collapsed="false">
      <c r="A3302" s="28" t="s">
        <v>194</v>
      </c>
      <c r="B3302" s="28" t="s">
        <v>195</v>
      </c>
      <c r="C3302" s="28" t="s">
        <v>192</v>
      </c>
      <c r="D3302" s="23" t="n">
        <v>10</v>
      </c>
      <c r="E3302" s="23" t="n">
        <v>10</v>
      </c>
      <c r="F3302" s="28" t="s">
        <v>912</v>
      </c>
      <c r="G3302" s="19" t="n">
        <v>0.036067</v>
      </c>
    </row>
    <row r="3303" customFormat="false" ht="15" hidden="false" customHeight="false" outlineLevel="0" collapsed="false">
      <c r="A3303" s="28" t="s">
        <v>194</v>
      </c>
      <c r="B3303" s="28" t="s">
        <v>195</v>
      </c>
      <c r="C3303" s="28" t="s">
        <v>192</v>
      </c>
      <c r="D3303" s="23" t="n">
        <v>10</v>
      </c>
      <c r="E3303" s="23" t="n">
        <v>10</v>
      </c>
      <c r="F3303" s="28" t="s">
        <v>913</v>
      </c>
      <c r="G3303" s="19" t="n">
        <v>0.040967</v>
      </c>
    </row>
    <row r="3304" customFormat="false" ht="15" hidden="false" customHeight="false" outlineLevel="0" collapsed="false">
      <c r="A3304" s="28" t="s">
        <v>194</v>
      </c>
      <c r="B3304" s="28" t="s">
        <v>195</v>
      </c>
      <c r="C3304" s="28" t="s">
        <v>192</v>
      </c>
      <c r="D3304" s="23" t="n">
        <v>10</v>
      </c>
      <c r="E3304" s="23" t="n">
        <v>10</v>
      </c>
      <c r="F3304" s="28" t="s">
        <v>914</v>
      </c>
      <c r="G3304" s="19" t="n">
        <v>0.040767</v>
      </c>
    </row>
    <row r="3305" customFormat="false" ht="15" hidden="false" customHeight="false" outlineLevel="0" collapsed="false">
      <c r="A3305" s="28" t="s">
        <v>194</v>
      </c>
      <c r="B3305" s="28" t="s">
        <v>195</v>
      </c>
      <c r="C3305" s="28" t="s">
        <v>192</v>
      </c>
      <c r="D3305" s="23" t="n">
        <v>10</v>
      </c>
      <c r="E3305" s="23" t="n">
        <v>10</v>
      </c>
      <c r="F3305" s="28" t="s">
        <v>915</v>
      </c>
      <c r="G3305" s="19" t="n">
        <v>0.056567</v>
      </c>
    </row>
    <row r="3306" customFormat="false" ht="15" hidden="false" customHeight="false" outlineLevel="0" collapsed="false">
      <c r="A3306" s="28" t="s">
        <v>194</v>
      </c>
      <c r="B3306" s="28" t="s">
        <v>195</v>
      </c>
      <c r="C3306" s="28" t="s">
        <v>192</v>
      </c>
      <c r="D3306" s="23" t="n">
        <v>10</v>
      </c>
      <c r="E3306" s="23" t="n">
        <v>11</v>
      </c>
      <c r="F3306" s="28" t="s">
        <v>904</v>
      </c>
      <c r="G3306" s="19" t="n">
        <v>0.027133</v>
      </c>
    </row>
    <row r="3307" customFormat="false" ht="15" hidden="false" customHeight="false" outlineLevel="0" collapsed="false">
      <c r="A3307" s="28" t="s">
        <v>194</v>
      </c>
      <c r="B3307" s="28" t="s">
        <v>195</v>
      </c>
      <c r="C3307" s="28" t="s">
        <v>192</v>
      </c>
      <c r="D3307" s="23" t="n">
        <v>10</v>
      </c>
      <c r="E3307" s="23" t="n">
        <v>11</v>
      </c>
      <c r="F3307" s="28" t="s">
        <v>551</v>
      </c>
      <c r="G3307" s="19" t="n">
        <v>0.058333</v>
      </c>
    </row>
    <row r="3308" customFormat="false" ht="15" hidden="false" customHeight="false" outlineLevel="0" collapsed="false">
      <c r="A3308" s="28" t="s">
        <v>194</v>
      </c>
      <c r="B3308" s="28" t="s">
        <v>195</v>
      </c>
      <c r="C3308" s="28" t="s">
        <v>192</v>
      </c>
      <c r="D3308" s="23" t="n">
        <v>10</v>
      </c>
      <c r="E3308" s="23" t="n">
        <v>11</v>
      </c>
      <c r="F3308" s="28" t="s">
        <v>451</v>
      </c>
      <c r="G3308" s="19" t="n">
        <v>0.026933</v>
      </c>
    </row>
    <row r="3309" customFormat="false" ht="15" hidden="false" customHeight="false" outlineLevel="0" collapsed="false">
      <c r="A3309" s="28" t="s">
        <v>194</v>
      </c>
      <c r="B3309" s="28" t="s">
        <v>195</v>
      </c>
      <c r="C3309" s="28" t="s">
        <v>192</v>
      </c>
      <c r="D3309" s="23" t="n">
        <v>10</v>
      </c>
      <c r="E3309" s="23" t="n">
        <v>11</v>
      </c>
      <c r="F3309" s="28" t="s">
        <v>905</v>
      </c>
      <c r="G3309" s="19" t="n">
        <v>0.029533</v>
      </c>
    </row>
    <row r="3310" customFormat="false" ht="15" hidden="false" customHeight="false" outlineLevel="0" collapsed="false">
      <c r="A3310" s="28" t="s">
        <v>194</v>
      </c>
      <c r="B3310" s="28" t="s">
        <v>195</v>
      </c>
      <c r="C3310" s="28" t="s">
        <v>192</v>
      </c>
      <c r="D3310" s="23" t="n">
        <v>10</v>
      </c>
      <c r="E3310" s="23" t="n">
        <v>11</v>
      </c>
      <c r="F3310" s="28" t="s">
        <v>906</v>
      </c>
      <c r="G3310" s="19" t="n">
        <v>0.030933</v>
      </c>
    </row>
    <row r="3311" customFormat="false" ht="15" hidden="false" customHeight="false" outlineLevel="0" collapsed="false">
      <c r="A3311" s="28" t="s">
        <v>194</v>
      </c>
      <c r="B3311" s="28" t="s">
        <v>195</v>
      </c>
      <c r="C3311" s="28" t="s">
        <v>192</v>
      </c>
      <c r="D3311" s="23" t="n">
        <v>10</v>
      </c>
      <c r="E3311" s="23" t="n">
        <v>11</v>
      </c>
      <c r="F3311" s="28" t="s">
        <v>907</v>
      </c>
      <c r="G3311" s="19" t="n">
        <v>0.030633</v>
      </c>
    </row>
    <row r="3312" customFormat="false" ht="15" hidden="false" customHeight="false" outlineLevel="0" collapsed="false">
      <c r="A3312" s="28" t="s">
        <v>194</v>
      </c>
      <c r="B3312" s="28" t="s">
        <v>195</v>
      </c>
      <c r="C3312" s="28" t="s">
        <v>192</v>
      </c>
      <c r="D3312" s="23" t="n">
        <v>10</v>
      </c>
      <c r="E3312" s="23" t="n">
        <v>11</v>
      </c>
      <c r="F3312" s="28" t="s">
        <v>908</v>
      </c>
      <c r="G3312" s="19" t="n">
        <v>0.032233</v>
      </c>
    </row>
    <row r="3313" customFormat="false" ht="15" hidden="false" customHeight="false" outlineLevel="0" collapsed="false">
      <c r="A3313" s="28" t="s">
        <v>194</v>
      </c>
      <c r="B3313" s="28" t="s">
        <v>195</v>
      </c>
      <c r="C3313" s="28" t="s">
        <v>192</v>
      </c>
      <c r="D3313" s="23" t="n">
        <v>10</v>
      </c>
      <c r="E3313" s="23" t="n">
        <v>11</v>
      </c>
      <c r="F3313" s="28" t="s">
        <v>909</v>
      </c>
      <c r="G3313" s="19" t="n">
        <v>0.032333</v>
      </c>
    </row>
    <row r="3314" customFormat="false" ht="15" hidden="false" customHeight="false" outlineLevel="0" collapsed="false">
      <c r="A3314" s="28" t="s">
        <v>194</v>
      </c>
      <c r="B3314" s="28" t="s">
        <v>195</v>
      </c>
      <c r="C3314" s="28" t="s">
        <v>192</v>
      </c>
      <c r="D3314" s="23" t="n">
        <v>10</v>
      </c>
      <c r="E3314" s="23" t="n">
        <v>11</v>
      </c>
      <c r="F3314" s="28" t="s">
        <v>910</v>
      </c>
      <c r="G3314" s="19" t="n">
        <v>0.032733</v>
      </c>
    </row>
    <row r="3315" customFormat="false" ht="15" hidden="false" customHeight="false" outlineLevel="0" collapsed="false">
      <c r="A3315" s="28" t="s">
        <v>194</v>
      </c>
      <c r="B3315" s="28" t="s">
        <v>195</v>
      </c>
      <c r="C3315" s="28" t="s">
        <v>192</v>
      </c>
      <c r="D3315" s="23" t="n">
        <v>10</v>
      </c>
      <c r="E3315" s="23" t="n">
        <v>11</v>
      </c>
      <c r="F3315" s="28" t="s">
        <v>911</v>
      </c>
      <c r="G3315" s="19" t="n">
        <v>0.033833</v>
      </c>
    </row>
    <row r="3316" customFormat="false" ht="15" hidden="false" customHeight="false" outlineLevel="0" collapsed="false">
      <c r="A3316" s="28" t="s">
        <v>194</v>
      </c>
      <c r="B3316" s="28" t="s">
        <v>195</v>
      </c>
      <c r="C3316" s="28" t="s">
        <v>192</v>
      </c>
      <c r="D3316" s="23" t="n">
        <v>10</v>
      </c>
      <c r="E3316" s="23" t="n">
        <v>11</v>
      </c>
      <c r="F3316" s="28" t="s">
        <v>912</v>
      </c>
      <c r="G3316" s="19" t="n">
        <v>0.035233</v>
      </c>
    </row>
    <row r="3317" customFormat="false" ht="15" hidden="false" customHeight="false" outlineLevel="0" collapsed="false">
      <c r="A3317" s="28" t="s">
        <v>194</v>
      </c>
      <c r="B3317" s="28" t="s">
        <v>195</v>
      </c>
      <c r="C3317" s="28" t="s">
        <v>192</v>
      </c>
      <c r="D3317" s="23" t="n">
        <v>10</v>
      </c>
      <c r="E3317" s="23" t="n">
        <v>11</v>
      </c>
      <c r="F3317" s="28" t="s">
        <v>913</v>
      </c>
      <c r="G3317" s="19" t="n">
        <v>0.040133</v>
      </c>
    </row>
    <row r="3318" customFormat="false" ht="15" hidden="false" customHeight="false" outlineLevel="0" collapsed="false">
      <c r="A3318" s="28" t="s">
        <v>194</v>
      </c>
      <c r="B3318" s="28" t="s">
        <v>195</v>
      </c>
      <c r="C3318" s="28" t="s">
        <v>192</v>
      </c>
      <c r="D3318" s="23" t="n">
        <v>10</v>
      </c>
      <c r="E3318" s="23" t="n">
        <v>11</v>
      </c>
      <c r="F3318" s="28" t="s">
        <v>914</v>
      </c>
      <c r="G3318" s="19" t="n">
        <v>0.039933</v>
      </c>
    </row>
    <row r="3319" customFormat="false" ht="15" hidden="false" customHeight="false" outlineLevel="0" collapsed="false">
      <c r="A3319" s="28" t="s">
        <v>194</v>
      </c>
      <c r="B3319" s="28" t="s">
        <v>195</v>
      </c>
      <c r="C3319" s="28" t="s">
        <v>192</v>
      </c>
      <c r="D3319" s="23" t="n">
        <v>10</v>
      </c>
      <c r="E3319" s="23" t="n">
        <v>11</v>
      </c>
      <c r="F3319" s="28" t="s">
        <v>915</v>
      </c>
      <c r="G3319" s="19" t="n">
        <v>0.055733</v>
      </c>
    </row>
    <row r="3320" customFormat="false" ht="15" hidden="false" customHeight="false" outlineLevel="0" collapsed="false">
      <c r="A3320" s="28" t="s">
        <v>194</v>
      </c>
      <c r="B3320" s="28" t="s">
        <v>195</v>
      </c>
      <c r="C3320" s="28" t="s">
        <v>192</v>
      </c>
      <c r="D3320" s="23" t="n">
        <v>10</v>
      </c>
      <c r="E3320" s="23" t="n">
        <v>12</v>
      </c>
      <c r="F3320" s="28" t="s">
        <v>904</v>
      </c>
      <c r="G3320" s="19" t="n">
        <v>0.0263</v>
      </c>
    </row>
    <row r="3321" customFormat="false" ht="15" hidden="false" customHeight="false" outlineLevel="0" collapsed="false">
      <c r="A3321" s="28" t="s">
        <v>194</v>
      </c>
      <c r="B3321" s="28" t="s">
        <v>195</v>
      </c>
      <c r="C3321" s="28" t="s">
        <v>192</v>
      </c>
      <c r="D3321" s="23" t="n">
        <v>10</v>
      </c>
      <c r="E3321" s="23" t="n">
        <v>12</v>
      </c>
      <c r="F3321" s="28" t="s">
        <v>551</v>
      </c>
      <c r="G3321" s="19" t="n">
        <v>0.0575</v>
      </c>
    </row>
    <row r="3322" customFormat="false" ht="15" hidden="false" customHeight="false" outlineLevel="0" collapsed="false">
      <c r="A3322" s="28" t="s">
        <v>194</v>
      </c>
      <c r="B3322" s="28" t="s">
        <v>195</v>
      </c>
      <c r="C3322" s="28" t="s">
        <v>192</v>
      </c>
      <c r="D3322" s="23" t="n">
        <v>10</v>
      </c>
      <c r="E3322" s="23" t="n">
        <v>12</v>
      </c>
      <c r="F3322" s="28" t="s">
        <v>451</v>
      </c>
      <c r="G3322" s="19" t="n">
        <v>0.0261</v>
      </c>
    </row>
    <row r="3323" customFormat="false" ht="15" hidden="false" customHeight="false" outlineLevel="0" collapsed="false">
      <c r="A3323" s="28" t="s">
        <v>194</v>
      </c>
      <c r="B3323" s="28" t="s">
        <v>195</v>
      </c>
      <c r="C3323" s="28" t="s">
        <v>192</v>
      </c>
      <c r="D3323" s="23" t="n">
        <v>10</v>
      </c>
      <c r="E3323" s="23" t="n">
        <v>12</v>
      </c>
      <c r="F3323" s="28" t="s">
        <v>905</v>
      </c>
      <c r="G3323" s="19" t="n">
        <v>0.0287</v>
      </c>
    </row>
    <row r="3324" customFormat="false" ht="15" hidden="false" customHeight="false" outlineLevel="0" collapsed="false">
      <c r="A3324" s="28" t="s">
        <v>194</v>
      </c>
      <c r="B3324" s="28" t="s">
        <v>195</v>
      </c>
      <c r="C3324" s="28" t="s">
        <v>192</v>
      </c>
      <c r="D3324" s="23" t="n">
        <v>10</v>
      </c>
      <c r="E3324" s="23" t="n">
        <v>12</v>
      </c>
      <c r="F3324" s="28" t="s">
        <v>906</v>
      </c>
      <c r="G3324" s="19" t="n">
        <v>0.0301</v>
      </c>
    </row>
    <row r="3325" customFormat="false" ht="15" hidden="false" customHeight="false" outlineLevel="0" collapsed="false">
      <c r="A3325" s="28" t="s">
        <v>194</v>
      </c>
      <c r="B3325" s="28" t="s">
        <v>195</v>
      </c>
      <c r="C3325" s="28" t="s">
        <v>192</v>
      </c>
      <c r="D3325" s="23" t="n">
        <v>10</v>
      </c>
      <c r="E3325" s="23" t="n">
        <v>12</v>
      </c>
      <c r="F3325" s="28" t="s">
        <v>907</v>
      </c>
      <c r="G3325" s="19" t="n">
        <v>0.0298</v>
      </c>
    </row>
    <row r="3326" customFormat="false" ht="15" hidden="false" customHeight="false" outlineLevel="0" collapsed="false">
      <c r="A3326" s="28" t="s">
        <v>194</v>
      </c>
      <c r="B3326" s="28" t="s">
        <v>195</v>
      </c>
      <c r="C3326" s="28" t="s">
        <v>192</v>
      </c>
      <c r="D3326" s="23" t="n">
        <v>10</v>
      </c>
      <c r="E3326" s="23" t="n">
        <v>12</v>
      </c>
      <c r="F3326" s="28" t="s">
        <v>908</v>
      </c>
      <c r="G3326" s="19" t="n">
        <v>0.0314</v>
      </c>
    </row>
    <row r="3327" customFormat="false" ht="15" hidden="false" customHeight="false" outlineLevel="0" collapsed="false">
      <c r="A3327" s="28" t="s">
        <v>194</v>
      </c>
      <c r="B3327" s="28" t="s">
        <v>195</v>
      </c>
      <c r="C3327" s="28" t="s">
        <v>192</v>
      </c>
      <c r="D3327" s="23" t="n">
        <v>10</v>
      </c>
      <c r="E3327" s="23" t="n">
        <v>12</v>
      </c>
      <c r="F3327" s="28" t="s">
        <v>909</v>
      </c>
      <c r="G3327" s="19" t="n">
        <v>0.0315</v>
      </c>
    </row>
    <row r="3328" customFormat="false" ht="15" hidden="false" customHeight="false" outlineLevel="0" collapsed="false">
      <c r="A3328" s="28" t="s">
        <v>194</v>
      </c>
      <c r="B3328" s="28" t="s">
        <v>195</v>
      </c>
      <c r="C3328" s="28" t="s">
        <v>192</v>
      </c>
      <c r="D3328" s="23" t="n">
        <v>10</v>
      </c>
      <c r="E3328" s="23" t="n">
        <v>12</v>
      </c>
      <c r="F3328" s="28" t="s">
        <v>910</v>
      </c>
      <c r="G3328" s="19" t="n">
        <v>0.0319</v>
      </c>
    </row>
    <row r="3329" customFormat="false" ht="15" hidden="false" customHeight="false" outlineLevel="0" collapsed="false">
      <c r="A3329" s="28" t="s">
        <v>194</v>
      </c>
      <c r="B3329" s="28" t="s">
        <v>195</v>
      </c>
      <c r="C3329" s="28" t="s">
        <v>192</v>
      </c>
      <c r="D3329" s="23" t="n">
        <v>10</v>
      </c>
      <c r="E3329" s="23" t="n">
        <v>12</v>
      </c>
      <c r="F3329" s="28" t="s">
        <v>911</v>
      </c>
      <c r="G3329" s="19" t="n">
        <v>0.033</v>
      </c>
    </row>
    <row r="3330" customFormat="false" ht="15" hidden="false" customHeight="false" outlineLevel="0" collapsed="false">
      <c r="A3330" s="28" t="s">
        <v>194</v>
      </c>
      <c r="B3330" s="28" t="s">
        <v>195</v>
      </c>
      <c r="C3330" s="28" t="s">
        <v>192</v>
      </c>
      <c r="D3330" s="23" t="n">
        <v>10</v>
      </c>
      <c r="E3330" s="23" t="n">
        <v>12</v>
      </c>
      <c r="F3330" s="28" t="s">
        <v>912</v>
      </c>
      <c r="G3330" s="19" t="n">
        <v>0.0344</v>
      </c>
    </row>
    <row r="3331" customFormat="false" ht="15" hidden="false" customHeight="false" outlineLevel="0" collapsed="false">
      <c r="A3331" s="28" t="s">
        <v>194</v>
      </c>
      <c r="B3331" s="28" t="s">
        <v>195</v>
      </c>
      <c r="C3331" s="28" t="s">
        <v>192</v>
      </c>
      <c r="D3331" s="23" t="n">
        <v>10</v>
      </c>
      <c r="E3331" s="23" t="n">
        <v>12</v>
      </c>
      <c r="F3331" s="28" t="s">
        <v>913</v>
      </c>
      <c r="G3331" s="19" t="n">
        <v>0.0393</v>
      </c>
    </row>
    <row r="3332" customFormat="false" ht="15" hidden="false" customHeight="false" outlineLevel="0" collapsed="false">
      <c r="A3332" s="28" t="s">
        <v>194</v>
      </c>
      <c r="B3332" s="28" t="s">
        <v>195</v>
      </c>
      <c r="C3332" s="28" t="s">
        <v>192</v>
      </c>
      <c r="D3332" s="23" t="n">
        <v>10</v>
      </c>
      <c r="E3332" s="23" t="n">
        <v>12</v>
      </c>
      <c r="F3332" s="28" t="s">
        <v>914</v>
      </c>
      <c r="G3332" s="19" t="n">
        <v>0.0391</v>
      </c>
    </row>
    <row r="3333" customFormat="false" ht="15" hidden="false" customHeight="false" outlineLevel="0" collapsed="false">
      <c r="A3333" s="28" t="s">
        <v>194</v>
      </c>
      <c r="B3333" s="28" t="s">
        <v>195</v>
      </c>
      <c r="C3333" s="28" t="s">
        <v>192</v>
      </c>
      <c r="D3333" s="23" t="n">
        <v>10</v>
      </c>
      <c r="E3333" s="23" t="n">
        <v>12</v>
      </c>
      <c r="F3333" s="28" t="s">
        <v>915</v>
      </c>
      <c r="G3333" s="19" t="n">
        <v>0.0549</v>
      </c>
    </row>
    <row r="3334" customFormat="false" ht="15" hidden="false" customHeight="false" outlineLevel="0" collapsed="false">
      <c r="A3334" s="28" t="s">
        <v>194</v>
      </c>
      <c r="B3334" s="28" t="s">
        <v>195</v>
      </c>
      <c r="C3334" s="28" t="s">
        <v>192</v>
      </c>
      <c r="D3334" s="23" t="n">
        <v>10</v>
      </c>
      <c r="E3334" s="23" t="n">
        <v>13</v>
      </c>
      <c r="F3334" s="28" t="s">
        <v>904</v>
      </c>
      <c r="G3334" s="19" t="n">
        <v>0.0263</v>
      </c>
    </row>
    <row r="3335" customFormat="false" ht="15" hidden="false" customHeight="false" outlineLevel="0" collapsed="false">
      <c r="A3335" s="28" t="s">
        <v>194</v>
      </c>
      <c r="B3335" s="28" t="s">
        <v>195</v>
      </c>
      <c r="C3335" s="28" t="s">
        <v>192</v>
      </c>
      <c r="D3335" s="23" t="n">
        <v>10</v>
      </c>
      <c r="E3335" s="23" t="n">
        <v>13</v>
      </c>
      <c r="F3335" s="28" t="s">
        <v>551</v>
      </c>
      <c r="G3335" s="19" t="n">
        <v>0.0575</v>
      </c>
    </row>
    <row r="3336" customFormat="false" ht="15" hidden="false" customHeight="false" outlineLevel="0" collapsed="false">
      <c r="A3336" s="28" t="s">
        <v>194</v>
      </c>
      <c r="B3336" s="28" t="s">
        <v>195</v>
      </c>
      <c r="C3336" s="28" t="s">
        <v>192</v>
      </c>
      <c r="D3336" s="23" t="n">
        <v>10</v>
      </c>
      <c r="E3336" s="23" t="n">
        <v>13</v>
      </c>
      <c r="F3336" s="28" t="s">
        <v>451</v>
      </c>
      <c r="G3336" s="19" t="n">
        <v>0.0261</v>
      </c>
    </row>
    <row r="3337" customFormat="false" ht="15" hidden="false" customHeight="false" outlineLevel="0" collapsed="false">
      <c r="A3337" s="28" t="s">
        <v>194</v>
      </c>
      <c r="B3337" s="28" t="s">
        <v>195</v>
      </c>
      <c r="C3337" s="28" t="s">
        <v>192</v>
      </c>
      <c r="D3337" s="23" t="n">
        <v>10</v>
      </c>
      <c r="E3337" s="23" t="n">
        <v>13</v>
      </c>
      <c r="F3337" s="28" t="s">
        <v>905</v>
      </c>
      <c r="G3337" s="19" t="n">
        <v>0.0287</v>
      </c>
    </row>
    <row r="3338" customFormat="false" ht="15" hidden="false" customHeight="false" outlineLevel="0" collapsed="false">
      <c r="A3338" s="28" t="s">
        <v>194</v>
      </c>
      <c r="B3338" s="28" t="s">
        <v>195</v>
      </c>
      <c r="C3338" s="28" t="s">
        <v>192</v>
      </c>
      <c r="D3338" s="23" t="n">
        <v>10</v>
      </c>
      <c r="E3338" s="23" t="n">
        <v>13</v>
      </c>
      <c r="F3338" s="28" t="s">
        <v>906</v>
      </c>
      <c r="G3338" s="19" t="n">
        <v>0.0301</v>
      </c>
    </row>
    <row r="3339" customFormat="false" ht="15" hidden="false" customHeight="false" outlineLevel="0" collapsed="false">
      <c r="A3339" s="28" t="s">
        <v>194</v>
      </c>
      <c r="B3339" s="28" t="s">
        <v>195</v>
      </c>
      <c r="C3339" s="28" t="s">
        <v>192</v>
      </c>
      <c r="D3339" s="23" t="n">
        <v>10</v>
      </c>
      <c r="E3339" s="23" t="n">
        <v>13</v>
      </c>
      <c r="F3339" s="28" t="s">
        <v>907</v>
      </c>
      <c r="G3339" s="19" t="n">
        <v>0.0298</v>
      </c>
    </row>
    <row r="3340" customFormat="false" ht="15" hidden="false" customHeight="false" outlineLevel="0" collapsed="false">
      <c r="A3340" s="28" t="s">
        <v>194</v>
      </c>
      <c r="B3340" s="28" t="s">
        <v>195</v>
      </c>
      <c r="C3340" s="28" t="s">
        <v>192</v>
      </c>
      <c r="D3340" s="23" t="n">
        <v>10</v>
      </c>
      <c r="E3340" s="23" t="n">
        <v>13</v>
      </c>
      <c r="F3340" s="28" t="s">
        <v>908</v>
      </c>
      <c r="G3340" s="19" t="n">
        <v>0.0314</v>
      </c>
    </row>
    <row r="3341" customFormat="false" ht="15" hidden="false" customHeight="false" outlineLevel="0" collapsed="false">
      <c r="A3341" s="28" t="s">
        <v>194</v>
      </c>
      <c r="B3341" s="28" t="s">
        <v>195</v>
      </c>
      <c r="C3341" s="28" t="s">
        <v>192</v>
      </c>
      <c r="D3341" s="23" t="n">
        <v>10</v>
      </c>
      <c r="E3341" s="23" t="n">
        <v>13</v>
      </c>
      <c r="F3341" s="28" t="s">
        <v>909</v>
      </c>
      <c r="G3341" s="19" t="n">
        <v>0.0315</v>
      </c>
    </row>
    <row r="3342" customFormat="false" ht="15" hidden="false" customHeight="false" outlineLevel="0" collapsed="false">
      <c r="A3342" s="28" t="s">
        <v>194</v>
      </c>
      <c r="B3342" s="28" t="s">
        <v>195</v>
      </c>
      <c r="C3342" s="28" t="s">
        <v>192</v>
      </c>
      <c r="D3342" s="23" t="n">
        <v>10</v>
      </c>
      <c r="E3342" s="23" t="n">
        <v>13</v>
      </c>
      <c r="F3342" s="28" t="s">
        <v>910</v>
      </c>
      <c r="G3342" s="19" t="n">
        <v>0.0319</v>
      </c>
    </row>
    <row r="3343" customFormat="false" ht="15" hidden="false" customHeight="false" outlineLevel="0" collapsed="false">
      <c r="A3343" s="28" t="s">
        <v>194</v>
      </c>
      <c r="B3343" s="28" t="s">
        <v>195</v>
      </c>
      <c r="C3343" s="28" t="s">
        <v>192</v>
      </c>
      <c r="D3343" s="23" t="n">
        <v>10</v>
      </c>
      <c r="E3343" s="23" t="n">
        <v>13</v>
      </c>
      <c r="F3343" s="28" t="s">
        <v>911</v>
      </c>
      <c r="G3343" s="19" t="n">
        <v>0.033</v>
      </c>
    </row>
    <row r="3344" customFormat="false" ht="15" hidden="false" customHeight="false" outlineLevel="0" collapsed="false">
      <c r="A3344" s="28" t="s">
        <v>194</v>
      </c>
      <c r="B3344" s="28" t="s">
        <v>195</v>
      </c>
      <c r="C3344" s="28" t="s">
        <v>192</v>
      </c>
      <c r="D3344" s="23" t="n">
        <v>10</v>
      </c>
      <c r="E3344" s="23" t="n">
        <v>13</v>
      </c>
      <c r="F3344" s="28" t="s">
        <v>912</v>
      </c>
      <c r="G3344" s="19" t="n">
        <v>0.0344</v>
      </c>
    </row>
    <row r="3345" customFormat="false" ht="15" hidden="false" customHeight="false" outlineLevel="0" collapsed="false">
      <c r="A3345" s="28" t="s">
        <v>194</v>
      </c>
      <c r="B3345" s="28" t="s">
        <v>195</v>
      </c>
      <c r="C3345" s="28" t="s">
        <v>192</v>
      </c>
      <c r="D3345" s="23" t="n">
        <v>10</v>
      </c>
      <c r="E3345" s="23" t="n">
        <v>13</v>
      </c>
      <c r="F3345" s="28" t="s">
        <v>913</v>
      </c>
      <c r="G3345" s="19" t="n">
        <v>0.0393</v>
      </c>
    </row>
    <row r="3346" customFormat="false" ht="15" hidden="false" customHeight="false" outlineLevel="0" collapsed="false">
      <c r="A3346" s="28" t="s">
        <v>194</v>
      </c>
      <c r="B3346" s="28" t="s">
        <v>195</v>
      </c>
      <c r="C3346" s="28" t="s">
        <v>192</v>
      </c>
      <c r="D3346" s="23" t="n">
        <v>10</v>
      </c>
      <c r="E3346" s="23" t="n">
        <v>13</v>
      </c>
      <c r="F3346" s="28" t="s">
        <v>914</v>
      </c>
      <c r="G3346" s="19" t="n">
        <v>0.0391</v>
      </c>
    </row>
    <row r="3347" customFormat="false" ht="15" hidden="false" customHeight="false" outlineLevel="0" collapsed="false">
      <c r="A3347" s="28" t="s">
        <v>194</v>
      </c>
      <c r="B3347" s="28" t="s">
        <v>195</v>
      </c>
      <c r="C3347" s="28" t="s">
        <v>192</v>
      </c>
      <c r="D3347" s="23" t="n">
        <v>10</v>
      </c>
      <c r="E3347" s="23" t="n">
        <v>13</v>
      </c>
      <c r="F3347" s="28" t="s">
        <v>915</v>
      </c>
      <c r="G3347" s="19" t="n">
        <v>0.0549</v>
      </c>
    </row>
    <row r="3348" customFormat="false" ht="15" hidden="false" customHeight="false" outlineLevel="0" collapsed="false">
      <c r="A3348" s="28" t="s">
        <v>194</v>
      </c>
      <c r="B3348" s="28" t="s">
        <v>195</v>
      </c>
      <c r="C3348" s="28" t="s">
        <v>192</v>
      </c>
      <c r="D3348" s="23" t="n">
        <v>10</v>
      </c>
      <c r="E3348" s="23" t="n">
        <v>14</v>
      </c>
      <c r="F3348" s="28" t="s">
        <v>904</v>
      </c>
      <c r="G3348" s="19" t="n">
        <v>0.0263</v>
      </c>
    </row>
    <row r="3349" customFormat="false" ht="15" hidden="false" customHeight="false" outlineLevel="0" collapsed="false">
      <c r="A3349" s="28" t="s">
        <v>194</v>
      </c>
      <c r="B3349" s="28" t="s">
        <v>195</v>
      </c>
      <c r="C3349" s="28" t="s">
        <v>192</v>
      </c>
      <c r="D3349" s="23" t="n">
        <v>10</v>
      </c>
      <c r="E3349" s="23" t="n">
        <v>14</v>
      </c>
      <c r="F3349" s="28" t="s">
        <v>551</v>
      </c>
      <c r="G3349" s="19" t="n">
        <v>0.0575</v>
      </c>
    </row>
    <row r="3350" customFormat="false" ht="15" hidden="false" customHeight="false" outlineLevel="0" collapsed="false">
      <c r="A3350" s="28" t="s">
        <v>194</v>
      </c>
      <c r="B3350" s="28" t="s">
        <v>195</v>
      </c>
      <c r="C3350" s="28" t="s">
        <v>192</v>
      </c>
      <c r="D3350" s="23" t="n">
        <v>10</v>
      </c>
      <c r="E3350" s="23" t="n">
        <v>14</v>
      </c>
      <c r="F3350" s="28" t="s">
        <v>451</v>
      </c>
      <c r="G3350" s="19" t="n">
        <v>0.0261</v>
      </c>
    </row>
    <row r="3351" customFormat="false" ht="15" hidden="false" customHeight="false" outlineLevel="0" collapsed="false">
      <c r="A3351" s="28" t="s">
        <v>194</v>
      </c>
      <c r="B3351" s="28" t="s">
        <v>195</v>
      </c>
      <c r="C3351" s="28" t="s">
        <v>192</v>
      </c>
      <c r="D3351" s="23" t="n">
        <v>10</v>
      </c>
      <c r="E3351" s="23" t="n">
        <v>14</v>
      </c>
      <c r="F3351" s="28" t="s">
        <v>905</v>
      </c>
      <c r="G3351" s="19" t="n">
        <v>0.0287</v>
      </c>
    </row>
    <row r="3352" customFormat="false" ht="15" hidden="false" customHeight="false" outlineLevel="0" collapsed="false">
      <c r="A3352" s="28" t="s">
        <v>194</v>
      </c>
      <c r="B3352" s="28" t="s">
        <v>195</v>
      </c>
      <c r="C3352" s="28" t="s">
        <v>192</v>
      </c>
      <c r="D3352" s="23" t="n">
        <v>10</v>
      </c>
      <c r="E3352" s="23" t="n">
        <v>14</v>
      </c>
      <c r="F3352" s="28" t="s">
        <v>906</v>
      </c>
      <c r="G3352" s="19" t="n">
        <v>0.0301</v>
      </c>
    </row>
    <row r="3353" customFormat="false" ht="15" hidden="false" customHeight="false" outlineLevel="0" collapsed="false">
      <c r="A3353" s="28" t="s">
        <v>194</v>
      </c>
      <c r="B3353" s="28" t="s">
        <v>195</v>
      </c>
      <c r="C3353" s="28" t="s">
        <v>192</v>
      </c>
      <c r="D3353" s="23" t="n">
        <v>10</v>
      </c>
      <c r="E3353" s="23" t="n">
        <v>14</v>
      </c>
      <c r="F3353" s="28" t="s">
        <v>907</v>
      </c>
      <c r="G3353" s="19" t="n">
        <v>0.0298</v>
      </c>
    </row>
    <row r="3354" customFormat="false" ht="15" hidden="false" customHeight="false" outlineLevel="0" collapsed="false">
      <c r="A3354" s="28" t="s">
        <v>194</v>
      </c>
      <c r="B3354" s="28" t="s">
        <v>195</v>
      </c>
      <c r="C3354" s="28" t="s">
        <v>192</v>
      </c>
      <c r="D3354" s="23" t="n">
        <v>10</v>
      </c>
      <c r="E3354" s="23" t="n">
        <v>14</v>
      </c>
      <c r="F3354" s="28" t="s">
        <v>908</v>
      </c>
      <c r="G3354" s="19" t="n">
        <v>0.0314</v>
      </c>
    </row>
    <row r="3355" customFormat="false" ht="15" hidden="false" customHeight="false" outlineLevel="0" collapsed="false">
      <c r="A3355" s="28" t="s">
        <v>194</v>
      </c>
      <c r="B3355" s="28" t="s">
        <v>195</v>
      </c>
      <c r="C3355" s="28" t="s">
        <v>192</v>
      </c>
      <c r="D3355" s="23" t="n">
        <v>10</v>
      </c>
      <c r="E3355" s="23" t="n">
        <v>14</v>
      </c>
      <c r="F3355" s="28" t="s">
        <v>909</v>
      </c>
      <c r="G3355" s="19" t="n">
        <v>0.0315</v>
      </c>
    </row>
    <row r="3356" customFormat="false" ht="15" hidden="false" customHeight="false" outlineLevel="0" collapsed="false">
      <c r="A3356" s="28" t="s">
        <v>194</v>
      </c>
      <c r="B3356" s="28" t="s">
        <v>195</v>
      </c>
      <c r="C3356" s="28" t="s">
        <v>192</v>
      </c>
      <c r="D3356" s="23" t="n">
        <v>10</v>
      </c>
      <c r="E3356" s="23" t="n">
        <v>14</v>
      </c>
      <c r="F3356" s="28" t="s">
        <v>910</v>
      </c>
      <c r="G3356" s="19" t="n">
        <v>0.0319</v>
      </c>
    </row>
    <row r="3357" customFormat="false" ht="15" hidden="false" customHeight="false" outlineLevel="0" collapsed="false">
      <c r="A3357" s="28" t="s">
        <v>194</v>
      </c>
      <c r="B3357" s="28" t="s">
        <v>195</v>
      </c>
      <c r="C3357" s="28" t="s">
        <v>192</v>
      </c>
      <c r="D3357" s="23" t="n">
        <v>10</v>
      </c>
      <c r="E3357" s="23" t="n">
        <v>14</v>
      </c>
      <c r="F3357" s="28" t="s">
        <v>911</v>
      </c>
      <c r="G3357" s="19" t="n">
        <v>0.033</v>
      </c>
    </row>
    <row r="3358" customFormat="false" ht="15" hidden="false" customHeight="false" outlineLevel="0" collapsed="false">
      <c r="A3358" s="28" t="s">
        <v>194</v>
      </c>
      <c r="B3358" s="28" t="s">
        <v>195</v>
      </c>
      <c r="C3358" s="28" t="s">
        <v>192</v>
      </c>
      <c r="D3358" s="23" t="n">
        <v>10</v>
      </c>
      <c r="E3358" s="23" t="n">
        <v>14</v>
      </c>
      <c r="F3358" s="28" t="s">
        <v>912</v>
      </c>
      <c r="G3358" s="19" t="n">
        <v>0.0344</v>
      </c>
    </row>
    <row r="3359" customFormat="false" ht="15" hidden="false" customHeight="false" outlineLevel="0" collapsed="false">
      <c r="A3359" s="28" t="s">
        <v>194</v>
      </c>
      <c r="B3359" s="28" t="s">
        <v>195</v>
      </c>
      <c r="C3359" s="28" t="s">
        <v>192</v>
      </c>
      <c r="D3359" s="23" t="n">
        <v>10</v>
      </c>
      <c r="E3359" s="23" t="n">
        <v>14</v>
      </c>
      <c r="F3359" s="28" t="s">
        <v>913</v>
      </c>
      <c r="G3359" s="19" t="n">
        <v>0.0393</v>
      </c>
    </row>
    <row r="3360" customFormat="false" ht="15" hidden="false" customHeight="false" outlineLevel="0" collapsed="false">
      <c r="A3360" s="28" t="s">
        <v>194</v>
      </c>
      <c r="B3360" s="28" t="s">
        <v>195</v>
      </c>
      <c r="C3360" s="28" t="s">
        <v>192</v>
      </c>
      <c r="D3360" s="23" t="n">
        <v>10</v>
      </c>
      <c r="E3360" s="23" t="n">
        <v>14</v>
      </c>
      <c r="F3360" s="28" t="s">
        <v>914</v>
      </c>
      <c r="G3360" s="19" t="n">
        <v>0.0391</v>
      </c>
    </row>
    <row r="3361" customFormat="false" ht="15" hidden="false" customHeight="false" outlineLevel="0" collapsed="false">
      <c r="A3361" s="28" t="s">
        <v>194</v>
      </c>
      <c r="B3361" s="28" t="s">
        <v>195</v>
      </c>
      <c r="C3361" s="28" t="s">
        <v>192</v>
      </c>
      <c r="D3361" s="23" t="n">
        <v>10</v>
      </c>
      <c r="E3361" s="23" t="n">
        <v>14</v>
      </c>
      <c r="F3361" s="28" t="s">
        <v>915</v>
      </c>
      <c r="G3361" s="19" t="n">
        <v>0.0549</v>
      </c>
    </row>
    <row r="3362" customFormat="false" ht="15" hidden="false" customHeight="false" outlineLevel="0" collapsed="false">
      <c r="A3362" s="28" t="s">
        <v>194</v>
      </c>
      <c r="B3362" s="28" t="s">
        <v>195</v>
      </c>
      <c r="C3362" s="28" t="s">
        <v>192</v>
      </c>
      <c r="D3362" s="23" t="n">
        <v>10</v>
      </c>
      <c r="E3362" s="23" t="n">
        <v>15</v>
      </c>
      <c r="F3362" s="28" t="s">
        <v>904</v>
      </c>
      <c r="G3362" s="19" t="n">
        <v>0.0263</v>
      </c>
    </row>
    <row r="3363" customFormat="false" ht="15" hidden="false" customHeight="false" outlineLevel="0" collapsed="false">
      <c r="A3363" s="28" t="s">
        <v>194</v>
      </c>
      <c r="B3363" s="28" t="s">
        <v>195</v>
      </c>
      <c r="C3363" s="28" t="s">
        <v>192</v>
      </c>
      <c r="D3363" s="23" t="n">
        <v>10</v>
      </c>
      <c r="E3363" s="23" t="n">
        <v>15</v>
      </c>
      <c r="F3363" s="28" t="s">
        <v>551</v>
      </c>
      <c r="G3363" s="19" t="n">
        <v>0.0575</v>
      </c>
    </row>
    <row r="3364" customFormat="false" ht="15" hidden="false" customHeight="false" outlineLevel="0" collapsed="false">
      <c r="A3364" s="28" t="s">
        <v>194</v>
      </c>
      <c r="B3364" s="28" t="s">
        <v>195</v>
      </c>
      <c r="C3364" s="28" t="s">
        <v>192</v>
      </c>
      <c r="D3364" s="23" t="n">
        <v>10</v>
      </c>
      <c r="E3364" s="23" t="n">
        <v>15</v>
      </c>
      <c r="F3364" s="28" t="s">
        <v>451</v>
      </c>
      <c r="G3364" s="19" t="n">
        <v>0.0261</v>
      </c>
    </row>
    <row r="3365" customFormat="false" ht="15" hidden="false" customHeight="false" outlineLevel="0" collapsed="false">
      <c r="A3365" s="28" t="s">
        <v>194</v>
      </c>
      <c r="B3365" s="28" t="s">
        <v>195</v>
      </c>
      <c r="C3365" s="28" t="s">
        <v>192</v>
      </c>
      <c r="D3365" s="23" t="n">
        <v>10</v>
      </c>
      <c r="E3365" s="23" t="n">
        <v>15</v>
      </c>
      <c r="F3365" s="28" t="s">
        <v>905</v>
      </c>
      <c r="G3365" s="19" t="n">
        <v>0.0287</v>
      </c>
    </row>
    <row r="3366" customFormat="false" ht="15" hidden="false" customHeight="false" outlineLevel="0" collapsed="false">
      <c r="A3366" s="28" t="s">
        <v>194</v>
      </c>
      <c r="B3366" s="28" t="s">
        <v>195</v>
      </c>
      <c r="C3366" s="28" t="s">
        <v>192</v>
      </c>
      <c r="D3366" s="23" t="n">
        <v>10</v>
      </c>
      <c r="E3366" s="23" t="n">
        <v>15</v>
      </c>
      <c r="F3366" s="28" t="s">
        <v>906</v>
      </c>
      <c r="G3366" s="19" t="n">
        <v>0.0301</v>
      </c>
    </row>
    <row r="3367" customFormat="false" ht="15" hidden="false" customHeight="false" outlineLevel="0" collapsed="false">
      <c r="A3367" s="28" t="s">
        <v>194</v>
      </c>
      <c r="B3367" s="28" t="s">
        <v>195</v>
      </c>
      <c r="C3367" s="28" t="s">
        <v>192</v>
      </c>
      <c r="D3367" s="23" t="n">
        <v>10</v>
      </c>
      <c r="E3367" s="23" t="n">
        <v>15</v>
      </c>
      <c r="F3367" s="28" t="s">
        <v>907</v>
      </c>
      <c r="G3367" s="19" t="n">
        <v>0.0298</v>
      </c>
    </row>
    <row r="3368" customFormat="false" ht="15" hidden="false" customHeight="false" outlineLevel="0" collapsed="false">
      <c r="A3368" s="28" t="s">
        <v>194</v>
      </c>
      <c r="B3368" s="28" t="s">
        <v>195</v>
      </c>
      <c r="C3368" s="28" t="s">
        <v>192</v>
      </c>
      <c r="D3368" s="23" t="n">
        <v>10</v>
      </c>
      <c r="E3368" s="23" t="n">
        <v>15</v>
      </c>
      <c r="F3368" s="28" t="s">
        <v>908</v>
      </c>
      <c r="G3368" s="19" t="n">
        <v>0.0314</v>
      </c>
    </row>
    <row r="3369" customFormat="false" ht="15" hidden="false" customHeight="false" outlineLevel="0" collapsed="false">
      <c r="A3369" s="28" t="s">
        <v>194</v>
      </c>
      <c r="B3369" s="28" t="s">
        <v>195</v>
      </c>
      <c r="C3369" s="28" t="s">
        <v>192</v>
      </c>
      <c r="D3369" s="23" t="n">
        <v>10</v>
      </c>
      <c r="E3369" s="23" t="n">
        <v>15</v>
      </c>
      <c r="F3369" s="28" t="s">
        <v>909</v>
      </c>
      <c r="G3369" s="19" t="n">
        <v>0.0315</v>
      </c>
    </row>
    <row r="3370" customFormat="false" ht="15" hidden="false" customHeight="false" outlineLevel="0" collapsed="false">
      <c r="A3370" s="28" t="s">
        <v>194</v>
      </c>
      <c r="B3370" s="28" t="s">
        <v>195</v>
      </c>
      <c r="C3370" s="28" t="s">
        <v>192</v>
      </c>
      <c r="D3370" s="23" t="n">
        <v>10</v>
      </c>
      <c r="E3370" s="23" t="n">
        <v>15</v>
      </c>
      <c r="F3370" s="28" t="s">
        <v>910</v>
      </c>
      <c r="G3370" s="19" t="n">
        <v>0.0319</v>
      </c>
    </row>
    <row r="3371" customFormat="false" ht="15" hidden="false" customHeight="false" outlineLevel="0" collapsed="false">
      <c r="A3371" s="28" t="s">
        <v>194</v>
      </c>
      <c r="B3371" s="28" t="s">
        <v>195</v>
      </c>
      <c r="C3371" s="28" t="s">
        <v>192</v>
      </c>
      <c r="D3371" s="23" t="n">
        <v>10</v>
      </c>
      <c r="E3371" s="23" t="n">
        <v>15</v>
      </c>
      <c r="F3371" s="28" t="s">
        <v>911</v>
      </c>
      <c r="G3371" s="19" t="n">
        <v>0.033</v>
      </c>
    </row>
    <row r="3372" customFormat="false" ht="15" hidden="false" customHeight="false" outlineLevel="0" collapsed="false">
      <c r="A3372" s="28" t="s">
        <v>194</v>
      </c>
      <c r="B3372" s="28" t="s">
        <v>195</v>
      </c>
      <c r="C3372" s="28" t="s">
        <v>192</v>
      </c>
      <c r="D3372" s="23" t="n">
        <v>10</v>
      </c>
      <c r="E3372" s="23" t="n">
        <v>15</v>
      </c>
      <c r="F3372" s="28" t="s">
        <v>912</v>
      </c>
      <c r="G3372" s="19" t="n">
        <v>0.0344</v>
      </c>
    </row>
    <row r="3373" customFormat="false" ht="15" hidden="false" customHeight="false" outlineLevel="0" collapsed="false">
      <c r="A3373" s="28" t="s">
        <v>194</v>
      </c>
      <c r="B3373" s="28" t="s">
        <v>195</v>
      </c>
      <c r="C3373" s="28" t="s">
        <v>192</v>
      </c>
      <c r="D3373" s="23" t="n">
        <v>10</v>
      </c>
      <c r="E3373" s="23" t="n">
        <v>15</v>
      </c>
      <c r="F3373" s="28" t="s">
        <v>913</v>
      </c>
      <c r="G3373" s="19" t="n">
        <v>0.0393</v>
      </c>
    </row>
    <row r="3374" customFormat="false" ht="15" hidden="false" customHeight="false" outlineLevel="0" collapsed="false">
      <c r="A3374" s="28" t="s">
        <v>194</v>
      </c>
      <c r="B3374" s="28" t="s">
        <v>195</v>
      </c>
      <c r="C3374" s="28" t="s">
        <v>192</v>
      </c>
      <c r="D3374" s="23" t="n">
        <v>10</v>
      </c>
      <c r="E3374" s="23" t="n">
        <v>15</v>
      </c>
      <c r="F3374" s="28" t="s">
        <v>914</v>
      </c>
      <c r="G3374" s="19" t="n">
        <v>0.0391</v>
      </c>
    </row>
    <row r="3375" customFormat="false" ht="15" hidden="false" customHeight="false" outlineLevel="0" collapsed="false">
      <c r="A3375" s="28" t="s">
        <v>194</v>
      </c>
      <c r="B3375" s="28" t="s">
        <v>195</v>
      </c>
      <c r="C3375" s="28" t="s">
        <v>192</v>
      </c>
      <c r="D3375" s="23" t="n">
        <v>10</v>
      </c>
      <c r="E3375" s="23" t="n">
        <v>15</v>
      </c>
      <c r="F3375" s="28" t="s">
        <v>915</v>
      </c>
      <c r="G3375" s="19" t="n">
        <v>0.0549</v>
      </c>
    </row>
    <row r="3376" customFormat="false" ht="15" hidden="false" customHeight="false" outlineLevel="0" collapsed="false">
      <c r="A3376" s="28" t="s">
        <v>194</v>
      </c>
      <c r="B3376" s="28" t="s">
        <v>195</v>
      </c>
      <c r="C3376" s="28" t="s">
        <v>192</v>
      </c>
      <c r="D3376" s="23" t="n">
        <v>10</v>
      </c>
      <c r="E3376" s="23" t="n">
        <v>16</v>
      </c>
      <c r="F3376" s="28" t="s">
        <v>904</v>
      </c>
      <c r="G3376" s="19" t="n">
        <v>0.0263</v>
      </c>
    </row>
    <row r="3377" customFormat="false" ht="15" hidden="false" customHeight="false" outlineLevel="0" collapsed="false">
      <c r="A3377" s="28" t="s">
        <v>194</v>
      </c>
      <c r="B3377" s="28" t="s">
        <v>195</v>
      </c>
      <c r="C3377" s="28" t="s">
        <v>192</v>
      </c>
      <c r="D3377" s="23" t="n">
        <v>10</v>
      </c>
      <c r="E3377" s="23" t="n">
        <v>16</v>
      </c>
      <c r="F3377" s="28" t="s">
        <v>551</v>
      </c>
      <c r="G3377" s="19" t="n">
        <v>0.0575</v>
      </c>
    </row>
    <row r="3378" customFormat="false" ht="15" hidden="false" customHeight="false" outlineLevel="0" collapsed="false">
      <c r="A3378" s="28" t="s">
        <v>194</v>
      </c>
      <c r="B3378" s="28" t="s">
        <v>195</v>
      </c>
      <c r="C3378" s="28" t="s">
        <v>192</v>
      </c>
      <c r="D3378" s="23" t="n">
        <v>10</v>
      </c>
      <c r="E3378" s="23" t="n">
        <v>16</v>
      </c>
      <c r="F3378" s="28" t="s">
        <v>451</v>
      </c>
      <c r="G3378" s="19" t="n">
        <v>0.0261</v>
      </c>
    </row>
    <row r="3379" customFormat="false" ht="15" hidden="false" customHeight="false" outlineLevel="0" collapsed="false">
      <c r="A3379" s="28" t="s">
        <v>194</v>
      </c>
      <c r="B3379" s="28" t="s">
        <v>195</v>
      </c>
      <c r="C3379" s="28" t="s">
        <v>192</v>
      </c>
      <c r="D3379" s="23" t="n">
        <v>10</v>
      </c>
      <c r="E3379" s="23" t="n">
        <v>16</v>
      </c>
      <c r="F3379" s="28" t="s">
        <v>905</v>
      </c>
      <c r="G3379" s="19" t="n">
        <v>0.0287</v>
      </c>
    </row>
    <row r="3380" customFormat="false" ht="15" hidden="false" customHeight="false" outlineLevel="0" collapsed="false">
      <c r="A3380" s="28" t="s">
        <v>194</v>
      </c>
      <c r="B3380" s="28" t="s">
        <v>195</v>
      </c>
      <c r="C3380" s="28" t="s">
        <v>192</v>
      </c>
      <c r="D3380" s="23" t="n">
        <v>10</v>
      </c>
      <c r="E3380" s="23" t="n">
        <v>16</v>
      </c>
      <c r="F3380" s="28" t="s">
        <v>906</v>
      </c>
      <c r="G3380" s="19" t="n">
        <v>0.0301</v>
      </c>
    </row>
    <row r="3381" customFormat="false" ht="15" hidden="false" customHeight="false" outlineLevel="0" collapsed="false">
      <c r="A3381" s="28" t="s">
        <v>194</v>
      </c>
      <c r="B3381" s="28" t="s">
        <v>195</v>
      </c>
      <c r="C3381" s="28" t="s">
        <v>192</v>
      </c>
      <c r="D3381" s="23" t="n">
        <v>10</v>
      </c>
      <c r="E3381" s="23" t="n">
        <v>16</v>
      </c>
      <c r="F3381" s="28" t="s">
        <v>907</v>
      </c>
      <c r="G3381" s="19" t="n">
        <v>0.0298</v>
      </c>
    </row>
    <row r="3382" customFormat="false" ht="15" hidden="false" customHeight="false" outlineLevel="0" collapsed="false">
      <c r="A3382" s="28" t="s">
        <v>194</v>
      </c>
      <c r="B3382" s="28" t="s">
        <v>195</v>
      </c>
      <c r="C3382" s="28" t="s">
        <v>192</v>
      </c>
      <c r="D3382" s="23" t="n">
        <v>10</v>
      </c>
      <c r="E3382" s="23" t="n">
        <v>16</v>
      </c>
      <c r="F3382" s="28" t="s">
        <v>908</v>
      </c>
      <c r="G3382" s="19" t="n">
        <v>0.0314</v>
      </c>
    </row>
    <row r="3383" customFormat="false" ht="15" hidden="false" customHeight="false" outlineLevel="0" collapsed="false">
      <c r="A3383" s="28" t="s">
        <v>194</v>
      </c>
      <c r="B3383" s="28" t="s">
        <v>195</v>
      </c>
      <c r="C3383" s="28" t="s">
        <v>192</v>
      </c>
      <c r="D3383" s="23" t="n">
        <v>10</v>
      </c>
      <c r="E3383" s="23" t="n">
        <v>16</v>
      </c>
      <c r="F3383" s="28" t="s">
        <v>909</v>
      </c>
      <c r="G3383" s="19" t="n">
        <v>0.0315</v>
      </c>
    </row>
    <row r="3384" customFormat="false" ht="15" hidden="false" customHeight="false" outlineLevel="0" collapsed="false">
      <c r="A3384" s="28" t="s">
        <v>194</v>
      </c>
      <c r="B3384" s="28" t="s">
        <v>195</v>
      </c>
      <c r="C3384" s="28" t="s">
        <v>192</v>
      </c>
      <c r="D3384" s="23" t="n">
        <v>10</v>
      </c>
      <c r="E3384" s="23" t="n">
        <v>16</v>
      </c>
      <c r="F3384" s="28" t="s">
        <v>910</v>
      </c>
      <c r="G3384" s="19" t="n">
        <v>0.0319</v>
      </c>
    </row>
    <row r="3385" customFormat="false" ht="15" hidden="false" customHeight="false" outlineLevel="0" collapsed="false">
      <c r="A3385" s="28" t="s">
        <v>194</v>
      </c>
      <c r="B3385" s="28" t="s">
        <v>195</v>
      </c>
      <c r="C3385" s="28" t="s">
        <v>192</v>
      </c>
      <c r="D3385" s="23" t="n">
        <v>10</v>
      </c>
      <c r="E3385" s="23" t="n">
        <v>16</v>
      </c>
      <c r="F3385" s="28" t="s">
        <v>911</v>
      </c>
      <c r="G3385" s="19" t="n">
        <v>0.033</v>
      </c>
    </row>
    <row r="3386" customFormat="false" ht="15" hidden="false" customHeight="false" outlineLevel="0" collapsed="false">
      <c r="A3386" s="28" t="s">
        <v>194</v>
      </c>
      <c r="B3386" s="28" t="s">
        <v>195</v>
      </c>
      <c r="C3386" s="28" t="s">
        <v>192</v>
      </c>
      <c r="D3386" s="23" t="n">
        <v>10</v>
      </c>
      <c r="E3386" s="23" t="n">
        <v>16</v>
      </c>
      <c r="F3386" s="28" t="s">
        <v>912</v>
      </c>
      <c r="G3386" s="19" t="n">
        <v>0.0344</v>
      </c>
    </row>
    <row r="3387" customFormat="false" ht="15" hidden="false" customHeight="false" outlineLevel="0" collapsed="false">
      <c r="A3387" s="28" t="s">
        <v>194</v>
      </c>
      <c r="B3387" s="28" t="s">
        <v>195</v>
      </c>
      <c r="C3387" s="28" t="s">
        <v>192</v>
      </c>
      <c r="D3387" s="23" t="n">
        <v>10</v>
      </c>
      <c r="E3387" s="23" t="n">
        <v>16</v>
      </c>
      <c r="F3387" s="28" t="s">
        <v>913</v>
      </c>
      <c r="G3387" s="19" t="n">
        <v>0.0393</v>
      </c>
    </row>
    <row r="3388" customFormat="false" ht="15" hidden="false" customHeight="false" outlineLevel="0" collapsed="false">
      <c r="A3388" s="28" t="s">
        <v>194</v>
      </c>
      <c r="B3388" s="28" t="s">
        <v>195</v>
      </c>
      <c r="C3388" s="28" t="s">
        <v>192</v>
      </c>
      <c r="D3388" s="23" t="n">
        <v>10</v>
      </c>
      <c r="E3388" s="23" t="n">
        <v>16</v>
      </c>
      <c r="F3388" s="28" t="s">
        <v>914</v>
      </c>
      <c r="G3388" s="19" t="n">
        <v>0.0391</v>
      </c>
    </row>
    <row r="3389" customFormat="false" ht="15" hidden="false" customHeight="false" outlineLevel="0" collapsed="false">
      <c r="A3389" s="28" t="s">
        <v>194</v>
      </c>
      <c r="B3389" s="28" t="s">
        <v>195</v>
      </c>
      <c r="C3389" s="28" t="s">
        <v>192</v>
      </c>
      <c r="D3389" s="23" t="n">
        <v>10</v>
      </c>
      <c r="E3389" s="23" t="n">
        <v>16</v>
      </c>
      <c r="F3389" s="28" t="s">
        <v>915</v>
      </c>
      <c r="G3389" s="19" t="n">
        <v>0.0549</v>
      </c>
    </row>
    <row r="3390" customFormat="false" ht="15" hidden="false" customHeight="false" outlineLevel="0" collapsed="false">
      <c r="A3390" s="28" t="s">
        <v>194</v>
      </c>
      <c r="B3390" s="28" t="s">
        <v>195</v>
      </c>
      <c r="C3390" s="28" t="s">
        <v>192</v>
      </c>
      <c r="D3390" s="23" t="n">
        <v>10</v>
      </c>
      <c r="E3390" s="23" t="n">
        <v>17</v>
      </c>
      <c r="F3390" s="28" t="s">
        <v>904</v>
      </c>
      <c r="G3390" s="19" t="n">
        <v>0.0263</v>
      </c>
    </row>
    <row r="3391" customFormat="false" ht="15" hidden="false" customHeight="false" outlineLevel="0" collapsed="false">
      <c r="A3391" s="28" t="s">
        <v>194</v>
      </c>
      <c r="B3391" s="28" t="s">
        <v>195</v>
      </c>
      <c r="C3391" s="28" t="s">
        <v>192</v>
      </c>
      <c r="D3391" s="23" t="n">
        <v>10</v>
      </c>
      <c r="E3391" s="23" t="n">
        <v>17</v>
      </c>
      <c r="F3391" s="28" t="s">
        <v>551</v>
      </c>
      <c r="G3391" s="19" t="n">
        <v>0.0575</v>
      </c>
    </row>
    <row r="3392" customFormat="false" ht="15" hidden="false" customHeight="false" outlineLevel="0" collapsed="false">
      <c r="A3392" s="28" t="s">
        <v>194</v>
      </c>
      <c r="B3392" s="28" t="s">
        <v>195</v>
      </c>
      <c r="C3392" s="28" t="s">
        <v>192</v>
      </c>
      <c r="D3392" s="23" t="n">
        <v>10</v>
      </c>
      <c r="E3392" s="23" t="n">
        <v>17</v>
      </c>
      <c r="F3392" s="28" t="s">
        <v>451</v>
      </c>
      <c r="G3392" s="19" t="n">
        <v>0.0261</v>
      </c>
    </row>
    <row r="3393" customFormat="false" ht="15" hidden="false" customHeight="false" outlineLevel="0" collapsed="false">
      <c r="A3393" s="28" t="s">
        <v>194</v>
      </c>
      <c r="B3393" s="28" t="s">
        <v>195</v>
      </c>
      <c r="C3393" s="28" t="s">
        <v>192</v>
      </c>
      <c r="D3393" s="23" t="n">
        <v>10</v>
      </c>
      <c r="E3393" s="23" t="n">
        <v>17</v>
      </c>
      <c r="F3393" s="28" t="s">
        <v>905</v>
      </c>
      <c r="G3393" s="19" t="n">
        <v>0.0287</v>
      </c>
    </row>
    <row r="3394" customFormat="false" ht="15" hidden="false" customHeight="false" outlineLevel="0" collapsed="false">
      <c r="A3394" s="28" t="s">
        <v>194</v>
      </c>
      <c r="B3394" s="28" t="s">
        <v>195</v>
      </c>
      <c r="C3394" s="28" t="s">
        <v>192</v>
      </c>
      <c r="D3394" s="23" t="n">
        <v>10</v>
      </c>
      <c r="E3394" s="23" t="n">
        <v>17</v>
      </c>
      <c r="F3394" s="28" t="s">
        <v>906</v>
      </c>
      <c r="G3394" s="19" t="n">
        <v>0.0301</v>
      </c>
    </row>
    <row r="3395" customFormat="false" ht="15" hidden="false" customHeight="false" outlineLevel="0" collapsed="false">
      <c r="A3395" s="28" t="s">
        <v>194</v>
      </c>
      <c r="B3395" s="28" t="s">
        <v>195</v>
      </c>
      <c r="C3395" s="28" t="s">
        <v>192</v>
      </c>
      <c r="D3395" s="23" t="n">
        <v>10</v>
      </c>
      <c r="E3395" s="23" t="n">
        <v>17</v>
      </c>
      <c r="F3395" s="28" t="s">
        <v>907</v>
      </c>
      <c r="G3395" s="19" t="n">
        <v>0.0298</v>
      </c>
    </row>
    <row r="3396" customFormat="false" ht="15" hidden="false" customHeight="false" outlineLevel="0" collapsed="false">
      <c r="A3396" s="28" t="s">
        <v>194</v>
      </c>
      <c r="B3396" s="28" t="s">
        <v>195</v>
      </c>
      <c r="C3396" s="28" t="s">
        <v>192</v>
      </c>
      <c r="D3396" s="23" t="n">
        <v>10</v>
      </c>
      <c r="E3396" s="23" t="n">
        <v>17</v>
      </c>
      <c r="F3396" s="28" t="s">
        <v>908</v>
      </c>
      <c r="G3396" s="19" t="n">
        <v>0.0314</v>
      </c>
    </row>
    <row r="3397" customFormat="false" ht="15" hidden="false" customHeight="false" outlineLevel="0" collapsed="false">
      <c r="A3397" s="28" t="s">
        <v>194</v>
      </c>
      <c r="B3397" s="28" t="s">
        <v>195</v>
      </c>
      <c r="C3397" s="28" t="s">
        <v>192</v>
      </c>
      <c r="D3397" s="23" t="n">
        <v>10</v>
      </c>
      <c r="E3397" s="23" t="n">
        <v>17</v>
      </c>
      <c r="F3397" s="28" t="s">
        <v>909</v>
      </c>
      <c r="G3397" s="19" t="n">
        <v>0.0315</v>
      </c>
    </row>
    <row r="3398" customFormat="false" ht="15" hidden="false" customHeight="false" outlineLevel="0" collapsed="false">
      <c r="A3398" s="28" t="s">
        <v>194</v>
      </c>
      <c r="B3398" s="28" t="s">
        <v>195</v>
      </c>
      <c r="C3398" s="28" t="s">
        <v>192</v>
      </c>
      <c r="D3398" s="23" t="n">
        <v>10</v>
      </c>
      <c r="E3398" s="23" t="n">
        <v>17</v>
      </c>
      <c r="F3398" s="28" t="s">
        <v>910</v>
      </c>
      <c r="G3398" s="19" t="n">
        <v>0.0319</v>
      </c>
    </row>
    <row r="3399" customFormat="false" ht="15" hidden="false" customHeight="false" outlineLevel="0" collapsed="false">
      <c r="A3399" s="28" t="s">
        <v>194</v>
      </c>
      <c r="B3399" s="28" t="s">
        <v>195</v>
      </c>
      <c r="C3399" s="28" t="s">
        <v>192</v>
      </c>
      <c r="D3399" s="23" t="n">
        <v>10</v>
      </c>
      <c r="E3399" s="23" t="n">
        <v>17</v>
      </c>
      <c r="F3399" s="28" t="s">
        <v>911</v>
      </c>
      <c r="G3399" s="19" t="n">
        <v>0.033</v>
      </c>
    </row>
    <row r="3400" customFormat="false" ht="15" hidden="false" customHeight="false" outlineLevel="0" collapsed="false">
      <c r="A3400" s="28" t="s">
        <v>194</v>
      </c>
      <c r="B3400" s="28" t="s">
        <v>195</v>
      </c>
      <c r="C3400" s="28" t="s">
        <v>192</v>
      </c>
      <c r="D3400" s="23" t="n">
        <v>10</v>
      </c>
      <c r="E3400" s="23" t="n">
        <v>17</v>
      </c>
      <c r="F3400" s="28" t="s">
        <v>912</v>
      </c>
      <c r="G3400" s="19" t="n">
        <v>0.0344</v>
      </c>
    </row>
    <row r="3401" customFormat="false" ht="15" hidden="false" customHeight="false" outlineLevel="0" collapsed="false">
      <c r="A3401" s="28" t="s">
        <v>194</v>
      </c>
      <c r="B3401" s="28" t="s">
        <v>195</v>
      </c>
      <c r="C3401" s="28" t="s">
        <v>192</v>
      </c>
      <c r="D3401" s="23" t="n">
        <v>10</v>
      </c>
      <c r="E3401" s="23" t="n">
        <v>17</v>
      </c>
      <c r="F3401" s="28" t="s">
        <v>913</v>
      </c>
      <c r="G3401" s="19" t="n">
        <v>0.0393</v>
      </c>
    </row>
    <row r="3402" customFormat="false" ht="15" hidden="false" customHeight="false" outlineLevel="0" collapsed="false">
      <c r="A3402" s="28" t="s">
        <v>194</v>
      </c>
      <c r="B3402" s="28" t="s">
        <v>195</v>
      </c>
      <c r="C3402" s="28" t="s">
        <v>192</v>
      </c>
      <c r="D3402" s="23" t="n">
        <v>10</v>
      </c>
      <c r="E3402" s="23" t="n">
        <v>17</v>
      </c>
      <c r="F3402" s="28" t="s">
        <v>914</v>
      </c>
      <c r="G3402" s="19" t="n">
        <v>0.0391</v>
      </c>
    </row>
    <row r="3403" customFormat="false" ht="15" hidden="false" customHeight="false" outlineLevel="0" collapsed="false">
      <c r="A3403" s="28" t="s">
        <v>194</v>
      </c>
      <c r="B3403" s="28" t="s">
        <v>195</v>
      </c>
      <c r="C3403" s="28" t="s">
        <v>192</v>
      </c>
      <c r="D3403" s="23" t="n">
        <v>10</v>
      </c>
      <c r="E3403" s="23" t="n">
        <v>17</v>
      </c>
      <c r="F3403" s="28" t="s">
        <v>915</v>
      </c>
      <c r="G3403" s="19" t="n">
        <v>0.0549</v>
      </c>
    </row>
    <row r="3404" customFormat="false" ht="15" hidden="false" customHeight="false" outlineLevel="0" collapsed="false">
      <c r="A3404" s="28" t="s">
        <v>194</v>
      </c>
      <c r="B3404" s="28" t="s">
        <v>195</v>
      </c>
      <c r="C3404" s="28" t="s">
        <v>192</v>
      </c>
      <c r="D3404" s="23" t="n">
        <v>10</v>
      </c>
      <c r="E3404" s="23" t="n">
        <v>18</v>
      </c>
      <c r="F3404" s="28" t="s">
        <v>904</v>
      </c>
      <c r="G3404" s="19" t="n">
        <v>0.0263</v>
      </c>
    </row>
    <row r="3405" customFormat="false" ht="15" hidden="false" customHeight="false" outlineLevel="0" collapsed="false">
      <c r="A3405" s="28" t="s">
        <v>194</v>
      </c>
      <c r="B3405" s="28" t="s">
        <v>195</v>
      </c>
      <c r="C3405" s="28" t="s">
        <v>192</v>
      </c>
      <c r="D3405" s="23" t="n">
        <v>10</v>
      </c>
      <c r="E3405" s="23" t="n">
        <v>18</v>
      </c>
      <c r="F3405" s="28" t="s">
        <v>551</v>
      </c>
      <c r="G3405" s="19" t="n">
        <v>0.0575</v>
      </c>
    </row>
    <row r="3406" customFormat="false" ht="15" hidden="false" customHeight="false" outlineLevel="0" collapsed="false">
      <c r="A3406" s="28" t="s">
        <v>194</v>
      </c>
      <c r="B3406" s="28" t="s">
        <v>195</v>
      </c>
      <c r="C3406" s="28" t="s">
        <v>192</v>
      </c>
      <c r="D3406" s="23" t="n">
        <v>10</v>
      </c>
      <c r="E3406" s="23" t="n">
        <v>18</v>
      </c>
      <c r="F3406" s="28" t="s">
        <v>451</v>
      </c>
      <c r="G3406" s="19" t="n">
        <v>0.0261</v>
      </c>
    </row>
    <row r="3407" customFormat="false" ht="15" hidden="false" customHeight="false" outlineLevel="0" collapsed="false">
      <c r="A3407" s="28" t="s">
        <v>194</v>
      </c>
      <c r="B3407" s="28" t="s">
        <v>195</v>
      </c>
      <c r="C3407" s="28" t="s">
        <v>192</v>
      </c>
      <c r="D3407" s="23" t="n">
        <v>10</v>
      </c>
      <c r="E3407" s="23" t="n">
        <v>18</v>
      </c>
      <c r="F3407" s="28" t="s">
        <v>905</v>
      </c>
      <c r="G3407" s="19" t="n">
        <v>0.0287</v>
      </c>
    </row>
    <row r="3408" customFormat="false" ht="15" hidden="false" customHeight="false" outlineLevel="0" collapsed="false">
      <c r="A3408" s="28" t="s">
        <v>194</v>
      </c>
      <c r="B3408" s="28" t="s">
        <v>195</v>
      </c>
      <c r="C3408" s="28" t="s">
        <v>192</v>
      </c>
      <c r="D3408" s="23" t="n">
        <v>10</v>
      </c>
      <c r="E3408" s="23" t="n">
        <v>18</v>
      </c>
      <c r="F3408" s="28" t="s">
        <v>906</v>
      </c>
      <c r="G3408" s="19" t="n">
        <v>0.0301</v>
      </c>
    </row>
    <row r="3409" customFormat="false" ht="15" hidden="false" customHeight="false" outlineLevel="0" collapsed="false">
      <c r="A3409" s="28" t="s">
        <v>194</v>
      </c>
      <c r="B3409" s="28" t="s">
        <v>195</v>
      </c>
      <c r="C3409" s="28" t="s">
        <v>192</v>
      </c>
      <c r="D3409" s="23" t="n">
        <v>10</v>
      </c>
      <c r="E3409" s="23" t="n">
        <v>18</v>
      </c>
      <c r="F3409" s="28" t="s">
        <v>907</v>
      </c>
      <c r="G3409" s="19" t="n">
        <v>0.0298</v>
      </c>
    </row>
    <row r="3410" customFormat="false" ht="15" hidden="false" customHeight="false" outlineLevel="0" collapsed="false">
      <c r="A3410" s="28" t="s">
        <v>194</v>
      </c>
      <c r="B3410" s="28" t="s">
        <v>195</v>
      </c>
      <c r="C3410" s="28" t="s">
        <v>192</v>
      </c>
      <c r="D3410" s="23" t="n">
        <v>10</v>
      </c>
      <c r="E3410" s="23" t="n">
        <v>18</v>
      </c>
      <c r="F3410" s="28" t="s">
        <v>908</v>
      </c>
      <c r="G3410" s="19" t="n">
        <v>0.0314</v>
      </c>
    </row>
    <row r="3411" customFormat="false" ht="15" hidden="false" customHeight="false" outlineLevel="0" collapsed="false">
      <c r="A3411" s="28" t="s">
        <v>194</v>
      </c>
      <c r="B3411" s="28" t="s">
        <v>195</v>
      </c>
      <c r="C3411" s="28" t="s">
        <v>192</v>
      </c>
      <c r="D3411" s="23" t="n">
        <v>10</v>
      </c>
      <c r="E3411" s="23" t="n">
        <v>18</v>
      </c>
      <c r="F3411" s="28" t="s">
        <v>909</v>
      </c>
      <c r="G3411" s="19" t="n">
        <v>0.0315</v>
      </c>
    </row>
    <row r="3412" customFormat="false" ht="15" hidden="false" customHeight="false" outlineLevel="0" collapsed="false">
      <c r="A3412" s="28" t="s">
        <v>194</v>
      </c>
      <c r="B3412" s="28" t="s">
        <v>195</v>
      </c>
      <c r="C3412" s="28" t="s">
        <v>192</v>
      </c>
      <c r="D3412" s="23" t="n">
        <v>10</v>
      </c>
      <c r="E3412" s="23" t="n">
        <v>18</v>
      </c>
      <c r="F3412" s="28" t="s">
        <v>910</v>
      </c>
      <c r="G3412" s="19" t="n">
        <v>0.0319</v>
      </c>
    </row>
    <row r="3413" customFormat="false" ht="15" hidden="false" customHeight="false" outlineLevel="0" collapsed="false">
      <c r="A3413" s="28" t="s">
        <v>194</v>
      </c>
      <c r="B3413" s="28" t="s">
        <v>195</v>
      </c>
      <c r="C3413" s="28" t="s">
        <v>192</v>
      </c>
      <c r="D3413" s="23" t="n">
        <v>10</v>
      </c>
      <c r="E3413" s="23" t="n">
        <v>18</v>
      </c>
      <c r="F3413" s="28" t="s">
        <v>911</v>
      </c>
      <c r="G3413" s="19" t="n">
        <v>0.033</v>
      </c>
    </row>
    <row r="3414" customFormat="false" ht="15" hidden="false" customHeight="false" outlineLevel="0" collapsed="false">
      <c r="A3414" s="28" t="s">
        <v>194</v>
      </c>
      <c r="B3414" s="28" t="s">
        <v>195</v>
      </c>
      <c r="C3414" s="28" t="s">
        <v>192</v>
      </c>
      <c r="D3414" s="23" t="n">
        <v>10</v>
      </c>
      <c r="E3414" s="23" t="n">
        <v>18</v>
      </c>
      <c r="F3414" s="28" t="s">
        <v>912</v>
      </c>
      <c r="G3414" s="19" t="n">
        <v>0.0344</v>
      </c>
    </row>
    <row r="3415" customFormat="false" ht="15" hidden="false" customHeight="false" outlineLevel="0" collapsed="false">
      <c r="A3415" s="28" t="s">
        <v>194</v>
      </c>
      <c r="B3415" s="28" t="s">
        <v>195</v>
      </c>
      <c r="C3415" s="28" t="s">
        <v>192</v>
      </c>
      <c r="D3415" s="23" t="n">
        <v>10</v>
      </c>
      <c r="E3415" s="23" t="n">
        <v>18</v>
      </c>
      <c r="F3415" s="28" t="s">
        <v>913</v>
      </c>
      <c r="G3415" s="19" t="n">
        <v>0.0393</v>
      </c>
    </row>
    <row r="3416" customFormat="false" ht="15" hidden="false" customHeight="false" outlineLevel="0" collapsed="false">
      <c r="A3416" s="28" t="s">
        <v>194</v>
      </c>
      <c r="B3416" s="28" t="s">
        <v>195</v>
      </c>
      <c r="C3416" s="28" t="s">
        <v>192</v>
      </c>
      <c r="D3416" s="23" t="n">
        <v>10</v>
      </c>
      <c r="E3416" s="23" t="n">
        <v>18</v>
      </c>
      <c r="F3416" s="28" t="s">
        <v>914</v>
      </c>
      <c r="G3416" s="19" t="n">
        <v>0.0391</v>
      </c>
    </row>
    <row r="3417" customFormat="false" ht="15" hidden="false" customHeight="false" outlineLevel="0" collapsed="false">
      <c r="A3417" s="28" t="s">
        <v>194</v>
      </c>
      <c r="B3417" s="28" t="s">
        <v>195</v>
      </c>
      <c r="C3417" s="28" t="s">
        <v>192</v>
      </c>
      <c r="D3417" s="23" t="n">
        <v>10</v>
      </c>
      <c r="E3417" s="23" t="n">
        <v>18</v>
      </c>
      <c r="F3417" s="28" t="s">
        <v>915</v>
      </c>
      <c r="G3417" s="19" t="n">
        <v>0.0549</v>
      </c>
    </row>
    <row r="3418" customFormat="false" ht="15" hidden="false" customHeight="false" outlineLevel="0" collapsed="false">
      <c r="A3418" s="28" t="s">
        <v>194</v>
      </c>
      <c r="B3418" s="28" t="s">
        <v>195</v>
      </c>
      <c r="C3418" s="28" t="s">
        <v>192</v>
      </c>
      <c r="D3418" s="23" t="n">
        <v>10</v>
      </c>
      <c r="E3418" s="23" t="n">
        <v>19</v>
      </c>
      <c r="F3418" s="28" t="s">
        <v>904</v>
      </c>
      <c r="G3418" s="19" t="n">
        <v>0.0263</v>
      </c>
    </row>
    <row r="3419" customFormat="false" ht="15" hidden="false" customHeight="false" outlineLevel="0" collapsed="false">
      <c r="A3419" s="28" t="s">
        <v>194</v>
      </c>
      <c r="B3419" s="28" t="s">
        <v>195</v>
      </c>
      <c r="C3419" s="28" t="s">
        <v>192</v>
      </c>
      <c r="D3419" s="23" t="n">
        <v>10</v>
      </c>
      <c r="E3419" s="23" t="n">
        <v>19</v>
      </c>
      <c r="F3419" s="28" t="s">
        <v>551</v>
      </c>
      <c r="G3419" s="19" t="n">
        <v>0.0575</v>
      </c>
    </row>
    <row r="3420" customFormat="false" ht="15" hidden="false" customHeight="false" outlineLevel="0" collapsed="false">
      <c r="A3420" s="28" t="s">
        <v>194</v>
      </c>
      <c r="B3420" s="28" t="s">
        <v>195</v>
      </c>
      <c r="C3420" s="28" t="s">
        <v>192</v>
      </c>
      <c r="D3420" s="23" t="n">
        <v>10</v>
      </c>
      <c r="E3420" s="23" t="n">
        <v>19</v>
      </c>
      <c r="F3420" s="28" t="s">
        <v>451</v>
      </c>
      <c r="G3420" s="19" t="n">
        <v>0.0261</v>
      </c>
    </row>
    <row r="3421" customFormat="false" ht="15" hidden="false" customHeight="false" outlineLevel="0" collapsed="false">
      <c r="A3421" s="28" t="s">
        <v>194</v>
      </c>
      <c r="B3421" s="28" t="s">
        <v>195</v>
      </c>
      <c r="C3421" s="28" t="s">
        <v>192</v>
      </c>
      <c r="D3421" s="23" t="n">
        <v>10</v>
      </c>
      <c r="E3421" s="23" t="n">
        <v>19</v>
      </c>
      <c r="F3421" s="28" t="s">
        <v>905</v>
      </c>
      <c r="G3421" s="19" t="n">
        <v>0.0287</v>
      </c>
    </row>
    <row r="3422" customFormat="false" ht="15" hidden="false" customHeight="false" outlineLevel="0" collapsed="false">
      <c r="A3422" s="28" t="s">
        <v>194</v>
      </c>
      <c r="B3422" s="28" t="s">
        <v>195</v>
      </c>
      <c r="C3422" s="28" t="s">
        <v>192</v>
      </c>
      <c r="D3422" s="23" t="n">
        <v>10</v>
      </c>
      <c r="E3422" s="23" t="n">
        <v>19</v>
      </c>
      <c r="F3422" s="28" t="s">
        <v>906</v>
      </c>
      <c r="G3422" s="19" t="n">
        <v>0.0301</v>
      </c>
    </row>
    <row r="3423" customFormat="false" ht="15" hidden="false" customHeight="false" outlineLevel="0" collapsed="false">
      <c r="A3423" s="28" t="s">
        <v>194</v>
      </c>
      <c r="B3423" s="28" t="s">
        <v>195</v>
      </c>
      <c r="C3423" s="28" t="s">
        <v>192</v>
      </c>
      <c r="D3423" s="23" t="n">
        <v>10</v>
      </c>
      <c r="E3423" s="23" t="n">
        <v>19</v>
      </c>
      <c r="F3423" s="28" t="s">
        <v>907</v>
      </c>
      <c r="G3423" s="19" t="n">
        <v>0.0298</v>
      </c>
    </row>
    <row r="3424" customFormat="false" ht="15" hidden="false" customHeight="false" outlineLevel="0" collapsed="false">
      <c r="A3424" s="28" t="s">
        <v>194</v>
      </c>
      <c r="B3424" s="28" t="s">
        <v>195</v>
      </c>
      <c r="C3424" s="28" t="s">
        <v>192</v>
      </c>
      <c r="D3424" s="23" t="n">
        <v>10</v>
      </c>
      <c r="E3424" s="23" t="n">
        <v>19</v>
      </c>
      <c r="F3424" s="28" t="s">
        <v>908</v>
      </c>
      <c r="G3424" s="19" t="n">
        <v>0.0314</v>
      </c>
    </row>
    <row r="3425" customFormat="false" ht="15" hidden="false" customHeight="false" outlineLevel="0" collapsed="false">
      <c r="A3425" s="28" t="s">
        <v>194</v>
      </c>
      <c r="B3425" s="28" t="s">
        <v>195</v>
      </c>
      <c r="C3425" s="28" t="s">
        <v>192</v>
      </c>
      <c r="D3425" s="23" t="n">
        <v>10</v>
      </c>
      <c r="E3425" s="23" t="n">
        <v>19</v>
      </c>
      <c r="F3425" s="28" t="s">
        <v>909</v>
      </c>
      <c r="G3425" s="19" t="n">
        <v>0.0315</v>
      </c>
    </row>
    <row r="3426" customFormat="false" ht="15" hidden="false" customHeight="false" outlineLevel="0" collapsed="false">
      <c r="A3426" s="28" t="s">
        <v>194</v>
      </c>
      <c r="B3426" s="28" t="s">
        <v>195</v>
      </c>
      <c r="C3426" s="28" t="s">
        <v>192</v>
      </c>
      <c r="D3426" s="23" t="n">
        <v>10</v>
      </c>
      <c r="E3426" s="23" t="n">
        <v>19</v>
      </c>
      <c r="F3426" s="28" t="s">
        <v>910</v>
      </c>
      <c r="G3426" s="19" t="n">
        <v>0.0319</v>
      </c>
    </row>
    <row r="3427" customFormat="false" ht="15" hidden="false" customHeight="false" outlineLevel="0" collapsed="false">
      <c r="A3427" s="28" t="s">
        <v>194</v>
      </c>
      <c r="B3427" s="28" t="s">
        <v>195</v>
      </c>
      <c r="C3427" s="28" t="s">
        <v>192</v>
      </c>
      <c r="D3427" s="23" t="n">
        <v>10</v>
      </c>
      <c r="E3427" s="23" t="n">
        <v>19</v>
      </c>
      <c r="F3427" s="28" t="s">
        <v>911</v>
      </c>
      <c r="G3427" s="19" t="n">
        <v>0.033</v>
      </c>
    </row>
    <row r="3428" customFormat="false" ht="15" hidden="false" customHeight="false" outlineLevel="0" collapsed="false">
      <c r="A3428" s="28" t="s">
        <v>194</v>
      </c>
      <c r="B3428" s="28" t="s">
        <v>195</v>
      </c>
      <c r="C3428" s="28" t="s">
        <v>192</v>
      </c>
      <c r="D3428" s="23" t="n">
        <v>10</v>
      </c>
      <c r="E3428" s="23" t="n">
        <v>19</v>
      </c>
      <c r="F3428" s="28" t="s">
        <v>912</v>
      </c>
      <c r="G3428" s="19" t="n">
        <v>0.0344</v>
      </c>
    </row>
    <row r="3429" customFormat="false" ht="15" hidden="false" customHeight="false" outlineLevel="0" collapsed="false">
      <c r="A3429" s="28" t="s">
        <v>194</v>
      </c>
      <c r="B3429" s="28" t="s">
        <v>195</v>
      </c>
      <c r="C3429" s="28" t="s">
        <v>192</v>
      </c>
      <c r="D3429" s="23" t="n">
        <v>10</v>
      </c>
      <c r="E3429" s="23" t="n">
        <v>19</v>
      </c>
      <c r="F3429" s="28" t="s">
        <v>913</v>
      </c>
      <c r="G3429" s="19" t="n">
        <v>0.0393</v>
      </c>
    </row>
    <row r="3430" customFormat="false" ht="15" hidden="false" customHeight="false" outlineLevel="0" collapsed="false">
      <c r="A3430" s="28" t="s">
        <v>194</v>
      </c>
      <c r="B3430" s="28" t="s">
        <v>195</v>
      </c>
      <c r="C3430" s="28" t="s">
        <v>192</v>
      </c>
      <c r="D3430" s="23" t="n">
        <v>10</v>
      </c>
      <c r="E3430" s="23" t="n">
        <v>19</v>
      </c>
      <c r="F3430" s="28" t="s">
        <v>914</v>
      </c>
      <c r="G3430" s="19" t="n">
        <v>0.0391</v>
      </c>
    </row>
    <row r="3431" customFormat="false" ht="15" hidden="false" customHeight="false" outlineLevel="0" collapsed="false">
      <c r="A3431" s="28" t="s">
        <v>194</v>
      </c>
      <c r="B3431" s="28" t="s">
        <v>195</v>
      </c>
      <c r="C3431" s="28" t="s">
        <v>192</v>
      </c>
      <c r="D3431" s="23" t="n">
        <v>10</v>
      </c>
      <c r="E3431" s="23" t="n">
        <v>19</v>
      </c>
      <c r="F3431" s="28" t="s">
        <v>915</v>
      </c>
      <c r="G3431" s="19" t="n">
        <v>0.0549</v>
      </c>
    </row>
    <row r="3432" customFormat="false" ht="15" hidden="false" customHeight="false" outlineLevel="0" collapsed="false">
      <c r="A3432" s="28" t="s">
        <v>194</v>
      </c>
      <c r="B3432" s="28" t="s">
        <v>195</v>
      </c>
      <c r="C3432" s="28" t="s">
        <v>192</v>
      </c>
      <c r="D3432" s="23" t="n">
        <v>10</v>
      </c>
      <c r="E3432" s="23" t="n">
        <v>20</v>
      </c>
      <c r="F3432" s="28" t="s">
        <v>904</v>
      </c>
      <c r="G3432" s="19" t="n">
        <v>0.0263</v>
      </c>
    </row>
    <row r="3433" customFormat="false" ht="15" hidden="false" customHeight="false" outlineLevel="0" collapsed="false">
      <c r="A3433" s="28" t="s">
        <v>194</v>
      </c>
      <c r="B3433" s="28" t="s">
        <v>195</v>
      </c>
      <c r="C3433" s="28" t="s">
        <v>192</v>
      </c>
      <c r="D3433" s="23" t="n">
        <v>10</v>
      </c>
      <c r="E3433" s="23" t="n">
        <v>20</v>
      </c>
      <c r="F3433" s="28" t="s">
        <v>551</v>
      </c>
      <c r="G3433" s="19" t="n">
        <v>0.0575</v>
      </c>
    </row>
    <row r="3434" customFormat="false" ht="15" hidden="false" customHeight="false" outlineLevel="0" collapsed="false">
      <c r="A3434" s="28" t="s">
        <v>194</v>
      </c>
      <c r="B3434" s="28" t="s">
        <v>195</v>
      </c>
      <c r="C3434" s="28" t="s">
        <v>192</v>
      </c>
      <c r="D3434" s="23" t="n">
        <v>10</v>
      </c>
      <c r="E3434" s="23" t="n">
        <v>20</v>
      </c>
      <c r="F3434" s="28" t="s">
        <v>451</v>
      </c>
      <c r="G3434" s="19" t="n">
        <v>0.0261</v>
      </c>
    </row>
    <row r="3435" customFormat="false" ht="15" hidden="false" customHeight="false" outlineLevel="0" collapsed="false">
      <c r="A3435" s="28" t="s">
        <v>194</v>
      </c>
      <c r="B3435" s="28" t="s">
        <v>195</v>
      </c>
      <c r="C3435" s="28" t="s">
        <v>192</v>
      </c>
      <c r="D3435" s="23" t="n">
        <v>10</v>
      </c>
      <c r="E3435" s="23" t="n">
        <v>20</v>
      </c>
      <c r="F3435" s="28" t="s">
        <v>905</v>
      </c>
      <c r="G3435" s="19" t="n">
        <v>0.0287</v>
      </c>
    </row>
    <row r="3436" customFormat="false" ht="15" hidden="false" customHeight="false" outlineLevel="0" collapsed="false">
      <c r="A3436" s="28" t="s">
        <v>194</v>
      </c>
      <c r="B3436" s="28" t="s">
        <v>195</v>
      </c>
      <c r="C3436" s="28" t="s">
        <v>192</v>
      </c>
      <c r="D3436" s="23" t="n">
        <v>10</v>
      </c>
      <c r="E3436" s="23" t="n">
        <v>20</v>
      </c>
      <c r="F3436" s="28" t="s">
        <v>906</v>
      </c>
      <c r="G3436" s="19" t="n">
        <v>0.0301</v>
      </c>
    </row>
    <row r="3437" customFormat="false" ht="15" hidden="false" customHeight="false" outlineLevel="0" collapsed="false">
      <c r="A3437" s="28" t="s">
        <v>194</v>
      </c>
      <c r="B3437" s="28" t="s">
        <v>195</v>
      </c>
      <c r="C3437" s="28" t="s">
        <v>192</v>
      </c>
      <c r="D3437" s="23" t="n">
        <v>10</v>
      </c>
      <c r="E3437" s="23" t="n">
        <v>20</v>
      </c>
      <c r="F3437" s="28" t="s">
        <v>907</v>
      </c>
      <c r="G3437" s="19" t="n">
        <v>0.0298</v>
      </c>
    </row>
    <row r="3438" customFormat="false" ht="15" hidden="false" customHeight="false" outlineLevel="0" collapsed="false">
      <c r="A3438" s="28" t="s">
        <v>194</v>
      </c>
      <c r="B3438" s="28" t="s">
        <v>195</v>
      </c>
      <c r="C3438" s="28" t="s">
        <v>192</v>
      </c>
      <c r="D3438" s="23" t="n">
        <v>10</v>
      </c>
      <c r="E3438" s="23" t="n">
        <v>20</v>
      </c>
      <c r="F3438" s="28" t="s">
        <v>908</v>
      </c>
      <c r="G3438" s="19" t="n">
        <v>0.0314</v>
      </c>
    </row>
    <row r="3439" customFormat="false" ht="15" hidden="false" customHeight="false" outlineLevel="0" collapsed="false">
      <c r="A3439" s="28" t="s">
        <v>194</v>
      </c>
      <c r="B3439" s="28" t="s">
        <v>195</v>
      </c>
      <c r="C3439" s="28" t="s">
        <v>192</v>
      </c>
      <c r="D3439" s="23" t="n">
        <v>10</v>
      </c>
      <c r="E3439" s="23" t="n">
        <v>20</v>
      </c>
      <c r="F3439" s="28" t="s">
        <v>909</v>
      </c>
      <c r="G3439" s="19" t="n">
        <v>0.0315</v>
      </c>
    </row>
    <row r="3440" customFormat="false" ht="15" hidden="false" customHeight="false" outlineLevel="0" collapsed="false">
      <c r="A3440" s="28" t="s">
        <v>194</v>
      </c>
      <c r="B3440" s="28" t="s">
        <v>195</v>
      </c>
      <c r="C3440" s="28" t="s">
        <v>192</v>
      </c>
      <c r="D3440" s="23" t="n">
        <v>10</v>
      </c>
      <c r="E3440" s="23" t="n">
        <v>20</v>
      </c>
      <c r="F3440" s="28" t="s">
        <v>910</v>
      </c>
      <c r="G3440" s="19" t="n">
        <v>0.0319</v>
      </c>
    </row>
    <row r="3441" customFormat="false" ht="15" hidden="false" customHeight="false" outlineLevel="0" collapsed="false">
      <c r="A3441" s="28" t="s">
        <v>194</v>
      </c>
      <c r="B3441" s="28" t="s">
        <v>195</v>
      </c>
      <c r="C3441" s="28" t="s">
        <v>192</v>
      </c>
      <c r="D3441" s="23" t="n">
        <v>10</v>
      </c>
      <c r="E3441" s="23" t="n">
        <v>20</v>
      </c>
      <c r="F3441" s="28" t="s">
        <v>911</v>
      </c>
      <c r="G3441" s="19" t="n">
        <v>0.033</v>
      </c>
    </row>
    <row r="3442" customFormat="false" ht="15" hidden="false" customHeight="false" outlineLevel="0" collapsed="false">
      <c r="A3442" s="28" t="s">
        <v>194</v>
      </c>
      <c r="B3442" s="28" t="s">
        <v>195</v>
      </c>
      <c r="C3442" s="28" t="s">
        <v>192</v>
      </c>
      <c r="D3442" s="23" t="n">
        <v>10</v>
      </c>
      <c r="E3442" s="23" t="n">
        <v>20</v>
      </c>
      <c r="F3442" s="28" t="s">
        <v>912</v>
      </c>
      <c r="G3442" s="19" t="n">
        <v>0.0344</v>
      </c>
    </row>
    <row r="3443" customFormat="false" ht="15" hidden="false" customHeight="false" outlineLevel="0" collapsed="false">
      <c r="A3443" s="28" t="s">
        <v>194</v>
      </c>
      <c r="B3443" s="28" t="s">
        <v>195</v>
      </c>
      <c r="C3443" s="28" t="s">
        <v>192</v>
      </c>
      <c r="D3443" s="23" t="n">
        <v>10</v>
      </c>
      <c r="E3443" s="23" t="n">
        <v>20</v>
      </c>
      <c r="F3443" s="28" t="s">
        <v>913</v>
      </c>
      <c r="G3443" s="19" t="n">
        <v>0.0393</v>
      </c>
    </row>
    <row r="3444" customFormat="false" ht="15" hidden="false" customHeight="false" outlineLevel="0" collapsed="false">
      <c r="A3444" s="28" t="s">
        <v>194</v>
      </c>
      <c r="B3444" s="28" t="s">
        <v>195</v>
      </c>
      <c r="C3444" s="28" t="s">
        <v>192</v>
      </c>
      <c r="D3444" s="23" t="n">
        <v>10</v>
      </c>
      <c r="E3444" s="23" t="n">
        <v>20</v>
      </c>
      <c r="F3444" s="28" t="s">
        <v>914</v>
      </c>
      <c r="G3444" s="19" t="n">
        <v>0.0391</v>
      </c>
    </row>
    <row r="3445" customFormat="false" ht="15" hidden="false" customHeight="false" outlineLevel="0" collapsed="false">
      <c r="A3445" s="28" t="s">
        <v>194</v>
      </c>
      <c r="B3445" s="28" t="s">
        <v>195</v>
      </c>
      <c r="C3445" s="28" t="s">
        <v>192</v>
      </c>
      <c r="D3445" s="23" t="n">
        <v>10</v>
      </c>
      <c r="E3445" s="23" t="n">
        <v>20</v>
      </c>
      <c r="F3445" s="28" t="s">
        <v>915</v>
      </c>
      <c r="G3445" s="19" t="n">
        <v>0.0549</v>
      </c>
    </row>
    <row r="3446" customFormat="false" ht="15" hidden="false" customHeight="false" outlineLevel="0" collapsed="false">
      <c r="A3446" s="28" t="s">
        <v>194</v>
      </c>
      <c r="B3446" s="28" t="s">
        <v>195</v>
      </c>
      <c r="C3446" s="28" t="s">
        <v>192</v>
      </c>
      <c r="D3446" s="23" t="n">
        <v>10</v>
      </c>
      <c r="E3446" s="23" t="n">
        <v>21</v>
      </c>
      <c r="F3446" s="28" t="s">
        <v>904</v>
      </c>
      <c r="G3446" s="19" t="n">
        <v>0.0263</v>
      </c>
    </row>
    <row r="3447" customFormat="false" ht="15" hidden="false" customHeight="false" outlineLevel="0" collapsed="false">
      <c r="A3447" s="28" t="s">
        <v>194</v>
      </c>
      <c r="B3447" s="28" t="s">
        <v>195</v>
      </c>
      <c r="C3447" s="28" t="s">
        <v>192</v>
      </c>
      <c r="D3447" s="23" t="n">
        <v>10</v>
      </c>
      <c r="E3447" s="23" t="n">
        <v>21</v>
      </c>
      <c r="F3447" s="28" t="s">
        <v>551</v>
      </c>
      <c r="G3447" s="19" t="n">
        <v>0.0575</v>
      </c>
    </row>
    <row r="3448" customFormat="false" ht="15" hidden="false" customHeight="false" outlineLevel="0" collapsed="false">
      <c r="A3448" s="28" t="s">
        <v>194</v>
      </c>
      <c r="B3448" s="28" t="s">
        <v>195</v>
      </c>
      <c r="C3448" s="28" t="s">
        <v>192</v>
      </c>
      <c r="D3448" s="23" t="n">
        <v>10</v>
      </c>
      <c r="E3448" s="23" t="n">
        <v>21</v>
      </c>
      <c r="F3448" s="28" t="s">
        <v>451</v>
      </c>
      <c r="G3448" s="19" t="n">
        <v>0.0261</v>
      </c>
    </row>
    <row r="3449" customFormat="false" ht="15" hidden="false" customHeight="false" outlineLevel="0" collapsed="false">
      <c r="A3449" s="28" t="s">
        <v>194</v>
      </c>
      <c r="B3449" s="28" t="s">
        <v>195</v>
      </c>
      <c r="C3449" s="28" t="s">
        <v>192</v>
      </c>
      <c r="D3449" s="23" t="n">
        <v>10</v>
      </c>
      <c r="E3449" s="23" t="n">
        <v>21</v>
      </c>
      <c r="F3449" s="28" t="s">
        <v>905</v>
      </c>
      <c r="G3449" s="19" t="n">
        <v>0.0287</v>
      </c>
    </row>
    <row r="3450" customFormat="false" ht="15" hidden="false" customHeight="false" outlineLevel="0" collapsed="false">
      <c r="A3450" s="28" t="s">
        <v>194</v>
      </c>
      <c r="B3450" s="28" t="s">
        <v>195</v>
      </c>
      <c r="C3450" s="28" t="s">
        <v>192</v>
      </c>
      <c r="D3450" s="23" t="n">
        <v>10</v>
      </c>
      <c r="E3450" s="23" t="n">
        <v>21</v>
      </c>
      <c r="F3450" s="28" t="s">
        <v>906</v>
      </c>
      <c r="G3450" s="19" t="n">
        <v>0.0301</v>
      </c>
    </row>
    <row r="3451" customFormat="false" ht="15" hidden="false" customHeight="false" outlineLevel="0" collapsed="false">
      <c r="A3451" s="28" t="s">
        <v>194</v>
      </c>
      <c r="B3451" s="28" t="s">
        <v>195</v>
      </c>
      <c r="C3451" s="28" t="s">
        <v>192</v>
      </c>
      <c r="D3451" s="23" t="n">
        <v>10</v>
      </c>
      <c r="E3451" s="23" t="n">
        <v>21</v>
      </c>
      <c r="F3451" s="28" t="s">
        <v>907</v>
      </c>
      <c r="G3451" s="19" t="n">
        <v>0.0298</v>
      </c>
    </row>
    <row r="3452" customFormat="false" ht="15" hidden="false" customHeight="false" outlineLevel="0" collapsed="false">
      <c r="A3452" s="28" t="s">
        <v>194</v>
      </c>
      <c r="B3452" s="28" t="s">
        <v>195</v>
      </c>
      <c r="C3452" s="28" t="s">
        <v>192</v>
      </c>
      <c r="D3452" s="23" t="n">
        <v>10</v>
      </c>
      <c r="E3452" s="23" t="n">
        <v>21</v>
      </c>
      <c r="F3452" s="28" t="s">
        <v>908</v>
      </c>
      <c r="G3452" s="19" t="n">
        <v>0.0314</v>
      </c>
    </row>
    <row r="3453" customFormat="false" ht="15" hidden="false" customHeight="false" outlineLevel="0" collapsed="false">
      <c r="A3453" s="28" t="s">
        <v>194</v>
      </c>
      <c r="B3453" s="28" t="s">
        <v>195</v>
      </c>
      <c r="C3453" s="28" t="s">
        <v>192</v>
      </c>
      <c r="D3453" s="23" t="n">
        <v>10</v>
      </c>
      <c r="E3453" s="23" t="n">
        <v>21</v>
      </c>
      <c r="F3453" s="28" t="s">
        <v>909</v>
      </c>
      <c r="G3453" s="19" t="n">
        <v>0.0315</v>
      </c>
    </row>
    <row r="3454" customFormat="false" ht="15" hidden="false" customHeight="false" outlineLevel="0" collapsed="false">
      <c r="A3454" s="28" t="s">
        <v>194</v>
      </c>
      <c r="B3454" s="28" t="s">
        <v>195</v>
      </c>
      <c r="C3454" s="28" t="s">
        <v>192</v>
      </c>
      <c r="D3454" s="23" t="n">
        <v>10</v>
      </c>
      <c r="E3454" s="23" t="n">
        <v>21</v>
      </c>
      <c r="F3454" s="28" t="s">
        <v>910</v>
      </c>
      <c r="G3454" s="19" t="n">
        <v>0.0319</v>
      </c>
    </row>
    <row r="3455" customFormat="false" ht="15" hidden="false" customHeight="false" outlineLevel="0" collapsed="false">
      <c r="A3455" s="28" t="s">
        <v>194</v>
      </c>
      <c r="B3455" s="28" t="s">
        <v>195</v>
      </c>
      <c r="C3455" s="28" t="s">
        <v>192</v>
      </c>
      <c r="D3455" s="23" t="n">
        <v>10</v>
      </c>
      <c r="E3455" s="23" t="n">
        <v>21</v>
      </c>
      <c r="F3455" s="28" t="s">
        <v>911</v>
      </c>
      <c r="G3455" s="19" t="n">
        <v>0.033</v>
      </c>
    </row>
    <row r="3456" customFormat="false" ht="15" hidden="false" customHeight="false" outlineLevel="0" collapsed="false">
      <c r="A3456" s="28" t="s">
        <v>194</v>
      </c>
      <c r="B3456" s="28" t="s">
        <v>195</v>
      </c>
      <c r="C3456" s="28" t="s">
        <v>192</v>
      </c>
      <c r="D3456" s="23" t="n">
        <v>10</v>
      </c>
      <c r="E3456" s="23" t="n">
        <v>21</v>
      </c>
      <c r="F3456" s="28" t="s">
        <v>912</v>
      </c>
      <c r="G3456" s="19" t="n">
        <v>0.0344</v>
      </c>
    </row>
    <row r="3457" customFormat="false" ht="15" hidden="false" customHeight="false" outlineLevel="0" collapsed="false">
      <c r="A3457" s="28" t="s">
        <v>194</v>
      </c>
      <c r="B3457" s="28" t="s">
        <v>195</v>
      </c>
      <c r="C3457" s="28" t="s">
        <v>192</v>
      </c>
      <c r="D3457" s="23" t="n">
        <v>10</v>
      </c>
      <c r="E3457" s="23" t="n">
        <v>21</v>
      </c>
      <c r="F3457" s="28" t="s">
        <v>913</v>
      </c>
      <c r="G3457" s="19" t="n">
        <v>0.0393</v>
      </c>
    </row>
    <row r="3458" customFormat="false" ht="15" hidden="false" customHeight="false" outlineLevel="0" collapsed="false">
      <c r="A3458" s="28" t="s">
        <v>194</v>
      </c>
      <c r="B3458" s="28" t="s">
        <v>195</v>
      </c>
      <c r="C3458" s="28" t="s">
        <v>192</v>
      </c>
      <c r="D3458" s="23" t="n">
        <v>10</v>
      </c>
      <c r="E3458" s="23" t="n">
        <v>21</v>
      </c>
      <c r="F3458" s="28" t="s">
        <v>914</v>
      </c>
      <c r="G3458" s="19" t="n">
        <v>0.0391</v>
      </c>
    </row>
    <row r="3459" customFormat="false" ht="15" hidden="false" customHeight="false" outlineLevel="0" collapsed="false">
      <c r="A3459" s="28" t="s">
        <v>194</v>
      </c>
      <c r="B3459" s="28" t="s">
        <v>195</v>
      </c>
      <c r="C3459" s="28" t="s">
        <v>192</v>
      </c>
      <c r="D3459" s="23" t="n">
        <v>10</v>
      </c>
      <c r="E3459" s="23" t="n">
        <v>21</v>
      </c>
      <c r="F3459" s="28" t="s">
        <v>915</v>
      </c>
      <c r="G3459" s="19" t="n">
        <v>0.0549</v>
      </c>
    </row>
    <row r="3460" customFormat="false" ht="15" hidden="false" customHeight="false" outlineLevel="0" collapsed="false">
      <c r="A3460" s="28" t="s">
        <v>194</v>
      </c>
      <c r="B3460" s="28" t="s">
        <v>195</v>
      </c>
      <c r="C3460" s="28" t="s">
        <v>192</v>
      </c>
      <c r="D3460" s="23" t="n">
        <v>10</v>
      </c>
      <c r="E3460" s="23" t="n">
        <v>22</v>
      </c>
      <c r="F3460" s="28" t="s">
        <v>904</v>
      </c>
      <c r="G3460" s="19" t="n">
        <v>0.0263</v>
      </c>
    </row>
    <row r="3461" customFormat="false" ht="15" hidden="false" customHeight="false" outlineLevel="0" collapsed="false">
      <c r="A3461" s="28" t="s">
        <v>194</v>
      </c>
      <c r="B3461" s="28" t="s">
        <v>195</v>
      </c>
      <c r="C3461" s="28" t="s">
        <v>192</v>
      </c>
      <c r="D3461" s="23" t="n">
        <v>10</v>
      </c>
      <c r="E3461" s="23" t="n">
        <v>22</v>
      </c>
      <c r="F3461" s="28" t="s">
        <v>551</v>
      </c>
      <c r="G3461" s="19" t="n">
        <v>0.0575</v>
      </c>
    </row>
    <row r="3462" customFormat="false" ht="15" hidden="false" customHeight="false" outlineLevel="0" collapsed="false">
      <c r="A3462" s="28" t="s">
        <v>194</v>
      </c>
      <c r="B3462" s="28" t="s">
        <v>195</v>
      </c>
      <c r="C3462" s="28" t="s">
        <v>192</v>
      </c>
      <c r="D3462" s="23" t="n">
        <v>10</v>
      </c>
      <c r="E3462" s="23" t="n">
        <v>22</v>
      </c>
      <c r="F3462" s="28" t="s">
        <v>451</v>
      </c>
      <c r="G3462" s="19" t="n">
        <v>0.0261</v>
      </c>
    </row>
    <row r="3463" customFormat="false" ht="15" hidden="false" customHeight="false" outlineLevel="0" collapsed="false">
      <c r="A3463" s="28" t="s">
        <v>194</v>
      </c>
      <c r="B3463" s="28" t="s">
        <v>195</v>
      </c>
      <c r="C3463" s="28" t="s">
        <v>192</v>
      </c>
      <c r="D3463" s="23" t="n">
        <v>10</v>
      </c>
      <c r="E3463" s="23" t="n">
        <v>22</v>
      </c>
      <c r="F3463" s="28" t="s">
        <v>905</v>
      </c>
      <c r="G3463" s="19" t="n">
        <v>0.0287</v>
      </c>
    </row>
    <row r="3464" customFormat="false" ht="15" hidden="false" customHeight="false" outlineLevel="0" collapsed="false">
      <c r="A3464" s="28" t="s">
        <v>194</v>
      </c>
      <c r="B3464" s="28" t="s">
        <v>195</v>
      </c>
      <c r="C3464" s="28" t="s">
        <v>192</v>
      </c>
      <c r="D3464" s="23" t="n">
        <v>10</v>
      </c>
      <c r="E3464" s="23" t="n">
        <v>22</v>
      </c>
      <c r="F3464" s="28" t="s">
        <v>906</v>
      </c>
      <c r="G3464" s="19" t="n">
        <v>0.0301</v>
      </c>
    </row>
    <row r="3465" customFormat="false" ht="15" hidden="false" customHeight="false" outlineLevel="0" collapsed="false">
      <c r="A3465" s="28" t="s">
        <v>194</v>
      </c>
      <c r="B3465" s="28" t="s">
        <v>195</v>
      </c>
      <c r="C3465" s="28" t="s">
        <v>192</v>
      </c>
      <c r="D3465" s="23" t="n">
        <v>10</v>
      </c>
      <c r="E3465" s="23" t="n">
        <v>22</v>
      </c>
      <c r="F3465" s="28" t="s">
        <v>907</v>
      </c>
      <c r="G3465" s="19" t="n">
        <v>0.0298</v>
      </c>
    </row>
    <row r="3466" customFormat="false" ht="15" hidden="false" customHeight="false" outlineLevel="0" collapsed="false">
      <c r="A3466" s="28" t="s">
        <v>194</v>
      </c>
      <c r="B3466" s="28" t="s">
        <v>195</v>
      </c>
      <c r="C3466" s="28" t="s">
        <v>192</v>
      </c>
      <c r="D3466" s="23" t="n">
        <v>10</v>
      </c>
      <c r="E3466" s="23" t="n">
        <v>22</v>
      </c>
      <c r="F3466" s="28" t="s">
        <v>908</v>
      </c>
      <c r="G3466" s="19" t="n">
        <v>0.0314</v>
      </c>
    </row>
    <row r="3467" customFormat="false" ht="15" hidden="false" customHeight="false" outlineLevel="0" collapsed="false">
      <c r="A3467" s="28" t="s">
        <v>194</v>
      </c>
      <c r="B3467" s="28" t="s">
        <v>195</v>
      </c>
      <c r="C3467" s="28" t="s">
        <v>192</v>
      </c>
      <c r="D3467" s="23" t="n">
        <v>10</v>
      </c>
      <c r="E3467" s="23" t="n">
        <v>22</v>
      </c>
      <c r="F3467" s="28" t="s">
        <v>909</v>
      </c>
      <c r="G3467" s="19" t="n">
        <v>0.0315</v>
      </c>
    </row>
    <row r="3468" customFormat="false" ht="15" hidden="false" customHeight="false" outlineLevel="0" collapsed="false">
      <c r="A3468" s="28" t="s">
        <v>194</v>
      </c>
      <c r="B3468" s="28" t="s">
        <v>195</v>
      </c>
      <c r="C3468" s="28" t="s">
        <v>192</v>
      </c>
      <c r="D3468" s="23" t="n">
        <v>10</v>
      </c>
      <c r="E3468" s="23" t="n">
        <v>22</v>
      </c>
      <c r="F3468" s="28" t="s">
        <v>910</v>
      </c>
      <c r="G3468" s="19" t="n">
        <v>0.0319</v>
      </c>
    </row>
    <row r="3469" customFormat="false" ht="15" hidden="false" customHeight="false" outlineLevel="0" collapsed="false">
      <c r="A3469" s="28" t="s">
        <v>194</v>
      </c>
      <c r="B3469" s="28" t="s">
        <v>195</v>
      </c>
      <c r="C3469" s="28" t="s">
        <v>192</v>
      </c>
      <c r="D3469" s="23" t="n">
        <v>10</v>
      </c>
      <c r="E3469" s="23" t="n">
        <v>22</v>
      </c>
      <c r="F3469" s="28" t="s">
        <v>911</v>
      </c>
      <c r="G3469" s="19" t="n">
        <v>0.033</v>
      </c>
    </row>
    <row r="3470" customFormat="false" ht="15" hidden="false" customHeight="false" outlineLevel="0" collapsed="false">
      <c r="A3470" s="28" t="s">
        <v>194</v>
      </c>
      <c r="B3470" s="28" t="s">
        <v>195</v>
      </c>
      <c r="C3470" s="28" t="s">
        <v>192</v>
      </c>
      <c r="D3470" s="23" t="n">
        <v>10</v>
      </c>
      <c r="E3470" s="23" t="n">
        <v>22</v>
      </c>
      <c r="F3470" s="28" t="s">
        <v>912</v>
      </c>
      <c r="G3470" s="19" t="n">
        <v>0.0344</v>
      </c>
    </row>
    <row r="3471" customFormat="false" ht="15" hidden="false" customHeight="false" outlineLevel="0" collapsed="false">
      <c r="A3471" s="28" t="s">
        <v>194</v>
      </c>
      <c r="B3471" s="28" t="s">
        <v>195</v>
      </c>
      <c r="C3471" s="28" t="s">
        <v>192</v>
      </c>
      <c r="D3471" s="23" t="n">
        <v>10</v>
      </c>
      <c r="E3471" s="23" t="n">
        <v>22</v>
      </c>
      <c r="F3471" s="28" t="s">
        <v>913</v>
      </c>
      <c r="G3471" s="19" t="n">
        <v>0.0393</v>
      </c>
    </row>
    <row r="3472" customFormat="false" ht="15" hidden="false" customHeight="false" outlineLevel="0" collapsed="false">
      <c r="A3472" s="28" t="s">
        <v>194</v>
      </c>
      <c r="B3472" s="28" t="s">
        <v>195</v>
      </c>
      <c r="C3472" s="28" t="s">
        <v>192</v>
      </c>
      <c r="D3472" s="23" t="n">
        <v>10</v>
      </c>
      <c r="E3472" s="23" t="n">
        <v>22</v>
      </c>
      <c r="F3472" s="28" t="s">
        <v>914</v>
      </c>
      <c r="G3472" s="19" t="n">
        <v>0.0391</v>
      </c>
    </row>
    <row r="3473" customFormat="false" ht="15" hidden="false" customHeight="false" outlineLevel="0" collapsed="false">
      <c r="A3473" s="28" t="s">
        <v>194</v>
      </c>
      <c r="B3473" s="28" t="s">
        <v>195</v>
      </c>
      <c r="C3473" s="28" t="s">
        <v>192</v>
      </c>
      <c r="D3473" s="23" t="n">
        <v>10</v>
      </c>
      <c r="E3473" s="23" t="n">
        <v>22</v>
      </c>
      <c r="F3473" s="28" t="s">
        <v>915</v>
      </c>
      <c r="G3473" s="19" t="n">
        <v>0.0549</v>
      </c>
    </row>
    <row r="3474" customFormat="false" ht="15" hidden="false" customHeight="false" outlineLevel="0" collapsed="false">
      <c r="A3474" s="28" t="s">
        <v>194</v>
      </c>
      <c r="B3474" s="28" t="s">
        <v>195</v>
      </c>
      <c r="C3474" s="28" t="s">
        <v>192</v>
      </c>
      <c r="D3474" s="23" t="n">
        <v>10</v>
      </c>
      <c r="E3474" s="23" t="n">
        <v>23</v>
      </c>
      <c r="F3474" s="28" t="s">
        <v>904</v>
      </c>
      <c r="G3474" s="19" t="n">
        <v>0.0263</v>
      </c>
    </row>
    <row r="3475" customFormat="false" ht="15" hidden="false" customHeight="false" outlineLevel="0" collapsed="false">
      <c r="A3475" s="28" t="s">
        <v>194</v>
      </c>
      <c r="B3475" s="28" t="s">
        <v>195</v>
      </c>
      <c r="C3475" s="28" t="s">
        <v>192</v>
      </c>
      <c r="D3475" s="23" t="n">
        <v>10</v>
      </c>
      <c r="E3475" s="23" t="n">
        <v>23</v>
      </c>
      <c r="F3475" s="28" t="s">
        <v>551</v>
      </c>
      <c r="G3475" s="19" t="n">
        <v>0.0575</v>
      </c>
    </row>
    <row r="3476" customFormat="false" ht="15" hidden="false" customHeight="false" outlineLevel="0" collapsed="false">
      <c r="A3476" s="28" t="s">
        <v>194</v>
      </c>
      <c r="B3476" s="28" t="s">
        <v>195</v>
      </c>
      <c r="C3476" s="28" t="s">
        <v>192</v>
      </c>
      <c r="D3476" s="23" t="n">
        <v>10</v>
      </c>
      <c r="E3476" s="23" t="n">
        <v>23</v>
      </c>
      <c r="F3476" s="28" t="s">
        <v>451</v>
      </c>
      <c r="G3476" s="19" t="n">
        <v>0.0261</v>
      </c>
    </row>
    <row r="3477" customFormat="false" ht="15" hidden="false" customHeight="false" outlineLevel="0" collapsed="false">
      <c r="A3477" s="28" t="s">
        <v>194</v>
      </c>
      <c r="B3477" s="28" t="s">
        <v>195</v>
      </c>
      <c r="C3477" s="28" t="s">
        <v>192</v>
      </c>
      <c r="D3477" s="23" t="n">
        <v>10</v>
      </c>
      <c r="E3477" s="23" t="n">
        <v>23</v>
      </c>
      <c r="F3477" s="28" t="s">
        <v>905</v>
      </c>
      <c r="G3477" s="19" t="n">
        <v>0.0287</v>
      </c>
    </row>
    <row r="3478" customFormat="false" ht="15" hidden="false" customHeight="false" outlineLevel="0" collapsed="false">
      <c r="A3478" s="28" t="s">
        <v>194</v>
      </c>
      <c r="B3478" s="28" t="s">
        <v>195</v>
      </c>
      <c r="C3478" s="28" t="s">
        <v>192</v>
      </c>
      <c r="D3478" s="23" t="n">
        <v>10</v>
      </c>
      <c r="E3478" s="23" t="n">
        <v>23</v>
      </c>
      <c r="F3478" s="28" t="s">
        <v>906</v>
      </c>
      <c r="G3478" s="19" t="n">
        <v>0.0301</v>
      </c>
    </row>
    <row r="3479" customFormat="false" ht="15" hidden="false" customHeight="false" outlineLevel="0" collapsed="false">
      <c r="A3479" s="28" t="s">
        <v>194</v>
      </c>
      <c r="B3479" s="28" t="s">
        <v>195</v>
      </c>
      <c r="C3479" s="28" t="s">
        <v>192</v>
      </c>
      <c r="D3479" s="23" t="n">
        <v>10</v>
      </c>
      <c r="E3479" s="23" t="n">
        <v>23</v>
      </c>
      <c r="F3479" s="28" t="s">
        <v>907</v>
      </c>
      <c r="G3479" s="19" t="n">
        <v>0.0298</v>
      </c>
    </row>
    <row r="3480" customFormat="false" ht="15" hidden="false" customHeight="false" outlineLevel="0" collapsed="false">
      <c r="A3480" s="28" t="s">
        <v>194</v>
      </c>
      <c r="B3480" s="28" t="s">
        <v>195</v>
      </c>
      <c r="C3480" s="28" t="s">
        <v>192</v>
      </c>
      <c r="D3480" s="23" t="n">
        <v>10</v>
      </c>
      <c r="E3480" s="23" t="n">
        <v>23</v>
      </c>
      <c r="F3480" s="28" t="s">
        <v>908</v>
      </c>
      <c r="G3480" s="19" t="n">
        <v>0.0314</v>
      </c>
    </row>
    <row r="3481" customFormat="false" ht="15" hidden="false" customHeight="false" outlineLevel="0" collapsed="false">
      <c r="A3481" s="28" t="s">
        <v>194</v>
      </c>
      <c r="B3481" s="28" t="s">
        <v>195</v>
      </c>
      <c r="C3481" s="28" t="s">
        <v>192</v>
      </c>
      <c r="D3481" s="23" t="n">
        <v>10</v>
      </c>
      <c r="E3481" s="23" t="n">
        <v>23</v>
      </c>
      <c r="F3481" s="28" t="s">
        <v>909</v>
      </c>
      <c r="G3481" s="19" t="n">
        <v>0.0315</v>
      </c>
    </row>
    <row r="3482" customFormat="false" ht="15" hidden="false" customHeight="false" outlineLevel="0" collapsed="false">
      <c r="A3482" s="28" t="s">
        <v>194</v>
      </c>
      <c r="B3482" s="28" t="s">
        <v>195</v>
      </c>
      <c r="C3482" s="28" t="s">
        <v>192</v>
      </c>
      <c r="D3482" s="23" t="n">
        <v>10</v>
      </c>
      <c r="E3482" s="23" t="n">
        <v>23</v>
      </c>
      <c r="F3482" s="28" t="s">
        <v>910</v>
      </c>
      <c r="G3482" s="19" t="n">
        <v>0.0319</v>
      </c>
    </row>
    <row r="3483" customFormat="false" ht="15" hidden="false" customHeight="false" outlineLevel="0" collapsed="false">
      <c r="A3483" s="28" t="s">
        <v>194</v>
      </c>
      <c r="B3483" s="28" t="s">
        <v>195</v>
      </c>
      <c r="C3483" s="28" t="s">
        <v>192</v>
      </c>
      <c r="D3483" s="23" t="n">
        <v>10</v>
      </c>
      <c r="E3483" s="23" t="n">
        <v>23</v>
      </c>
      <c r="F3483" s="28" t="s">
        <v>911</v>
      </c>
      <c r="G3483" s="19" t="n">
        <v>0.033</v>
      </c>
    </row>
    <row r="3484" customFormat="false" ht="15" hidden="false" customHeight="false" outlineLevel="0" collapsed="false">
      <c r="A3484" s="28" t="s">
        <v>194</v>
      </c>
      <c r="B3484" s="28" t="s">
        <v>195</v>
      </c>
      <c r="C3484" s="28" t="s">
        <v>192</v>
      </c>
      <c r="D3484" s="23" t="n">
        <v>10</v>
      </c>
      <c r="E3484" s="23" t="n">
        <v>23</v>
      </c>
      <c r="F3484" s="28" t="s">
        <v>912</v>
      </c>
      <c r="G3484" s="19" t="n">
        <v>0.0344</v>
      </c>
    </row>
    <row r="3485" customFormat="false" ht="15" hidden="false" customHeight="false" outlineLevel="0" collapsed="false">
      <c r="A3485" s="28" t="s">
        <v>194</v>
      </c>
      <c r="B3485" s="28" t="s">
        <v>195</v>
      </c>
      <c r="C3485" s="28" t="s">
        <v>192</v>
      </c>
      <c r="D3485" s="23" t="n">
        <v>10</v>
      </c>
      <c r="E3485" s="23" t="n">
        <v>23</v>
      </c>
      <c r="F3485" s="28" t="s">
        <v>913</v>
      </c>
      <c r="G3485" s="19" t="n">
        <v>0.0393</v>
      </c>
    </row>
    <row r="3486" customFormat="false" ht="15" hidden="false" customHeight="false" outlineLevel="0" collapsed="false">
      <c r="A3486" s="28" t="s">
        <v>194</v>
      </c>
      <c r="B3486" s="28" t="s">
        <v>195</v>
      </c>
      <c r="C3486" s="28" t="s">
        <v>192</v>
      </c>
      <c r="D3486" s="23" t="n">
        <v>10</v>
      </c>
      <c r="E3486" s="23" t="n">
        <v>23</v>
      </c>
      <c r="F3486" s="28" t="s">
        <v>914</v>
      </c>
      <c r="G3486" s="19" t="n">
        <v>0.0391</v>
      </c>
    </row>
    <row r="3487" customFormat="false" ht="15" hidden="false" customHeight="false" outlineLevel="0" collapsed="false">
      <c r="A3487" s="28" t="s">
        <v>194</v>
      </c>
      <c r="B3487" s="28" t="s">
        <v>195</v>
      </c>
      <c r="C3487" s="28" t="s">
        <v>192</v>
      </c>
      <c r="D3487" s="23" t="n">
        <v>10</v>
      </c>
      <c r="E3487" s="23" t="n">
        <v>23</v>
      </c>
      <c r="F3487" s="28" t="s">
        <v>915</v>
      </c>
      <c r="G3487" s="19" t="n">
        <v>0.0549</v>
      </c>
    </row>
    <row r="3488" customFormat="false" ht="15" hidden="false" customHeight="false" outlineLevel="0" collapsed="false">
      <c r="A3488" s="28" t="s">
        <v>194</v>
      </c>
      <c r="B3488" s="28" t="s">
        <v>195</v>
      </c>
      <c r="C3488" s="28" t="s">
        <v>192</v>
      </c>
      <c r="D3488" s="23" t="n">
        <v>10</v>
      </c>
      <c r="E3488" s="23" t="n">
        <v>24</v>
      </c>
      <c r="F3488" s="28" t="s">
        <v>904</v>
      </c>
      <c r="G3488" s="19" t="n">
        <v>0.0263</v>
      </c>
    </row>
    <row r="3489" customFormat="false" ht="15" hidden="false" customHeight="false" outlineLevel="0" collapsed="false">
      <c r="A3489" s="28" t="s">
        <v>194</v>
      </c>
      <c r="B3489" s="28" t="s">
        <v>195</v>
      </c>
      <c r="C3489" s="28" t="s">
        <v>192</v>
      </c>
      <c r="D3489" s="23" t="n">
        <v>10</v>
      </c>
      <c r="E3489" s="23" t="n">
        <v>24</v>
      </c>
      <c r="F3489" s="28" t="s">
        <v>551</v>
      </c>
      <c r="G3489" s="19" t="n">
        <v>0.0575</v>
      </c>
    </row>
    <row r="3490" customFormat="false" ht="15" hidden="false" customHeight="false" outlineLevel="0" collapsed="false">
      <c r="A3490" s="28" t="s">
        <v>194</v>
      </c>
      <c r="B3490" s="28" t="s">
        <v>195</v>
      </c>
      <c r="C3490" s="28" t="s">
        <v>192</v>
      </c>
      <c r="D3490" s="23" t="n">
        <v>10</v>
      </c>
      <c r="E3490" s="23" t="n">
        <v>24</v>
      </c>
      <c r="F3490" s="28" t="s">
        <v>451</v>
      </c>
      <c r="G3490" s="19" t="n">
        <v>0.0261</v>
      </c>
    </row>
    <row r="3491" customFormat="false" ht="15" hidden="false" customHeight="false" outlineLevel="0" collapsed="false">
      <c r="A3491" s="28" t="s">
        <v>194</v>
      </c>
      <c r="B3491" s="28" t="s">
        <v>195</v>
      </c>
      <c r="C3491" s="28" t="s">
        <v>192</v>
      </c>
      <c r="D3491" s="23" t="n">
        <v>10</v>
      </c>
      <c r="E3491" s="23" t="n">
        <v>24</v>
      </c>
      <c r="F3491" s="28" t="s">
        <v>905</v>
      </c>
      <c r="G3491" s="19" t="n">
        <v>0.0287</v>
      </c>
    </row>
    <row r="3492" customFormat="false" ht="15" hidden="false" customHeight="false" outlineLevel="0" collapsed="false">
      <c r="A3492" s="28" t="s">
        <v>194</v>
      </c>
      <c r="B3492" s="28" t="s">
        <v>195</v>
      </c>
      <c r="C3492" s="28" t="s">
        <v>192</v>
      </c>
      <c r="D3492" s="23" t="n">
        <v>10</v>
      </c>
      <c r="E3492" s="23" t="n">
        <v>24</v>
      </c>
      <c r="F3492" s="28" t="s">
        <v>906</v>
      </c>
      <c r="G3492" s="19" t="n">
        <v>0.0301</v>
      </c>
    </row>
    <row r="3493" customFormat="false" ht="15" hidden="false" customHeight="false" outlineLevel="0" collapsed="false">
      <c r="A3493" s="28" t="s">
        <v>194</v>
      </c>
      <c r="B3493" s="28" t="s">
        <v>195</v>
      </c>
      <c r="C3493" s="28" t="s">
        <v>192</v>
      </c>
      <c r="D3493" s="23" t="n">
        <v>10</v>
      </c>
      <c r="E3493" s="23" t="n">
        <v>24</v>
      </c>
      <c r="F3493" s="28" t="s">
        <v>907</v>
      </c>
      <c r="G3493" s="19" t="n">
        <v>0.0298</v>
      </c>
    </row>
    <row r="3494" customFormat="false" ht="15" hidden="false" customHeight="false" outlineLevel="0" collapsed="false">
      <c r="A3494" s="28" t="s">
        <v>194</v>
      </c>
      <c r="B3494" s="28" t="s">
        <v>195</v>
      </c>
      <c r="C3494" s="28" t="s">
        <v>192</v>
      </c>
      <c r="D3494" s="23" t="n">
        <v>10</v>
      </c>
      <c r="E3494" s="23" t="n">
        <v>24</v>
      </c>
      <c r="F3494" s="28" t="s">
        <v>908</v>
      </c>
      <c r="G3494" s="19" t="n">
        <v>0.0314</v>
      </c>
    </row>
    <row r="3495" customFormat="false" ht="15" hidden="false" customHeight="false" outlineLevel="0" collapsed="false">
      <c r="A3495" s="28" t="s">
        <v>194</v>
      </c>
      <c r="B3495" s="28" t="s">
        <v>195</v>
      </c>
      <c r="C3495" s="28" t="s">
        <v>192</v>
      </c>
      <c r="D3495" s="23" t="n">
        <v>10</v>
      </c>
      <c r="E3495" s="23" t="n">
        <v>24</v>
      </c>
      <c r="F3495" s="28" t="s">
        <v>909</v>
      </c>
      <c r="G3495" s="19" t="n">
        <v>0.0315</v>
      </c>
    </row>
    <row r="3496" customFormat="false" ht="15" hidden="false" customHeight="false" outlineLevel="0" collapsed="false">
      <c r="A3496" s="28" t="s">
        <v>194</v>
      </c>
      <c r="B3496" s="28" t="s">
        <v>195</v>
      </c>
      <c r="C3496" s="28" t="s">
        <v>192</v>
      </c>
      <c r="D3496" s="23" t="n">
        <v>10</v>
      </c>
      <c r="E3496" s="23" t="n">
        <v>24</v>
      </c>
      <c r="F3496" s="28" t="s">
        <v>910</v>
      </c>
      <c r="G3496" s="19" t="n">
        <v>0.0319</v>
      </c>
    </row>
    <row r="3497" customFormat="false" ht="15" hidden="false" customHeight="false" outlineLevel="0" collapsed="false">
      <c r="A3497" s="28" t="s">
        <v>194</v>
      </c>
      <c r="B3497" s="28" t="s">
        <v>195</v>
      </c>
      <c r="C3497" s="28" t="s">
        <v>192</v>
      </c>
      <c r="D3497" s="23" t="n">
        <v>10</v>
      </c>
      <c r="E3497" s="23" t="n">
        <v>24</v>
      </c>
      <c r="F3497" s="28" t="s">
        <v>911</v>
      </c>
      <c r="G3497" s="19" t="n">
        <v>0.033</v>
      </c>
    </row>
    <row r="3498" customFormat="false" ht="15" hidden="false" customHeight="false" outlineLevel="0" collapsed="false">
      <c r="A3498" s="28" t="s">
        <v>194</v>
      </c>
      <c r="B3498" s="28" t="s">
        <v>195</v>
      </c>
      <c r="C3498" s="28" t="s">
        <v>192</v>
      </c>
      <c r="D3498" s="23" t="n">
        <v>10</v>
      </c>
      <c r="E3498" s="23" t="n">
        <v>24</v>
      </c>
      <c r="F3498" s="28" t="s">
        <v>912</v>
      </c>
      <c r="G3498" s="19" t="n">
        <v>0.0344</v>
      </c>
    </row>
    <row r="3499" customFormat="false" ht="15" hidden="false" customHeight="false" outlineLevel="0" collapsed="false">
      <c r="A3499" s="28" t="s">
        <v>194</v>
      </c>
      <c r="B3499" s="28" t="s">
        <v>195</v>
      </c>
      <c r="C3499" s="28" t="s">
        <v>192</v>
      </c>
      <c r="D3499" s="23" t="n">
        <v>10</v>
      </c>
      <c r="E3499" s="23" t="n">
        <v>24</v>
      </c>
      <c r="F3499" s="28" t="s">
        <v>913</v>
      </c>
      <c r="G3499" s="19" t="n">
        <v>0.0393</v>
      </c>
    </row>
    <row r="3500" customFormat="false" ht="15" hidden="false" customHeight="false" outlineLevel="0" collapsed="false">
      <c r="A3500" s="28" t="s">
        <v>194</v>
      </c>
      <c r="B3500" s="28" t="s">
        <v>195</v>
      </c>
      <c r="C3500" s="28" t="s">
        <v>192</v>
      </c>
      <c r="D3500" s="23" t="n">
        <v>10</v>
      </c>
      <c r="E3500" s="23" t="n">
        <v>24</v>
      </c>
      <c r="F3500" s="28" t="s">
        <v>914</v>
      </c>
      <c r="G3500" s="19" t="n">
        <v>0.0391</v>
      </c>
    </row>
    <row r="3501" customFormat="false" ht="15" hidden="false" customHeight="false" outlineLevel="0" collapsed="false">
      <c r="A3501" s="28" t="s">
        <v>194</v>
      </c>
      <c r="B3501" s="28" t="s">
        <v>195</v>
      </c>
      <c r="C3501" s="28" t="s">
        <v>192</v>
      </c>
      <c r="D3501" s="23" t="n">
        <v>10</v>
      </c>
      <c r="E3501" s="23" t="n">
        <v>24</v>
      </c>
      <c r="F3501" s="28" t="s">
        <v>915</v>
      </c>
      <c r="G3501" s="19" t="n">
        <v>0.0549</v>
      </c>
    </row>
    <row r="3502" customFormat="false" ht="15" hidden="false" customHeight="false" outlineLevel="0" collapsed="false">
      <c r="A3502" s="28" t="s">
        <v>196</v>
      </c>
      <c r="B3502" s="28" t="s">
        <v>197</v>
      </c>
      <c r="C3502" s="28" t="s">
        <v>192</v>
      </c>
      <c r="D3502" s="23" t="n">
        <v>11</v>
      </c>
      <c r="E3502" s="23" t="n">
        <v>0</v>
      </c>
      <c r="F3502" s="28" t="s">
        <v>904</v>
      </c>
      <c r="G3502" s="19" t="n">
        <v>0.0363</v>
      </c>
    </row>
    <row r="3503" customFormat="false" ht="15" hidden="false" customHeight="false" outlineLevel="0" collapsed="false">
      <c r="A3503" s="28" t="s">
        <v>196</v>
      </c>
      <c r="B3503" s="28" t="s">
        <v>197</v>
      </c>
      <c r="C3503" s="28" t="s">
        <v>192</v>
      </c>
      <c r="D3503" s="23" t="n">
        <v>11</v>
      </c>
      <c r="E3503" s="23" t="n">
        <v>0</v>
      </c>
      <c r="F3503" s="28" t="s">
        <v>551</v>
      </c>
      <c r="G3503" s="19" t="n">
        <v>0.0675</v>
      </c>
    </row>
    <row r="3504" customFormat="false" ht="15" hidden="false" customHeight="false" outlineLevel="0" collapsed="false">
      <c r="A3504" s="28" t="s">
        <v>196</v>
      </c>
      <c r="B3504" s="28" t="s">
        <v>197</v>
      </c>
      <c r="C3504" s="28" t="s">
        <v>192</v>
      </c>
      <c r="D3504" s="23" t="n">
        <v>11</v>
      </c>
      <c r="E3504" s="23" t="n">
        <v>0</v>
      </c>
      <c r="F3504" s="28" t="s">
        <v>451</v>
      </c>
      <c r="G3504" s="19" t="n">
        <v>0.0361</v>
      </c>
    </row>
    <row r="3505" customFormat="false" ht="15" hidden="false" customHeight="false" outlineLevel="0" collapsed="false">
      <c r="A3505" s="28" t="s">
        <v>196</v>
      </c>
      <c r="B3505" s="28" t="s">
        <v>197</v>
      </c>
      <c r="C3505" s="28" t="s">
        <v>192</v>
      </c>
      <c r="D3505" s="23" t="n">
        <v>11</v>
      </c>
      <c r="E3505" s="23" t="n">
        <v>0</v>
      </c>
      <c r="F3505" s="28" t="s">
        <v>905</v>
      </c>
      <c r="G3505" s="19" t="n">
        <v>0.0387</v>
      </c>
    </row>
    <row r="3506" customFormat="false" ht="15" hidden="false" customHeight="false" outlineLevel="0" collapsed="false">
      <c r="A3506" s="28" t="s">
        <v>196</v>
      </c>
      <c r="B3506" s="28" t="s">
        <v>197</v>
      </c>
      <c r="C3506" s="28" t="s">
        <v>192</v>
      </c>
      <c r="D3506" s="23" t="n">
        <v>11</v>
      </c>
      <c r="E3506" s="23" t="n">
        <v>0</v>
      </c>
      <c r="F3506" s="28" t="s">
        <v>906</v>
      </c>
      <c r="G3506" s="19" t="n">
        <v>0.0401</v>
      </c>
    </row>
    <row r="3507" customFormat="false" ht="15" hidden="false" customHeight="false" outlineLevel="0" collapsed="false">
      <c r="A3507" s="28" t="s">
        <v>196</v>
      </c>
      <c r="B3507" s="28" t="s">
        <v>197</v>
      </c>
      <c r="C3507" s="28" t="s">
        <v>192</v>
      </c>
      <c r="D3507" s="23" t="n">
        <v>11</v>
      </c>
      <c r="E3507" s="23" t="n">
        <v>0</v>
      </c>
      <c r="F3507" s="28" t="s">
        <v>907</v>
      </c>
      <c r="G3507" s="19" t="n">
        <v>0.0398</v>
      </c>
    </row>
    <row r="3508" customFormat="false" ht="15" hidden="false" customHeight="false" outlineLevel="0" collapsed="false">
      <c r="A3508" s="28" t="s">
        <v>196</v>
      </c>
      <c r="B3508" s="28" t="s">
        <v>197</v>
      </c>
      <c r="C3508" s="28" t="s">
        <v>192</v>
      </c>
      <c r="D3508" s="23" t="n">
        <v>11</v>
      </c>
      <c r="E3508" s="23" t="n">
        <v>0</v>
      </c>
      <c r="F3508" s="28" t="s">
        <v>908</v>
      </c>
      <c r="G3508" s="19" t="n">
        <v>0.0414</v>
      </c>
    </row>
    <row r="3509" customFormat="false" ht="15" hidden="false" customHeight="false" outlineLevel="0" collapsed="false">
      <c r="A3509" s="28" t="s">
        <v>196</v>
      </c>
      <c r="B3509" s="28" t="s">
        <v>197</v>
      </c>
      <c r="C3509" s="28" t="s">
        <v>192</v>
      </c>
      <c r="D3509" s="23" t="n">
        <v>11</v>
      </c>
      <c r="E3509" s="23" t="n">
        <v>0</v>
      </c>
      <c r="F3509" s="28" t="s">
        <v>909</v>
      </c>
      <c r="G3509" s="19" t="n">
        <v>0.0415</v>
      </c>
    </row>
    <row r="3510" customFormat="false" ht="15" hidden="false" customHeight="false" outlineLevel="0" collapsed="false">
      <c r="A3510" s="28" t="s">
        <v>196</v>
      </c>
      <c r="B3510" s="28" t="s">
        <v>197</v>
      </c>
      <c r="C3510" s="28" t="s">
        <v>192</v>
      </c>
      <c r="D3510" s="23" t="n">
        <v>11</v>
      </c>
      <c r="E3510" s="23" t="n">
        <v>0</v>
      </c>
      <c r="F3510" s="28" t="s">
        <v>910</v>
      </c>
      <c r="G3510" s="19" t="n">
        <v>0.0419</v>
      </c>
    </row>
    <row r="3511" customFormat="false" ht="15" hidden="false" customHeight="false" outlineLevel="0" collapsed="false">
      <c r="A3511" s="28" t="s">
        <v>196</v>
      </c>
      <c r="B3511" s="28" t="s">
        <v>197</v>
      </c>
      <c r="C3511" s="28" t="s">
        <v>192</v>
      </c>
      <c r="D3511" s="23" t="n">
        <v>11</v>
      </c>
      <c r="E3511" s="23" t="n">
        <v>0</v>
      </c>
      <c r="F3511" s="28" t="s">
        <v>911</v>
      </c>
      <c r="G3511" s="19" t="n">
        <v>0.043</v>
      </c>
    </row>
    <row r="3512" customFormat="false" ht="15" hidden="false" customHeight="false" outlineLevel="0" collapsed="false">
      <c r="A3512" s="28" t="s">
        <v>196</v>
      </c>
      <c r="B3512" s="28" t="s">
        <v>197</v>
      </c>
      <c r="C3512" s="28" t="s">
        <v>192</v>
      </c>
      <c r="D3512" s="23" t="n">
        <v>11</v>
      </c>
      <c r="E3512" s="23" t="n">
        <v>0</v>
      </c>
      <c r="F3512" s="28" t="s">
        <v>912</v>
      </c>
      <c r="G3512" s="19" t="n">
        <v>0.0444</v>
      </c>
    </row>
    <row r="3513" customFormat="false" ht="15" hidden="false" customHeight="false" outlineLevel="0" collapsed="false">
      <c r="A3513" s="28" t="s">
        <v>196</v>
      </c>
      <c r="B3513" s="28" t="s">
        <v>197</v>
      </c>
      <c r="C3513" s="28" t="s">
        <v>192</v>
      </c>
      <c r="D3513" s="23" t="n">
        <v>11</v>
      </c>
      <c r="E3513" s="23" t="n">
        <v>0</v>
      </c>
      <c r="F3513" s="28" t="s">
        <v>913</v>
      </c>
      <c r="G3513" s="19" t="n">
        <v>0.0493</v>
      </c>
    </row>
    <row r="3514" customFormat="false" ht="15" hidden="false" customHeight="false" outlineLevel="0" collapsed="false">
      <c r="A3514" s="28" t="s">
        <v>196</v>
      </c>
      <c r="B3514" s="28" t="s">
        <v>197</v>
      </c>
      <c r="C3514" s="28" t="s">
        <v>192</v>
      </c>
      <c r="D3514" s="23" t="n">
        <v>11</v>
      </c>
      <c r="E3514" s="23" t="n">
        <v>0</v>
      </c>
      <c r="F3514" s="28" t="s">
        <v>914</v>
      </c>
      <c r="G3514" s="19" t="n">
        <v>0.0491</v>
      </c>
    </row>
    <row r="3515" customFormat="false" ht="15" hidden="false" customHeight="false" outlineLevel="0" collapsed="false">
      <c r="A3515" s="28" t="s">
        <v>196</v>
      </c>
      <c r="B3515" s="28" t="s">
        <v>197</v>
      </c>
      <c r="C3515" s="28" t="s">
        <v>192</v>
      </c>
      <c r="D3515" s="23" t="n">
        <v>11</v>
      </c>
      <c r="E3515" s="23" t="n">
        <v>0</v>
      </c>
      <c r="F3515" s="28" t="s">
        <v>915</v>
      </c>
      <c r="G3515" s="19" t="n">
        <v>0.0649</v>
      </c>
    </row>
    <row r="3516" customFormat="false" ht="15" hidden="false" customHeight="false" outlineLevel="0" collapsed="false">
      <c r="A3516" s="28" t="s">
        <v>196</v>
      </c>
      <c r="B3516" s="28" t="s">
        <v>197</v>
      </c>
      <c r="C3516" s="28" t="s">
        <v>192</v>
      </c>
      <c r="D3516" s="23" t="n">
        <v>11</v>
      </c>
      <c r="E3516" s="23" t="n">
        <v>1</v>
      </c>
      <c r="F3516" s="28" t="s">
        <v>904</v>
      </c>
      <c r="G3516" s="19" t="n">
        <v>0.037133</v>
      </c>
    </row>
    <row r="3517" customFormat="false" ht="15" hidden="false" customHeight="false" outlineLevel="0" collapsed="false">
      <c r="A3517" s="28" t="s">
        <v>196</v>
      </c>
      <c r="B3517" s="28" t="s">
        <v>197</v>
      </c>
      <c r="C3517" s="28" t="s">
        <v>192</v>
      </c>
      <c r="D3517" s="23" t="n">
        <v>11</v>
      </c>
      <c r="E3517" s="23" t="n">
        <v>1</v>
      </c>
      <c r="F3517" s="28" t="s">
        <v>551</v>
      </c>
      <c r="G3517" s="19" t="n">
        <v>0.068333</v>
      </c>
    </row>
    <row r="3518" customFormat="false" ht="15" hidden="false" customHeight="false" outlineLevel="0" collapsed="false">
      <c r="A3518" s="28" t="s">
        <v>196</v>
      </c>
      <c r="B3518" s="28" t="s">
        <v>197</v>
      </c>
      <c r="C3518" s="28" t="s">
        <v>192</v>
      </c>
      <c r="D3518" s="23" t="n">
        <v>11</v>
      </c>
      <c r="E3518" s="23" t="n">
        <v>1</v>
      </c>
      <c r="F3518" s="28" t="s">
        <v>451</v>
      </c>
      <c r="G3518" s="19" t="n">
        <v>0.036933</v>
      </c>
    </row>
    <row r="3519" customFormat="false" ht="15" hidden="false" customHeight="false" outlineLevel="0" collapsed="false">
      <c r="A3519" s="28" t="s">
        <v>196</v>
      </c>
      <c r="B3519" s="28" t="s">
        <v>197</v>
      </c>
      <c r="C3519" s="28" t="s">
        <v>192</v>
      </c>
      <c r="D3519" s="23" t="n">
        <v>11</v>
      </c>
      <c r="E3519" s="23" t="n">
        <v>1</v>
      </c>
      <c r="F3519" s="28" t="s">
        <v>905</v>
      </c>
      <c r="G3519" s="19" t="n">
        <v>0.039533</v>
      </c>
    </row>
    <row r="3520" customFormat="false" ht="15" hidden="false" customHeight="false" outlineLevel="0" collapsed="false">
      <c r="A3520" s="28" t="s">
        <v>196</v>
      </c>
      <c r="B3520" s="28" t="s">
        <v>197</v>
      </c>
      <c r="C3520" s="28" t="s">
        <v>192</v>
      </c>
      <c r="D3520" s="23" t="n">
        <v>11</v>
      </c>
      <c r="E3520" s="23" t="n">
        <v>1</v>
      </c>
      <c r="F3520" s="28" t="s">
        <v>906</v>
      </c>
      <c r="G3520" s="19" t="n">
        <v>0.040933</v>
      </c>
    </row>
    <row r="3521" customFormat="false" ht="15" hidden="false" customHeight="false" outlineLevel="0" collapsed="false">
      <c r="A3521" s="28" t="s">
        <v>196</v>
      </c>
      <c r="B3521" s="28" t="s">
        <v>197</v>
      </c>
      <c r="C3521" s="28" t="s">
        <v>192</v>
      </c>
      <c r="D3521" s="23" t="n">
        <v>11</v>
      </c>
      <c r="E3521" s="23" t="n">
        <v>1</v>
      </c>
      <c r="F3521" s="28" t="s">
        <v>907</v>
      </c>
      <c r="G3521" s="19" t="n">
        <v>0.040633</v>
      </c>
    </row>
    <row r="3522" customFormat="false" ht="15" hidden="false" customHeight="false" outlineLevel="0" collapsed="false">
      <c r="A3522" s="28" t="s">
        <v>196</v>
      </c>
      <c r="B3522" s="28" t="s">
        <v>197</v>
      </c>
      <c r="C3522" s="28" t="s">
        <v>192</v>
      </c>
      <c r="D3522" s="23" t="n">
        <v>11</v>
      </c>
      <c r="E3522" s="23" t="n">
        <v>1</v>
      </c>
      <c r="F3522" s="28" t="s">
        <v>908</v>
      </c>
      <c r="G3522" s="19" t="n">
        <v>0.042233</v>
      </c>
    </row>
    <row r="3523" customFormat="false" ht="15" hidden="false" customHeight="false" outlineLevel="0" collapsed="false">
      <c r="A3523" s="28" t="s">
        <v>196</v>
      </c>
      <c r="B3523" s="28" t="s">
        <v>197</v>
      </c>
      <c r="C3523" s="28" t="s">
        <v>192</v>
      </c>
      <c r="D3523" s="23" t="n">
        <v>11</v>
      </c>
      <c r="E3523" s="23" t="n">
        <v>1</v>
      </c>
      <c r="F3523" s="28" t="s">
        <v>909</v>
      </c>
      <c r="G3523" s="19" t="n">
        <v>0.042333</v>
      </c>
    </row>
    <row r="3524" customFormat="false" ht="15" hidden="false" customHeight="false" outlineLevel="0" collapsed="false">
      <c r="A3524" s="28" t="s">
        <v>196</v>
      </c>
      <c r="B3524" s="28" t="s">
        <v>197</v>
      </c>
      <c r="C3524" s="28" t="s">
        <v>192</v>
      </c>
      <c r="D3524" s="23" t="n">
        <v>11</v>
      </c>
      <c r="E3524" s="23" t="n">
        <v>1</v>
      </c>
      <c r="F3524" s="28" t="s">
        <v>910</v>
      </c>
      <c r="G3524" s="19" t="n">
        <v>0.042733</v>
      </c>
    </row>
    <row r="3525" customFormat="false" ht="15" hidden="false" customHeight="false" outlineLevel="0" collapsed="false">
      <c r="A3525" s="28" t="s">
        <v>196</v>
      </c>
      <c r="B3525" s="28" t="s">
        <v>197</v>
      </c>
      <c r="C3525" s="28" t="s">
        <v>192</v>
      </c>
      <c r="D3525" s="23" t="n">
        <v>11</v>
      </c>
      <c r="E3525" s="23" t="n">
        <v>1</v>
      </c>
      <c r="F3525" s="28" t="s">
        <v>911</v>
      </c>
      <c r="G3525" s="19" t="n">
        <v>0.043833</v>
      </c>
    </row>
    <row r="3526" customFormat="false" ht="15" hidden="false" customHeight="false" outlineLevel="0" collapsed="false">
      <c r="A3526" s="28" t="s">
        <v>196</v>
      </c>
      <c r="B3526" s="28" t="s">
        <v>197</v>
      </c>
      <c r="C3526" s="28" t="s">
        <v>192</v>
      </c>
      <c r="D3526" s="23" t="n">
        <v>11</v>
      </c>
      <c r="E3526" s="23" t="n">
        <v>1</v>
      </c>
      <c r="F3526" s="28" t="s">
        <v>912</v>
      </c>
      <c r="G3526" s="19" t="n">
        <v>0.045233</v>
      </c>
    </row>
    <row r="3527" customFormat="false" ht="15" hidden="false" customHeight="false" outlineLevel="0" collapsed="false">
      <c r="A3527" s="28" t="s">
        <v>196</v>
      </c>
      <c r="B3527" s="28" t="s">
        <v>197</v>
      </c>
      <c r="C3527" s="28" t="s">
        <v>192</v>
      </c>
      <c r="D3527" s="23" t="n">
        <v>11</v>
      </c>
      <c r="E3527" s="23" t="n">
        <v>1</v>
      </c>
      <c r="F3527" s="28" t="s">
        <v>913</v>
      </c>
      <c r="G3527" s="19" t="n">
        <v>0.050133</v>
      </c>
    </row>
    <row r="3528" customFormat="false" ht="15" hidden="false" customHeight="false" outlineLevel="0" collapsed="false">
      <c r="A3528" s="28" t="s">
        <v>196</v>
      </c>
      <c r="B3528" s="28" t="s">
        <v>197</v>
      </c>
      <c r="C3528" s="28" t="s">
        <v>192</v>
      </c>
      <c r="D3528" s="23" t="n">
        <v>11</v>
      </c>
      <c r="E3528" s="23" t="n">
        <v>1</v>
      </c>
      <c r="F3528" s="28" t="s">
        <v>914</v>
      </c>
      <c r="G3528" s="19" t="n">
        <v>0.049933</v>
      </c>
    </row>
    <row r="3529" customFormat="false" ht="15" hidden="false" customHeight="false" outlineLevel="0" collapsed="false">
      <c r="A3529" s="28" t="s">
        <v>196</v>
      </c>
      <c r="B3529" s="28" t="s">
        <v>197</v>
      </c>
      <c r="C3529" s="28" t="s">
        <v>192</v>
      </c>
      <c r="D3529" s="23" t="n">
        <v>11</v>
      </c>
      <c r="E3529" s="23" t="n">
        <v>1</v>
      </c>
      <c r="F3529" s="28" t="s">
        <v>915</v>
      </c>
      <c r="G3529" s="19" t="n">
        <v>0.065733</v>
      </c>
    </row>
    <row r="3530" customFormat="false" ht="15" hidden="false" customHeight="false" outlineLevel="0" collapsed="false">
      <c r="A3530" s="28" t="s">
        <v>196</v>
      </c>
      <c r="B3530" s="28" t="s">
        <v>197</v>
      </c>
      <c r="C3530" s="28" t="s">
        <v>192</v>
      </c>
      <c r="D3530" s="23" t="n">
        <v>11</v>
      </c>
      <c r="E3530" s="23" t="n">
        <v>2</v>
      </c>
      <c r="F3530" s="28" t="s">
        <v>904</v>
      </c>
      <c r="G3530" s="19" t="n">
        <v>0.037967</v>
      </c>
    </row>
    <row r="3531" customFormat="false" ht="15" hidden="false" customHeight="false" outlineLevel="0" collapsed="false">
      <c r="A3531" s="28" t="s">
        <v>196</v>
      </c>
      <c r="B3531" s="28" t="s">
        <v>197</v>
      </c>
      <c r="C3531" s="28" t="s">
        <v>192</v>
      </c>
      <c r="D3531" s="23" t="n">
        <v>11</v>
      </c>
      <c r="E3531" s="23" t="n">
        <v>2</v>
      </c>
      <c r="F3531" s="28" t="s">
        <v>551</v>
      </c>
      <c r="G3531" s="19" t="n">
        <v>0.069167</v>
      </c>
    </row>
    <row r="3532" customFormat="false" ht="15" hidden="false" customHeight="false" outlineLevel="0" collapsed="false">
      <c r="A3532" s="28" t="s">
        <v>196</v>
      </c>
      <c r="B3532" s="28" t="s">
        <v>197</v>
      </c>
      <c r="C3532" s="28" t="s">
        <v>192</v>
      </c>
      <c r="D3532" s="23" t="n">
        <v>11</v>
      </c>
      <c r="E3532" s="23" t="n">
        <v>2</v>
      </c>
      <c r="F3532" s="28" t="s">
        <v>451</v>
      </c>
      <c r="G3532" s="19" t="n">
        <v>0.037767</v>
      </c>
    </row>
    <row r="3533" customFormat="false" ht="15" hidden="false" customHeight="false" outlineLevel="0" collapsed="false">
      <c r="A3533" s="28" t="s">
        <v>196</v>
      </c>
      <c r="B3533" s="28" t="s">
        <v>197</v>
      </c>
      <c r="C3533" s="28" t="s">
        <v>192</v>
      </c>
      <c r="D3533" s="23" t="n">
        <v>11</v>
      </c>
      <c r="E3533" s="23" t="n">
        <v>2</v>
      </c>
      <c r="F3533" s="28" t="s">
        <v>905</v>
      </c>
      <c r="G3533" s="19" t="n">
        <v>0.040367</v>
      </c>
    </row>
    <row r="3534" customFormat="false" ht="15" hidden="false" customHeight="false" outlineLevel="0" collapsed="false">
      <c r="A3534" s="28" t="s">
        <v>196</v>
      </c>
      <c r="B3534" s="28" t="s">
        <v>197</v>
      </c>
      <c r="C3534" s="28" t="s">
        <v>192</v>
      </c>
      <c r="D3534" s="23" t="n">
        <v>11</v>
      </c>
      <c r="E3534" s="23" t="n">
        <v>2</v>
      </c>
      <c r="F3534" s="28" t="s">
        <v>906</v>
      </c>
      <c r="G3534" s="19" t="n">
        <v>0.041767</v>
      </c>
    </row>
    <row r="3535" customFormat="false" ht="15" hidden="false" customHeight="false" outlineLevel="0" collapsed="false">
      <c r="A3535" s="28" t="s">
        <v>196</v>
      </c>
      <c r="B3535" s="28" t="s">
        <v>197</v>
      </c>
      <c r="C3535" s="28" t="s">
        <v>192</v>
      </c>
      <c r="D3535" s="23" t="n">
        <v>11</v>
      </c>
      <c r="E3535" s="23" t="n">
        <v>2</v>
      </c>
      <c r="F3535" s="28" t="s">
        <v>907</v>
      </c>
      <c r="G3535" s="19" t="n">
        <v>0.041467</v>
      </c>
    </row>
    <row r="3536" customFormat="false" ht="15" hidden="false" customHeight="false" outlineLevel="0" collapsed="false">
      <c r="A3536" s="28" t="s">
        <v>196</v>
      </c>
      <c r="B3536" s="28" t="s">
        <v>197</v>
      </c>
      <c r="C3536" s="28" t="s">
        <v>192</v>
      </c>
      <c r="D3536" s="23" t="n">
        <v>11</v>
      </c>
      <c r="E3536" s="23" t="n">
        <v>2</v>
      </c>
      <c r="F3536" s="28" t="s">
        <v>908</v>
      </c>
      <c r="G3536" s="19" t="n">
        <v>0.043067</v>
      </c>
    </row>
    <row r="3537" customFormat="false" ht="15" hidden="false" customHeight="false" outlineLevel="0" collapsed="false">
      <c r="A3537" s="28" t="s">
        <v>196</v>
      </c>
      <c r="B3537" s="28" t="s">
        <v>197</v>
      </c>
      <c r="C3537" s="28" t="s">
        <v>192</v>
      </c>
      <c r="D3537" s="23" t="n">
        <v>11</v>
      </c>
      <c r="E3537" s="23" t="n">
        <v>2</v>
      </c>
      <c r="F3537" s="28" t="s">
        <v>909</v>
      </c>
      <c r="G3537" s="19" t="n">
        <v>0.043167</v>
      </c>
    </row>
    <row r="3538" customFormat="false" ht="15" hidden="false" customHeight="false" outlineLevel="0" collapsed="false">
      <c r="A3538" s="28" t="s">
        <v>196</v>
      </c>
      <c r="B3538" s="28" t="s">
        <v>197</v>
      </c>
      <c r="C3538" s="28" t="s">
        <v>192</v>
      </c>
      <c r="D3538" s="23" t="n">
        <v>11</v>
      </c>
      <c r="E3538" s="23" t="n">
        <v>2</v>
      </c>
      <c r="F3538" s="28" t="s">
        <v>910</v>
      </c>
      <c r="G3538" s="19" t="n">
        <v>0.043567</v>
      </c>
    </row>
    <row r="3539" customFormat="false" ht="15" hidden="false" customHeight="false" outlineLevel="0" collapsed="false">
      <c r="A3539" s="28" t="s">
        <v>196</v>
      </c>
      <c r="B3539" s="28" t="s">
        <v>197</v>
      </c>
      <c r="C3539" s="28" t="s">
        <v>192</v>
      </c>
      <c r="D3539" s="23" t="n">
        <v>11</v>
      </c>
      <c r="E3539" s="23" t="n">
        <v>2</v>
      </c>
      <c r="F3539" s="28" t="s">
        <v>911</v>
      </c>
      <c r="G3539" s="19" t="n">
        <v>0.044667</v>
      </c>
    </row>
    <row r="3540" customFormat="false" ht="15" hidden="false" customHeight="false" outlineLevel="0" collapsed="false">
      <c r="A3540" s="28" t="s">
        <v>196</v>
      </c>
      <c r="B3540" s="28" t="s">
        <v>197</v>
      </c>
      <c r="C3540" s="28" t="s">
        <v>192</v>
      </c>
      <c r="D3540" s="23" t="n">
        <v>11</v>
      </c>
      <c r="E3540" s="23" t="n">
        <v>2</v>
      </c>
      <c r="F3540" s="28" t="s">
        <v>912</v>
      </c>
      <c r="G3540" s="19" t="n">
        <v>0.046067</v>
      </c>
    </row>
    <row r="3541" customFormat="false" ht="15" hidden="false" customHeight="false" outlineLevel="0" collapsed="false">
      <c r="A3541" s="28" t="s">
        <v>196</v>
      </c>
      <c r="B3541" s="28" t="s">
        <v>197</v>
      </c>
      <c r="C3541" s="28" t="s">
        <v>192</v>
      </c>
      <c r="D3541" s="23" t="n">
        <v>11</v>
      </c>
      <c r="E3541" s="23" t="n">
        <v>2</v>
      </c>
      <c r="F3541" s="28" t="s">
        <v>913</v>
      </c>
      <c r="G3541" s="19" t="n">
        <v>0.050967</v>
      </c>
    </row>
    <row r="3542" customFormat="false" ht="15" hidden="false" customHeight="false" outlineLevel="0" collapsed="false">
      <c r="A3542" s="28" t="s">
        <v>196</v>
      </c>
      <c r="B3542" s="28" t="s">
        <v>197</v>
      </c>
      <c r="C3542" s="28" t="s">
        <v>192</v>
      </c>
      <c r="D3542" s="23" t="n">
        <v>11</v>
      </c>
      <c r="E3542" s="23" t="n">
        <v>2</v>
      </c>
      <c r="F3542" s="28" t="s">
        <v>914</v>
      </c>
      <c r="G3542" s="19" t="n">
        <v>0.050767</v>
      </c>
    </row>
    <row r="3543" customFormat="false" ht="15" hidden="false" customHeight="false" outlineLevel="0" collapsed="false">
      <c r="A3543" s="28" t="s">
        <v>196</v>
      </c>
      <c r="B3543" s="28" t="s">
        <v>197</v>
      </c>
      <c r="C3543" s="28" t="s">
        <v>192</v>
      </c>
      <c r="D3543" s="23" t="n">
        <v>11</v>
      </c>
      <c r="E3543" s="23" t="n">
        <v>2</v>
      </c>
      <c r="F3543" s="28" t="s">
        <v>915</v>
      </c>
      <c r="G3543" s="19" t="n">
        <v>0.066567</v>
      </c>
    </row>
    <row r="3544" customFormat="false" ht="15" hidden="false" customHeight="false" outlineLevel="0" collapsed="false">
      <c r="A3544" s="28" t="s">
        <v>196</v>
      </c>
      <c r="B3544" s="28" t="s">
        <v>197</v>
      </c>
      <c r="C3544" s="28" t="s">
        <v>192</v>
      </c>
      <c r="D3544" s="23" t="n">
        <v>11</v>
      </c>
      <c r="E3544" s="23" t="n">
        <v>3</v>
      </c>
      <c r="F3544" s="28" t="s">
        <v>904</v>
      </c>
      <c r="G3544" s="19" t="n">
        <v>0.0388</v>
      </c>
    </row>
    <row r="3545" customFormat="false" ht="15" hidden="false" customHeight="false" outlineLevel="0" collapsed="false">
      <c r="A3545" s="28" t="s">
        <v>196</v>
      </c>
      <c r="B3545" s="28" t="s">
        <v>197</v>
      </c>
      <c r="C3545" s="28" t="s">
        <v>192</v>
      </c>
      <c r="D3545" s="23" t="n">
        <v>11</v>
      </c>
      <c r="E3545" s="23" t="n">
        <v>3</v>
      </c>
      <c r="F3545" s="28" t="s">
        <v>551</v>
      </c>
      <c r="G3545" s="19" t="n">
        <v>0.07</v>
      </c>
    </row>
    <row r="3546" customFormat="false" ht="15" hidden="false" customHeight="false" outlineLevel="0" collapsed="false">
      <c r="A3546" s="28" t="s">
        <v>196</v>
      </c>
      <c r="B3546" s="28" t="s">
        <v>197</v>
      </c>
      <c r="C3546" s="28" t="s">
        <v>192</v>
      </c>
      <c r="D3546" s="23" t="n">
        <v>11</v>
      </c>
      <c r="E3546" s="23" t="n">
        <v>3</v>
      </c>
      <c r="F3546" s="28" t="s">
        <v>451</v>
      </c>
      <c r="G3546" s="19" t="n">
        <v>0.0386</v>
      </c>
    </row>
    <row r="3547" customFormat="false" ht="15" hidden="false" customHeight="false" outlineLevel="0" collapsed="false">
      <c r="A3547" s="28" t="s">
        <v>196</v>
      </c>
      <c r="B3547" s="28" t="s">
        <v>197</v>
      </c>
      <c r="C3547" s="28" t="s">
        <v>192</v>
      </c>
      <c r="D3547" s="23" t="n">
        <v>11</v>
      </c>
      <c r="E3547" s="23" t="n">
        <v>3</v>
      </c>
      <c r="F3547" s="28" t="s">
        <v>905</v>
      </c>
      <c r="G3547" s="19" t="n">
        <v>0.0412</v>
      </c>
    </row>
    <row r="3548" customFormat="false" ht="15" hidden="false" customHeight="false" outlineLevel="0" collapsed="false">
      <c r="A3548" s="28" t="s">
        <v>196</v>
      </c>
      <c r="B3548" s="28" t="s">
        <v>197</v>
      </c>
      <c r="C3548" s="28" t="s">
        <v>192</v>
      </c>
      <c r="D3548" s="23" t="n">
        <v>11</v>
      </c>
      <c r="E3548" s="23" t="n">
        <v>3</v>
      </c>
      <c r="F3548" s="28" t="s">
        <v>906</v>
      </c>
      <c r="G3548" s="19" t="n">
        <v>0.0426</v>
      </c>
    </row>
    <row r="3549" customFormat="false" ht="15" hidden="false" customHeight="false" outlineLevel="0" collapsed="false">
      <c r="A3549" s="28" t="s">
        <v>196</v>
      </c>
      <c r="B3549" s="28" t="s">
        <v>197</v>
      </c>
      <c r="C3549" s="28" t="s">
        <v>192</v>
      </c>
      <c r="D3549" s="23" t="n">
        <v>11</v>
      </c>
      <c r="E3549" s="23" t="n">
        <v>3</v>
      </c>
      <c r="F3549" s="28" t="s">
        <v>907</v>
      </c>
      <c r="G3549" s="19" t="n">
        <v>0.0423</v>
      </c>
    </row>
    <row r="3550" customFormat="false" ht="15" hidden="false" customHeight="false" outlineLevel="0" collapsed="false">
      <c r="A3550" s="28" t="s">
        <v>196</v>
      </c>
      <c r="B3550" s="28" t="s">
        <v>197</v>
      </c>
      <c r="C3550" s="28" t="s">
        <v>192</v>
      </c>
      <c r="D3550" s="23" t="n">
        <v>11</v>
      </c>
      <c r="E3550" s="23" t="n">
        <v>3</v>
      </c>
      <c r="F3550" s="28" t="s">
        <v>908</v>
      </c>
      <c r="G3550" s="19" t="n">
        <v>0.0439</v>
      </c>
    </row>
    <row r="3551" customFormat="false" ht="15" hidden="false" customHeight="false" outlineLevel="0" collapsed="false">
      <c r="A3551" s="28" t="s">
        <v>196</v>
      </c>
      <c r="B3551" s="28" t="s">
        <v>197</v>
      </c>
      <c r="C3551" s="28" t="s">
        <v>192</v>
      </c>
      <c r="D3551" s="23" t="n">
        <v>11</v>
      </c>
      <c r="E3551" s="23" t="n">
        <v>3</v>
      </c>
      <c r="F3551" s="28" t="s">
        <v>909</v>
      </c>
      <c r="G3551" s="19" t="n">
        <v>0.044</v>
      </c>
    </row>
    <row r="3552" customFormat="false" ht="15" hidden="false" customHeight="false" outlineLevel="0" collapsed="false">
      <c r="A3552" s="28" t="s">
        <v>196</v>
      </c>
      <c r="B3552" s="28" t="s">
        <v>197</v>
      </c>
      <c r="C3552" s="28" t="s">
        <v>192</v>
      </c>
      <c r="D3552" s="23" t="n">
        <v>11</v>
      </c>
      <c r="E3552" s="23" t="n">
        <v>3</v>
      </c>
      <c r="F3552" s="28" t="s">
        <v>910</v>
      </c>
      <c r="G3552" s="19" t="n">
        <v>0.0444</v>
      </c>
    </row>
    <row r="3553" customFormat="false" ht="15" hidden="false" customHeight="false" outlineLevel="0" collapsed="false">
      <c r="A3553" s="28" t="s">
        <v>196</v>
      </c>
      <c r="B3553" s="28" t="s">
        <v>197</v>
      </c>
      <c r="C3553" s="28" t="s">
        <v>192</v>
      </c>
      <c r="D3553" s="23" t="n">
        <v>11</v>
      </c>
      <c r="E3553" s="23" t="n">
        <v>3</v>
      </c>
      <c r="F3553" s="28" t="s">
        <v>911</v>
      </c>
      <c r="G3553" s="19" t="n">
        <v>0.0455</v>
      </c>
    </row>
    <row r="3554" customFormat="false" ht="15" hidden="false" customHeight="false" outlineLevel="0" collapsed="false">
      <c r="A3554" s="28" t="s">
        <v>196</v>
      </c>
      <c r="B3554" s="28" t="s">
        <v>197</v>
      </c>
      <c r="C3554" s="28" t="s">
        <v>192</v>
      </c>
      <c r="D3554" s="23" t="n">
        <v>11</v>
      </c>
      <c r="E3554" s="23" t="n">
        <v>3</v>
      </c>
      <c r="F3554" s="28" t="s">
        <v>912</v>
      </c>
      <c r="G3554" s="19" t="n">
        <v>0.0469</v>
      </c>
    </row>
    <row r="3555" customFormat="false" ht="15" hidden="false" customHeight="false" outlineLevel="0" collapsed="false">
      <c r="A3555" s="28" t="s">
        <v>196</v>
      </c>
      <c r="B3555" s="28" t="s">
        <v>197</v>
      </c>
      <c r="C3555" s="28" t="s">
        <v>192</v>
      </c>
      <c r="D3555" s="23" t="n">
        <v>11</v>
      </c>
      <c r="E3555" s="23" t="n">
        <v>3</v>
      </c>
      <c r="F3555" s="28" t="s">
        <v>913</v>
      </c>
      <c r="G3555" s="19" t="n">
        <v>0.0518</v>
      </c>
    </row>
    <row r="3556" customFormat="false" ht="15" hidden="false" customHeight="false" outlineLevel="0" collapsed="false">
      <c r="A3556" s="28" t="s">
        <v>196</v>
      </c>
      <c r="B3556" s="28" t="s">
        <v>197</v>
      </c>
      <c r="C3556" s="28" t="s">
        <v>192</v>
      </c>
      <c r="D3556" s="23" t="n">
        <v>11</v>
      </c>
      <c r="E3556" s="23" t="n">
        <v>3</v>
      </c>
      <c r="F3556" s="28" t="s">
        <v>914</v>
      </c>
      <c r="G3556" s="19" t="n">
        <v>0.0516</v>
      </c>
    </row>
    <row r="3557" customFormat="false" ht="15" hidden="false" customHeight="false" outlineLevel="0" collapsed="false">
      <c r="A3557" s="28" t="s">
        <v>196</v>
      </c>
      <c r="B3557" s="28" t="s">
        <v>197</v>
      </c>
      <c r="C3557" s="28" t="s">
        <v>192</v>
      </c>
      <c r="D3557" s="23" t="n">
        <v>11</v>
      </c>
      <c r="E3557" s="23" t="n">
        <v>3</v>
      </c>
      <c r="F3557" s="28" t="s">
        <v>915</v>
      </c>
      <c r="G3557" s="19" t="n">
        <v>0.0674</v>
      </c>
    </row>
    <row r="3558" customFormat="false" ht="15" hidden="false" customHeight="false" outlineLevel="0" collapsed="false">
      <c r="A3558" s="28" t="s">
        <v>196</v>
      </c>
      <c r="B3558" s="28" t="s">
        <v>197</v>
      </c>
      <c r="C3558" s="28" t="s">
        <v>192</v>
      </c>
      <c r="D3558" s="23" t="n">
        <v>11</v>
      </c>
      <c r="E3558" s="23" t="n">
        <v>4</v>
      </c>
      <c r="F3558" s="28" t="s">
        <v>904</v>
      </c>
      <c r="G3558" s="19" t="n">
        <v>0.039633</v>
      </c>
    </row>
    <row r="3559" customFormat="false" ht="15" hidden="false" customHeight="false" outlineLevel="0" collapsed="false">
      <c r="A3559" s="28" t="s">
        <v>196</v>
      </c>
      <c r="B3559" s="28" t="s">
        <v>197</v>
      </c>
      <c r="C3559" s="28" t="s">
        <v>192</v>
      </c>
      <c r="D3559" s="23" t="n">
        <v>11</v>
      </c>
      <c r="E3559" s="23" t="n">
        <v>4</v>
      </c>
      <c r="F3559" s="28" t="s">
        <v>551</v>
      </c>
      <c r="G3559" s="19" t="n">
        <v>0.070833</v>
      </c>
    </row>
    <row r="3560" customFormat="false" ht="15" hidden="false" customHeight="false" outlineLevel="0" collapsed="false">
      <c r="A3560" s="28" t="s">
        <v>196</v>
      </c>
      <c r="B3560" s="28" t="s">
        <v>197</v>
      </c>
      <c r="C3560" s="28" t="s">
        <v>192</v>
      </c>
      <c r="D3560" s="23" t="n">
        <v>11</v>
      </c>
      <c r="E3560" s="23" t="n">
        <v>4</v>
      </c>
      <c r="F3560" s="28" t="s">
        <v>451</v>
      </c>
      <c r="G3560" s="19" t="n">
        <v>0.039433</v>
      </c>
    </row>
    <row r="3561" customFormat="false" ht="15" hidden="false" customHeight="false" outlineLevel="0" collapsed="false">
      <c r="A3561" s="28" t="s">
        <v>196</v>
      </c>
      <c r="B3561" s="28" t="s">
        <v>197</v>
      </c>
      <c r="C3561" s="28" t="s">
        <v>192</v>
      </c>
      <c r="D3561" s="23" t="n">
        <v>11</v>
      </c>
      <c r="E3561" s="23" t="n">
        <v>4</v>
      </c>
      <c r="F3561" s="28" t="s">
        <v>905</v>
      </c>
      <c r="G3561" s="19" t="n">
        <v>0.042033</v>
      </c>
    </row>
    <row r="3562" customFormat="false" ht="15" hidden="false" customHeight="false" outlineLevel="0" collapsed="false">
      <c r="A3562" s="28" t="s">
        <v>196</v>
      </c>
      <c r="B3562" s="28" t="s">
        <v>197</v>
      </c>
      <c r="C3562" s="28" t="s">
        <v>192</v>
      </c>
      <c r="D3562" s="23" t="n">
        <v>11</v>
      </c>
      <c r="E3562" s="23" t="n">
        <v>4</v>
      </c>
      <c r="F3562" s="28" t="s">
        <v>906</v>
      </c>
      <c r="G3562" s="19" t="n">
        <v>0.043433</v>
      </c>
    </row>
    <row r="3563" customFormat="false" ht="15" hidden="false" customHeight="false" outlineLevel="0" collapsed="false">
      <c r="A3563" s="28" t="s">
        <v>196</v>
      </c>
      <c r="B3563" s="28" t="s">
        <v>197</v>
      </c>
      <c r="C3563" s="28" t="s">
        <v>192</v>
      </c>
      <c r="D3563" s="23" t="n">
        <v>11</v>
      </c>
      <c r="E3563" s="23" t="n">
        <v>4</v>
      </c>
      <c r="F3563" s="28" t="s">
        <v>907</v>
      </c>
      <c r="G3563" s="19" t="n">
        <v>0.043133</v>
      </c>
    </row>
    <row r="3564" customFormat="false" ht="15" hidden="false" customHeight="false" outlineLevel="0" collapsed="false">
      <c r="A3564" s="28" t="s">
        <v>196</v>
      </c>
      <c r="B3564" s="28" t="s">
        <v>197</v>
      </c>
      <c r="C3564" s="28" t="s">
        <v>192</v>
      </c>
      <c r="D3564" s="23" t="n">
        <v>11</v>
      </c>
      <c r="E3564" s="23" t="n">
        <v>4</v>
      </c>
      <c r="F3564" s="28" t="s">
        <v>908</v>
      </c>
      <c r="G3564" s="19" t="n">
        <v>0.044733</v>
      </c>
    </row>
    <row r="3565" customFormat="false" ht="15" hidden="false" customHeight="false" outlineLevel="0" collapsed="false">
      <c r="A3565" s="28" t="s">
        <v>196</v>
      </c>
      <c r="B3565" s="28" t="s">
        <v>197</v>
      </c>
      <c r="C3565" s="28" t="s">
        <v>192</v>
      </c>
      <c r="D3565" s="23" t="n">
        <v>11</v>
      </c>
      <c r="E3565" s="23" t="n">
        <v>4</v>
      </c>
      <c r="F3565" s="28" t="s">
        <v>909</v>
      </c>
      <c r="G3565" s="19" t="n">
        <v>0.044833</v>
      </c>
    </row>
    <row r="3566" customFormat="false" ht="15" hidden="false" customHeight="false" outlineLevel="0" collapsed="false">
      <c r="A3566" s="28" t="s">
        <v>196</v>
      </c>
      <c r="B3566" s="28" t="s">
        <v>197</v>
      </c>
      <c r="C3566" s="28" t="s">
        <v>192</v>
      </c>
      <c r="D3566" s="23" t="n">
        <v>11</v>
      </c>
      <c r="E3566" s="23" t="n">
        <v>4</v>
      </c>
      <c r="F3566" s="28" t="s">
        <v>910</v>
      </c>
      <c r="G3566" s="19" t="n">
        <v>0.045233</v>
      </c>
    </row>
    <row r="3567" customFormat="false" ht="15" hidden="false" customHeight="false" outlineLevel="0" collapsed="false">
      <c r="A3567" s="28" t="s">
        <v>196</v>
      </c>
      <c r="B3567" s="28" t="s">
        <v>197</v>
      </c>
      <c r="C3567" s="28" t="s">
        <v>192</v>
      </c>
      <c r="D3567" s="23" t="n">
        <v>11</v>
      </c>
      <c r="E3567" s="23" t="n">
        <v>4</v>
      </c>
      <c r="F3567" s="28" t="s">
        <v>911</v>
      </c>
      <c r="G3567" s="19" t="n">
        <v>0.046333</v>
      </c>
    </row>
    <row r="3568" customFormat="false" ht="15" hidden="false" customHeight="false" outlineLevel="0" collapsed="false">
      <c r="A3568" s="28" t="s">
        <v>196</v>
      </c>
      <c r="B3568" s="28" t="s">
        <v>197</v>
      </c>
      <c r="C3568" s="28" t="s">
        <v>192</v>
      </c>
      <c r="D3568" s="23" t="n">
        <v>11</v>
      </c>
      <c r="E3568" s="23" t="n">
        <v>4</v>
      </c>
      <c r="F3568" s="28" t="s">
        <v>912</v>
      </c>
      <c r="G3568" s="19" t="n">
        <v>0.047733</v>
      </c>
    </row>
    <row r="3569" customFormat="false" ht="15" hidden="false" customHeight="false" outlineLevel="0" collapsed="false">
      <c r="A3569" s="28" t="s">
        <v>196</v>
      </c>
      <c r="B3569" s="28" t="s">
        <v>197</v>
      </c>
      <c r="C3569" s="28" t="s">
        <v>192</v>
      </c>
      <c r="D3569" s="23" t="n">
        <v>11</v>
      </c>
      <c r="E3569" s="23" t="n">
        <v>4</v>
      </c>
      <c r="F3569" s="28" t="s">
        <v>913</v>
      </c>
      <c r="G3569" s="19" t="n">
        <v>0.052633</v>
      </c>
    </row>
    <row r="3570" customFormat="false" ht="15" hidden="false" customHeight="false" outlineLevel="0" collapsed="false">
      <c r="A3570" s="28" t="s">
        <v>196</v>
      </c>
      <c r="B3570" s="28" t="s">
        <v>197</v>
      </c>
      <c r="C3570" s="28" t="s">
        <v>192</v>
      </c>
      <c r="D3570" s="23" t="n">
        <v>11</v>
      </c>
      <c r="E3570" s="23" t="n">
        <v>4</v>
      </c>
      <c r="F3570" s="28" t="s">
        <v>914</v>
      </c>
      <c r="G3570" s="19" t="n">
        <v>0.052433</v>
      </c>
    </row>
    <row r="3571" customFormat="false" ht="15" hidden="false" customHeight="false" outlineLevel="0" collapsed="false">
      <c r="A3571" s="28" t="s">
        <v>196</v>
      </c>
      <c r="B3571" s="28" t="s">
        <v>197</v>
      </c>
      <c r="C3571" s="28" t="s">
        <v>192</v>
      </c>
      <c r="D3571" s="23" t="n">
        <v>11</v>
      </c>
      <c r="E3571" s="23" t="n">
        <v>4</v>
      </c>
      <c r="F3571" s="28" t="s">
        <v>915</v>
      </c>
      <c r="G3571" s="19" t="n">
        <v>0.068233</v>
      </c>
    </row>
    <row r="3572" customFormat="false" ht="15" hidden="false" customHeight="false" outlineLevel="0" collapsed="false">
      <c r="A3572" s="28" t="s">
        <v>196</v>
      </c>
      <c r="B3572" s="28" t="s">
        <v>197</v>
      </c>
      <c r="C3572" s="28" t="s">
        <v>192</v>
      </c>
      <c r="D3572" s="23" t="n">
        <v>11</v>
      </c>
      <c r="E3572" s="23" t="n">
        <v>5</v>
      </c>
      <c r="F3572" s="28" t="s">
        <v>904</v>
      </c>
      <c r="G3572" s="19" t="n">
        <v>0.040467</v>
      </c>
    </row>
    <row r="3573" customFormat="false" ht="15" hidden="false" customHeight="false" outlineLevel="0" collapsed="false">
      <c r="A3573" s="28" t="s">
        <v>196</v>
      </c>
      <c r="B3573" s="28" t="s">
        <v>197</v>
      </c>
      <c r="C3573" s="28" t="s">
        <v>192</v>
      </c>
      <c r="D3573" s="23" t="n">
        <v>11</v>
      </c>
      <c r="E3573" s="23" t="n">
        <v>5</v>
      </c>
      <c r="F3573" s="28" t="s">
        <v>551</v>
      </c>
      <c r="G3573" s="19" t="n">
        <v>0.071667</v>
      </c>
    </row>
    <row r="3574" customFormat="false" ht="15" hidden="false" customHeight="false" outlineLevel="0" collapsed="false">
      <c r="A3574" s="28" t="s">
        <v>196</v>
      </c>
      <c r="B3574" s="28" t="s">
        <v>197</v>
      </c>
      <c r="C3574" s="28" t="s">
        <v>192</v>
      </c>
      <c r="D3574" s="23" t="n">
        <v>11</v>
      </c>
      <c r="E3574" s="23" t="n">
        <v>5</v>
      </c>
      <c r="F3574" s="28" t="s">
        <v>451</v>
      </c>
      <c r="G3574" s="19" t="n">
        <v>0.040267</v>
      </c>
    </row>
    <row r="3575" customFormat="false" ht="15" hidden="false" customHeight="false" outlineLevel="0" collapsed="false">
      <c r="A3575" s="28" t="s">
        <v>196</v>
      </c>
      <c r="B3575" s="28" t="s">
        <v>197</v>
      </c>
      <c r="C3575" s="28" t="s">
        <v>192</v>
      </c>
      <c r="D3575" s="23" t="n">
        <v>11</v>
      </c>
      <c r="E3575" s="23" t="n">
        <v>5</v>
      </c>
      <c r="F3575" s="28" t="s">
        <v>905</v>
      </c>
      <c r="G3575" s="19" t="n">
        <v>0.042867</v>
      </c>
    </row>
    <row r="3576" customFormat="false" ht="15" hidden="false" customHeight="false" outlineLevel="0" collapsed="false">
      <c r="A3576" s="28" t="s">
        <v>196</v>
      </c>
      <c r="B3576" s="28" t="s">
        <v>197</v>
      </c>
      <c r="C3576" s="28" t="s">
        <v>192</v>
      </c>
      <c r="D3576" s="23" t="n">
        <v>11</v>
      </c>
      <c r="E3576" s="23" t="n">
        <v>5</v>
      </c>
      <c r="F3576" s="28" t="s">
        <v>906</v>
      </c>
      <c r="G3576" s="19" t="n">
        <v>0.044267</v>
      </c>
    </row>
    <row r="3577" customFormat="false" ht="15" hidden="false" customHeight="false" outlineLevel="0" collapsed="false">
      <c r="A3577" s="28" t="s">
        <v>196</v>
      </c>
      <c r="B3577" s="28" t="s">
        <v>197</v>
      </c>
      <c r="C3577" s="28" t="s">
        <v>192</v>
      </c>
      <c r="D3577" s="23" t="n">
        <v>11</v>
      </c>
      <c r="E3577" s="23" t="n">
        <v>5</v>
      </c>
      <c r="F3577" s="28" t="s">
        <v>907</v>
      </c>
      <c r="G3577" s="19" t="n">
        <v>0.043967</v>
      </c>
    </row>
    <row r="3578" customFormat="false" ht="15" hidden="false" customHeight="false" outlineLevel="0" collapsed="false">
      <c r="A3578" s="28" t="s">
        <v>196</v>
      </c>
      <c r="B3578" s="28" t="s">
        <v>197</v>
      </c>
      <c r="C3578" s="28" t="s">
        <v>192</v>
      </c>
      <c r="D3578" s="23" t="n">
        <v>11</v>
      </c>
      <c r="E3578" s="23" t="n">
        <v>5</v>
      </c>
      <c r="F3578" s="28" t="s">
        <v>908</v>
      </c>
      <c r="G3578" s="19" t="n">
        <v>0.045567</v>
      </c>
    </row>
    <row r="3579" customFormat="false" ht="15" hidden="false" customHeight="false" outlineLevel="0" collapsed="false">
      <c r="A3579" s="28" t="s">
        <v>196</v>
      </c>
      <c r="B3579" s="28" t="s">
        <v>197</v>
      </c>
      <c r="C3579" s="28" t="s">
        <v>192</v>
      </c>
      <c r="D3579" s="23" t="n">
        <v>11</v>
      </c>
      <c r="E3579" s="23" t="n">
        <v>5</v>
      </c>
      <c r="F3579" s="28" t="s">
        <v>909</v>
      </c>
      <c r="G3579" s="19" t="n">
        <v>0.045667</v>
      </c>
    </row>
    <row r="3580" customFormat="false" ht="15" hidden="false" customHeight="false" outlineLevel="0" collapsed="false">
      <c r="A3580" s="28" t="s">
        <v>196</v>
      </c>
      <c r="B3580" s="28" t="s">
        <v>197</v>
      </c>
      <c r="C3580" s="28" t="s">
        <v>192</v>
      </c>
      <c r="D3580" s="23" t="n">
        <v>11</v>
      </c>
      <c r="E3580" s="23" t="n">
        <v>5</v>
      </c>
      <c r="F3580" s="28" t="s">
        <v>910</v>
      </c>
      <c r="G3580" s="19" t="n">
        <v>0.046067</v>
      </c>
    </row>
    <row r="3581" customFormat="false" ht="15" hidden="false" customHeight="false" outlineLevel="0" collapsed="false">
      <c r="A3581" s="28" t="s">
        <v>196</v>
      </c>
      <c r="B3581" s="28" t="s">
        <v>197</v>
      </c>
      <c r="C3581" s="28" t="s">
        <v>192</v>
      </c>
      <c r="D3581" s="23" t="n">
        <v>11</v>
      </c>
      <c r="E3581" s="23" t="n">
        <v>5</v>
      </c>
      <c r="F3581" s="28" t="s">
        <v>911</v>
      </c>
      <c r="G3581" s="19" t="n">
        <v>0.047167</v>
      </c>
    </row>
    <row r="3582" customFormat="false" ht="15" hidden="false" customHeight="false" outlineLevel="0" collapsed="false">
      <c r="A3582" s="28" t="s">
        <v>196</v>
      </c>
      <c r="B3582" s="28" t="s">
        <v>197</v>
      </c>
      <c r="C3582" s="28" t="s">
        <v>192</v>
      </c>
      <c r="D3582" s="23" t="n">
        <v>11</v>
      </c>
      <c r="E3582" s="23" t="n">
        <v>5</v>
      </c>
      <c r="F3582" s="28" t="s">
        <v>912</v>
      </c>
      <c r="G3582" s="19" t="n">
        <v>0.048567</v>
      </c>
    </row>
    <row r="3583" customFormat="false" ht="15" hidden="false" customHeight="false" outlineLevel="0" collapsed="false">
      <c r="A3583" s="28" t="s">
        <v>196</v>
      </c>
      <c r="B3583" s="28" t="s">
        <v>197</v>
      </c>
      <c r="C3583" s="28" t="s">
        <v>192</v>
      </c>
      <c r="D3583" s="23" t="n">
        <v>11</v>
      </c>
      <c r="E3583" s="23" t="n">
        <v>5</v>
      </c>
      <c r="F3583" s="28" t="s">
        <v>913</v>
      </c>
      <c r="G3583" s="19" t="n">
        <v>0.053467</v>
      </c>
    </row>
    <row r="3584" customFormat="false" ht="15" hidden="false" customHeight="false" outlineLevel="0" collapsed="false">
      <c r="A3584" s="28" t="s">
        <v>196</v>
      </c>
      <c r="B3584" s="28" t="s">
        <v>197</v>
      </c>
      <c r="C3584" s="28" t="s">
        <v>192</v>
      </c>
      <c r="D3584" s="23" t="n">
        <v>11</v>
      </c>
      <c r="E3584" s="23" t="n">
        <v>5</v>
      </c>
      <c r="F3584" s="28" t="s">
        <v>914</v>
      </c>
      <c r="G3584" s="19" t="n">
        <v>0.053267</v>
      </c>
    </row>
    <row r="3585" customFormat="false" ht="15" hidden="false" customHeight="false" outlineLevel="0" collapsed="false">
      <c r="A3585" s="28" t="s">
        <v>196</v>
      </c>
      <c r="B3585" s="28" t="s">
        <v>197</v>
      </c>
      <c r="C3585" s="28" t="s">
        <v>192</v>
      </c>
      <c r="D3585" s="23" t="n">
        <v>11</v>
      </c>
      <c r="E3585" s="23" t="n">
        <v>5</v>
      </c>
      <c r="F3585" s="28" t="s">
        <v>915</v>
      </c>
      <c r="G3585" s="19" t="n">
        <v>0.069067</v>
      </c>
    </row>
    <row r="3586" customFormat="false" ht="15" hidden="false" customHeight="false" outlineLevel="0" collapsed="false">
      <c r="A3586" s="28" t="s">
        <v>196</v>
      </c>
      <c r="B3586" s="28" t="s">
        <v>197</v>
      </c>
      <c r="C3586" s="28" t="s">
        <v>192</v>
      </c>
      <c r="D3586" s="23" t="n">
        <v>11</v>
      </c>
      <c r="E3586" s="23" t="n">
        <v>6</v>
      </c>
      <c r="F3586" s="28" t="s">
        <v>904</v>
      </c>
      <c r="G3586" s="19" t="n">
        <v>0.0413</v>
      </c>
    </row>
    <row r="3587" customFormat="false" ht="15" hidden="false" customHeight="false" outlineLevel="0" collapsed="false">
      <c r="A3587" s="28" t="s">
        <v>196</v>
      </c>
      <c r="B3587" s="28" t="s">
        <v>197</v>
      </c>
      <c r="C3587" s="28" t="s">
        <v>192</v>
      </c>
      <c r="D3587" s="23" t="n">
        <v>11</v>
      </c>
      <c r="E3587" s="23" t="n">
        <v>6</v>
      </c>
      <c r="F3587" s="28" t="s">
        <v>551</v>
      </c>
      <c r="G3587" s="19" t="n">
        <v>0.0725</v>
      </c>
    </row>
    <row r="3588" customFormat="false" ht="15" hidden="false" customHeight="false" outlineLevel="0" collapsed="false">
      <c r="A3588" s="28" t="s">
        <v>196</v>
      </c>
      <c r="B3588" s="28" t="s">
        <v>197</v>
      </c>
      <c r="C3588" s="28" t="s">
        <v>192</v>
      </c>
      <c r="D3588" s="23" t="n">
        <v>11</v>
      </c>
      <c r="E3588" s="23" t="n">
        <v>6</v>
      </c>
      <c r="F3588" s="28" t="s">
        <v>451</v>
      </c>
      <c r="G3588" s="19" t="n">
        <v>0.0411</v>
      </c>
    </row>
    <row r="3589" customFormat="false" ht="15" hidden="false" customHeight="false" outlineLevel="0" collapsed="false">
      <c r="A3589" s="28" t="s">
        <v>196</v>
      </c>
      <c r="B3589" s="28" t="s">
        <v>197</v>
      </c>
      <c r="C3589" s="28" t="s">
        <v>192</v>
      </c>
      <c r="D3589" s="23" t="n">
        <v>11</v>
      </c>
      <c r="E3589" s="23" t="n">
        <v>6</v>
      </c>
      <c r="F3589" s="28" t="s">
        <v>905</v>
      </c>
      <c r="G3589" s="19" t="n">
        <v>0.0437</v>
      </c>
    </row>
    <row r="3590" customFormat="false" ht="15" hidden="false" customHeight="false" outlineLevel="0" collapsed="false">
      <c r="A3590" s="28" t="s">
        <v>196</v>
      </c>
      <c r="B3590" s="28" t="s">
        <v>197</v>
      </c>
      <c r="C3590" s="28" t="s">
        <v>192</v>
      </c>
      <c r="D3590" s="23" t="n">
        <v>11</v>
      </c>
      <c r="E3590" s="23" t="n">
        <v>6</v>
      </c>
      <c r="F3590" s="28" t="s">
        <v>906</v>
      </c>
      <c r="G3590" s="19" t="n">
        <v>0.0451</v>
      </c>
    </row>
    <row r="3591" customFormat="false" ht="15" hidden="false" customHeight="false" outlineLevel="0" collapsed="false">
      <c r="A3591" s="28" t="s">
        <v>196</v>
      </c>
      <c r="B3591" s="28" t="s">
        <v>197</v>
      </c>
      <c r="C3591" s="28" t="s">
        <v>192</v>
      </c>
      <c r="D3591" s="23" t="n">
        <v>11</v>
      </c>
      <c r="E3591" s="23" t="n">
        <v>6</v>
      </c>
      <c r="F3591" s="28" t="s">
        <v>907</v>
      </c>
      <c r="G3591" s="19" t="n">
        <v>0.0448</v>
      </c>
    </row>
    <row r="3592" customFormat="false" ht="15" hidden="false" customHeight="false" outlineLevel="0" collapsed="false">
      <c r="A3592" s="28" t="s">
        <v>196</v>
      </c>
      <c r="B3592" s="28" t="s">
        <v>197</v>
      </c>
      <c r="C3592" s="28" t="s">
        <v>192</v>
      </c>
      <c r="D3592" s="23" t="n">
        <v>11</v>
      </c>
      <c r="E3592" s="23" t="n">
        <v>6</v>
      </c>
      <c r="F3592" s="28" t="s">
        <v>908</v>
      </c>
      <c r="G3592" s="19" t="n">
        <v>0.0464</v>
      </c>
    </row>
    <row r="3593" customFormat="false" ht="15" hidden="false" customHeight="false" outlineLevel="0" collapsed="false">
      <c r="A3593" s="28" t="s">
        <v>196</v>
      </c>
      <c r="B3593" s="28" t="s">
        <v>197</v>
      </c>
      <c r="C3593" s="28" t="s">
        <v>192</v>
      </c>
      <c r="D3593" s="23" t="n">
        <v>11</v>
      </c>
      <c r="E3593" s="23" t="n">
        <v>6</v>
      </c>
      <c r="F3593" s="28" t="s">
        <v>909</v>
      </c>
      <c r="G3593" s="19" t="n">
        <v>0.0465</v>
      </c>
    </row>
    <row r="3594" customFormat="false" ht="15" hidden="false" customHeight="false" outlineLevel="0" collapsed="false">
      <c r="A3594" s="28" t="s">
        <v>196</v>
      </c>
      <c r="B3594" s="28" t="s">
        <v>197</v>
      </c>
      <c r="C3594" s="28" t="s">
        <v>192</v>
      </c>
      <c r="D3594" s="23" t="n">
        <v>11</v>
      </c>
      <c r="E3594" s="23" t="n">
        <v>6</v>
      </c>
      <c r="F3594" s="28" t="s">
        <v>910</v>
      </c>
      <c r="G3594" s="19" t="n">
        <v>0.0469</v>
      </c>
    </row>
    <row r="3595" customFormat="false" ht="15" hidden="false" customHeight="false" outlineLevel="0" collapsed="false">
      <c r="A3595" s="28" t="s">
        <v>196</v>
      </c>
      <c r="B3595" s="28" t="s">
        <v>197</v>
      </c>
      <c r="C3595" s="28" t="s">
        <v>192</v>
      </c>
      <c r="D3595" s="23" t="n">
        <v>11</v>
      </c>
      <c r="E3595" s="23" t="n">
        <v>6</v>
      </c>
      <c r="F3595" s="28" t="s">
        <v>911</v>
      </c>
      <c r="G3595" s="19" t="n">
        <v>0.048</v>
      </c>
    </row>
    <row r="3596" customFormat="false" ht="15" hidden="false" customHeight="false" outlineLevel="0" collapsed="false">
      <c r="A3596" s="28" t="s">
        <v>196</v>
      </c>
      <c r="B3596" s="28" t="s">
        <v>197</v>
      </c>
      <c r="C3596" s="28" t="s">
        <v>192</v>
      </c>
      <c r="D3596" s="23" t="n">
        <v>11</v>
      </c>
      <c r="E3596" s="23" t="n">
        <v>6</v>
      </c>
      <c r="F3596" s="28" t="s">
        <v>912</v>
      </c>
      <c r="G3596" s="19" t="n">
        <v>0.0494</v>
      </c>
    </row>
    <row r="3597" customFormat="false" ht="15" hidden="false" customHeight="false" outlineLevel="0" collapsed="false">
      <c r="A3597" s="28" t="s">
        <v>196</v>
      </c>
      <c r="B3597" s="28" t="s">
        <v>197</v>
      </c>
      <c r="C3597" s="28" t="s">
        <v>192</v>
      </c>
      <c r="D3597" s="23" t="n">
        <v>11</v>
      </c>
      <c r="E3597" s="23" t="n">
        <v>6</v>
      </c>
      <c r="F3597" s="28" t="s">
        <v>913</v>
      </c>
      <c r="G3597" s="19" t="n">
        <v>0.0543</v>
      </c>
    </row>
    <row r="3598" customFormat="false" ht="15" hidden="false" customHeight="false" outlineLevel="0" collapsed="false">
      <c r="A3598" s="28" t="s">
        <v>196</v>
      </c>
      <c r="B3598" s="28" t="s">
        <v>197</v>
      </c>
      <c r="C3598" s="28" t="s">
        <v>192</v>
      </c>
      <c r="D3598" s="23" t="n">
        <v>11</v>
      </c>
      <c r="E3598" s="23" t="n">
        <v>6</v>
      </c>
      <c r="F3598" s="28" t="s">
        <v>914</v>
      </c>
      <c r="G3598" s="19" t="n">
        <v>0.0541</v>
      </c>
    </row>
    <row r="3599" customFormat="false" ht="15" hidden="false" customHeight="false" outlineLevel="0" collapsed="false">
      <c r="A3599" s="28" t="s">
        <v>196</v>
      </c>
      <c r="B3599" s="28" t="s">
        <v>197</v>
      </c>
      <c r="C3599" s="28" t="s">
        <v>192</v>
      </c>
      <c r="D3599" s="23" t="n">
        <v>11</v>
      </c>
      <c r="E3599" s="23" t="n">
        <v>6</v>
      </c>
      <c r="F3599" s="28" t="s">
        <v>915</v>
      </c>
      <c r="G3599" s="19" t="n">
        <v>0.0699</v>
      </c>
    </row>
    <row r="3600" customFormat="false" ht="15" hidden="false" customHeight="false" outlineLevel="0" collapsed="false">
      <c r="A3600" s="28" t="s">
        <v>196</v>
      </c>
      <c r="B3600" s="28" t="s">
        <v>197</v>
      </c>
      <c r="C3600" s="28" t="s">
        <v>192</v>
      </c>
      <c r="D3600" s="23" t="n">
        <v>11</v>
      </c>
      <c r="E3600" s="23" t="n">
        <v>7</v>
      </c>
      <c r="F3600" s="28" t="s">
        <v>904</v>
      </c>
      <c r="G3600" s="19" t="n">
        <v>0.042133</v>
      </c>
    </row>
    <row r="3601" customFormat="false" ht="15" hidden="false" customHeight="false" outlineLevel="0" collapsed="false">
      <c r="A3601" s="28" t="s">
        <v>196</v>
      </c>
      <c r="B3601" s="28" t="s">
        <v>197</v>
      </c>
      <c r="C3601" s="28" t="s">
        <v>192</v>
      </c>
      <c r="D3601" s="23" t="n">
        <v>11</v>
      </c>
      <c r="E3601" s="23" t="n">
        <v>7</v>
      </c>
      <c r="F3601" s="28" t="s">
        <v>551</v>
      </c>
      <c r="G3601" s="19" t="n">
        <v>0.073333</v>
      </c>
    </row>
    <row r="3602" customFormat="false" ht="15" hidden="false" customHeight="false" outlineLevel="0" collapsed="false">
      <c r="A3602" s="28" t="s">
        <v>196</v>
      </c>
      <c r="B3602" s="28" t="s">
        <v>197</v>
      </c>
      <c r="C3602" s="28" t="s">
        <v>192</v>
      </c>
      <c r="D3602" s="23" t="n">
        <v>11</v>
      </c>
      <c r="E3602" s="23" t="n">
        <v>7</v>
      </c>
      <c r="F3602" s="28" t="s">
        <v>451</v>
      </c>
      <c r="G3602" s="19" t="n">
        <v>0.041933</v>
      </c>
    </row>
    <row r="3603" customFormat="false" ht="15" hidden="false" customHeight="false" outlineLevel="0" collapsed="false">
      <c r="A3603" s="28" t="s">
        <v>196</v>
      </c>
      <c r="B3603" s="28" t="s">
        <v>197</v>
      </c>
      <c r="C3603" s="28" t="s">
        <v>192</v>
      </c>
      <c r="D3603" s="23" t="n">
        <v>11</v>
      </c>
      <c r="E3603" s="23" t="n">
        <v>7</v>
      </c>
      <c r="F3603" s="28" t="s">
        <v>905</v>
      </c>
      <c r="G3603" s="19" t="n">
        <v>0.044533</v>
      </c>
    </row>
    <row r="3604" customFormat="false" ht="15" hidden="false" customHeight="false" outlineLevel="0" collapsed="false">
      <c r="A3604" s="28" t="s">
        <v>196</v>
      </c>
      <c r="B3604" s="28" t="s">
        <v>197</v>
      </c>
      <c r="C3604" s="28" t="s">
        <v>192</v>
      </c>
      <c r="D3604" s="23" t="n">
        <v>11</v>
      </c>
      <c r="E3604" s="23" t="n">
        <v>7</v>
      </c>
      <c r="F3604" s="28" t="s">
        <v>906</v>
      </c>
      <c r="G3604" s="19" t="n">
        <v>0.045933</v>
      </c>
    </row>
    <row r="3605" customFormat="false" ht="15" hidden="false" customHeight="false" outlineLevel="0" collapsed="false">
      <c r="A3605" s="28" t="s">
        <v>196</v>
      </c>
      <c r="B3605" s="28" t="s">
        <v>197</v>
      </c>
      <c r="C3605" s="28" t="s">
        <v>192</v>
      </c>
      <c r="D3605" s="23" t="n">
        <v>11</v>
      </c>
      <c r="E3605" s="23" t="n">
        <v>7</v>
      </c>
      <c r="F3605" s="28" t="s">
        <v>907</v>
      </c>
      <c r="G3605" s="19" t="n">
        <v>0.045633</v>
      </c>
    </row>
    <row r="3606" customFormat="false" ht="15" hidden="false" customHeight="false" outlineLevel="0" collapsed="false">
      <c r="A3606" s="28" t="s">
        <v>196</v>
      </c>
      <c r="B3606" s="28" t="s">
        <v>197</v>
      </c>
      <c r="C3606" s="28" t="s">
        <v>192</v>
      </c>
      <c r="D3606" s="23" t="n">
        <v>11</v>
      </c>
      <c r="E3606" s="23" t="n">
        <v>7</v>
      </c>
      <c r="F3606" s="28" t="s">
        <v>908</v>
      </c>
      <c r="G3606" s="19" t="n">
        <v>0.047233</v>
      </c>
    </row>
    <row r="3607" customFormat="false" ht="15" hidden="false" customHeight="false" outlineLevel="0" collapsed="false">
      <c r="A3607" s="28" t="s">
        <v>196</v>
      </c>
      <c r="B3607" s="28" t="s">
        <v>197</v>
      </c>
      <c r="C3607" s="28" t="s">
        <v>192</v>
      </c>
      <c r="D3607" s="23" t="n">
        <v>11</v>
      </c>
      <c r="E3607" s="23" t="n">
        <v>7</v>
      </c>
      <c r="F3607" s="28" t="s">
        <v>909</v>
      </c>
      <c r="G3607" s="19" t="n">
        <v>0.047333</v>
      </c>
    </row>
    <row r="3608" customFormat="false" ht="15" hidden="false" customHeight="false" outlineLevel="0" collapsed="false">
      <c r="A3608" s="28" t="s">
        <v>196</v>
      </c>
      <c r="B3608" s="28" t="s">
        <v>197</v>
      </c>
      <c r="C3608" s="28" t="s">
        <v>192</v>
      </c>
      <c r="D3608" s="23" t="n">
        <v>11</v>
      </c>
      <c r="E3608" s="23" t="n">
        <v>7</v>
      </c>
      <c r="F3608" s="28" t="s">
        <v>910</v>
      </c>
      <c r="G3608" s="19" t="n">
        <v>0.047733</v>
      </c>
    </row>
    <row r="3609" customFormat="false" ht="15" hidden="false" customHeight="false" outlineLevel="0" collapsed="false">
      <c r="A3609" s="28" t="s">
        <v>196</v>
      </c>
      <c r="B3609" s="28" t="s">
        <v>197</v>
      </c>
      <c r="C3609" s="28" t="s">
        <v>192</v>
      </c>
      <c r="D3609" s="23" t="n">
        <v>11</v>
      </c>
      <c r="E3609" s="23" t="n">
        <v>7</v>
      </c>
      <c r="F3609" s="28" t="s">
        <v>911</v>
      </c>
      <c r="G3609" s="19" t="n">
        <v>0.048833</v>
      </c>
    </row>
    <row r="3610" customFormat="false" ht="15" hidden="false" customHeight="false" outlineLevel="0" collapsed="false">
      <c r="A3610" s="28" t="s">
        <v>196</v>
      </c>
      <c r="B3610" s="28" t="s">
        <v>197</v>
      </c>
      <c r="C3610" s="28" t="s">
        <v>192</v>
      </c>
      <c r="D3610" s="23" t="n">
        <v>11</v>
      </c>
      <c r="E3610" s="23" t="n">
        <v>7</v>
      </c>
      <c r="F3610" s="28" t="s">
        <v>912</v>
      </c>
      <c r="G3610" s="19" t="n">
        <v>0.050233</v>
      </c>
    </row>
    <row r="3611" customFormat="false" ht="15" hidden="false" customHeight="false" outlineLevel="0" collapsed="false">
      <c r="A3611" s="28" t="s">
        <v>196</v>
      </c>
      <c r="B3611" s="28" t="s">
        <v>197</v>
      </c>
      <c r="C3611" s="28" t="s">
        <v>192</v>
      </c>
      <c r="D3611" s="23" t="n">
        <v>11</v>
      </c>
      <c r="E3611" s="23" t="n">
        <v>7</v>
      </c>
      <c r="F3611" s="28" t="s">
        <v>913</v>
      </c>
      <c r="G3611" s="19" t="n">
        <v>0.055133</v>
      </c>
    </row>
    <row r="3612" customFormat="false" ht="15" hidden="false" customHeight="false" outlineLevel="0" collapsed="false">
      <c r="A3612" s="28" t="s">
        <v>196</v>
      </c>
      <c r="B3612" s="28" t="s">
        <v>197</v>
      </c>
      <c r="C3612" s="28" t="s">
        <v>192</v>
      </c>
      <c r="D3612" s="23" t="n">
        <v>11</v>
      </c>
      <c r="E3612" s="23" t="n">
        <v>7</v>
      </c>
      <c r="F3612" s="28" t="s">
        <v>914</v>
      </c>
      <c r="G3612" s="19" t="n">
        <v>0.054933</v>
      </c>
    </row>
    <row r="3613" customFormat="false" ht="15" hidden="false" customHeight="false" outlineLevel="0" collapsed="false">
      <c r="A3613" s="28" t="s">
        <v>196</v>
      </c>
      <c r="B3613" s="28" t="s">
        <v>197</v>
      </c>
      <c r="C3613" s="28" t="s">
        <v>192</v>
      </c>
      <c r="D3613" s="23" t="n">
        <v>11</v>
      </c>
      <c r="E3613" s="23" t="n">
        <v>7</v>
      </c>
      <c r="F3613" s="28" t="s">
        <v>915</v>
      </c>
      <c r="G3613" s="19" t="n">
        <v>0.070733</v>
      </c>
    </row>
    <row r="3614" customFormat="false" ht="15" hidden="false" customHeight="false" outlineLevel="0" collapsed="false">
      <c r="A3614" s="28" t="s">
        <v>196</v>
      </c>
      <c r="B3614" s="28" t="s">
        <v>197</v>
      </c>
      <c r="C3614" s="28" t="s">
        <v>192</v>
      </c>
      <c r="D3614" s="23" t="n">
        <v>11</v>
      </c>
      <c r="E3614" s="23" t="n">
        <v>8</v>
      </c>
      <c r="F3614" s="28" t="s">
        <v>904</v>
      </c>
      <c r="G3614" s="19" t="n">
        <v>0.042967</v>
      </c>
    </row>
    <row r="3615" customFormat="false" ht="15" hidden="false" customHeight="false" outlineLevel="0" collapsed="false">
      <c r="A3615" s="28" t="s">
        <v>196</v>
      </c>
      <c r="B3615" s="28" t="s">
        <v>197</v>
      </c>
      <c r="C3615" s="28" t="s">
        <v>192</v>
      </c>
      <c r="D3615" s="23" t="n">
        <v>11</v>
      </c>
      <c r="E3615" s="23" t="n">
        <v>8</v>
      </c>
      <c r="F3615" s="28" t="s">
        <v>551</v>
      </c>
      <c r="G3615" s="19" t="n">
        <v>0.074167</v>
      </c>
    </row>
    <row r="3616" customFormat="false" ht="15" hidden="false" customHeight="false" outlineLevel="0" collapsed="false">
      <c r="A3616" s="28" t="s">
        <v>196</v>
      </c>
      <c r="B3616" s="28" t="s">
        <v>197</v>
      </c>
      <c r="C3616" s="28" t="s">
        <v>192</v>
      </c>
      <c r="D3616" s="23" t="n">
        <v>11</v>
      </c>
      <c r="E3616" s="23" t="n">
        <v>8</v>
      </c>
      <c r="F3616" s="28" t="s">
        <v>451</v>
      </c>
      <c r="G3616" s="19" t="n">
        <v>0.042767</v>
      </c>
    </row>
    <row r="3617" customFormat="false" ht="15" hidden="false" customHeight="false" outlineLevel="0" collapsed="false">
      <c r="A3617" s="28" t="s">
        <v>196</v>
      </c>
      <c r="B3617" s="28" t="s">
        <v>197</v>
      </c>
      <c r="C3617" s="28" t="s">
        <v>192</v>
      </c>
      <c r="D3617" s="23" t="n">
        <v>11</v>
      </c>
      <c r="E3617" s="23" t="n">
        <v>8</v>
      </c>
      <c r="F3617" s="28" t="s">
        <v>905</v>
      </c>
      <c r="G3617" s="19" t="n">
        <v>0.045367</v>
      </c>
    </row>
    <row r="3618" customFormat="false" ht="15" hidden="false" customHeight="false" outlineLevel="0" collapsed="false">
      <c r="A3618" s="28" t="s">
        <v>196</v>
      </c>
      <c r="B3618" s="28" t="s">
        <v>197</v>
      </c>
      <c r="C3618" s="28" t="s">
        <v>192</v>
      </c>
      <c r="D3618" s="23" t="n">
        <v>11</v>
      </c>
      <c r="E3618" s="23" t="n">
        <v>8</v>
      </c>
      <c r="F3618" s="28" t="s">
        <v>906</v>
      </c>
      <c r="G3618" s="19" t="n">
        <v>0.046767</v>
      </c>
    </row>
    <row r="3619" customFormat="false" ht="15" hidden="false" customHeight="false" outlineLevel="0" collapsed="false">
      <c r="A3619" s="28" t="s">
        <v>196</v>
      </c>
      <c r="B3619" s="28" t="s">
        <v>197</v>
      </c>
      <c r="C3619" s="28" t="s">
        <v>192</v>
      </c>
      <c r="D3619" s="23" t="n">
        <v>11</v>
      </c>
      <c r="E3619" s="23" t="n">
        <v>8</v>
      </c>
      <c r="F3619" s="28" t="s">
        <v>907</v>
      </c>
      <c r="G3619" s="19" t="n">
        <v>0.046467</v>
      </c>
    </row>
    <row r="3620" customFormat="false" ht="15" hidden="false" customHeight="false" outlineLevel="0" collapsed="false">
      <c r="A3620" s="28" t="s">
        <v>196</v>
      </c>
      <c r="B3620" s="28" t="s">
        <v>197</v>
      </c>
      <c r="C3620" s="28" t="s">
        <v>192</v>
      </c>
      <c r="D3620" s="23" t="n">
        <v>11</v>
      </c>
      <c r="E3620" s="23" t="n">
        <v>8</v>
      </c>
      <c r="F3620" s="28" t="s">
        <v>908</v>
      </c>
      <c r="G3620" s="19" t="n">
        <v>0.048067</v>
      </c>
    </row>
    <row r="3621" customFormat="false" ht="15" hidden="false" customHeight="false" outlineLevel="0" collapsed="false">
      <c r="A3621" s="28" t="s">
        <v>196</v>
      </c>
      <c r="B3621" s="28" t="s">
        <v>197</v>
      </c>
      <c r="C3621" s="28" t="s">
        <v>192</v>
      </c>
      <c r="D3621" s="23" t="n">
        <v>11</v>
      </c>
      <c r="E3621" s="23" t="n">
        <v>8</v>
      </c>
      <c r="F3621" s="28" t="s">
        <v>909</v>
      </c>
      <c r="G3621" s="19" t="n">
        <v>0.048167</v>
      </c>
    </row>
    <row r="3622" customFormat="false" ht="15" hidden="false" customHeight="false" outlineLevel="0" collapsed="false">
      <c r="A3622" s="28" t="s">
        <v>196</v>
      </c>
      <c r="B3622" s="28" t="s">
        <v>197</v>
      </c>
      <c r="C3622" s="28" t="s">
        <v>192</v>
      </c>
      <c r="D3622" s="23" t="n">
        <v>11</v>
      </c>
      <c r="E3622" s="23" t="n">
        <v>8</v>
      </c>
      <c r="F3622" s="28" t="s">
        <v>910</v>
      </c>
      <c r="G3622" s="19" t="n">
        <v>0.048567</v>
      </c>
    </row>
    <row r="3623" customFormat="false" ht="15" hidden="false" customHeight="false" outlineLevel="0" collapsed="false">
      <c r="A3623" s="28" t="s">
        <v>196</v>
      </c>
      <c r="B3623" s="28" t="s">
        <v>197</v>
      </c>
      <c r="C3623" s="28" t="s">
        <v>192</v>
      </c>
      <c r="D3623" s="23" t="n">
        <v>11</v>
      </c>
      <c r="E3623" s="23" t="n">
        <v>8</v>
      </c>
      <c r="F3623" s="28" t="s">
        <v>911</v>
      </c>
      <c r="G3623" s="19" t="n">
        <v>0.049667</v>
      </c>
    </row>
    <row r="3624" customFormat="false" ht="15" hidden="false" customHeight="false" outlineLevel="0" collapsed="false">
      <c r="A3624" s="28" t="s">
        <v>196</v>
      </c>
      <c r="B3624" s="28" t="s">
        <v>197</v>
      </c>
      <c r="C3624" s="28" t="s">
        <v>192</v>
      </c>
      <c r="D3624" s="23" t="n">
        <v>11</v>
      </c>
      <c r="E3624" s="23" t="n">
        <v>8</v>
      </c>
      <c r="F3624" s="28" t="s">
        <v>912</v>
      </c>
      <c r="G3624" s="19" t="n">
        <v>0.051067</v>
      </c>
    </row>
    <row r="3625" customFormat="false" ht="15" hidden="false" customHeight="false" outlineLevel="0" collapsed="false">
      <c r="A3625" s="28" t="s">
        <v>196</v>
      </c>
      <c r="B3625" s="28" t="s">
        <v>197</v>
      </c>
      <c r="C3625" s="28" t="s">
        <v>192</v>
      </c>
      <c r="D3625" s="23" t="n">
        <v>11</v>
      </c>
      <c r="E3625" s="23" t="n">
        <v>8</v>
      </c>
      <c r="F3625" s="28" t="s">
        <v>913</v>
      </c>
      <c r="G3625" s="19" t="n">
        <v>0.055967</v>
      </c>
    </row>
    <row r="3626" customFormat="false" ht="15" hidden="false" customHeight="false" outlineLevel="0" collapsed="false">
      <c r="A3626" s="28" t="s">
        <v>196</v>
      </c>
      <c r="B3626" s="28" t="s">
        <v>197</v>
      </c>
      <c r="C3626" s="28" t="s">
        <v>192</v>
      </c>
      <c r="D3626" s="23" t="n">
        <v>11</v>
      </c>
      <c r="E3626" s="23" t="n">
        <v>8</v>
      </c>
      <c r="F3626" s="28" t="s">
        <v>914</v>
      </c>
      <c r="G3626" s="19" t="n">
        <v>0.055767</v>
      </c>
    </row>
    <row r="3627" customFormat="false" ht="15" hidden="false" customHeight="false" outlineLevel="0" collapsed="false">
      <c r="A3627" s="28" t="s">
        <v>196</v>
      </c>
      <c r="B3627" s="28" t="s">
        <v>197</v>
      </c>
      <c r="C3627" s="28" t="s">
        <v>192</v>
      </c>
      <c r="D3627" s="23" t="n">
        <v>11</v>
      </c>
      <c r="E3627" s="23" t="n">
        <v>8</v>
      </c>
      <c r="F3627" s="28" t="s">
        <v>915</v>
      </c>
      <c r="G3627" s="19" t="n">
        <v>0.071567</v>
      </c>
    </row>
    <row r="3628" customFormat="false" ht="15" hidden="false" customHeight="false" outlineLevel="0" collapsed="false">
      <c r="A3628" s="28" t="s">
        <v>196</v>
      </c>
      <c r="B3628" s="28" t="s">
        <v>197</v>
      </c>
      <c r="C3628" s="28" t="s">
        <v>192</v>
      </c>
      <c r="D3628" s="23" t="n">
        <v>11</v>
      </c>
      <c r="E3628" s="23" t="n">
        <v>9</v>
      </c>
      <c r="F3628" s="28" t="s">
        <v>904</v>
      </c>
      <c r="G3628" s="19" t="n">
        <v>0.0438</v>
      </c>
    </row>
    <row r="3629" customFormat="false" ht="15" hidden="false" customHeight="false" outlineLevel="0" collapsed="false">
      <c r="A3629" s="28" t="s">
        <v>196</v>
      </c>
      <c r="B3629" s="28" t="s">
        <v>197</v>
      </c>
      <c r="C3629" s="28" t="s">
        <v>192</v>
      </c>
      <c r="D3629" s="23" t="n">
        <v>11</v>
      </c>
      <c r="E3629" s="23" t="n">
        <v>9</v>
      </c>
      <c r="F3629" s="28" t="s">
        <v>551</v>
      </c>
      <c r="G3629" s="19" t="n">
        <v>0.075</v>
      </c>
    </row>
    <row r="3630" customFormat="false" ht="15" hidden="false" customHeight="false" outlineLevel="0" collapsed="false">
      <c r="A3630" s="28" t="s">
        <v>196</v>
      </c>
      <c r="B3630" s="28" t="s">
        <v>197</v>
      </c>
      <c r="C3630" s="28" t="s">
        <v>192</v>
      </c>
      <c r="D3630" s="23" t="n">
        <v>11</v>
      </c>
      <c r="E3630" s="23" t="n">
        <v>9</v>
      </c>
      <c r="F3630" s="28" t="s">
        <v>451</v>
      </c>
      <c r="G3630" s="19" t="n">
        <v>0.0436</v>
      </c>
    </row>
    <row r="3631" customFormat="false" ht="15" hidden="false" customHeight="false" outlineLevel="0" collapsed="false">
      <c r="A3631" s="28" t="s">
        <v>196</v>
      </c>
      <c r="B3631" s="28" t="s">
        <v>197</v>
      </c>
      <c r="C3631" s="28" t="s">
        <v>192</v>
      </c>
      <c r="D3631" s="23" t="n">
        <v>11</v>
      </c>
      <c r="E3631" s="23" t="n">
        <v>9</v>
      </c>
      <c r="F3631" s="28" t="s">
        <v>905</v>
      </c>
      <c r="G3631" s="19" t="n">
        <v>0.0462</v>
      </c>
    </row>
    <row r="3632" customFormat="false" ht="15" hidden="false" customHeight="false" outlineLevel="0" collapsed="false">
      <c r="A3632" s="28" t="s">
        <v>196</v>
      </c>
      <c r="B3632" s="28" t="s">
        <v>197</v>
      </c>
      <c r="C3632" s="28" t="s">
        <v>192</v>
      </c>
      <c r="D3632" s="23" t="n">
        <v>11</v>
      </c>
      <c r="E3632" s="23" t="n">
        <v>9</v>
      </c>
      <c r="F3632" s="28" t="s">
        <v>906</v>
      </c>
      <c r="G3632" s="19" t="n">
        <v>0.0476</v>
      </c>
    </row>
    <row r="3633" customFormat="false" ht="15" hidden="false" customHeight="false" outlineLevel="0" collapsed="false">
      <c r="A3633" s="28" t="s">
        <v>196</v>
      </c>
      <c r="B3633" s="28" t="s">
        <v>197</v>
      </c>
      <c r="C3633" s="28" t="s">
        <v>192</v>
      </c>
      <c r="D3633" s="23" t="n">
        <v>11</v>
      </c>
      <c r="E3633" s="23" t="n">
        <v>9</v>
      </c>
      <c r="F3633" s="28" t="s">
        <v>907</v>
      </c>
      <c r="G3633" s="19" t="n">
        <v>0.0473</v>
      </c>
    </row>
    <row r="3634" customFormat="false" ht="15" hidden="false" customHeight="false" outlineLevel="0" collapsed="false">
      <c r="A3634" s="28" t="s">
        <v>196</v>
      </c>
      <c r="B3634" s="28" t="s">
        <v>197</v>
      </c>
      <c r="C3634" s="28" t="s">
        <v>192</v>
      </c>
      <c r="D3634" s="23" t="n">
        <v>11</v>
      </c>
      <c r="E3634" s="23" t="n">
        <v>9</v>
      </c>
      <c r="F3634" s="28" t="s">
        <v>908</v>
      </c>
      <c r="G3634" s="19" t="n">
        <v>0.0489</v>
      </c>
    </row>
    <row r="3635" customFormat="false" ht="15" hidden="false" customHeight="false" outlineLevel="0" collapsed="false">
      <c r="A3635" s="28" t="s">
        <v>196</v>
      </c>
      <c r="B3635" s="28" t="s">
        <v>197</v>
      </c>
      <c r="C3635" s="28" t="s">
        <v>192</v>
      </c>
      <c r="D3635" s="23" t="n">
        <v>11</v>
      </c>
      <c r="E3635" s="23" t="n">
        <v>9</v>
      </c>
      <c r="F3635" s="28" t="s">
        <v>909</v>
      </c>
      <c r="G3635" s="19" t="n">
        <v>0.049</v>
      </c>
    </row>
    <row r="3636" customFormat="false" ht="15" hidden="false" customHeight="false" outlineLevel="0" collapsed="false">
      <c r="A3636" s="28" t="s">
        <v>196</v>
      </c>
      <c r="B3636" s="28" t="s">
        <v>197</v>
      </c>
      <c r="C3636" s="28" t="s">
        <v>192</v>
      </c>
      <c r="D3636" s="23" t="n">
        <v>11</v>
      </c>
      <c r="E3636" s="23" t="n">
        <v>9</v>
      </c>
      <c r="F3636" s="28" t="s">
        <v>910</v>
      </c>
      <c r="G3636" s="19" t="n">
        <v>0.0494</v>
      </c>
    </row>
    <row r="3637" customFormat="false" ht="15" hidden="false" customHeight="false" outlineLevel="0" collapsed="false">
      <c r="A3637" s="28" t="s">
        <v>196</v>
      </c>
      <c r="B3637" s="28" t="s">
        <v>197</v>
      </c>
      <c r="C3637" s="28" t="s">
        <v>192</v>
      </c>
      <c r="D3637" s="23" t="n">
        <v>11</v>
      </c>
      <c r="E3637" s="23" t="n">
        <v>9</v>
      </c>
      <c r="F3637" s="28" t="s">
        <v>911</v>
      </c>
      <c r="G3637" s="19" t="n">
        <v>0.0505</v>
      </c>
    </row>
    <row r="3638" customFormat="false" ht="15" hidden="false" customHeight="false" outlineLevel="0" collapsed="false">
      <c r="A3638" s="28" t="s">
        <v>196</v>
      </c>
      <c r="B3638" s="28" t="s">
        <v>197</v>
      </c>
      <c r="C3638" s="28" t="s">
        <v>192</v>
      </c>
      <c r="D3638" s="23" t="n">
        <v>11</v>
      </c>
      <c r="E3638" s="23" t="n">
        <v>9</v>
      </c>
      <c r="F3638" s="28" t="s">
        <v>912</v>
      </c>
      <c r="G3638" s="19" t="n">
        <v>0.0519</v>
      </c>
    </row>
    <row r="3639" customFormat="false" ht="15" hidden="false" customHeight="false" outlineLevel="0" collapsed="false">
      <c r="A3639" s="28" t="s">
        <v>196</v>
      </c>
      <c r="B3639" s="28" t="s">
        <v>197</v>
      </c>
      <c r="C3639" s="28" t="s">
        <v>192</v>
      </c>
      <c r="D3639" s="23" t="n">
        <v>11</v>
      </c>
      <c r="E3639" s="23" t="n">
        <v>9</v>
      </c>
      <c r="F3639" s="28" t="s">
        <v>913</v>
      </c>
      <c r="G3639" s="19" t="n">
        <v>0.0568</v>
      </c>
    </row>
    <row r="3640" customFormat="false" ht="15" hidden="false" customHeight="false" outlineLevel="0" collapsed="false">
      <c r="A3640" s="28" t="s">
        <v>196</v>
      </c>
      <c r="B3640" s="28" t="s">
        <v>197</v>
      </c>
      <c r="C3640" s="28" t="s">
        <v>192</v>
      </c>
      <c r="D3640" s="23" t="n">
        <v>11</v>
      </c>
      <c r="E3640" s="23" t="n">
        <v>9</v>
      </c>
      <c r="F3640" s="28" t="s">
        <v>914</v>
      </c>
      <c r="G3640" s="19" t="n">
        <v>0.0566</v>
      </c>
    </row>
    <row r="3641" customFormat="false" ht="15" hidden="false" customHeight="false" outlineLevel="0" collapsed="false">
      <c r="A3641" s="28" t="s">
        <v>196</v>
      </c>
      <c r="B3641" s="28" t="s">
        <v>197</v>
      </c>
      <c r="C3641" s="28" t="s">
        <v>192</v>
      </c>
      <c r="D3641" s="23" t="n">
        <v>11</v>
      </c>
      <c r="E3641" s="23" t="n">
        <v>9</v>
      </c>
      <c r="F3641" s="28" t="s">
        <v>915</v>
      </c>
      <c r="G3641" s="19" t="n">
        <v>0.0724</v>
      </c>
    </row>
    <row r="3642" customFormat="false" ht="15" hidden="false" customHeight="false" outlineLevel="0" collapsed="false">
      <c r="A3642" s="28" t="s">
        <v>196</v>
      </c>
      <c r="B3642" s="28" t="s">
        <v>197</v>
      </c>
      <c r="C3642" s="28" t="s">
        <v>192</v>
      </c>
      <c r="D3642" s="23" t="n">
        <v>11</v>
      </c>
      <c r="E3642" s="23" t="n">
        <v>10</v>
      </c>
      <c r="F3642" s="28" t="s">
        <v>904</v>
      </c>
      <c r="G3642" s="19" t="n">
        <v>0.044633</v>
      </c>
    </row>
    <row r="3643" customFormat="false" ht="15" hidden="false" customHeight="false" outlineLevel="0" collapsed="false">
      <c r="A3643" s="28" t="s">
        <v>196</v>
      </c>
      <c r="B3643" s="28" t="s">
        <v>197</v>
      </c>
      <c r="C3643" s="28" t="s">
        <v>192</v>
      </c>
      <c r="D3643" s="23" t="n">
        <v>11</v>
      </c>
      <c r="E3643" s="23" t="n">
        <v>10</v>
      </c>
      <c r="F3643" s="28" t="s">
        <v>551</v>
      </c>
      <c r="G3643" s="19" t="n">
        <v>0.075833</v>
      </c>
    </row>
    <row r="3644" customFormat="false" ht="15" hidden="false" customHeight="false" outlineLevel="0" collapsed="false">
      <c r="A3644" s="28" t="s">
        <v>196</v>
      </c>
      <c r="B3644" s="28" t="s">
        <v>197</v>
      </c>
      <c r="C3644" s="28" t="s">
        <v>192</v>
      </c>
      <c r="D3644" s="23" t="n">
        <v>11</v>
      </c>
      <c r="E3644" s="23" t="n">
        <v>10</v>
      </c>
      <c r="F3644" s="28" t="s">
        <v>451</v>
      </c>
      <c r="G3644" s="19" t="n">
        <v>0.044433</v>
      </c>
    </row>
    <row r="3645" customFormat="false" ht="15" hidden="false" customHeight="false" outlineLevel="0" collapsed="false">
      <c r="A3645" s="28" t="s">
        <v>196</v>
      </c>
      <c r="B3645" s="28" t="s">
        <v>197</v>
      </c>
      <c r="C3645" s="28" t="s">
        <v>192</v>
      </c>
      <c r="D3645" s="23" t="n">
        <v>11</v>
      </c>
      <c r="E3645" s="23" t="n">
        <v>10</v>
      </c>
      <c r="F3645" s="28" t="s">
        <v>905</v>
      </c>
      <c r="G3645" s="19" t="n">
        <v>0.047033</v>
      </c>
    </row>
    <row r="3646" customFormat="false" ht="15" hidden="false" customHeight="false" outlineLevel="0" collapsed="false">
      <c r="A3646" s="28" t="s">
        <v>196</v>
      </c>
      <c r="B3646" s="28" t="s">
        <v>197</v>
      </c>
      <c r="C3646" s="28" t="s">
        <v>192</v>
      </c>
      <c r="D3646" s="23" t="n">
        <v>11</v>
      </c>
      <c r="E3646" s="23" t="n">
        <v>10</v>
      </c>
      <c r="F3646" s="28" t="s">
        <v>906</v>
      </c>
      <c r="G3646" s="19" t="n">
        <v>0.048433</v>
      </c>
    </row>
    <row r="3647" customFormat="false" ht="15" hidden="false" customHeight="false" outlineLevel="0" collapsed="false">
      <c r="A3647" s="28" t="s">
        <v>196</v>
      </c>
      <c r="B3647" s="28" t="s">
        <v>197</v>
      </c>
      <c r="C3647" s="28" t="s">
        <v>192</v>
      </c>
      <c r="D3647" s="23" t="n">
        <v>11</v>
      </c>
      <c r="E3647" s="23" t="n">
        <v>10</v>
      </c>
      <c r="F3647" s="28" t="s">
        <v>907</v>
      </c>
      <c r="G3647" s="19" t="n">
        <v>0.048133</v>
      </c>
    </row>
    <row r="3648" customFormat="false" ht="15" hidden="false" customHeight="false" outlineLevel="0" collapsed="false">
      <c r="A3648" s="28" t="s">
        <v>196</v>
      </c>
      <c r="B3648" s="28" t="s">
        <v>197</v>
      </c>
      <c r="C3648" s="28" t="s">
        <v>192</v>
      </c>
      <c r="D3648" s="23" t="n">
        <v>11</v>
      </c>
      <c r="E3648" s="23" t="n">
        <v>10</v>
      </c>
      <c r="F3648" s="28" t="s">
        <v>908</v>
      </c>
      <c r="G3648" s="19" t="n">
        <v>0.049733</v>
      </c>
    </row>
    <row r="3649" customFormat="false" ht="15" hidden="false" customHeight="false" outlineLevel="0" collapsed="false">
      <c r="A3649" s="28" t="s">
        <v>196</v>
      </c>
      <c r="B3649" s="28" t="s">
        <v>197</v>
      </c>
      <c r="C3649" s="28" t="s">
        <v>192</v>
      </c>
      <c r="D3649" s="23" t="n">
        <v>11</v>
      </c>
      <c r="E3649" s="23" t="n">
        <v>10</v>
      </c>
      <c r="F3649" s="28" t="s">
        <v>909</v>
      </c>
      <c r="G3649" s="19" t="n">
        <v>0.049833</v>
      </c>
    </row>
    <row r="3650" customFormat="false" ht="15" hidden="false" customHeight="false" outlineLevel="0" collapsed="false">
      <c r="A3650" s="28" t="s">
        <v>196</v>
      </c>
      <c r="B3650" s="28" t="s">
        <v>197</v>
      </c>
      <c r="C3650" s="28" t="s">
        <v>192</v>
      </c>
      <c r="D3650" s="23" t="n">
        <v>11</v>
      </c>
      <c r="E3650" s="23" t="n">
        <v>10</v>
      </c>
      <c r="F3650" s="28" t="s">
        <v>910</v>
      </c>
      <c r="G3650" s="19" t="n">
        <v>0.050233</v>
      </c>
    </row>
    <row r="3651" customFormat="false" ht="15" hidden="false" customHeight="false" outlineLevel="0" collapsed="false">
      <c r="A3651" s="28" t="s">
        <v>196</v>
      </c>
      <c r="B3651" s="28" t="s">
        <v>197</v>
      </c>
      <c r="C3651" s="28" t="s">
        <v>192</v>
      </c>
      <c r="D3651" s="23" t="n">
        <v>11</v>
      </c>
      <c r="E3651" s="23" t="n">
        <v>10</v>
      </c>
      <c r="F3651" s="28" t="s">
        <v>911</v>
      </c>
      <c r="G3651" s="19" t="n">
        <v>0.051333</v>
      </c>
    </row>
    <row r="3652" customFormat="false" ht="15" hidden="false" customHeight="false" outlineLevel="0" collapsed="false">
      <c r="A3652" s="28" t="s">
        <v>196</v>
      </c>
      <c r="B3652" s="28" t="s">
        <v>197</v>
      </c>
      <c r="C3652" s="28" t="s">
        <v>192</v>
      </c>
      <c r="D3652" s="23" t="n">
        <v>11</v>
      </c>
      <c r="E3652" s="23" t="n">
        <v>10</v>
      </c>
      <c r="F3652" s="28" t="s">
        <v>912</v>
      </c>
      <c r="G3652" s="19" t="n">
        <v>0.052733</v>
      </c>
    </row>
    <row r="3653" customFormat="false" ht="15" hidden="false" customHeight="false" outlineLevel="0" collapsed="false">
      <c r="A3653" s="28" t="s">
        <v>196</v>
      </c>
      <c r="B3653" s="28" t="s">
        <v>197</v>
      </c>
      <c r="C3653" s="28" t="s">
        <v>192</v>
      </c>
      <c r="D3653" s="23" t="n">
        <v>11</v>
      </c>
      <c r="E3653" s="23" t="n">
        <v>10</v>
      </c>
      <c r="F3653" s="28" t="s">
        <v>913</v>
      </c>
      <c r="G3653" s="19" t="n">
        <v>0.057633</v>
      </c>
    </row>
    <row r="3654" customFormat="false" ht="15" hidden="false" customHeight="false" outlineLevel="0" collapsed="false">
      <c r="A3654" s="28" t="s">
        <v>196</v>
      </c>
      <c r="B3654" s="28" t="s">
        <v>197</v>
      </c>
      <c r="C3654" s="28" t="s">
        <v>192</v>
      </c>
      <c r="D3654" s="23" t="n">
        <v>11</v>
      </c>
      <c r="E3654" s="23" t="n">
        <v>10</v>
      </c>
      <c r="F3654" s="28" t="s">
        <v>914</v>
      </c>
      <c r="G3654" s="19" t="n">
        <v>0.057433</v>
      </c>
    </row>
    <row r="3655" customFormat="false" ht="15" hidden="false" customHeight="false" outlineLevel="0" collapsed="false">
      <c r="A3655" s="28" t="s">
        <v>196</v>
      </c>
      <c r="B3655" s="28" t="s">
        <v>197</v>
      </c>
      <c r="C3655" s="28" t="s">
        <v>192</v>
      </c>
      <c r="D3655" s="23" t="n">
        <v>11</v>
      </c>
      <c r="E3655" s="23" t="n">
        <v>10</v>
      </c>
      <c r="F3655" s="28" t="s">
        <v>915</v>
      </c>
      <c r="G3655" s="19" t="n">
        <v>0.073233</v>
      </c>
    </row>
    <row r="3656" customFormat="false" ht="15" hidden="false" customHeight="false" outlineLevel="0" collapsed="false">
      <c r="A3656" s="28" t="s">
        <v>196</v>
      </c>
      <c r="B3656" s="28" t="s">
        <v>197</v>
      </c>
      <c r="C3656" s="28" t="s">
        <v>192</v>
      </c>
      <c r="D3656" s="23" t="n">
        <v>11</v>
      </c>
      <c r="E3656" s="23" t="n">
        <v>11</v>
      </c>
      <c r="F3656" s="28" t="s">
        <v>904</v>
      </c>
      <c r="G3656" s="19" t="n">
        <v>0.045467</v>
      </c>
    </row>
    <row r="3657" customFormat="false" ht="15" hidden="false" customHeight="false" outlineLevel="0" collapsed="false">
      <c r="A3657" s="28" t="s">
        <v>196</v>
      </c>
      <c r="B3657" s="28" t="s">
        <v>197</v>
      </c>
      <c r="C3657" s="28" t="s">
        <v>192</v>
      </c>
      <c r="D3657" s="23" t="n">
        <v>11</v>
      </c>
      <c r="E3657" s="23" t="n">
        <v>11</v>
      </c>
      <c r="F3657" s="28" t="s">
        <v>551</v>
      </c>
      <c r="G3657" s="19" t="n">
        <v>0.076667</v>
      </c>
    </row>
    <row r="3658" customFormat="false" ht="15" hidden="false" customHeight="false" outlineLevel="0" collapsed="false">
      <c r="A3658" s="28" t="s">
        <v>196</v>
      </c>
      <c r="B3658" s="28" t="s">
        <v>197</v>
      </c>
      <c r="C3658" s="28" t="s">
        <v>192</v>
      </c>
      <c r="D3658" s="23" t="n">
        <v>11</v>
      </c>
      <c r="E3658" s="23" t="n">
        <v>11</v>
      </c>
      <c r="F3658" s="28" t="s">
        <v>451</v>
      </c>
      <c r="G3658" s="19" t="n">
        <v>0.045267</v>
      </c>
    </row>
    <row r="3659" customFormat="false" ht="15" hidden="false" customHeight="false" outlineLevel="0" collapsed="false">
      <c r="A3659" s="28" t="s">
        <v>196</v>
      </c>
      <c r="B3659" s="28" t="s">
        <v>197</v>
      </c>
      <c r="C3659" s="28" t="s">
        <v>192</v>
      </c>
      <c r="D3659" s="23" t="n">
        <v>11</v>
      </c>
      <c r="E3659" s="23" t="n">
        <v>11</v>
      </c>
      <c r="F3659" s="28" t="s">
        <v>905</v>
      </c>
      <c r="G3659" s="19" t="n">
        <v>0.047867</v>
      </c>
    </row>
    <row r="3660" customFormat="false" ht="15" hidden="false" customHeight="false" outlineLevel="0" collapsed="false">
      <c r="A3660" s="28" t="s">
        <v>196</v>
      </c>
      <c r="B3660" s="28" t="s">
        <v>197</v>
      </c>
      <c r="C3660" s="28" t="s">
        <v>192</v>
      </c>
      <c r="D3660" s="23" t="n">
        <v>11</v>
      </c>
      <c r="E3660" s="23" t="n">
        <v>11</v>
      </c>
      <c r="F3660" s="28" t="s">
        <v>906</v>
      </c>
      <c r="G3660" s="19" t="n">
        <v>0.049267</v>
      </c>
    </row>
    <row r="3661" customFormat="false" ht="15" hidden="false" customHeight="false" outlineLevel="0" collapsed="false">
      <c r="A3661" s="28" t="s">
        <v>196</v>
      </c>
      <c r="B3661" s="28" t="s">
        <v>197</v>
      </c>
      <c r="C3661" s="28" t="s">
        <v>192</v>
      </c>
      <c r="D3661" s="23" t="n">
        <v>11</v>
      </c>
      <c r="E3661" s="23" t="n">
        <v>11</v>
      </c>
      <c r="F3661" s="28" t="s">
        <v>907</v>
      </c>
      <c r="G3661" s="19" t="n">
        <v>0.048967</v>
      </c>
    </row>
    <row r="3662" customFormat="false" ht="15" hidden="false" customHeight="false" outlineLevel="0" collapsed="false">
      <c r="A3662" s="28" t="s">
        <v>196</v>
      </c>
      <c r="B3662" s="28" t="s">
        <v>197</v>
      </c>
      <c r="C3662" s="28" t="s">
        <v>192</v>
      </c>
      <c r="D3662" s="23" t="n">
        <v>11</v>
      </c>
      <c r="E3662" s="23" t="n">
        <v>11</v>
      </c>
      <c r="F3662" s="28" t="s">
        <v>908</v>
      </c>
      <c r="G3662" s="19" t="n">
        <v>0.050567</v>
      </c>
    </row>
    <row r="3663" customFormat="false" ht="15" hidden="false" customHeight="false" outlineLevel="0" collapsed="false">
      <c r="A3663" s="28" t="s">
        <v>196</v>
      </c>
      <c r="B3663" s="28" t="s">
        <v>197</v>
      </c>
      <c r="C3663" s="28" t="s">
        <v>192</v>
      </c>
      <c r="D3663" s="23" t="n">
        <v>11</v>
      </c>
      <c r="E3663" s="23" t="n">
        <v>11</v>
      </c>
      <c r="F3663" s="28" t="s">
        <v>909</v>
      </c>
      <c r="G3663" s="19" t="n">
        <v>0.050667</v>
      </c>
    </row>
    <row r="3664" customFormat="false" ht="15" hidden="false" customHeight="false" outlineLevel="0" collapsed="false">
      <c r="A3664" s="28" t="s">
        <v>196</v>
      </c>
      <c r="B3664" s="28" t="s">
        <v>197</v>
      </c>
      <c r="C3664" s="28" t="s">
        <v>192</v>
      </c>
      <c r="D3664" s="23" t="n">
        <v>11</v>
      </c>
      <c r="E3664" s="23" t="n">
        <v>11</v>
      </c>
      <c r="F3664" s="28" t="s">
        <v>910</v>
      </c>
      <c r="G3664" s="19" t="n">
        <v>0.051067</v>
      </c>
    </row>
    <row r="3665" customFormat="false" ht="15" hidden="false" customHeight="false" outlineLevel="0" collapsed="false">
      <c r="A3665" s="28" t="s">
        <v>196</v>
      </c>
      <c r="B3665" s="28" t="s">
        <v>197</v>
      </c>
      <c r="C3665" s="28" t="s">
        <v>192</v>
      </c>
      <c r="D3665" s="23" t="n">
        <v>11</v>
      </c>
      <c r="E3665" s="23" t="n">
        <v>11</v>
      </c>
      <c r="F3665" s="28" t="s">
        <v>911</v>
      </c>
      <c r="G3665" s="19" t="n">
        <v>0.052167</v>
      </c>
    </row>
    <row r="3666" customFormat="false" ht="15" hidden="false" customHeight="false" outlineLevel="0" collapsed="false">
      <c r="A3666" s="28" t="s">
        <v>196</v>
      </c>
      <c r="B3666" s="28" t="s">
        <v>197</v>
      </c>
      <c r="C3666" s="28" t="s">
        <v>192</v>
      </c>
      <c r="D3666" s="23" t="n">
        <v>11</v>
      </c>
      <c r="E3666" s="23" t="n">
        <v>11</v>
      </c>
      <c r="F3666" s="28" t="s">
        <v>912</v>
      </c>
      <c r="G3666" s="19" t="n">
        <v>0.053567</v>
      </c>
    </row>
    <row r="3667" customFormat="false" ht="15" hidden="false" customHeight="false" outlineLevel="0" collapsed="false">
      <c r="A3667" s="28" t="s">
        <v>196</v>
      </c>
      <c r="B3667" s="28" t="s">
        <v>197</v>
      </c>
      <c r="C3667" s="28" t="s">
        <v>192</v>
      </c>
      <c r="D3667" s="23" t="n">
        <v>11</v>
      </c>
      <c r="E3667" s="23" t="n">
        <v>11</v>
      </c>
      <c r="F3667" s="28" t="s">
        <v>913</v>
      </c>
      <c r="G3667" s="19" t="n">
        <v>0.058467</v>
      </c>
    </row>
    <row r="3668" customFormat="false" ht="15" hidden="false" customHeight="false" outlineLevel="0" collapsed="false">
      <c r="A3668" s="28" t="s">
        <v>196</v>
      </c>
      <c r="B3668" s="28" t="s">
        <v>197</v>
      </c>
      <c r="C3668" s="28" t="s">
        <v>192</v>
      </c>
      <c r="D3668" s="23" t="n">
        <v>11</v>
      </c>
      <c r="E3668" s="23" t="n">
        <v>11</v>
      </c>
      <c r="F3668" s="28" t="s">
        <v>914</v>
      </c>
      <c r="G3668" s="19" t="n">
        <v>0.058267</v>
      </c>
    </row>
    <row r="3669" customFormat="false" ht="15" hidden="false" customHeight="false" outlineLevel="0" collapsed="false">
      <c r="A3669" s="28" t="s">
        <v>196</v>
      </c>
      <c r="B3669" s="28" t="s">
        <v>197</v>
      </c>
      <c r="C3669" s="28" t="s">
        <v>192</v>
      </c>
      <c r="D3669" s="23" t="n">
        <v>11</v>
      </c>
      <c r="E3669" s="23" t="n">
        <v>11</v>
      </c>
      <c r="F3669" s="28" t="s">
        <v>915</v>
      </c>
      <c r="G3669" s="19" t="n">
        <v>0.074067</v>
      </c>
    </row>
    <row r="3670" customFormat="false" ht="15" hidden="false" customHeight="false" outlineLevel="0" collapsed="false">
      <c r="A3670" s="28" t="s">
        <v>196</v>
      </c>
      <c r="B3670" s="28" t="s">
        <v>197</v>
      </c>
      <c r="C3670" s="28" t="s">
        <v>192</v>
      </c>
      <c r="D3670" s="23" t="n">
        <v>11</v>
      </c>
      <c r="E3670" s="23" t="n">
        <v>12</v>
      </c>
      <c r="F3670" s="28" t="s">
        <v>904</v>
      </c>
      <c r="G3670" s="19" t="n">
        <v>0.0463</v>
      </c>
    </row>
    <row r="3671" customFormat="false" ht="15" hidden="false" customHeight="false" outlineLevel="0" collapsed="false">
      <c r="A3671" s="28" t="s">
        <v>196</v>
      </c>
      <c r="B3671" s="28" t="s">
        <v>197</v>
      </c>
      <c r="C3671" s="28" t="s">
        <v>192</v>
      </c>
      <c r="D3671" s="23" t="n">
        <v>11</v>
      </c>
      <c r="E3671" s="23" t="n">
        <v>12</v>
      </c>
      <c r="F3671" s="28" t="s">
        <v>551</v>
      </c>
      <c r="G3671" s="19" t="n">
        <v>0.0775</v>
      </c>
    </row>
    <row r="3672" customFormat="false" ht="15" hidden="false" customHeight="false" outlineLevel="0" collapsed="false">
      <c r="A3672" s="28" t="s">
        <v>196</v>
      </c>
      <c r="B3672" s="28" t="s">
        <v>197</v>
      </c>
      <c r="C3672" s="28" t="s">
        <v>192</v>
      </c>
      <c r="D3672" s="23" t="n">
        <v>11</v>
      </c>
      <c r="E3672" s="23" t="n">
        <v>12</v>
      </c>
      <c r="F3672" s="28" t="s">
        <v>451</v>
      </c>
      <c r="G3672" s="19" t="n">
        <v>0.0461</v>
      </c>
    </row>
    <row r="3673" customFormat="false" ht="15" hidden="false" customHeight="false" outlineLevel="0" collapsed="false">
      <c r="A3673" s="28" t="s">
        <v>196</v>
      </c>
      <c r="B3673" s="28" t="s">
        <v>197</v>
      </c>
      <c r="C3673" s="28" t="s">
        <v>192</v>
      </c>
      <c r="D3673" s="23" t="n">
        <v>11</v>
      </c>
      <c r="E3673" s="23" t="n">
        <v>12</v>
      </c>
      <c r="F3673" s="28" t="s">
        <v>905</v>
      </c>
      <c r="G3673" s="19" t="n">
        <v>0.0487</v>
      </c>
    </row>
    <row r="3674" customFormat="false" ht="15" hidden="false" customHeight="false" outlineLevel="0" collapsed="false">
      <c r="A3674" s="28" t="s">
        <v>196</v>
      </c>
      <c r="B3674" s="28" t="s">
        <v>197</v>
      </c>
      <c r="C3674" s="28" t="s">
        <v>192</v>
      </c>
      <c r="D3674" s="23" t="n">
        <v>11</v>
      </c>
      <c r="E3674" s="23" t="n">
        <v>12</v>
      </c>
      <c r="F3674" s="28" t="s">
        <v>906</v>
      </c>
      <c r="G3674" s="19" t="n">
        <v>0.0501</v>
      </c>
    </row>
    <row r="3675" customFormat="false" ht="15" hidden="false" customHeight="false" outlineLevel="0" collapsed="false">
      <c r="A3675" s="28" t="s">
        <v>196</v>
      </c>
      <c r="B3675" s="28" t="s">
        <v>197</v>
      </c>
      <c r="C3675" s="28" t="s">
        <v>192</v>
      </c>
      <c r="D3675" s="23" t="n">
        <v>11</v>
      </c>
      <c r="E3675" s="23" t="n">
        <v>12</v>
      </c>
      <c r="F3675" s="28" t="s">
        <v>907</v>
      </c>
      <c r="G3675" s="19" t="n">
        <v>0.0498</v>
      </c>
    </row>
    <row r="3676" customFormat="false" ht="15" hidden="false" customHeight="false" outlineLevel="0" collapsed="false">
      <c r="A3676" s="28" t="s">
        <v>196</v>
      </c>
      <c r="B3676" s="28" t="s">
        <v>197</v>
      </c>
      <c r="C3676" s="28" t="s">
        <v>192</v>
      </c>
      <c r="D3676" s="23" t="n">
        <v>11</v>
      </c>
      <c r="E3676" s="23" t="n">
        <v>12</v>
      </c>
      <c r="F3676" s="28" t="s">
        <v>908</v>
      </c>
      <c r="G3676" s="19" t="n">
        <v>0.0514</v>
      </c>
    </row>
    <row r="3677" customFormat="false" ht="15" hidden="false" customHeight="false" outlineLevel="0" collapsed="false">
      <c r="A3677" s="28" t="s">
        <v>196</v>
      </c>
      <c r="B3677" s="28" t="s">
        <v>197</v>
      </c>
      <c r="C3677" s="28" t="s">
        <v>192</v>
      </c>
      <c r="D3677" s="23" t="n">
        <v>11</v>
      </c>
      <c r="E3677" s="23" t="n">
        <v>12</v>
      </c>
      <c r="F3677" s="28" t="s">
        <v>909</v>
      </c>
      <c r="G3677" s="19" t="n">
        <v>0.0515</v>
      </c>
    </row>
    <row r="3678" customFormat="false" ht="15" hidden="false" customHeight="false" outlineLevel="0" collapsed="false">
      <c r="A3678" s="28" t="s">
        <v>196</v>
      </c>
      <c r="B3678" s="28" t="s">
        <v>197</v>
      </c>
      <c r="C3678" s="28" t="s">
        <v>192</v>
      </c>
      <c r="D3678" s="23" t="n">
        <v>11</v>
      </c>
      <c r="E3678" s="23" t="n">
        <v>12</v>
      </c>
      <c r="F3678" s="28" t="s">
        <v>910</v>
      </c>
      <c r="G3678" s="19" t="n">
        <v>0.0519</v>
      </c>
    </row>
    <row r="3679" customFormat="false" ht="15" hidden="false" customHeight="false" outlineLevel="0" collapsed="false">
      <c r="A3679" s="28" t="s">
        <v>196</v>
      </c>
      <c r="B3679" s="28" t="s">
        <v>197</v>
      </c>
      <c r="C3679" s="28" t="s">
        <v>192</v>
      </c>
      <c r="D3679" s="23" t="n">
        <v>11</v>
      </c>
      <c r="E3679" s="23" t="n">
        <v>12</v>
      </c>
      <c r="F3679" s="28" t="s">
        <v>911</v>
      </c>
      <c r="G3679" s="19" t="n">
        <v>0.053</v>
      </c>
    </row>
    <row r="3680" customFormat="false" ht="15" hidden="false" customHeight="false" outlineLevel="0" collapsed="false">
      <c r="A3680" s="28" t="s">
        <v>196</v>
      </c>
      <c r="B3680" s="28" t="s">
        <v>197</v>
      </c>
      <c r="C3680" s="28" t="s">
        <v>192</v>
      </c>
      <c r="D3680" s="23" t="n">
        <v>11</v>
      </c>
      <c r="E3680" s="23" t="n">
        <v>12</v>
      </c>
      <c r="F3680" s="28" t="s">
        <v>912</v>
      </c>
      <c r="G3680" s="19" t="n">
        <v>0.0544</v>
      </c>
    </row>
    <row r="3681" customFormat="false" ht="15" hidden="false" customHeight="false" outlineLevel="0" collapsed="false">
      <c r="A3681" s="28" t="s">
        <v>196</v>
      </c>
      <c r="B3681" s="28" t="s">
        <v>197</v>
      </c>
      <c r="C3681" s="28" t="s">
        <v>192</v>
      </c>
      <c r="D3681" s="23" t="n">
        <v>11</v>
      </c>
      <c r="E3681" s="23" t="n">
        <v>12</v>
      </c>
      <c r="F3681" s="28" t="s">
        <v>913</v>
      </c>
      <c r="G3681" s="19" t="n">
        <v>0.0593</v>
      </c>
    </row>
    <row r="3682" customFormat="false" ht="15" hidden="false" customHeight="false" outlineLevel="0" collapsed="false">
      <c r="A3682" s="28" t="s">
        <v>196</v>
      </c>
      <c r="B3682" s="28" t="s">
        <v>197</v>
      </c>
      <c r="C3682" s="28" t="s">
        <v>192</v>
      </c>
      <c r="D3682" s="23" t="n">
        <v>11</v>
      </c>
      <c r="E3682" s="23" t="n">
        <v>12</v>
      </c>
      <c r="F3682" s="28" t="s">
        <v>914</v>
      </c>
      <c r="G3682" s="19" t="n">
        <v>0.0591</v>
      </c>
    </row>
    <row r="3683" customFormat="false" ht="15" hidden="false" customHeight="false" outlineLevel="0" collapsed="false">
      <c r="A3683" s="28" t="s">
        <v>196</v>
      </c>
      <c r="B3683" s="28" t="s">
        <v>197</v>
      </c>
      <c r="C3683" s="28" t="s">
        <v>192</v>
      </c>
      <c r="D3683" s="23" t="n">
        <v>11</v>
      </c>
      <c r="E3683" s="23" t="n">
        <v>12</v>
      </c>
      <c r="F3683" s="28" t="s">
        <v>915</v>
      </c>
      <c r="G3683" s="19" t="n">
        <v>0.0749</v>
      </c>
    </row>
    <row r="3684" customFormat="false" ht="15" hidden="false" customHeight="false" outlineLevel="0" collapsed="false">
      <c r="A3684" s="28" t="s">
        <v>196</v>
      </c>
      <c r="B3684" s="28" t="s">
        <v>197</v>
      </c>
      <c r="C3684" s="28" t="s">
        <v>192</v>
      </c>
      <c r="D3684" s="23" t="n">
        <v>11</v>
      </c>
      <c r="E3684" s="23" t="n">
        <v>13</v>
      </c>
      <c r="F3684" s="28" t="s">
        <v>904</v>
      </c>
      <c r="G3684" s="19" t="n">
        <v>0.0463</v>
      </c>
    </row>
    <row r="3685" customFormat="false" ht="15" hidden="false" customHeight="false" outlineLevel="0" collapsed="false">
      <c r="A3685" s="28" t="s">
        <v>196</v>
      </c>
      <c r="B3685" s="28" t="s">
        <v>197</v>
      </c>
      <c r="C3685" s="28" t="s">
        <v>192</v>
      </c>
      <c r="D3685" s="23" t="n">
        <v>11</v>
      </c>
      <c r="E3685" s="23" t="n">
        <v>13</v>
      </c>
      <c r="F3685" s="28" t="s">
        <v>551</v>
      </c>
      <c r="G3685" s="19" t="n">
        <v>0.0775</v>
      </c>
    </row>
    <row r="3686" customFormat="false" ht="15" hidden="false" customHeight="false" outlineLevel="0" collapsed="false">
      <c r="A3686" s="28" t="s">
        <v>196</v>
      </c>
      <c r="B3686" s="28" t="s">
        <v>197</v>
      </c>
      <c r="C3686" s="28" t="s">
        <v>192</v>
      </c>
      <c r="D3686" s="23" t="n">
        <v>11</v>
      </c>
      <c r="E3686" s="23" t="n">
        <v>13</v>
      </c>
      <c r="F3686" s="28" t="s">
        <v>451</v>
      </c>
      <c r="G3686" s="19" t="n">
        <v>0.0461</v>
      </c>
    </row>
    <row r="3687" customFormat="false" ht="15" hidden="false" customHeight="false" outlineLevel="0" collapsed="false">
      <c r="A3687" s="28" t="s">
        <v>196</v>
      </c>
      <c r="B3687" s="28" t="s">
        <v>197</v>
      </c>
      <c r="C3687" s="28" t="s">
        <v>192</v>
      </c>
      <c r="D3687" s="23" t="n">
        <v>11</v>
      </c>
      <c r="E3687" s="23" t="n">
        <v>13</v>
      </c>
      <c r="F3687" s="28" t="s">
        <v>905</v>
      </c>
      <c r="G3687" s="19" t="n">
        <v>0.0487</v>
      </c>
    </row>
    <row r="3688" customFormat="false" ht="15" hidden="false" customHeight="false" outlineLevel="0" collapsed="false">
      <c r="A3688" s="28" t="s">
        <v>196</v>
      </c>
      <c r="B3688" s="28" t="s">
        <v>197</v>
      </c>
      <c r="C3688" s="28" t="s">
        <v>192</v>
      </c>
      <c r="D3688" s="23" t="n">
        <v>11</v>
      </c>
      <c r="E3688" s="23" t="n">
        <v>13</v>
      </c>
      <c r="F3688" s="28" t="s">
        <v>906</v>
      </c>
      <c r="G3688" s="19" t="n">
        <v>0.0501</v>
      </c>
    </row>
    <row r="3689" customFormat="false" ht="15" hidden="false" customHeight="false" outlineLevel="0" collapsed="false">
      <c r="A3689" s="28" t="s">
        <v>196</v>
      </c>
      <c r="B3689" s="28" t="s">
        <v>197</v>
      </c>
      <c r="C3689" s="28" t="s">
        <v>192</v>
      </c>
      <c r="D3689" s="23" t="n">
        <v>11</v>
      </c>
      <c r="E3689" s="23" t="n">
        <v>13</v>
      </c>
      <c r="F3689" s="28" t="s">
        <v>907</v>
      </c>
      <c r="G3689" s="19" t="n">
        <v>0.0498</v>
      </c>
    </row>
    <row r="3690" customFormat="false" ht="15" hidden="false" customHeight="false" outlineLevel="0" collapsed="false">
      <c r="A3690" s="28" t="s">
        <v>196</v>
      </c>
      <c r="B3690" s="28" t="s">
        <v>197</v>
      </c>
      <c r="C3690" s="28" t="s">
        <v>192</v>
      </c>
      <c r="D3690" s="23" t="n">
        <v>11</v>
      </c>
      <c r="E3690" s="23" t="n">
        <v>13</v>
      </c>
      <c r="F3690" s="28" t="s">
        <v>908</v>
      </c>
      <c r="G3690" s="19" t="n">
        <v>0.0514</v>
      </c>
    </row>
    <row r="3691" customFormat="false" ht="15" hidden="false" customHeight="false" outlineLevel="0" collapsed="false">
      <c r="A3691" s="28" t="s">
        <v>196</v>
      </c>
      <c r="B3691" s="28" t="s">
        <v>197</v>
      </c>
      <c r="C3691" s="28" t="s">
        <v>192</v>
      </c>
      <c r="D3691" s="23" t="n">
        <v>11</v>
      </c>
      <c r="E3691" s="23" t="n">
        <v>13</v>
      </c>
      <c r="F3691" s="28" t="s">
        <v>909</v>
      </c>
      <c r="G3691" s="19" t="n">
        <v>0.0515</v>
      </c>
    </row>
    <row r="3692" customFormat="false" ht="15" hidden="false" customHeight="false" outlineLevel="0" collapsed="false">
      <c r="A3692" s="28" t="s">
        <v>196</v>
      </c>
      <c r="B3692" s="28" t="s">
        <v>197</v>
      </c>
      <c r="C3692" s="28" t="s">
        <v>192</v>
      </c>
      <c r="D3692" s="23" t="n">
        <v>11</v>
      </c>
      <c r="E3692" s="23" t="n">
        <v>13</v>
      </c>
      <c r="F3692" s="28" t="s">
        <v>910</v>
      </c>
      <c r="G3692" s="19" t="n">
        <v>0.0519</v>
      </c>
    </row>
    <row r="3693" customFormat="false" ht="15" hidden="false" customHeight="false" outlineLevel="0" collapsed="false">
      <c r="A3693" s="28" t="s">
        <v>196</v>
      </c>
      <c r="B3693" s="28" t="s">
        <v>197</v>
      </c>
      <c r="C3693" s="28" t="s">
        <v>192</v>
      </c>
      <c r="D3693" s="23" t="n">
        <v>11</v>
      </c>
      <c r="E3693" s="23" t="n">
        <v>13</v>
      </c>
      <c r="F3693" s="28" t="s">
        <v>911</v>
      </c>
      <c r="G3693" s="19" t="n">
        <v>0.053</v>
      </c>
    </row>
    <row r="3694" customFormat="false" ht="15" hidden="false" customHeight="false" outlineLevel="0" collapsed="false">
      <c r="A3694" s="28" t="s">
        <v>196</v>
      </c>
      <c r="B3694" s="28" t="s">
        <v>197</v>
      </c>
      <c r="C3694" s="28" t="s">
        <v>192</v>
      </c>
      <c r="D3694" s="23" t="n">
        <v>11</v>
      </c>
      <c r="E3694" s="23" t="n">
        <v>13</v>
      </c>
      <c r="F3694" s="28" t="s">
        <v>912</v>
      </c>
      <c r="G3694" s="19" t="n">
        <v>0.0544</v>
      </c>
    </row>
    <row r="3695" customFormat="false" ht="15" hidden="false" customHeight="false" outlineLevel="0" collapsed="false">
      <c r="A3695" s="28" t="s">
        <v>196</v>
      </c>
      <c r="B3695" s="28" t="s">
        <v>197</v>
      </c>
      <c r="C3695" s="28" t="s">
        <v>192</v>
      </c>
      <c r="D3695" s="23" t="n">
        <v>11</v>
      </c>
      <c r="E3695" s="23" t="n">
        <v>13</v>
      </c>
      <c r="F3695" s="28" t="s">
        <v>913</v>
      </c>
      <c r="G3695" s="19" t="n">
        <v>0.0593</v>
      </c>
    </row>
    <row r="3696" customFormat="false" ht="15" hidden="false" customHeight="false" outlineLevel="0" collapsed="false">
      <c r="A3696" s="28" t="s">
        <v>196</v>
      </c>
      <c r="B3696" s="28" t="s">
        <v>197</v>
      </c>
      <c r="C3696" s="28" t="s">
        <v>192</v>
      </c>
      <c r="D3696" s="23" t="n">
        <v>11</v>
      </c>
      <c r="E3696" s="23" t="n">
        <v>13</v>
      </c>
      <c r="F3696" s="28" t="s">
        <v>914</v>
      </c>
      <c r="G3696" s="19" t="n">
        <v>0.0591</v>
      </c>
    </row>
    <row r="3697" customFormat="false" ht="15" hidden="false" customHeight="false" outlineLevel="0" collapsed="false">
      <c r="A3697" s="28" t="s">
        <v>196</v>
      </c>
      <c r="B3697" s="28" t="s">
        <v>197</v>
      </c>
      <c r="C3697" s="28" t="s">
        <v>192</v>
      </c>
      <c r="D3697" s="23" t="n">
        <v>11</v>
      </c>
      <c r="E3697" s="23" t="n">
        <v>13</v>
      </c>
      <c r="F3697" s="28" t="s">
        <v>915</v>
      </c>
      <c r="G3697" s="19" t="n">
        <v>0.0749</v>
      </c>
    </row>
    <row r="3698" customFormat="false" ht="15" hidden="false" customHeight="false" outlineLevel="0" collapsed="false">
      <c r="A3698" s="28" t="s">
        <v>196</v>
      </c>
      <c r="B3698" s="28" t="s">
        <v>197</v>
      </c>
      <c r="C3698" s="28" t="s">
        <v>192</v>
      </c>
      <c r="D3698" s="23" t="n">
        <v>11</v>
      </c>
      <c r="E3698" s="23" t="n">
        <v>14</v>
      </c>
      <c r="F3698" s="28" t="s">
        <v>904</v>
      </c>
      <c r="G3698" s="19" t="n">
        <v>0.0463</v>
      </c>
    </row>
    <row r="3699" customFormat="false" ht="15" hidden="false" customHeight="false" outlineLevel="0" collapsed="false">
      <c r="A3699" s="28" t="s">
        <v>196</v>
      </c>
      <c r="B3699" s="28" t="s">
        <v>197</v>
      </c>
      <c r="C3699" s="28" t="s">
        <v>192</v>
      </c>
      <c r="D3699" s="23" t="n">
        <v>11</v>
      </c>
      <c r="E3699" s="23" t="n">
        <v>14</v>
      </c>
      <c r="F3699" s="28" t="s">
        <v>551</v>
      </c>
      <c r="G3699" s="19" t="n">
        <v>0.0775</v>
      </c>
    </row>
    <row r="3700" customFormat="false" ht="15" hidden="false" customHeight="false" outlineLevel="0" collapsed="false">
      <c r="A3700" s="28" t="s">
        <v>196</v>
      </c>
      <c r="B3700" s="28" t="s">
        <v>197</v>
      </c>
      <c r="C3700" s="28" t="s">
        <v>192</v>
      </c>
      <c r="D3700" s="23" t="n">
        <v>11</v>
      </c>
      <c r="E3700" s="23" t="n">
        <v>14</v>
      </c>
      <c r="F3700" s="28" t="s">
        <v>451</v>
      </c>
      <c r="G3700" s="19" t="n">
        <v>0.0461</v>
      </c>
    </row>
    <row r="3701" customFormat="false" ht="15" hidden="false" customHeight="false" outlineLevel="0" collapsed="false">
      <c r="A3701" s="28" t="s">
        <v>196</v>
      </c>
      <c r="B3701" s="28" t="s">
        <v>197</v>
      </c>
      <c r="C3701" s="28" t="s">
        <v>192</v>
      </c>
      <c r="D3701" s="23" t="n">
        <v>11</v>
      </c>
      <c r="E3701" s="23" t="n">
        <v>14</v>
      </c>
      <c r="F3701" s="28" t="s">
        <v>905</v>
      </c>
      <c r="G3701" s="19" t="n">
        <v>0.0487</v>
      </c>
    </row>
    <row r="3702" customFormat="false" ht="15" hidden="false" customHeight="false" outlineLevel="0" collapsed="false">
      <c r="A3702" s="28" t="s">
        <v>196</v>
      </c>
      <c r="B3702" s="28" t="s">
        <v>197</v>
      </c>
      <c r="C3702" s="28" t="s">
        <v>192</v>
      </c>
      <c r="D3702" s="23" t="n">
        <v>11</v>
      </c>
      <c r="E3702" s="23" t="n">
        <v>14</v>
      </c>
      <c r="F3702" s="28" t="s">
        <v>906</v>
      </c>
      <c r="G3702" s="19" t="n">
        <v>0.0501</v>
      </c>
    </row>
    <row r="3703" customFormat="false" ht="15" hidden="false" customHeight="false" outlineLevel="0" collapsed="false">
      <c r="A3703" s="28" t="s">
        <v>196</v>
      </c>
      <c r="B3703" s="28" t="s">
        <v>197</v>
      </c>
      <c r="C3703" s="28" t="s">
        <v>192</v>
      </c>
      <c r="D3703" s="23" t="n">
        <v>11</v>
      </c>
      <c r="E3703" s="23" t="n">
        <v>14</v>
      </c>
      <c r="F3703" s="28" t="s">
        <v>907</v>
      </c>
      <c r="G3703" s="19" t="n">
        <v>0.0498</v>
      </c>
    </row>
    <row r="3704" customFormat="false" ht="15" hidden="false" customHeight="false" outlineLevel="0" collapsed="false">
      <c r="A3704" s="28" t="s">
        <v>196</v>
      </c>
      <c r="B3704" s="28" t="s">
        <v>197</v>
      </c>
      <c r="C3704" s="28" t="s">
        <v>192</v>
      </c>
      <c r="D3704" s="23" t="n">
        <v>11</v>
      </c>
      <c r="E3704" s="23" t="n">
        <v>14</v>
      </c>
      <c r="F3704" s="28" t="s">
        <v>908</v>
      </c>
      <c r="G3704" s="19" t="n">
        <v>0.0514</v>
      </c>
    </row>
    <row r="3705" customFormat="false" ht="15" hidden="false" customHeight="false" outlineLevel="0" collapsed="false">
      <c r="A3705" s="28" t="s">
        <v>196</v>
      </c>
      <c r="B3705" s="28" t="s">
        <v>197</v>
      </c>
      <c r="C3705" s="28" t="s">
        <v>192</v>
      </c>
      <c r="D3705" s="23" t="n">
        <v>11</v>
      </c>
      <c r="E3705" s="23" t="n">
        <v>14</v>
      </c>
      <c r="F3705" s="28" t="s">
        <v>909</v>
      </c>
      <c r="G3705" s="19" t="n">
        <v>0.0515</v>
      </c>
    </row>
    <row r="3706" customFormat="false" ht="15" hidden="false" customHeight="false" outlineLevel="0" collapsed="false">
      <c r="A3706" s="28" t="s">
        <v>196</v>
      </c>
      <c r="B3706" s="28" t="s">
        <v>197</v>
      </c>
      <c r="C3706" s="28" t="s">
        <v>192</v>
      </c>
      <c r="D3706" s="23" t="n">
        <v>11</v>
      </c>
      <c r="E3706" s="23" t="n">
        <v>14</v>
      </c>
      <c r="F3706" s="28" t="s">
        <v>910</v>
      </c>
      <c r="G3706" s="19" t="n">
        <v>0.0519</v>
      </c>
    </row>
    <row r="3707" customFormat="false" ht="15" hidden="false" customHeight="false" outlineLevel="0" collapsed="false">
      <c r="A3707" s="28" t="s">
        <v>196</v>
      </c>
      <c r="B3707" s="28" t="s">
        <v>197</v>
      </c>
      <c r="C3707" s="28" t="s">
        <v>192</v>
      </c>
      <c r="D3707" s="23" t="n">
        <v>11</v>
      </c>
      <c r="E3707" s="23" t="n">
        <v>14</v>
      </c>
      <c r="F3707" s="28" t="s">
        <v>911</v>
      </c>
      <c r="G3707" s="19" t="n">
        <v>0.053</v>
      </c>
    </row>
    <row r="3708" customFormat="false" ht="15" hidden="false" customHeight="false" outlineLevel="0" collapsed="false">
      <c r="A3708" s="28" t="s">
        <v>196</v>
      </c>
      <c r="B3708" s="28" t="s">
        <v>197</v>
      </c>
      <c r="C3708" s="28" t="s">
        <v>192</v>
      </c>
      <c r="D3708" s="23" t="n">
        <v>11</v>
      </c>
      <c r="E3708" s="23" t="n">
        <v>14</v>
      </c>
      <c r="F3708" s="28" t="s">
        <v>912</v>
      </c>
      <c r="G3708" s="19" t="n">
        <v>0.0544</v>
      </c>
    </row>
    <row r="3709" customFormat="false" ht="15" hidden="false" customHeight="false" outlineLevel="0" collapsed="false">
      <c r="A3709" s="28" t="s">
        <v>196</v>
      </c>
      <c r="B3709" s="28" t="s">
        <v>197</v>
      </c>
      <c r="C3709" s="28" t="s">
        <v>192</v>
      </c>
      <c r="D3709" s="23" t="n">
        <v>11</v>
      </c>
      <c r="E3709" s="23" t="n">
        <v>14</v>
      </c>
      <c r="F3709" s="28" t="s">
        <v>913</v>
      </c>
      <c r="G3709" s="19" t="n">
        <v>0.0593</v>
      </c>
    </row>
    <row r="3710" customFormat="false" ht="15" hidden="false" customHeight="false" outlineLevel="0" collapsed="false">
      <c r="A3710" s="28" t="s">
        <v>196</v>
      </c>
      <c r="B3710" s="28" t="s">
        <v>197</v>
      </c>
      <c r="C3710" s="28" t="s">
        <v>192</v>
      </c>
      <c r="D3710" s="23" t="n">
        <v>11</v>
      </c>
      <c r="E3710" s="23" t="n">
        <v>14</v>
      </c>
      <c r="F3710" s="28" t="s">
        <v>914</v>
      </c>
      <c r="G3710" s="19" t="n">
        <v>0.0591</v>
      </c>
    </row>
    <row r="3711" customFormat="false" ht="15" hidden="false" customHeight="false" outlineLevel="0" collapsed="false">
      <c r="A3711" s="28" t="s">
        <v>196</v>
      </c>
      <c r="B3711" s="28" t="s">
        <v>197</v>
      </c>
      <c r="C3711" s="28" t="s">
        <v>192</v>
      </c>
      <c r="D3711" s="23" t="n">
        <v>11</v>
      </c>
      <c r="E3711" s="23" t="n">
        <v>14</v>
      </c>
      <c r="F3711" s="28" t="s">
        <v>915</v>
      </c>
      <c r="G3711" s="19" t="n">
        <v>0.0749</v>
      </c>
    </row>
    <row r="3712" customFormat="false" ht="15" hidden="false" customHeight="false" outlineLevel="0" collapsed="false">
      <c r="A3712" s="28" t="s">
        <v>196</v>
      </c>
      <c r="B3712" s="28" t="s">
        <v>197</v>
      </c>
      <c r="C3712" s="28" t="s">
        <v>192</v>
      </c>
      <c r="D3712" s="23" t="n">
        <v>11</v>
      </c>
      <c r="E3712" s="23" t="n">
        <v>15</v>
      </c>
      <c r="F3712" s="28" t="s">
        <v>904</v>
      </c>
      <c r="G3712" s="19" t="n">
        <v>0.0463</v>
      </c>
    </row>
    <row r="3713" customFormat="false" ht="15" hidden="false" customHeight="false" outlineLevel="0" collapsed="false">
      <c r="A3713" s="28" t="s">
        <v>196</v>
      </c>
      <c r="B3713" s="28" t="s">
        <v>197</v>
      </c>
      <c r="C3713" s="28" t="s">
        <v>192</v>
      </c>
      <c r="D3713" s="23" t="n">
        <v>11</v>
      </c>
      <c r="E3713" s="23" t="n">
        <v>15</v>
      </c>
      <c r="F3713" s="28" t="s">
        <v>551</v>
      </c>
      <c r="G3713" s="19" t="n">
        <v>0.0775</v>
      </c>
    </row>
    <row r="3714" customFormat="false" ht="15" hidden="false" customHeight="false" outlineLevel="0" collapsed="false">
      <c r="A3714" s="28" t="s">
        <v>196</v>
      </c>
      <c r="B3714" s="28" t="s">
        <v>197</v>
      </c>
      <c r="C3714" s="28" t="s">
        <v>192</v>
      </c>
      <c r="D3714" s="23" t="n">
        <v>11</v>
      </c>
      <c r="E3714" s="23" t="n">
        <v>15</v>
      </c>
      <c r="F3714" s="28" t="s">
        <v>451</v>
      </c>
      <c r="G3714" s="19" t="n">
        <v>0.0461</v>
      </c>
    </row>
    <row r="3715" customFormat="false" ht="15" hidden="false" customHeight="false" outlineLevel="0" collapsed="false">
      <c r="A3715" s="28" t="s">
        <v>196</v>
      </c>
      <c r="B3715" s="28" t="s">
        <v>197</v>
      </c>
      <c r="C3715" s="28" t="s">
        <v>192</v>
      </c>
      <c r="D3715" s="23" t="n">
        <v>11</v>
      </c>
      <c r="E3715" s="23" t="n">
        <v>15</v>
      </c>
      <c r="F3715" s="28" t="s">
        <v>905</v>
      </c>
      <c r="G3715" s="19" t="n">
        <v>0.0487</v>
      </c>
    </row>
    <row r="3716" customFormat="false" ht="15" hidden="false" customHeight="false" outlineLevel="0" collapsed="false">
      <c r="A3716" s="28" t="s">
        <v>196</v>
      </c>
      <c r="B3716" s="28" t="s">
        <v>197</v>
      </c>
      <c r="C3716" s="28" t="s">
        <v>192</v>
      </c>
      <c r="D3716" s="23" t="n">
        <v>11</v>
      </c>
      <c r="E3716" s="23" t="n">
        <v>15</v>
      </c>
      <c r="F3716" s="28" t="s">
        <v>906</v>
      </c>
      <c r="G3716" s="19" t="n">
        <v>0.0501</v>
      </c>
    </row>
    <row r="3717" customFormat="false" ht="15" hidden="false" customHeight="false" outlineLevel="0" collapsed="false">
      <c r="A3717" s="28" t="s">
        <v>196</v>
      </c>
      <c r="B3717" s="28" t="s">
        <v>197</v>
      </c>
      <c r="C3717" s="28" t="s">
        <v>192</v>
      </c>
      <c r="D3717" s="23" t="n">
        <v>11</v>
      </c>
      <c r="E3717" s="23" t="n">
        <v>15</v>
      </c>
      <c r="F3717" s="28" t="s">
        <v>907</v>
      </c>
      <c r="G3717" s="19" t="n">
        <v>0.0498</v>
      </c>
    </row>
    <row r="3718" customFormat="false" ht="15" hidden="false" customHeight="false" outlineLevel="0" collapsed="false">
      <c r="A3718" s="28" t="s">
        <v>196</v>
      </c>
      <c r="B3718" s="28" t="s">
        <v>197</v>
      </c>
      <c r="C3718" s="28" t="s">
        <v>192</v>
      </c>
      <c r="D3718" s="23" t="n">
        <v>11</v>
      </c>
      <c r="E3718" s="23" t="n">
        <v>15</v>
      </c>
      <c r="F3718" s="28" t="s">
        <v>908</v>
      </c>
      <c r="G3718" s="19" t="n">
        <v>0.0514</v>
      </c>
    </row>
    <row r="3719" customFormat="false" ht="15" hidden="false" customHeight="false" outlineLevel="0" collapsed="false">
      <c r="A3719" s="28" t="s">
        <v>196</v>
      </c>
      <c r="B3719" s="28" t="s">
        <v>197</v>
      </c>
      <c r="C3719" s="28" t="s">
        <v>192</v>
      </c>
      <c r="D3719" s="23" t="n">
        <v>11</v>
      </c>
      <c r="E3719" s="23" t="n">
        <v>15</v>
      </c>
      <c r="F3719" s="28" t="s">
        <v>909</v>
      </c>
      <c r="G3719" s="19" t="n">
        <v>0.0515</v>
      </c>
    </row>
    <row r="3720" customFormat="false" ht="15" hidden="false" customHeight="false" outlineLevel="0" collapsed="false">
      <c r="A3720" s="28" t="s">
        <v>196</v>
      </c>
      <c r="B3720" s="28" t="s">
        <v>197</v>
      </c>
      <c r="C3720" s="28" t="s">
        <v>192</v>
      </c>
      <c r="D3720" s="23" t="n">
        <v>11</v>
      </c>
      <c r="E3720" s="23" t="n">
        <v>15</v>
      </c>
      <c r="F3720" s="28" t="s">
        <v>910</v>
      </c>
      <c r="G3720" s="19" t="n">
        <v>0.0519</v>
      </c>
    </row>
    <row r="3721" customFormat="false" ht="15" hidden="false" customHeight="false" outlineLevel="0" collapsed="false">
      <c r="A3721" s="28" t="s">
        <v>196</v>
      </c>
      <c r="B3721" s="28" t="s">
        <v>197</v>
      </c>
      <c r="C3721" s="28" t="s">
        <v>192</v>
      </c>
      <c r="D3721" s="23" t="n">
        <v>11</v>
      </c>
      <c r="E3721" s="23" t="n">
        <v>15</v>
      </c>
      <c r="F3721" s="28" t="s">
        <v>911</v>
      </c>
      <c r="G3721" s="19" t="n">
        <v>0.053</v>
      </c>
    </row>
    <row r="3722" customFormat="false" ht="15" hidden="false" customHeight="false" outlineLevel="0" collapsed="false">
      <c r="A3722" s="28" t="s">
        <v>196</v>
      </c>
      <c r="B3722" s="28" t="s">
        <v>197</v>
      </c>
      <c r="C3722" s="28" t="s">
        <v>192</v>
      </c>
      <c r="D3722" s="23" t="n">
        <v>11</v>
      </c>
      <c r="E3722" s="23" t="n">
        <v>15</v>
      </c>
      <c r="F3722" s="28" t="s">
        <v>912</v>
      </c>
      <c r="G3722" s="19" t="n">
        <v>0.0544</v>
      </c>
    </row>
    <row r="3723" customFormat="false" ht="15" hidden="false" customHeight="false" outlineLevel="0" collapsed="false">
      <c r="A3723" s="28" t="s">
        <v>196</v>
      </c>
      <c r="B3723" s="28" t="s">
        <v>197</v>
      </c>
      <c r="C3723" s="28" t="s">
        <v>192</v>
      </c>
      <c r="D3723" s="23" t="n">
        <v>11</v>
      </c>
      <c r="E3723" s="23" t="n">
        <v>15</v>
      </c>
      <c r="F3723" s="28" t="s">
        <v>913</v>
      </c>
      <c r="G3723" s="19" t="n">
        <v>0.0593</v>
      </c>
    </row>
    <row r="3724" customFormat="false" ht="15" hidden="false" customHeight="false" outlineLevel="0" collapsed="false">
      <c r="A3724" s="28" t="s">
        <v>196</v>
      </c>
      <c r="B3724" s="28" t="s">
        <v>197</v>
      </c>
      <c r="C3724" s="28" t="s">
        <v>192</v>
      </c>
      <c r="D3724" s="23" t="n">
        <v>11</v>
      </c>
      <c r="E3724" s="23" t="n">
        <v>15</v>
      </c>
      <c r="F3724" s="28" t="s">
        <v>914</v>
      </c>
      <c r="G3724" s="19" t="n">
        <v>0.0591</v>
      </c>
    </row>
    <row r="3725" customFormat="false" ht="15" hidden="false" customHeight="false" outlineLevel="0" collapsed="false">
      <c r="A3725" s="28" t="s">
        <v>196</v>
      </c>
      <c r="B3725" s="28" t="s">
        <v>197</v>
      </c>
      <c r="C3725" s="28" t="s">
        <v>192</v>
      </c>
      <c r="D3725" s="23" t="n">
        <v>11</v>
      </c>
      <c r="E3725" s="23" t="n">
        <v>15</v>
      </c>
      <c r="F3725" s="28" t="s">
        <v>915</v>
      </c>
      <c r="G3725" s="19" t="n">
        <v>0.0749</v>
      </c>
    </row>
    <row r="3726" customFormat="false" ht="15" hidden="false" customHeight="false" outlineLevel="0" collapsed="false">
      <c r="A3726" s="28" t="s">
        <v>196</v>
      </c>
      <c r="B3726" s="28" t="s">
        <v>197</v>
      </c>
      <c r="C3726" s="28" t="s">
        <v>192</v>
      </c>
      <c r="D3726" s="23" t="n">
        <v>11</v>
      </c>
      <c r="E3726" s="23" t="n">
        <v>16</v>
      </c>
      <c r="F3726" s="28" t="s">
        <v>904</v>
      </c>
      <c r="G3726" s="19" t="n">
        <v>0.0463</v>
      </c>
    </row>
    <row r="3727" customFormat="false" ht="15" hidden="false" customHeight="false" outlineLevel="0" collapsed="false">
      <c r="A3727" s="28" t="s">
        <v>196</v>
      </c>
      <c r="B3727" s="28" t="s">
        <v>197</v>
      </c>
      <c r="C3727" s="28" t="s">
        <v>192</v>
      </c>
      <c r="D3727" s="23" t="n">
        <v>11</v>
      </c>
      <c r="E3727" s="23" t="n">
        <v>16</v>
      </c>
      <c r="F3727" s="28" t="s">
        <v>551</v>
      </c>
      <c r="G3727" s="19" t="n">
        <v>0.0775</v>
      </c>
    </row>
    <row r="3728" customFormat="false" ht="15" hidden="false" customHeight="false" outlineLevel="0" collapsed="false">
      <c r="A3728" s="28" t="s">
        <v>196</v>
      </c>
      <c r="B3728" s="28" t="s">
        <v>197</v>
      </c>
      <c r="C3728" s="28" t="s">
        <v>192</v>
      </c>
      <c r="D3728" s="23" t="n">
        <v>11</v>
      </c>
      <c r="E3728" s="23" t="n">
        <v>16</v>
      </c>
      <c r="F3728" s="28" t="s">
        <v>451</v>
      </c>
      <c r="G3728" s="19" t="n">
        <v>0.0461</v>
      </c>
    </row>
    <row r="3729" customFormat="false" ht="15" hidden="false" customHeight="false" outlineLevel="0" collapsed="false">
      <c r="A3729" s="28" t="s">
        <v>196</v>
      </c>
      <c r="B3729" s="28" t="s">
        <v>197</v>
      </c>
      <c r="C3729" s="28" t="s">
        <v>192</v>
      </c>
      <c r="D3729" s="23" t="n">
        <v>11</v>
      </c>
      <c r="E3729" s="23" t="n">
        <v>16</v>
      </c>
      <c r="F3729" s="28" t="s">
        <v>905</v>
      </c>
      <c r="G3729" s="19" t="n">
        <v>0.0487</v>
      </c>
    </row>
    <row r="3730" customFormat="false" ht="15" hidden="false" customHeight="false" outlineLevel="0" collapsed="false">
      <c r="A3730" s="28" t="s">
        <v>196</v>
      </c>
      <c r="B3730" s="28" t="s">
        <v>197</v>
      </c>
      <c r="C3730" s="28" t="s">
        <v>192</v>
      </c>
      <c r="D3730" s="23" t="n">
        <v>11</v>
      </c>
      <c r="E3730" s="23" t="n">
        <v>16</v>
      </c>
      <c r="F3730" s="28" t="s">
        <v>906</v>
      </c>
      <c r="G3730" s="19" t="n">
        <v>0.0501</v>
      </c>
    </row>
    <row r="3731" customFormat="false" ht="15" hidden="false" customHeight="false" outlineLevel="0" collapsed="false">
      <c r="A3731" s="28" t="s">
        <v>196</v>
      </c>
      <c r="B3731" s="28" t="s">
        <v>197</v>
      </c>
      <c r="C3731" s="28" t="s">
        <v>192</v>
      </c>
      <c r="D3731" s="23" t="n">
        <v>11</v>
      </c>
      <c r="E3731" s="23" t="n">
        <v>16</v>
      </c>
      <c r="F3731" s="28" t="s">
        <v>907</v>
      </c>
      <c r="G3731" s="19" t="n">
        <v>0.0498</v>
      </c>
    </row>
    <row r="3732" customFormat="false" ht="15" hidden="false" customHeight="false" outlineLevel="0" collapsed="false">
      <c r="A3732" s="28" t="s">
        <v>196</v>
      </c>
      <c r="B3732" s="28" t="s">
        <v>197</v>
      </c>
      <c r="C3732" s="28" t="s">
        <v>192</v>
      </c>
      <c r="D3732" s="23" t="n">
        <v>11</v>
      </c>
      <c r="E3732" s="23" t="n">
        <v>16</v>
      </c>
      <c r="F3732" s="28" t="s">
        <v>908</v>
      </c>
      <c r="G3732" s="19" t="n">
        <v>0.0514</v>
      </c>
    </row>
    <row r="3733" customFormat="false" ht="15" hidden="false" customHeight="false" outlineLevel="0" collapsed="false">
      <c r="A3733" s="28" t="s">
        <v>196</v>
      </c>
      <c r="B3733" s="28" t="s">
        <v>197</v>
      </c>
      <c r="C3733" s="28" t="s">
        <v>192</v>
      </c>
      <c r="D3733" s="23" t="n">
        <v>11</v>
      </c>
      <c r="E3733" s="23" t="n">
        <v>16</v>
      </c>
      <c r="F3733" s="28" t="s">
        <v>909</v>
      </c>
      <c r="G3733" s="19" t="n">
        <v>0.0515</v>
      </c>
    </row>
    <row r="3734" customFormat="false" ht="15" hidden="false" customHeight="false" outlineLevel="0" collapsed="false">
      <c r="A3734" s="28" t="s">
        <v>196</v>
      </c>
      <c r="B3734" s="28" t="s">
        <v>197</v>
      </c>
      <c r="C3734" s="28" t="s">
        <v>192</v>
      </c>
      <c r="D3734" s="23" t="n">
        <v>11</v>
      </c>
      <c r="E3734" s="23" t="n">
        <v>16</v>
      </c>
      <c r="F3734" s="28" t="s">
        <v>910</v>
      </c>
      <c r="G3734" s="19" t="n">
        <v>0.0519</v>
      </c>
    </row>
    <row r="3735" customFormat="false" ht="15" hidden="false" customHeight="false" outlineLevel="0" collapsed="false">
      <c r="A3735" s="28" t="s">
        <v>196</v>
      </c>
      <c r="B3735" s="28" t="s">
        <v>197</v>
      </c>
      <c r="C3735" s="28" t="s">
        <v>192</v>
      </c>
      <c r="D3735" s="23" t="n">
        <v>11</v>
      </c>
      <c r="E3735" s="23" t="n">
        <v>16</v>
      </c>
      <c r="F3735" s="28" t="s">
        <v>911</v>
      </c>
      <c r="G3735" s="19" t="n">
        <v>0.053</v>
      </c>
    </row>
    <row r="3736" customFormat="false" ht="15" hidden="false" customHeight="false" outlineLevel="0" collapsed="false">
      <c r="A3736" s="28" t="s">
        <v>196</v>
      </c>
      <c r="B3736" s="28" t="s">
        <v>197</v>
      </c>
      <c r="C3736" s="28" t="s">
        <v>192</v>
      </c>
      <c r="D3736" s="23" t="n">
        <v>11</v>
      </c>
      <c r="E3736" s="23" t="n">
        <v>16</v>
      </c>
      <c r="F3736" s="28" t="s">
        <v>912</v>
      </c>
      <c r="G3736" s="19" t="n">
        <v>0.0544</v>
      </c>
    </row>
    <row r="3737" customFormat="false" ht="15" hidden="false" customHeight="false" outlineLevel="0" collapsed="false">
      <c r="A3737" s="28" t="s">
        <v>196</v>
      </c>
      <c r="B3737" s="28" t="s">
        <v>197</v>
      </c>
      <c r="C3737" s="28" t="s">
        <v>192</v>
      </c>
      <c r="D3737" s="23" t="n">
        <v>11</v>
      </c>
      <c r="E3737" s="23" t="n">
        <v>16</v>
      </c>
      <c r="F3737" s="28" t="s">
        <v>913</v>
      </c>
      <c r="G3737" s="19" t="n">
        <v>0.0593</v>
      </c>
    </row>
    <row r="3738" customFormat="false" ht="15" hidden="false" customHeight="false" outlineLevel="0" collapsed="false">
      <c r="A3738" s="28" t="s">
        <v>196</v>
      </c>
      <c r="B3738" s="28" t="s">
        <v>197</v>
      </c>
      <c r="C3738" s="28" t="s">
        <v>192</v>
      </c>
      <c r="D3738" s="23" t="n">
        <v>11</v>
      </c>
      <c r="E3738" s="23" t="n">
        <v>16</v>
      </c>
      <c r="F3738" s="28" t="s">
        <v>914</v>
      </c>
      <c r="G3738" s="19" t="n">
        <v>0.0591</v>
      </c>
    </row>
    <row r="3739" customFormat="false" ht="15" hidden="false" customHeight="false" outlineLevel="0" collapsed="false">
      <c r="A3739" s="28" t="s">
        <v>196</v>
      </c>
      <c r="B3739" s="28" t="s">
        <v>197</v>
      </c>
      <c r="C3739" s="28" t="s">
        <v>192</v>
      </c>
      <c r="D3739" s="23" t="n">
        <v>11</v>
      </c>
      <c r="E3739" s="23" t="n">
        <v>16</v>
      </c>
      <c r="F3739" s="28" t="s">
        <v>915</v>
      </c>
      <c r="G3739" s="19" t="n">
        <v>0.0749</v>
      </c>
    </row>
    <row r="3740" customFormat="false" ht="15" hidden="false" customHeight="false" outlineLevel="0" collapsed="false">
      <c r="A3740" s="28" t="s">
        <v>196</v>
      </c>
      <c r="B3740" s="28" t="s">
        <v>197</v>
      </c>
      <c r="C3740" s="28" t="s">
        <v>192</v>
      </c>
      <c r="D3740" s="23" t="n">
        <v>11</v>
      </c>
      <c r="E3740" s="23" t="n">
        <v>17</v>
      </c>
      <c r="F3740" s="28" t="s">
        <v>904</v>
      </c>
      <c r="G3740" s="19" t="n">
        <v>0.0463</v>
      </c>
    </row>
    <row r="3741" customFormat="false" ht="15" hidden="false" customHeight="false" outlineLevel="0" collapsed="false">
      <c r="A3741" s="28" t="s">
        <v>196</v>
      </c>
      <c r="B3741" s="28" t="s">
        <v>197</v>
      </c>
      <c r="C3741" s="28" t="s">
        <v>192</v>
      </c>
      <c r="D3741" s="23" t="n">
        <v>11</v>
      </c>
      <c r="E3741" s="23" t="n">
        <v>17</v>
      </c>
      <c r="F3741" s="28" t="s">
        <v>551</v>
      </c>
      <c r="G3741" s="19" t="n">
        <v>0.0775</v>
      </c>
    </row>
    <row r="3742" customFormat="false" ht="15" hidden="false" customHeight="false" outlineLevel="0" collapsed="false">
      <c r="A3742" s="28" t="s">
        <v>196</v>
      </c>
      <c r="B3742" s="28" t="s">
        <v>197</v>
      </c>
      <c r="C3742" s="28" t="s">
        <v>192</v>
      </c>
      <c r="D3742" s="23" t="n">
        <v>11</v>
      </c>
      <c r="E3742" s="23" t="n">
        <v>17</v>
      </c>
      <c r="F3742" s="28" t="s">
        <v>451</v>
      </c>
      <c r="G3742" s="19" t="n">
        <v>0.0461</v>
      </c>
    </row>
    <row r="3743" customFormat="false" ht="15" hidden="false" customHeight="false" outlineLevel="0" collapsed="false">
      <c r="A3743" s="28" t="s">
        <v>196</v>
      </c>
      <c r="B3743" s="28" t="s">
        <v>197</v>
      </c>
      <c r="C3743" s="28" t="s">
        <v>192</v>
      </c>
      <c r="D3743" s="23" t="n">
        <v>11</v>
      </c>
      <c r="E3743" s="23" t="n">
        <v>17</v>
      </c>
      <c r="F3743" s="28" t="s">
        <v>905</v>
      </c>
      <c r="G3743" s="19" t="n">
        <v>0.0487</v>
      </c>
    </row>
    <row r="3744" customFormat="false" ht="15" hidden="false" customHeight="false" outlineLevel="0" collapsed="false">
      <c r="A3744" s="28" t="s">
        <v>196</v>
      </c>
      <c r="B3744" s="28" t="s">
        <v>197</v>
      </c>
      <c r="C3744" s="28" t="s">
        <v>192</v>
      </c>
      <c r="D3744" s="23" t="n">
        <v>11</v>
      </c>
      <c r="E3744" s="23" t="n">
        <v>17</v>
      </c>
      <c r="F3744" s="28" t="s">
        <v>906</v>
      </c>
      <c r="G3744" s="19" t="n">
        <v>0.0501</v>
      </c>
    </row>
    <row r="3745" customFormat="false" ht="15" hidden="false" customHeight="false" outlineLevel="0" collapsed="false">
      <c r="A3745" s="28" t="s">
        <v>196</v>
      </c>
      <c r="B3745" s="28" t="s">
        <v>197</v>
      </c>
      <c r="C3745" s="28" t="s">
        <v>192</v>
      </c>
      <c r="D3745" s="23" t="n">
        <v>11</v>
      </c>
      <c r="E3745" s="23" t="n">
        <v>17</v>
      </c>
      <c r="F3745" s="28" t="s">
        <v>907</v>
      </c>
      <c r="G3745" s="19" t="n">
        <v>0.0498</v>
      </c>
    </row>
    <row r="3746" customFormat="false" ht="15" hidden="false" customHeight="false" outlineLevel="0" collapsed="false">
      <c r="A3746" s="28" t="s">
        <v>196</v>
      </c>
      <c r="B3746" s="28" t="s">
        <v>197</v>
      </c>
      <c r="C3746" s="28" t="s">
        <v>192</v>
      </c>
      <c r="D3746" s="23" t="n">
        <v>11</v>
      </c>
      <c r="E3746" s="23" t="n">
        <v>17</v>
      </c>
      <c r="F3746" s="28" t="s">
        <v>908</v>
      </c>
      <c r="G3746" s="19" t="n">
        <v>0.0514</v>
      </c>
    </row>
    <row r="3747" customFormat="false" ht="15" hidden="false" customHeight="false" outlineLevel="0" collapsed="false">
      <c r="A3747" s="28" t="s">
        <v>196</v>
      </c>
      <c r="B3747" s="28" t="s">
        <v>197</v>
      </c>
      <c r="C3747" s="28" t="s">
        <v>192</v>
      </c>
      <c r="D3747" s="23" t="n">
        <v>11</v>
      </c>
      <c r="E3747" s="23" t="n">
        <v>17</v>
      </c>
      <c r="F3747" s="28" t="s">
        <v>909</v>
      </c>
      <c r="G3747" s="19" t="n">
        <v>0.0515</v>
      </c>
    </row>
    <row r="3748" customFormat="false" ht="15" hidden="false" customHeight="false" outlineLevel="0" collapsed="false">
      <c r="A3748" s="28" t="s">
        <v>196</v>
      </c>
      <c r="B3748" s="28" t="s">
        <v>197</v>
      </c>
      <c r="C3748" s="28" t="s">
        <v>192</v>
      </c>
      <c r="D3748" s="23" t="n">
        <v>11</v>
      </c>
      <c r="E3748" s="23" t="n">
        <v>17</v>
      </c>
      <c r="F3748" s="28" t="s">
        <v>910</v>
      </c>
      <c r="G3748" s="19" t="n">
        <v>0.0519</v>
      </c>
    </row>
    <row r="3749" customFormat="false" ht="15" hidden="false" customHeight="false" outlineLevel="0" collapsed="false">
      <c r="A3749" s="28" t="s">
        <v>196</v>
      </c>
      <c r="B3749" s="28" t="s">
        <v>197</v>
      </c>
      <c r="C3749" s="28" t="s">
        <v>192</v>
      </c>
      <c r="D3749" s="23" t="n">
        <v>11</v>
      </c>
      <c r="E3749" s="23" t="n">
        <v>17</v>
      </c>
      <c r="F3749" s="28" t="s">
        <v>911</v>
      </c>
      <c r="G3749" s="19" t="n">
        <v>0.053</v>
      </c>
    </row>
    <row r="3750" customFormat="false" ht="15" hidden="false" customHeight="false" outlineLevel="0" collapsed="false">
      <c r="A3750" s="28" t="s">
        <v>196</v>
      </c>
      <c r="B3750" s="28" t="s">
        <v>197</v>
      </c>
      <c r="C3750" s="28" t="s">
        <v>192</v>
      </c>
      <c r="D3750" s="23" t="n">
        <v>11</v>
      </c>
      <c r="E3750" s="23" t="n">
        <v>17</v>
      </c>
      <c r="F3750" s="28" t="s">
        <v>912</v>
      </c>
      <c r="G3750" s="19" t="n">
        <v>0.0544</v>
      </c>
    </row>
    <row r="3751" customFormat="false" ht="15" hidden="false" customHeight="false" outlineLevel="0" collapsed="false">
      <c r="A3751" s="28" t="s">
        <v>196</v>
      </c>
      <c r="B3751" s="28" t="s">
        <v>197</v>
      </c>
      <c r="C3751" s="28" t="s">
        <v>192</v>
      </c>
      <c r="D3751" s="23" t="n">
        <v>11</v>
      </c>
      <c r="E3751" s="23" t="n">
        <v>17</v>
      </c>
      <c r="F3751" s="28" t="s">
        <v>913</v>
      </c>
      <c r="G3751" s="19" t="n">
        <v>0.0593</v>
      </c>
    </row>
    <row r="3752" customFormat="false" ht="15" hidden="false" customHeight="false" outlineLevel="0" collapsed="false">
      <c r="A3752" s="28" t="s">
        <v>196</v>
      </c>
      <c r="B3752" s="28" t="s">
        <v>197</v>
      </c>
      <c r="C3752" s="28" t="s">
        <v>192</v>
      </c>
      <c r="D3752" s="23" t="n">
        <v>11</v>
      </c>
      <c r="E3752" s="23" t="n">
        <v>17</v>
      </c>
      <c r="F3752" s="28" t="s">
        <v>914</v>
      </c>
      <c r="G3752" s="19" t="n">
        <v>0.0591</v>
      </c>
    </row>
    <row r="3753" customFormat="false" ht="15" hidden="false" customHeight="false" outlineLevel="0" collapsed="false">
      <c r="A3753" s="28" t="s">
        <v>196</v>
      </c>
      <c r="B3753" s="28" t="s">
        <v>197</v>
      </c>
      <c r="C3753" s="28" t="s">
        <v>192</v>
      </c>
      <c r="D3753" s="23" t="n">
        <v>11</v>
      </c>
      <c r="E3753" s="23" t="n">
        <v>17</v>
      </c>
      <c r="F3753" s="28" t="s">
        <v>915</v>
      </c>
      <c r="G3753" s="19" t="n">
        <v>0.0749</v>
      </c>
    </row>
    <row r="3754" customFormat="false" ht="15" hidden="false" customHeight="false" outlineLevel="0" collapsed="false">
      <c r="A3754" s="28" t="s">
        <v>196</v>
      </c>
      <c r="B3754" s="28" t="s">
        <v>197</v>
      </c>
      <c r="C3754" s="28" t="s">
        <v>192</v>
      </c>
      <c r="D3754" s="23" t="n">
        <v>11</v>
      </c>
      <c r="E3754" s="23" t="n">
        <v>18</v>
      </c>
      <c r="F3754" s="28" t="s">
        <v>904</v>
      </c>
      <c r="G3754" s="19" t="n">
        <v>0.0463</v>
      </c>
    </row>
    <row r="3755" customFormat="false" ht="15" hidden="false" customHeight="false" outlineLevel="0" collapsed="false">
      <c r="A3755" s="28" t="s">
        <v>196</v>
      </c>
      <c r="B3755" s="28" t="s">
        <v>197</v>
      </c>
      <c r="C3755" s="28" t="s">
        <v>192</v>
      </c>
      <c r="D3755" s="23" t="n">
        <v>11</v>
      </c>
      <c r="E3755" s="23" t="n">
        <v>18</v>
      </c>
      <c r="F3755" s="28" t="s">
        <v>551</v>
      </c>
      <c r="G3755" s="19" t="n">
        <v>0.0775</v>
      </c>
    </row>
    <row r="3756" customFormat="false" ht="15" hidden="false" customHeight="false" outlineLevel="0" collapsed="false">
      <c r="A3756" s="28" t="s">
        <v>196</v>
      </c>
      <c r="B3756" s="28" t="s">
        <v>197</v>
      </c>
      <c r="C3756" s="28" t="s">
        <v>192</v>
      </c>
      <c r="D3756" s="23" t="n">
        <v>11</v>
      </c>
      <c r="E3756" s="23" t="n">
        <v>18</v>
      </c>
      <c r="F3756" s="28" t="s">
        <v>451</v>
      </c>
      <c r="G3756" s="19" t="n">
        <v>0.0461</v>
      </c>
    </row>
    <row r="3757" customFormat="false" ht="15" hidden="false" customHeight="false" outlineLevel="0" collapsed="false">
      <c r="A3757" s="28" t="s">
        <v>196</v>
      </c>
      <c r="B3757" s="28" t="s">
        <v>197</v>
      </c>
      <c r="C3757" s="28" t="s">
        <v>192</v>
      </c>
      <c r="D3757" s="23" t="n">
        <v>11</v>
      </c>
      <c r="E3757" s="23" t="n">
        <v>18</v>
      </c>
      <c r="F3757" s="28" t="s">
        <v>905</v>
      </c>
      <c r="G3757" s="19" t="n">
        <v>0.0487</v>
      </c>
    </row>
    <row r="3758" customFormat="false" ht="15" hidden="false" customHeight="false" outlineLevel="0" collapsed="false">
      <c r="A3758" s="28" t="s">
        <v>196</v>
      </c>
      <c r="B3758" s="28" t="s">
        <v>197</v>
      </c>
      <c r="C3758" s="28" t="s">
        <v>192</v>
      </c>
      <c r="D3758" s="23" t="n">
        <v>11</v>
      </c>
      <c r="E3758" s="23" t="n">
        <v>18</v>
      </c>
      <c r="F3758" s="28" t="s">
        <v>906</v>
      </c>
      <c r="G3758" s="19" t="n">
        <v>0.0501</v>
      </c>
    </row>
    <row r="3759" customFormat="false" ht="15" hidden="false" customHeight="false" outlineLevel="0" collapsed="false">
      <c r="A3759" s="28" t="s">
        <v>196</v>
      </c>
      <c r="B3759" s="28" t="s">
        <v>197</v>
      </c>
      <c r="C3759" s="28" t="s">
        <v>192</v>
      </c>
      <c r="D3759" s="23" t="n">
        <v>11</v>
      </c>
      <c r="E3759" s="23" t="n">
        <v>18</v>
      </c>
      <c r="F3759" s="28" t="s">
        <v>907</v>
      </c>
      <c r="G3759" s="19" t="n">
        <v>0.0498</v>
      </c>
    </row>
    <row r="3760" customFormat="false" ht="15" hidden="false" customHeight="false" outlineLevel="0" collapsed="false">
      <c r="A3760" s="28" t="s">
        <v>196</v>
      </c>
      <c r="B3760" s="28" t="s">
        <v>197</v>
      </c>
      <c r="C3760" s="28" t="s">
        <v>192</v>
      </c>
      <c r="D3760" s="23" t="n">
        <v>11</v>
      </c>
      <c r="E3760" s="23" t="n">
        <v>18</v>
      </c>
      <c r="F3760" s="28" t="s">
        <v>908</v>
      </c>
      <c r="G3760" s="19" t="n">
        <v>0.0514</v>
      </c>
    </row>
    <row r="3761" customFormat="false" ht="15" hidden="false" customHeight="false" outlineLevel="0" collapsed="false">
      <c r="A3761" s="28" t="s">
        <v>196</v>
      </c>
      <c r="B3761" s="28" t="s">
        <v>197</v>
      </c>
      <c r="C3761" s="28" t="s">
        <v>192</v>
      </c>
      <c r="D3761" s="23" t="n">
        <v>11</v>
      </c>
      <c r="E3761" s="23" t="n">
        <v>18</v>
      </c>
      <c r="F3761" s="28" t="s">
        <v>909</v>
      </c>
      <c r="G3761" s="19" t="n">
        <v>0.0515</v>
      </c>
    </row>
    <row r="3762" customFormat="false" ht="15" hidden="false" customHeight="false" outlineLevel="0" collapsed="false">
      <c r="A3762" s="28" t="s">
        <v>196</v>
      </c>
      <c r="B3762" s="28" t="s">
        <v>197</v>
      </c>
      <c r="C3762" s="28" t="s">
        <v>192</v>
      </c>
      <c r="D3762" s="23" t="n">
        <v>11</v>
      </c>
      <c r="E3762" s="23" t="n">
        <v>18</v>
      </c>
      <c r="F3762" s="28" t="s">
        <v>910</v>
      </c>
      <c r="G3762" s="19" t="n">
        <v>0.0519</v>
      </c>
    </row>
    <row r="3763" customFormat="false" ht="15" hidden="false" customHeight="false" outlineLevel="0" collapsed="false">
      <c r="A3763" s="28" t="s">
        <v>196</v>
      </c>
      <c r="B3763" s="28" t="s">
        <v>197</v>
      </c>
      <c r="C3763" s="28" t="s">
        <v>192</v>
      </c>
      <c r="D3763" s="23" t="n">
        <v>11</v>
      </c>
      <c r="E3763" s="23" t="n">
        <v>18</v>
      </c>
      <c r="F3763" s="28" t="s">
        <v>911</v>
      </c>
      <c r="G3763" s="19" t="n">
        <v>0.053</v>
      </c>
    </row>
    <row r="3764" customFormat="false" ht="15" hidden="false" customHeight="false" outlineLevel="0" collapsed="false">
      <c r="A3764" s="28" t="s">
        <v>196</v>
      </c>
      <c r="B3764" s="28" t="s">
        <v>197</v>
      </c>
      <c r="C3764" s="28" t="s">
        <v>192</v>
      </c>
      <c r="D3764" s="23" t="n">
        <v>11</v>
      </c>
      <c r="E3764" s="23" t="n">
        <v>18</v>
      </c>
      <c r="F3764" s="28" t="s">
        <v>912</v>
      </c>
      <c r="G3764" s="19" t="n">
        <v>0.0544</v>
      </c>
    </row>
    <row r="3765" customFormat="false" ht="15" hidden="false" customHeight="false" outlineLevel="0" collapsed="false">
      <c r="A3765" s="28" t="s">
        <v>196</v>
      </c>
      <c r="B3765" s="28" t="s">
        <v>197</v>
      </c>
      <c r="C3765" s="28" t="s">
        <v>192</v>
      </c>
      <c r="D3765" s="23" t="n">
        <v>11</v>
      </c>
      <c r="E3765" s="23" t="n">
        <v>18</v>
      </c>
      <c r="F3765" s="28" t="s">
        <v>913</v>
      </c>
      <c r="G3765" s="19" t="n">
        <v>0.0593</v>
      </c>
    </row>
    <row r="3766" customFormat="false" ht="15" hidden="false" customHeight="false" outlineLevel="0" collapsed="false">
      <c r="A3766" s="28" t="s">
        <v>196</v>
      </c>
      <c r="B3766" s="28" t="s">
        <v>197</v>
      </c>
      <c r="C3766" s="28" t="s">
        <v>192</v>
      </c>
      <c r="D3766" s="23" t="n">
        <v>11</v>
      </c>
      <c r="E3766" s="23" t="n">
        <v>18</v>
      </c>
      <c r="F3766" s="28" t="s">
        <v>914</v>
      </c>
      <c r="G3766" s="19" t="n">
        <v>0.0591</v>
      </c>
    </row>
    <row r="3767" customFormat="false" ht="15" hidden="false" customHeight="false" outlineLevel="0" collapsed="false">
      <c r="A3767" s="28" t="s">
        <v>196</v>
      </c>
      <c r="B3767" s="28" t="s">
        <v>197</v>
      </c>
      <c r="C3767" s="28" t="s">
        <v>192</v>
      </c>
      <c r="D3767" s="23" t="n">
        <v>11</v>
      </c>
      <c r="E3767" s="23" t="n">
        <v>18</v>
      </c>
      <c r="F3767" s="28" t="s">
        <v>915</v>
      </c>
      <c r="G3767" s="19" t="n">
        <v>0.0749</v>
      </c>
    </row>
    <row r="3768" customFormat="false" ht="15" hidden="false" customHeight="false" outlineLevel="0" collapsed="false">
      <c r="A3768" s="28" t="s">
        <v>196</v>
      </c>
      <c r="B3768" s="28" t="s">
        <v>197</v>
      </c>
      <c r="C3768" s="28" t="s">
        <v>192</v>
      </c>
      <c r="D3768" s="23" t="n">
        <v>11</v>
      </c>
      <c r="E3768" s="23" t="n">
        <v>19</v>
      </c>
      <c r="F3768" s="28" t="s">
        <v>904</v>
      </c>
      <c r="G3768" s="19" t="n">
        <v>0.0463</v>
      </c>
    </row>
    <row r="3769" customFormat="false" ht="15" hidden="false" customHeight="false" outlineLevel="0" collapsed="false">
      <c r="A3769" s="28" t="s">
        <v>196</v>
      </c>
      <c r="B3769" s="28" t="s">
        <v>197</v>
      </c>
      <c r="C3769" s="28" t="s">
        <v>192</v>
      </c>
      <c r="D3769" s="23" t="n">
        <v>11</v>
      </c>
      <c r="E3769" s="23" t="n">
        <v>19</v>
      </c>
      <c r="F3769" s="28" t="s">
        <v>551</v>
      </c>
      <c r="G3769" s="19" t="n">
        <v>0.0775</v>
      </c>
    </row>
    <row r="3770" customFormat="false" ht="15" hidden="false" customHeight="false" outlineLevel="0" collapsed="false">
      <c r="A3770" s="28" t="s">
        <v>196</v>
      </c>
      <c r="B3770" s="28" t="s">
        <v>197</v>
      </c>
      <c r="C3770" s="28" t="s">
        <v>192</v>
      </c>
      <c r="D3770" s="23" t="n">
        <v>11</v>
      </c>
      <c r="E3770" s="23" t="n">
        <v>19</v>
      </c>
      <c r="F3770" s="28" t="s">
        <v>451</v>
      </c>
      <c r="G3770" s="19" t="n">
        <v>0.0461</v>
      </c>
    </row>
    <row r="3771" customFormat="false" ht="15" hidden="false" customHeight="false" outlineLevel="0" collapsed="false">
      <c r="A3771" s="28" t="s">
        <v>196</v>
      </c>
      <c r="B3771" s="28" t="s">
        <v>197</v>
      </c>
      <c r="C3771" s="28" t="s">
        <v>192</v>
      </c>
      <c r="D3771" s="23" t="n">
        <v>11</v>
      </c>
      <c r="E3771" s="23" t="n">
        <v>19</v>
      </c>
      <c r="F3771" s="28" t="s">
        <v>905</v>
      </c>
      <c r="G3771" s="19" t="n">
        <v>0.0487</v>
      </c>
    </row>
    <row r="3772" customFormat="false" ht="15" hidden="false" customHeight="false" outlineLevel="0" collapsed="false">
      <c r="A3772" s="28" t="s">
        <v>196</v>
      </c>
      <c r="B3772" s="28" t="s">
        <v>197</v>
      </c>
      <c r="C3772" s="28" t="s">
        <v>192</v>
      </c>
      <c r="D3772" s="23" t="n">
        <v>11</v>
      </c>
      <c r="E3772" s="23" t="n">
        <v>19</v>
      </c>
      <c r="F3772" s="28" t="s">
        <v>906</v>
      </c>
      <c r="G3772" s="19" t="n">
        <v>0.0501</v>
      </c>
    </row>
    <row r="3773" customFormat="false" ht="15" hidden="false" customHeight="false" outlineLevel="0" collapsed="false">
      <c r="A3773" s="28" t="s">
        <v>196</v>
      </c>
      <c r="B3773" s="28" t="s">
        <v>197</v>
      </c>
      <c r="C3773" s="28" t="s">
        <v>192</v>
      </c>
      <c r="D3773" s="23" t="n">
        <v>11</v>
      </c>
      <c r="E3773" s="23" t="n">
        <v>19</v>
      </c>
      <c r="F3773" s="28" t="s">
        <v>907</v>
      </c>
      <c r="G3773" s="19" t="n">
        <v>0.0498</v>
      </c>
    </row>
    <row r="3774" customFormat="false" ht="15" hidden="false" customHeight="false" outlineLevel="0" collapsed="false">
      <c r="A3774" s="28" t="s">
        <v>196</v>
      </c>
      <c r="B3774" s="28" t="s">
        <v>197</v>
      </c>
      <c r="C3774" s="28" t="s">
        <v>192</v>
      </c>
      <c r="D3774" s="23" t="n">
        <v>11</v>
      </c>
      <c r="E3774" s="23" t="n">
        <v>19</v>
      </c>
      <c r="F3774" s="28" t="s">
        <v>908</v>
      </c>
      <c r="G3774" s="19" t="n">
        <v>0.0514</v>
      </c>
    </row>
    <row r="3775" customFormat="false" ht="15" hidden="false" customHeight="false" outlineLevel="0" collapsed="false">
      <c r="A3775" s="28" t="s">
        <v>196</v>
      </c>
      <c r="B3775" s="28" t="s">
        <v>197</v>
      </c>
      <c r="C3775" s="28" t="s">
        <v>192</v>
      </c>
      <c r="D3775" s="23" t="n">
        <v>11</v>
      </c>
      <c r="E3775" s="23" t="n">
        <v>19</v>
      </c>
      <c r="F3775" s="28" t="s">
        <v>909</v>
      </c>
      <c r="G3775" s="19" t="n">
        <v>0.0515</v>
      </c>
    </row>
    <row r="3776" customFormat="false" ht="15" hidden="false" customHeight="false" outlineLevel="0" collapsed="false">
      <c r="A3776" s="28" t="s">
        <v>196</v>
      </c>
      <c r="B3776" s="28" t="s">
        <v>197</v>
      </c>
      <c r="C3776" s="28" t="s">
        <v>192</v>
      </c>
      <c r="D3776" s="23" t="n">
        <v>11</v>
      </c>
      <c r="E3776" s="23" t="n">
        <v>19</v>
      </c>
      <c r="F3776" s="28" t="s">
        <v>910</v>
      </c>
      <c r="G3776" s="19" t="n">
        <v>0.0519</v>
      </c>
    </row>
    <row r="3777" customFormat="false" ht="15" hidden="false" customHeight="false" outlineLevel="0" collapsed="false">
      <c r="A3777" s="28" t="s">
        <v>196</v>
      </c>
      <c r="B3777" s="28" t="s">
        <v>197</v>
      </c>
      <c r="C3777" s="28" t="s">
        <v>192</v>
      </c>
      <c r="D3777" s="23" t="n">
        <v>11</v>
      </c>
      <c r="E3777" s="23" t="n">
        <v>19</v>
      </c>
      <c r="F3777" s="28" t="s">
        <v>911</v>
      </c>
      <c r="G3777" s="19" t="n">
        <v>0.053</v>
      </c>
    </row>
    <row r="3778" customFormat="false" ht="15" hidden="false" customHeight="false" outlineLevel="0" collapsed="false">
      <c r="A3778" s="28" t="s">
        <v>196</v>
      </c>
      <c r="B3778" s="28" t="s">
        <v>197</v>
      </c>
      <c r="C3778" s="28" t="s">
        <v>192</v>
      </c>
      <c r="D3778" s="23" t="n">
        <v>11</v>
      </c>
      <c r="E3778" s="23" t="n">
        <v>19</v>
      </c>
      <c r="F3778" s="28" t="s">
        <v>912</v>
      </c>
      <c r="G3778" s="19" t="n">
        <v>0.0544</v>
      </c>
    </row>
    <row r="3779" customFormat="false" ht="15" hidden="false" customHeight="false" outlineLevel="0" collapsed="false">
      <c r="A3779" s="28" t="s">
        <v>196</v>
      </c>
      <c r="B3779" s="28" t="s">
        <v>197</v>
      </c>
      <c r="C3779" s="28" t="s">
        <v>192</v>
      </c>
      <c r="D3779" s="23" t="n">
        <v>11</v>
      </c>
      <c r="E3779" s="23" t="n">
        <v>19</v>
      </c>
      <c r="F3779" s="28" t="s">
        <v>913</v>
      </c>
      <c r="G3779" s="19" t="n">
        <v>0.0593</v>
      </c>
    </row>
    <row r="3780" customFormat="false" ht="15" hidden="false" customHeight="false" outlineLevel="0" collapsed="false">
      <c r="A3780" s="28" t="s">
        <v>196</v>
      </c>
      <c r="B3780" s="28" t="s">
        <v>197</v>
      </c>
      <c r="C3780" s="28" t="s">
        <v>192</v>
      </c>
      <c r="D3780" s="23" t="n">
        <v>11</v>
      </c>
      <c r="E3780" s="23" t="n">
        <v>19</v>
      </c>
      <c r="F3780" s="28" t="s">
        <v>914</v>
      </c>
      <c r="G3780" s="19" t="n">
        <v>0.0591</v>
      </c>
    </row>
    <row r="3781" customFormat="false" ht="15" hidden="false" customHeight="false" outlineLevel="0" collapsed="false">
      <c r="A3781" s="28" t="s">
        <v>196</v>
      </c>
      <c r="B3781" s="28" t="s">
        <v>197</v>
      </c>
      <c r="C3781" s="28" t="s">
        <v>192</v>
      </c>
      <c r="D3781" s="23" t="n">
        <v>11</v>
      </c>
      <c r="E3781" s="23" t="n">
        <v>19</v>
      </c>
      <c r="F3781" s="28" t="s">
        <v>915</v>
      </c>
      <c r="G3781" s="19" t="n">
        <v>0.0749</v>
      </c>
    </row>
    <row r="3782" customFormat="false" ht="15" hidden="false" customHeight="false" outlineLevel="0" collapsed="false">
      <c r="A3782" s="28" t="s">
        <v>196</v>
      </c>
      <c r="B3782" s="28" t="s">
        <v>197</v>
      </c>
      <c r="C3782" s="28" t="s">
        <v>192</v>
      </c>
      <c r="D3782" s="23" t="n">
        <v>11</v>
      </c>
      <c r="E3782" s="23" t="n">
        <v>20</v>
      </c>
      <c r="F3782" s="28" t="s">
        <v>904</v>
      </c>
      <c r="G3782" s="19" t="n">
        <v>0.0463</v>
      </c>
    </row>
    <row r="3783" customFormat="false" ht="15" hidden="false" customHeight="false" outlineLevel="0" collapsed="false">
      <c r="A3783" s="28" t="s">
        <v>196</v>
      </c>
      <c r="B3783" s="28" t="s">
        <v>197</v>
      </c>
      <c r="C3783" s="28" t="s">
        <v>192</v>
      </c>
      <c r="D3783" s="23" t="n">
        <v>11</v>
      </c>
      <c r="E3783" s="23" t="n">
        <v>20</v>
      </c>
      <c r="F3783" s="28" t="s">
        <v>551</v>
      </c>
      <c r="G3783" s="19" t="n">
        <v>0.0775</v>
      </c>
    </row>
    <row r="3784" customFormat="false" ht="15" hidden="false" customHeight="false" outlineLevel="0" collapsed="false">
      <c r="A3784" s="28" t="s">
        <v>196</v>
      </c>
      <c r="B3784" s="28" t="s">
        <v>197</v>
      </c>
      <c r="C3784" s="28" t="s">
        <v>192</v>
      </c>
      <c r="D3784" s="23" t="n">
        <v>11</v>
      </c>
      <c r="E3784" s="23" t="n">
        <v>20</v>
      </c>
      <c r="F3784" s="28" t="s">
        <v>451</v>
      </c>
      <c r="G3784" s="19" t="n">
        <v>0.0461</v>
      </c>
    </row>
    <row r="3785" customFormat="false" ht="15" hidden="false" customHeight="false" outlineLevel="0" collapsed="false">
      <c r="A3785" s="28" t="s">
        <v>196</v>
      </c>
      <c r="B3785" s="28" t="s">
        <v>197</v>
      </c>
      <c r="C3785" s="28" t="s">
        <v>192</v>
      </c>
      <c r="D3785" s="23" t="n">
        <v>11</v>
      </c>
      <c r="E3785" s="23" t="n">
        <v>20</v>
      </c>
      <c r="F3785" s="28" t="s">
        <v>905</v>
      </c>
      <c r="G3785" s="19" t="n">
        <v>0.0487</v>
      </c>
    </row>
    <row r="3786" customFormat="false" ht="15" hidden="false" customHeight="false" outlineLevel="0" collapsed="false">
      <c r="A3786" s="28" t="s">
        <v>196</v>
      </c>
      <c r="B3786" s="28" t="s">
        <v>197</v>
      </c>
      <c r="C3786" s="28" t="s">
        <v>192</v>
      </c>
      <c r="D3786" s="23" t="n">
        <v>11</v>
      </c>
      <c r="E3786" s="23" t="n">
        <v>20</v>
      </c>
      <c r="F3786" s="28" t="s">
        <v>906</v>
      </c>
      <c r="G3786" s="19" t="n">
        <v>0.0501</v>
      </c>
    </row>
    <row r="3787" customFormat="false" ht="15" hidden="false" customHeight="false" outlineLevel="0" collapsed="false">
      <c r="A3787" s="28" t="s">
        <v>196</v>
      </c>
      <c r="B3787" s="28" t="s">
        <v>197</v>
      </c>
      <c r="C3787" s="28" t="s">
        <v>192</v>
      </c>
      <c r="D3787" s="23" t="n">
        <v>11</v>
      </c>
      <c r="E3787" s="23" t="n">
        <v>20</v>
      </c>
      <c r="F3787" s="28" t="s">
        <v>907</v>
      </c>
      <c r="G3787" s="19" t="n">
        <v>0.0498</v>
      </c>
    </row>
    <row r="3788" customFormat="false" ht="15" hidden="false" customHeight="false" outlineLevel="0" collapsed="false">
      <c r="A3788" s="28" t="s">
        <v>196</v>
      </c>
      <c r="B3788" s="28" t="s">
        <v>197</v>
      </c>
      <c r="C3788" s="28" t="s">
        <v>192</v>
      </c>
      <c r="D3788" s="23" t="n">
        <v>11</v>
      </c>
      <c r="E3788" s="23" t="n">
        <v>20</v>
      </c>
      <c r="F3788" s="28" t="s">
        <v>908</v>
      </c>
      <c r="G3788" s="19" t="n">
        <v>0.0514</v>
      </c>
    </row>
    <row r="3789" customFormat="false" ht="15" hidden="false" customHeight="false" outlineLevel="0" collapsed="false">
      <c r="A3789" s="28" t="s">
        <v>196</v>
      </c>
      <c r="B3789" s="28" t="s">
        <v>197</v>
      </c>
      <c r="C3789" s="28" t="s">
        <v>192</v>
      </c>
      <c r="D3789" s="23" t="n">
        <v>11</v>
      </c>
      <c r="E3789" s="23" t="n">
        <v>20</v>
      </c>
      <c r="F3789" s="28" t="s">
        <v>909</v>
      </c>
      <c r="G3789" s="19" t="n">
        <v>0.0515</v>
      </c>
    </row>
    <row r="3790" customFormat="false" ht="15" hidden="false" customHeight="false" outlineLevel="0" collapsed="false">
      <c r="A3790" s="28" t="s">
        <v>196</v>
      </c>
      <c r="B3790" s="28" t="s">
        <v>197</v>
      </c>
      <c r="C3790" s="28" t="s">
        <v>192</v>
      </c>
      <c r="D3790" s="23" t="n">
        <v>11</v>
      </c>
      <c r="E3790" s="23" t="n">
        <v>20</v>
      </c>
      <c r="F3790" s="28" t="s">
        <v>910</v>
      </c>
      <c r="G3790" s="19" t="n">
        <v>0.0519</v>
      </c>
    </row>
    <row r="3791" customFormat="false" ht="15" hidden="false" customHeight="false" outlineLevel="0" collapsed="false">
      <c r="A3791" s="28" t="s">
        <v>196</v>
      </c>
      <c r="B3791" s="28" t="s">
        <v>197</v>
      </c>
      <c r="C3791" s="28" t="s">
        <v>192</v>
      </c>
      <c r="D3791" s="23" t="n">
        <v>11</v>
      </c>
      <c r="E3791" s="23" t="n">
        <v>20</v>
      </c>
      <c r="F3791" s="28" t="s">
        <v>911</v>
      </c>
      <c r="G3791" s="19" t="n">
        <v>0.053</v>
      </c>
    </row>
    <row r="3792" customFormat="false" ht="15" hidden="false" customHeight="false" outlineLevel="0" collapsed="false">
      <c r="A3792" s="28" t="s">
        <v>196</v>
      </c>
      <c r="B3792" s="28" t="s">
        <v>197</v>
      </c>
      <c r="C3792" s="28" t="s">
        <v>192</v>
      </c>
      <c r="D3792" s="23" t="n">
        <v>11</v>
      </c>
      <c r="E3792" s="23" t="n">
        <v>20</v>
      </c>
      <c r="F3792" s="28" t="s">
        <v>912</v>
      </c>
      <c r="G3792" s="19" t="n">
        <v>0.0544</v>
      </c>
    </row>
    <row r="3793" customFormat="false" ht="15" hidden="false" customHeight="false" outlineLevel="0" collapsed="false">
      <c r="A3793" s="28" t="s">
        <v>196</v>
      </c>
      <c r="B3793" s="28" t="s">
        <v>197</v>
      </c>
      <c r="C3793" s="28" t="s">
        <v>192</v>
      </c>
      <c r="D3793" s="23" t="n">
        <v>11</v>
      </c>
      <c r="E3793" s="23" t="n">
        <v>20</v>
      </c>
      <c r="F3793" s="28" t="s">
        <v>913</v>
      </c>
      <c r="G3793" s="19" t="n">
        <v>0.0593</v>
      </c>
    </row>
    <row r="3794" customFormat="false" ht="15" hidden="false" customHeight="false" outlineLevel="0" collapsed="false">
      <c r="A3794" s="28" t="s">
        <v>196</v>
      </c>
      <c r="B3794" s="28" t="s">
        <v>197</v>
      </c>
      <c r="C3794" s="28" t="s">
        <v>192</v>
      </c>
      <c r="D3794" s="23" t="n">
        <v>11</v>
      </c>
      <c r="E3794" s="23" t="n">
        <v>20</v>
      </c>
      <c r="F3794" s="28" t="s">
        <v>914</v>
      </c>
      <c r="G3794" s="19" t="n">
        <v>0.0591</v>
      </c>
    </row>
    <row r="3795" customFormat="false" ht="15" hidden="false" customHeight="false" outlineLevel="0" collapsed="false">
      <c r="A3795" s="28" t="s">
        <v>196</v>
      </c>
      <c r="B3795" s="28" t="s">
        <v>197</v>
      </c>
      <c r="C3795" s="28" t="s">
        <v>192</v>
      </c>
      <c r="D3795" s="23" t="n">
        <v>11</v>
      </c>
      <c r="E3795" s="23" t="n">
        <v>20</v>
      </c>
      <c r="F3795" s="28" t="s">
        <v>915</v>
      </c>
      <c r="G3795" s="19" t="n">
        <v>0.0749</v>
      </c>
    </row>
    <row r="3796" customFormat="false" ht="15" hidden="false" customHeight="false" outlineLevel="0" collapsed="false">
      <c r="A3796" s="28" t="s">
        <v>196</v>
      </c>
      <c r="B3796" s="28" t="s">
        <v>197</v>
      </c>
      <c r="C3796" s="28" t="s">
        <v>192</v>
      </c>
      <c r="D3796" s="23" t="n">
        <v>11</v>
      </c>
      <c r="E3796" s="23" t="n">
        <v>21</v>
      </c>
      <c r="F3796" s="28" t="s">
        <v>904</v>
      </c>
      <c r="G3796" s="19" t="n">
        <v>0.0463</v>
      </c>
    </row>
    <row r="3797" customFormat="false" ht="15" hidden="false" customHeight="false" outlineLevel="0" collapsed="false">
      <c r="A3797" s="28" t="s">
        <v>196</v>
      </c>
      <c r="B3797" s="28" t="s">
        <v>197</v>
      </c>
      <c r="C3797" s="28" t="s">
        <v>192</v>
      </c>
      <c r="D3797" s="23" t="n">
        <v>11</v>
      </c>
      <c r="E3797" s="23" t="n">
        <v>21</v>
      </c>
      <c r="F3797" s="28" t="s">
        <v>551</v>
      </c>
      <c r="G3797" s="19" t="n">
        <v>0.0775</v>
      </c>
    </row>
    <row r="3798" customFormat="false" ht="15" hidden="false" customHeight="false" outlineLevel="0" collapsed="false">
      <c r="A3798" s="28" t="s">
        <v>196</v>
      </c>
      <c r="B3798" s="28" t="s">
        <v>197</v>
      </c>
      <c r="C3798" s="28" t="s">
        <v>192</v>
      </c>
      <c r="D3798" s="23" t="n">
        <v>11</v>
      </c>
      <c r="E3798" s="23" t="n">
        <v>21</v>
      </c>
      <c r="F3798" s="28" t="s">
        <v>451</v>
      </c>
      <c r="G3798" s="19" t="n">
        <v>0.0461</v>
      </c>
    </row>
    <row r="3799" customFormat="false" ht="15" hidden="false" customHeight="false" outlineLevel="0" collapsed="false">
      <c r="A3799" s="28" t="s">
        <v>196</v>
      </c>
      <c r="B3799" s="28" t="s">
        <v>197</v>
      </c>
      <c r="C3799" s="28" t="s">
        <v>192</v>
      </c>
      <c r="D3799" s="23" t="n">
        <v>11</v>
      </c>
      <c r="E3799" s="23" t="n">
        <v>21</v>
      </c>
      <c r="F3799" s="28" t="s">
        <v>905</v>
      </c>
      <c r="G3799" s="19" t="n">
        <v>0.0487</v>
      </c>
    </row>
    <row r="3800" customFormat="false" ht="15" hidden="false" customHeight="false" outlineLevel="0" collapsed="false">
      <c r="A3800" s="28" t="s">
        <v>196</v>
      </c>
      <c r="B3800" s="28" t="s">
        <v>197</v>
      </c>
      <c r="C3800" s="28" t="s">
        <v>192</v>
      </c>
      <c r="D3800" s="23" t="n">
        <v>11</v>
      </c>
      <c r="E3800" s="23" t="n">
        <v>21</v>
      </c>
      <c r="F3800" s="28" t="s">
        <v>906</v>
      </c>
      <c r="G3800" s="19" t="n">
        <v>0.0501</v>
      </c>
    </row>
    <row r="3801" customFormat="false" ht="15" hidden="false" customHeight="false" outlineLevel="0" collapsed="false">
      <c r="A3801" s="28" t="s">
        <v>196</v>
      </c>
      <c r="B3801" s="28" t="s">
        <v>197</v>
      </c>
      <c r="C3801" s="28" t="s">
        <v>192</v>
      </c>
      <c r="D3801" s="23" t="n">
        <v>11</v>
      </c>
      <c r="E3801" s="23" t="n">
        <v>21</v>
      </c>
      <c r="F3801" s="28" t="s">
        <v>907</v>
      </c>
      <c r="G3801" s="19" t="n">
        <v>0.0498</v>
      </c>
    </row>
    <row r="3802" customFormat="false" ht="15" hidden="false" customHeight="false" outlineLevel="0" collapsed="false">
      <c r="A3802" s="28" t="s">
        <v>196</v>
      </c>
      <c r="B3802" s="28" t="s">
        <v>197</v>
      </c>
      <c r="C3802" s="28" t="s">
        <v>192</v>
      </c>
      <c r="D3802" s="23" t="n">
        <v>11</v>
      </c>
      <c r="E3802" s="23" t="n">
        <v>21</v>
      </c>
      <c r="F3802" s="28" t="s">
        <v>908</v>
      </c>
      <c r="G3802" s="19" t="n">
        <v>0.0514</v>
      </c>
    </row>
    <row r="3803" customFormat="false" ht="15" hidden="false" customHeight="false" outlineLevel="0" collapsed="false">
      <c r="A3803" s="28" t="s">
        <v>196</v>
      </c>
      <c r="B3803" s="28" t="s">
        <v>197</v>
      </c>
      <c r="C3803" s="28" t="s">
        <v>192</v>
      </c>
      <c r="D3803" s="23" t="n">
        <v>11</v>
      </c>
      <c r="E3803" s="23" t="n">
        <v>21</v>
      </c>
      <c r="F3803" s="28" t="s">
        <v>909</v>
      </c>
      <c r="G3803" s="19" t="n">
        <v>0.0515</v>
      </c>
    </row>
    <row r="3804" customFormat="false" ht="15" hidden="false" customHeight="false" outlineLevel="0" collapsed="false">
      <c r="A3804" s="28" t="s">
        <v>196</v>
      </c>
      <c r="B3804" s="28" t="s">
        <v>197</v>
      </c>
      <c r="C3804" s="28" t="s">
        <v>192</v>
      </c>
      <c r="D3804" s="23" t="n">
        <v>11</v>
      </c>
      <c r="E3804" s="23" t="n">
        <v>21</v>
      </c>
      <c r="F3804" s="28" t="s">
        <v>910</v>
      </c>
      <c r="G3804" s="19" t="n">
        <v>0.0519</v>
      </c>
    </row>
    <row r="3805" customFormat="false" ht="15" hidden="false" customHeight="false" outlineLevel="0" collapsed="false">
      <c r="A3805" s="28" t="s">
        <v>196</v>
      </c>
      <c r="B3805" s="28" t="s">
        <v>197</v>
      </c>
      <c r="C3805" s="28" t="s">
        <v>192</v>
      </c>
      <c r="D3805" s="23" t="n">
        <v>11</v>
      </c>
      <c r="E3805" s="23" t="n">
        <v>21</v>
      </c>
      <c r="F3805" s="28" t="s">
        <v>911</v>
      </c>
      <c r="G3805" s="19" t="n">
        <v>0.053</v>
      </c>
    </row>
    <row r="3806" customFormat="false" ht="15" hidden="false" customHeight="false" outlineLevel="0" collapsed="false">
      <c r="A3806" s="28" t="s">
        <v>196</v>
      </c>
      <c r="B3806" s="28" t="s">
        <v>197</v>
      </c>
      <c r="C3806" s="28" t="s">
        <v>192</v>
      </c>
      <c r="D3806" s="23" t="n">
        <v>11</v>
      </c>
      <c r="E3806" s="23" t="n">
        <v>21</v>
      </c>
      <c r="F3806" s="28" t="s">
        <v>912</v>
      </c>
      <c r="G3806" s="19" t="n">
        <v>0.0544</v>
      </c>
    </row>
    <row r="3807" customFormat="false" ht="15" hidden="false" customHeight="false" outlineLevel="0" collapsed="false">
      <c r="A3807" s="28" t="s">
        <v>196</v>
      </c>
      <c r="B3807" s="28" t="s">
        <v>197</v>
      </c>
      <c r="C3807" s="28" t="s">
        <v>192</v>
      </c>
      <c r="D3807" s="23" t="n">
        <v>11</v>
      </c>
      <c r="E3807" s="23" t="n">
        <v>21</v>
      </c>
      <c r="F3807" s="28" t="s">
        <v>913</v>
      </c>
      <c r="G3807" s="19" t="n">
        <v>0.0593</v>
      </c>
    </row>
    <row r="3808" customFormat="false" ht="15" hidden="false" customHeight="false" outlineLevel="0" collapsed="false">
      <c r="A3808" s="28" t="s">
        <v>196</v>
      </c>
      <c r="B3808" s="28" t="s">
        <v>197</v>
      </c>
      <c r="C3808" s="28" t="s">
        <v>192</v>
      </c>
      <c r="D3808" s="23" t="n">
        <v>11</v>
      </c>
      <c r="E3808" s="23" t="n">
        <v>21</v>
      </c>
      <c r="F3808" s="28" t="s">
        <v>914</v>
      </c>
      <c r="G3808" s="19" t="n">
        <v>0.0591</v>
      </c>
    </row>
    <row r="3809" customFormat="false" ht="15" hidden="false" customHeight="false" outlineLevel="0" collapsed="false">
      <c r="A3809" s="28" t="s">
        <v>196</v>
      </c>
      <c r="B3809" s="28" t="s">
        <v>197</v>
      </c>
      <c r="C3809" s="28" t="s">
        <v>192</v>
      </c>
      <c r="D3809" s="23" t="n">
        <v>11</v>
      </c>
      <c r="E3809" s="23" t="n">
        <v>21</v>
      </c>
      <c r="F3809" s="28" t="s">
        <v>915</v>
      </c>
      <c r="G3809" s="19" t="n">
        <v>0.0749</v>
      </c>
    </row>
    <row r="3810" customFormat="false" ht="15" hidden="false" customHeight="false" outlineLevel="0" collapsed="false">
      <c r="A3810" s="28" t="s">
        <v>196</v>
      </c>
      <c r="B3810" s="28" t="s">
        <v>197</v>
      </c>
      <c r="C3810" s="28" t="s">
        <v>192</v>
      </c>
      <c r="D3810" s="23" t="n">
        <v>11</v>
      </c>
      <c r="E3810" s="23" t="n">
        <v>22</v>
      </c>
      <c r="F3810" s="28" t="s">
        <v>904</v>
      </c>
      <c r="G3810" s="19" t="n">
        <v>0.0463</v>
      </c>
    </row>
    <row r="3811" customFormat="false" ht="15" hidden="false" customHeight="false" outlineLevel="0" collapsed="false">
      <c r="A3811" s="28" t="s">
        <v>196</v>
      </c>
      <c r="B3811" s="28" t="s">
        <v>197</v>
      </c>
      <c r="C3811" s="28" t="s">
        <v>192</v>
      </c>
      <c r="D3811" s="23" t="n">
        <v>11</v>
      </c>
      <c r="E3811" s="23" t="n">
        <v>22</v>
      </c>
      <c r="F3811" s="28" t="s">
        <v>551</v>
      </c>
      <c r="G3811" s="19" t="n">
        <v>0.0775</v>
      </c>
    </row>
    <row r="3812" customFormat="false" ht="15" hidden="false" customHeight="false" outlineLevel="0" collapsed="false">
      <c r="A3812" s="28" t="s">
        <v>196</v>
      </c>
      <c r="B3812" s="28" t="s">
        <v>197</v>
      </c>
      <c r="C3812" s="28" t="s">
        <v>192</v>
      </c>
      <c r="D3812" s="23" t="n">
        <v>11</v>
      </c>
      <c r="E3812" s="23" t="n">
        <v>22</v>
      </c>
      <c r="F3812" s="28" t="s">
        <v>451</v>
      </c>
      <c r="G3812" s="19" t="n">
        <v>0.0461</v>
      </c>
    </row>
    <row r="3813" customFormat="false" ht="15" hidden="false" customHeight="false" outlineLevel="0" collapsed="false">
      <c r="A3813" s="28" t="s">
        <v>196</v>
      </c>
      <c r="B3813" s="28" t="s">
        <v>197</v>
      </c>
      <c r="C3813" s="28" t="s">
        <v>192</v>
      </c>
      <c r="D3813" s="23" t="n">
        <v>11</v>
      </c>
      <c r="E3813" s="23" t="n">
        <v>22</v>
      </c>
      <c r="F3813" s="28" t="s">
        <v>905</v>
      </c>
      <c r="G3813" s="19" t="n">
        <v>0.0487</v>
      </c>
    </row>
    <row r="3814" customFormat="false" ht="15" hidden="false" customHeight="false" outlineLevel="0" collapsed="false">
      <c r="A3814" s="28" t="s">
        <v>196</v>
      </c>
      <c r="B3814" s="28" t="s">
        <v>197</v>
      </c>
      <c r="C3814" s="28" t="s">
        <v>192</v>
      </c>
      <c r="D3814" s="23" t="n">
        <v>11</v>
      </c>
      <c r="E3814" s="23" t="n">
        <v>22</v>
      </c>
      <c r="F3814" s="28" t="s">
        <v>906</v>
      </c>
      <c r="G3814" s="19" t="n">
        <v>0.0501</v>
      </c>
    </row>
    <row r="3815" customFormat="false" ht="15" hidden="false" customHeight="false" outlineLevel="0" collapsed="false">
      <c r="A3815" s="28" t="s">
        <v>196</v>
      </c>
      <c r="B3815" s="28" t="s">
        <v>197</v>
      </c>
      <c r="C3815" s="28" t="s">
        <v>192</v>
      </c>
      <c r="D3815" s="23" t="n">
        <v>11</v>
      </c>
      <c r="E3815" s="23" t="n">
        <v>22</v>
      </c>
      <c r="F3815" s="28" t="s">
        <v>907</v>
      </c>
      <c r="G3815" s="19" t="n">
        <v>0.0498</v>
      </c>
    </row>
    <row r="3816" customFormat="false" ht="15" hidden="false" customHeight="false" outlineLevel="0" collapsed="false">
      <c r="A3816" s="28" t="s">
        <v>196</v>
      </c>
      <c r="B3816" s="28" t="s">
        <v>197</v>
      </c>
      <c r="C3816" s="28" t="s">
        <v>192</v>
      </c>
      <c r="D3816" s="23" t="n">
        <v>11</v>
      </c>
      <c r="E3816" s="23" t="n">
        <v>22</v>
      </c>
      <c r="F3816" s="28" t="s">
        <v>908</v>
      </c>
      <c r="G3816" s="19" t="n">
        <v>0.0514</v>
      </c>
    </row>
    <row r="3817" customFormat="false" ht="15" hidden="false" customHeight="false" outlineLevel="0" collapsed="false">
      <c r="A3817" s="28" t="s">
        <v>196</v>
      </c>
      <c r="B3817" s="28" t="s">
        <v>197</v>
      </c>
      <c r="C3817" s="28" t="s">
        <v>192</v>
      </c>
      <c r="D3817" s="23" t="n">
        <v>11</v>
      </c>
      <c r="E3817" s="23" t="n">
        <v>22</v>
      </c>
      <c r="F3817" s="28" t="s">
        <v>909</v>
      </c>
      <c r="G3817" s="19" t="n">
        <v>0.0515</v>
      </c>
    </row>
    <row r="3818" customFormat="false" ht="15" hidden="false" customHeight="false" outlineLevel="0" collapsed="false">
      <c r="A3818" s="28" t="s">
        <v>196</v>
      </c>
      <c r="B3818" s="28" t="s">
        <v>197</v>
      </c>
      <c r="C3818" s="28" t="s">
        <v>192</v>
      </c>
      <c r="D3818" s="23" t="n">
        <v>11</v>
      </c>
      <c r="E3818" s="23" t="n">
        <v>22</v>
      </c>
      <c r="F3818" s="28" t="s">
        <v>910</v>
      </c>
      <c r="G3818" s="19" t="n">
        <v>0.0519</v>
      </c>
    </row>
    <row r="3819" customFormat="false" ht="15" hidden="false" customHeight="false" outlineLevel="0" collapsed="false">
      <c r="A3819" s="28" t="s">
        <v>196</v>
      </c>
      <c r="B3819" s="28" t="s">
        <v>197</v>
      </c>
      <c r="C3819" s="28" t="s">
        <v>192</v>
      </c>
      <c r="D3819" s="23" t="n">
        <v>11</v>
      </c>
      <c r="E3819" s="23" t="n">
        <v>22</v>
      </c>
      <c r="F3819" s="28" t="s">
        <v>911</v>
      </c>
      <c r="G3819" s="19" t="n">
        <v>0.053</v>
      </c>
    </row>
    <row r="3820" customFormat="false" ht="15" hidden="false" customHeight="false" outlineLevel="0" collapsed="false">
      <c r="A3820" s="28" t="s">
        <v>196</v>
      </c>
      <c r="B3820" s="28" t="s">
        <v>197</v>
      </c>
      <c r="C3820" s="28" t="s">
        <v>192</v>
      </c>
      <c r="D3820" s="23" t="n">
        <v>11</v>
      </c>
      <c r="E3820" s="23" t="n">
        <v>22</v>
      </c>
      <c r="F3820" s="28" t="s">
        <v>912</v>
      </c>
      <c r="G3820" s="19" t="n">
        <v>0.0544</v>
      </c>
    </row>
    <row r="3821" customFormat="false" ht="15" hidden="false" customHeight="false" outlineLevel="0" collapsed="false">
      <c r="A3821" s="28" t="s">
        <v>196</v>
      </c>
      <c r="B3821" s="28" t="s">
        <v>197</v>
      </c>
      <c r="C3821" s="28" t="s">
        <v>192</v>
      </c>
      <c r="D3821" s="23" t="n">
        <v>11</v>
      </c>
      <c r="E3821" s="23" t="n">
        <v>22</v>
      </c>
      <c r="F3821" s="28" t="s">
        <v>913</v>
      </c>
      <c r="G3821" s="19" t="n">
        <v>0.0593</v>
      </c>
    </row>
    <row r="3822" customFormat="false" ht="15" hidden="false" customHeight="false" outlineLevel="0" collapsed="false">
      <c r="A3822" s="28" t="s">
        <v>196</v>
      </c>
      <c r="B3822" s="28" t="s">
        <v>197</v>
      </c>
      <c r="C3822" s="28" t="s">
        <v>192</v>
      </c>
      <c r="D3822" s="23" t="n">
        <v>11</v>
      </c>
      <c r="E3822" s="23" t="n">
        <v>22</v>
      </c>
      <c r="F3822" s="28" t="s">
        <v>914</v>
      </c>
      <c r="G3822" s="19" t="n">
        <v>0.0591</v>
      </c>
    </row>
    <row r="3823" customFormat="false" ht="15" hidden="false" customHeight="false" outlineLevel="0" collapsed="false">
      <c r="A3823" s="28" t="s">
        <v>196</v>
      </c>
      <c r="B3823" s="28" t="s">
        <v>197</v>
      </c>
      <c r="C3823" s="28" t="s">
        <v>192</v>
      </c>
      <c r="D3823" s="23" t="n">
        <v>11</v>
      </c>
      <c r="E3823" s="23" t="n">
        <v>22</v>
      </c>
      <c r="F3823" s="28" t="s">
        <v>915</v>
      </c>
      <c r="G3823" s="19" t="n">
        <v>0.0749</v>
      </c>
    </row>
    <row r="3824" customFormat="false" ht="15" hidden="false" customHeight="false" outlineLevel="0" collapsed="false">
      <c r="A3824" s="28" t="s">
        <v>196</v>
      </c>
      <c r="B3824" s="28" t="s">
        <v>197</v>
      </c>
      <c r="C3824" s="28" t="s">
        <v>192</v>
      </c>
      <c r="D3824" s="23" t="n">
        <v>11</v>
      </c>
      <c r="E3824" s="23" t="n">
        <v>23</v>
      </c>
      <c r="F3824" s="28" t="s">
        <v>904</v>
      </c>
      <c r="G3824" s="19" t="n">
        <v>0.0463</v>
      </c>
    </row>
    <row r="3825" customFormat="false" ht="15" hidden="false" customHeight="false" outlineLevel="0" collapsed="false">
      <c r="A3825" s="28" t="s">
        <v>196</v>
      </c>
      <c r="B3825" s="28" t="s">
        <v>197</v>
      </c>
      <c r="C3825" s="28" t="s">
        <v>192</v>
      </c>
      <c r="D3825" s="23" t="n">
        <v>11</v>
      </c>
      <c r="E3825" s="23" t="n">
        <v>23</v>
      </c>
      <c r="F3825" s="28" t="s">
        <v>551</v>
      </c>
      <c r="G3825" s="19" t="n">
        <v>0.0775</v>
      </c>
    </row>
    <row r="3826" customFormat="false" ht="15" hidden="false" customHeight="false" outlineLevel="0" collapsed="false">
      <c r="A3826" s="28" t="s">
        <v>196</v>
      </c>
      <c r="B3826" s="28" t="s">
        <v>197</v>
      </c>
      <c r="C3826" s="28" t="s">
        <v>192</v>
      </c>
      <c r="D3826" s="23" t="n">
        <v>11</v>
      </c>
      <c r="E3826" s="23" t="n">
        <v>23</v>
      </c>
      <c r="F3826" s="28" t="s">
        <v>451</v>
      </c>
      <c r="G3826" s="19" t="n">
        <v>0.0461</v>
      </c>
    </row>
    <row r="3827" customFormat="false" ht="15" hidden="false" customHeight="false" outlineLevel="0" collapsed="false">
      <c r="A3827" s="28" t="s">
        <v>196</v>
      </c>
      <c r="B3827" s="28" t="s">
        <v>197</v>
      </c>
      <c r="C3827" s="28" t="s">
        <v>192</v>
      </c>
      <c r="D3827" s="23" t="n">
        <v>11</v>
      </c>
      <c r="E3827" s="23" t="n">
        <v>23</v>
      </c>
      <c r="F3827" s="28" t="s">
        <v>905</v>
      </c>
      <c r="G3827" s="19" t="n">
        <v>0.0487</v>
      </c>
    </row>
    <row r="3828" customFormat="false" ht="15" hidden="false" customHeight="false" outlineLevel="0" collapsed="false">
      <c r="A3828" s="28" t="s">
        <v>196</v>
      </c>
      <c r="B3828" s="28" t="s">
        <v>197</v>
      </c>
      <c r="C3828" s="28" t="s">
        <v>192</v>
      </c>
      <c r="D3828" s="23" t="n">
        <v>11</v>
      </c>
      <c r="E3828" s="23" t="n">
        <v>23</v>
      </c>
      <c r="F3828" s="28" t="s">
        <v>906</v>
      </c>
      <c r="G3828" s="19" t="n">
        <v>0.0501</v>
      </c>
    </row>
    <row r="3829" customFormat="false" ht="15" hidden="false" customHeight="false" outlineLevel="0" collapsed="false">
      <c r="A3829" s="28" t="s">
        <v>196</v>
      </c>
      <c r="B3829" s="28" t="s">
        <v>197</v>
      </c>
      <c r="C3829" s="28" t="s">
        <v>192</v>
      </c>
      <c r="D3829" s="23" t="n">
        <v>11</v>
      </c>
      <c r="E3829" s="23" t="n">
        <v>23</v>
      </c>
      <c r="F3829" s="28" t="s">
        <v>907</v>
      </c>
      <c r="G3829" s="19" t="n">
        <v>0.0498</v>
      </c>
    </row>
    <row r="3830" customFormat="false" ht="15" hidden="false" customHeight="false" outlineLevel="0" collapsed="false">
      <c r="A3830" s="28" t="s">
        <v>196</v>
      </c>
      <c r="B3830" s="28" t="s">
        <v>197</v>
      </c>
      <c r="C3830" s="28" t="s">
        <v>192</v>
      </c>
      <c r="D3830" s="23" t="n">
        <v>11</v>
      </c>
      <c r="E3830" s="23" t="n">
        <v>23</v>
      </c>
      <c r="F3830" s="28" t="s">
        <v>908</v>
      </c>
      <c r="G3830" s="19" t="n">
        <v>0.0514</v>
      </c>
    </row>
    <row r="3831" customFormat="false" ht="15" hidden="false" customHeight="false" outlineLevel="0" collapsed="false">
      <c r="A3831" s="28" t="s">
        <v>196</v>
      </c>
      <c r="B3831" s="28" t="s">
        <v>197</v>
      </c>
      <c r="C3831" s="28" t="s">
        <v>192</v>
      </c>
      <c r="D3831" s="23" t="n">
        <v>11</v>
      </c>
      <c r="E3831" s="23" t="n">
        <v>23</v>
      </c>
      <c r="F3831" s="28" t="s">
        <v>909</v>
      </c>
      <c r="G3831" s="19" t="n">
        <v>0.0515</v>
      </c>
    </row>
    <row r="3832" customFormat="false" ht="15" hidden="false" customHeight="false" outlineLevel="0" collapsed="false">
      <c r="A3832" s="28" t="s">
        <v>196</v>
      </c>
      <c r="B3832" s="28" t="s">
        <v>197</v>
      </c>
      <c r="C3832" s="28" t="s">
        <v>192</v>
      </c>
      <c r="D3832" s="23" t="n">
        <v>11</v>
      </c>
      <c r="E3832" s="23" t="n">
        <v>23</v>
      </c>
      <c r="F3832" s="28" t="s">
        <v>910</v>
      </c>
      <c r="G3832" s="19" t="n">
        <v>0.0519</v>
      </c>
    </row>
    <row r="3833" customFormat="false" ht="15" hidden="false" customHeight="false" outlineLevel="0" collapsed="false">
      <c r="A3833" s="28" t="s">
        <v>196</v>
      </c>
      <c r="B3833" s="28" t="s">
        <v>197</v>
      </c>
      <c r="C3833" s="28" t="s">
        <v>192</v>
      </c>
      <c r="D3833" s="23" t="n">
        <v>11</v>
      </c>
      <c r="E3833" s="23" t="n">
        <v>23</v>
      </c>
      <c r="F3833" s="28" t="s">
        <v>911</v>
      </c>
      <c r="G3833" s="19" t="n">
        <v>0.053</v>
      </c>
    </row>
    <row r="3834" customFormat="false" ht="15" hidden="false" customHeight="false" outlineLevel="0" collapsed="false">
      <c r="A3834" s="28" t="s">
        <v>196</v>
      </c>
      <c r="B3834" s="28" t="s">
        <v>197</v>
      </c>
      <c r="C3834" s="28" t="s">
        <v>192</v>
      </c>
      <c r="D3834" s="23" t="n">
        <v>11</v>
      </c>
      <c r="E3834" s="23" t="n">
        <v>23</v>
      </c>
      <c r="F3834" s="28" t="s">
        <v>912</v>
      </c>
      <c r="G3834" s="19" t="n">
        <v>0.0544</v>
      </c>
    </row>
    <row r="3835" customFormat="false" ht="15" hidden="false" customHeight="false" outlineLevel="0" collapsed="false">
      <c r="A3835" s="28" t="s">
        <v>196</v>
      </c>
      <c r="B3835" s="28" t="s">
        <v>197</v>
      </c>
      <c r="C3835" s="28" t="s">
        <v>192</v>
      </c>
      <c r="D3835" s="23" t="n">
        <v>11</v>
      </c>
      <c r="E3835" s="23" t="n">
        <v>23</v>
      </c>
      <c r="F3835" s="28" t="s">
        <v>913</v>
      </c>
      <c r="G3835" s="19" t="n">
        <v>0.0593</v>
      </c>
    </row>
    <row r="3836" customFormat="false" ht="15" hidden="false" customHeight="false" outlineLevel="0" collapsed="false">
      <c r="A3836" s="28" t="s">
        <v>196</v>
      </c>
      <c r="B3836" s="28" t="s">
        <v>197</v>
      </c>
      <c r="C3836" s="28" t="s">
        <v>192</v>
      </c>
      <c r="D3836" s="23" t="n">
        <v>11</v>
      </c>
      <c r="E3836" s="23" t="n">
        <v>23</v>
      </c>
      <c r="F3836" s="28" t="s">
        <v>914</v>
      </c>
      <c r="G3836" s="19" t="n">
        <v>0.0591</v>
      </c>
    </row>
    <row r="3837" customFormat="false" ht="15" hidden="false" customHeight="false" outlineLevel="0" collapsed="false">
      <c r="A3837" s="28" t="s">
        <v>196</v>
      </c>
      <c r="B3837" s="28" t="s">
        <v>197</v>
      </c>
      <c r="C3837" s="28" t="s">
        <v>192</v>
      </c>
      <c r="D3837" s="23" t="n">
        <v>11</v>
      </c>
      <c r="E3837" s="23" t="n">
        <v>23</v>
      </c>
      <c r="F3837" s="28" t="s">
        <v>915</v>
      </c>
      <c r="G3837" s="19" t="n">
        <v>0.0749</v>
      </c>
    </row>
    <row r="3838" customFormat="false" ht="15" hidden="false" customHeight="false" outlineLevel="0" collapsed="false">
      <c r="A3838" s="28" t="s">
        <v>196</v>
      </c>
      <c r="B3838" s="28" t="s">
        <v>197</v>
      </c>
      <c r="C3838" s="28" t="s">
        <v>192</v>
      </c>
      <c r="D3838" s="23" t="n">
        <v>11</v>
      </c>
      <c r="E3838" s="23" t="n">
        <v>24</v>
      </c>
      <c r="F3838" s="28" t="s">
        <v>904</v>
      </c>
      <c r="G3838" s="19" t="n">
        <v>0.0463</v>
      </c>
    </row>
    <row r="3839" customFormat="false" ht="15" hidden="false" customHeight="false" outlineLevel="0" collapsed="false">
      <c r="A3839" s="28" t="s">
        <v>196</v>
      </c>
      <c r="B3839" s="28" t="s">
        <v>197</v>
      </c>
      <c r="C3839" s="28" t="s">
        <v>192</v>
      </c>
      <c r="D3839" s="23" t="n">
        <v>11</v>
      </c>
      <c r="E3839" s="23" t="n">
        <v>24</v>
      </c>
      <c r="F3839" s="28" t="s">
        <v>551</v>
      </c>
      <c r="G3839" s="19" t="n">
        <v>0.0775</v>
      </c>
    </row>
    <row r="3840" customFormat="false" ht="15" hidden="false" customHeight="false" outlineLevel="0" collapsed="false">
      <c r="A3840" s="28" t="s">
        <v>196</v>
      </c>
      <c r="B3840" s="28" t="s">
        <v>197</v>
      </c>
      <c r="C3840" s="28" t="s">
        <v>192</v>
      </c>
      <c r="D3840" s="23" t="n">
        <v>11</v>
      </c>
      <c r="E3840" s="23" t="n">
        <v>24</v>
      </c>
      <c r="F3840" s="28" t="s">
        <v>451</v>
      </c>
      <c r="G3840" s="19" t="n">
        <v>0.0461</v>
      </c>
    </row>
    <row r="3841" customFormat="false" ht="15" hidden="false" customHeight="false" outlineLevel="0" collapsed="false">
      <c r="A3841" s="28" t="s">
        <v>196</v>
      </c>
      <c r="B3841" s="28" t="s">
        <v>197</v>
      </c>
      <c r="C3841" s="28" t="s">
        <v>192</v>
      </c>
      <c r="D3841" s="23" t="n">
        <v>11</v>
      </c>
      <c r="E3841" s="23" t="n">
        <v>24</v>
      </c>
      <c r="F3841" s="28" t="s">
        <v>905</v>
      </c>
      <c r="G3841" s="19" t="n">
        <v>0.0487</v>
      </c>
    </row>
    <row r="3842" customFormat="false" ht="15" hidden="false" customHeight="false" outlineLevel="0" collapsed="false">
      <c r="A3842" s="28" t="s">
        <v>196</v>
      </c>
      <c r="B3842" s="28" t="s">
        <v>197</v>
      </c>
      <c r="C3842" s="28" t="s">
        <v>192</v>
      </c>
      <c r="D3842" s="23" t="n">
        <v>11</v>
      </c>
      <c r="E3842" s="23" t="n">
        <v>24</v>
      </c>
      <c r="F3842" s="28" t="s">
        <v>906</v>
      </c>
      <c r="G3842" s="19" t="n">
        <v>0.0501</v>
      </c>
    </row>
    <row r="3843" customFormat="false" ht="15" hidden="false" customHeight="false" outlineLevel="0" collapsed="false">
      <c r="A3843" s="28" t="s">
        <v>196</v>
      </c>
      <c r="B3843" s="28" t="s">
        <v>197</v>
      </c>
      <c r="C3843" s="28" t="s">
        <v>192</v>
      </c>
      <c r="D3843" s="23" t="n">
        <v>11</v>
      </c>
      <c r="E3843" s="23" t="n">
        <v>24</v>
      </c>
      <c r="F3843" s="28" t="s">
        <v>907</v>
      </c>
      <c r="G3843" s="19" t="n">
        <v>0.0498</v>
      </c>
    </row>
    <row r="3844" customFormat="false" ht="15" hidden="false" customHeight="false" outlineLevel="0" collapsed="false">
      <c r="A3844" s="28" t="s">
        <v>196</v>
      </c>
      <c r="B3844" s="28" t="s">
        <v>197</v>
      </c>
      <c r="C3844" s="28" t="s">
        <v>192</v>
      </c>
      <c r="D3844" s="23" t="n">
        <v>11</v>
      </c>
      <c r="E3844" s="23" t="n">
        <v>24</v>
      </c>
      <c r="F3844" s="28" t="s">
        <v>908</v>
      </c>
      <c r="G3844" s="19" t="n">
        <v>0.0514</v>
      </c>
    </row>
    <row r="3845" customFormat="false" ht="15" hidden="false" customHeight="false" outlineLevel="0" collapsed="false">
      <c r="A3845" s="28" t="s">
        <v>196</v>
      </c>
      <c r="B3845" s="28" t="s">
        <v>197</v>
      </c>
      <c r="C3845" s="28" t="s">
        <v>192</v>
      </c>
      <c r="D3845" s="23" t="n">
        <v>11</v>
      </c>
      <c r="E3845" s="23" t="n">
        <v>24</v>
      </c>
      <c r="F3845" s="28" t="s">
        <v>909</v>
      </c>
      <c r="G3845" s="19" t="n">
        <v>0.0515</v>
      </c>
    </row>
    <row r="3846" customFormat="false" ht="15" hidden="false" customHeight="false" outlineLevel="0" collapsed="false">
      <c r="A3846" s="28" t="s">
        <v>196</v>
      </c>
      <c r="B3846" s="28" t="s">
        <v>197</v>
      </c>
      <c r="C3846" s="28" t="s">
        <v>192</v>
      </c>
      <c r="D3846" s="23" t="n">
        <v>11</v>
      </c>
      <c r="E3846" s="23" t="n">
        <v>24</v>
      </c>
      <c r="F3846" s="28" t="s">
        <v>910</v>
      </c>
      <c r="G3846" s="19" t="n">
        <v>0.0519</v>
      </c>
    </row>
    <row r="3847" customFormat="false" ht="15" hidden="false" customHeight="false" outlineLevel="0" collapsed="false">
      <c r="A3847" s="28" t="s">
        <v>196</v>
      </c>
      <c r="B3847" s="28" t="s">
        <v>197</v>
      </c>
      <c r="C3847" s="28" t="s">
        <v>192</v>
      </c>
      <c r="D3847" s="23" t="n">
        <v>11</v>
      </c>
      <c r="E3847" s="23" t="n">
        <v>24</v>
      </c>
      <c r="F3847" s="28" t="s">
        <v>911</v>
      </c>
      <c r="G3847" s="19" t="n">
        <v>0.053</v>
      </c>
    </row>
    <row r="3848" customFormat="false" ht="15" hidden="false" customHeight="false" outlineLevel="0" collapsed="false">
      <c r="A3848" s="28" t="s">
        <v>196</v>
      </c>
      <c r="B3848" s="28" t="s">
        <v>197</v>
      </c>
      <c r="C3848" s="28" t="s">
        <v>192</v>
      </c>
      <c r="D3848" s="23" t="n">
        <v>11</v>
      </c>
      <c r="E3848" s="23" t="n">
        <v>24</v>
      </c>
      <c r="F3848" s="28" t="s">
        <v>912</v>
      </c>
      <c r="G3848" s="19" t="n">
        <v>0.0544</v>
      </c>
    </row>
    <row r="3849" customFormat="false" ht="15" hidden="false" customHeight="false" outlineLevel="0" collapsed="false">
      <c r="A3849" s="28" t="s">
        <v>196</v>
      </c>
      <c r="B3849" s="28" t="s">
        <v>197</v>
      </c>
      <c r="C3849" s="28" t="s">
        <v>192</v>
      </c>
      <c r="D3849" s="23" t="n">
        <v>11</v>
      </c>
      <c r="E3849" s="23" t="n">
        <v>24</v>
      </c>
      <c r="F3849" s="28" t="s">
        <v>913</v>
      </c>
      <c r="G3849" s="19" t="n">
        <v>0.0593</v>
      </c>
    </row>
    <row r="3850" customFormat="false" ht="15" hidden="false" customHeight="false" outlineLevel="0" collapsed="false">
      <c r="A3850" s="28" t="s">
        <v>196</v>
      </c>
      <c r="B3850" s="28" t="s">
        <v>197</v>
      </c>
      <c r="C3850" s="28" t="s">
        <v>192</v>
      </c>
      <c r="D3850" s="23" t="n">
        <v>11</v>
      </c>
      <c r="E3850" s="23" t="n">
        <v>24</v>
      </c>
      <c r="F3850" s="28" t="s">
        <v>914</v>
      </c>
      <c r="G3850" s="19" t="n">
        <v>0.0591</v>
      </c>
    </row>
    <row r="3851" customFormat="false" ht="15" hidden="false" customHeight="false" outlineLevel="0" collapsed="false">
      <c r="A3851" s="28" t="s">
        <v>196</v>
      </c>
      <c r="B3851" s="28" t="s">
        <v>197</v>
      </c>
      <c r="C3851" s="28" t="s">
        <v>192</v>
      </c>
      <c r="D3851" s="23" t="n">
        <v>11</v>
      </c>
      <c r="E3851" s="23" t="n">
        <v>24</v>
      </c>
      <c r="F3851" s="28" t="s">
        <v>915</v>
      </c>
      <c r="G3851" s="19" t="n">
        <v>0.0749</v>
      </c>
    </row>
    <row r="3852" customFormat="false" ht="15" hidden="false" customHeight="false" outlineLevel="0" collapsed="false">
      <c r="A3852" s="28" t="s">
        <v>198</v>
      </c>
      <c r="B3852" s="28" t="s">
        <v>199</v>
      </c>
      <c r="C3852" s="28" t="s">
        <v>192</v>
      </c>
      <c r="D3852" s="23" t="n">
        <v>12</v>
      </c>
      <c r="E3852" s="23" t="n">
        <v>0</v>
      </c>
      <c r="F3852" s="28" t="s">
        <v>904</v>
      </c>
      <c r="G3852" s="19" t="n">
        <v>0.0363</v>
      </c>
    </row>
    <row r="3853" customFormat="false" ht="15" hidden="false" customHeight="false" outlineLevel="0" collapsed="false">
      <c r="A3853" s="28" t="s">
        <v>198</v>
      </c>
      <c r="B3853" s="28" t="s">
        <v>199</v>
      </c>
      <c r="C3853" s="28" t="s">
        <v>192</v>
      </c>
      <c r="D3853" s="23" t="n">
        <v>12</v>
      </c>
      <c r="E3853" s="23" t="n">
        <v>0</v>
      </c>
      <c r="F3853" s="28" t="s">
        <v>551</v>
      </c>
      <c r="G3853" s="19" t="n">
        <v>0.0675</v>
      </c>
    </row>
    <row r="3854" customFormat="false" ht="15" hidden="false" customHeight="false" outlineLevel="0" collapsed="false">
      <c r="A3854" s="28" t="s">
        <v>198</v>
      </c>
      <c r="B3854" s="28" t="s">
        <v>199</v>
      </c>
      <c r="C3854" s="28" t="s">
        <v>192</v>
      </c>
      <c r="D3854" s="23" t="n">
        <v>12</v>
      </c>
      <c r="E3854" s="23" t="n">
        <v>0</v>
      </c>
      <c r="F3854" s="28" t="s">
        <v>451</v>
      </c>
      <c r="G3854" s="19" t="n">
        <v>0.0361</v>
      </c>
    </row>
    <row r="3855" customFormat="false" ht="15" hidden="false" customHeight="false" outlineLevel="0" collapsed="false">
      <c r="A3855" s="28" t="s">
        <v>198</v>
      </c>
      <c r="B3855" s="28" t="s">
        <v>199</v>
      </c>
      <c r="C3855" s="28" t="s">
        <v>192</v>
      </c>
      <c r="D3855" s="23" t="n">
        <v>12</v>
      </c>
      <c r="E3855" s="23" t="n">
        <v>0</v>
      </c>
      <c r="F3855" s="28" t="s">
        <v>905</v>
      </c>
      <c r="G3855" s="19" t="n">
        <v>0.0387</v>
      </c>
    </row>
    <row r="3856" customFormat="false" ht="15" hidden="false" customHeight="false" outlineLevel="0" collapsed="false">
      <c r="A3856" s="28" t="s">
        <v>198</v>
      </c>
      <c r="B3856" s="28" t="s">
        <v>199</v>
      </c>
      <c r="C3856" s="28" t="s">
        <v>192</v>
      </c>
      <c r="D3856" s="23" t="n">
        <v>12</v>
      </c>
      <c r="E3856" s="23" t="n">
        <v>0</v>
      </c>
      <c r="F3856" s="28" t="s">
        <v>906</v>
      </c>
      <c r="G3856" s="19" t="n">
        <v>0.0401</v>
      </c>
    </row>
    <row r="3857" customFormat="false" ht="15" hidden="false" customHeight="false" outlineLevel="0" collapsed="false">
      <c r="A3857" s="28" t="s">
        <v>198</v>
      </c>
      <c r="B3857" s="28" t="s">
        <v>199</v>
      </c>
      <c r="C3857" s="28" t="s">
        <v>192</v>
      </c>
      <c r="D3857" s="23" t="n">
        <v>12</v>
      </c>
      <c r="E3857" s="23" t="n">
        <v>0</v>
      </c>
      <c r="F3857" s="28" t="s">
        <v>907</v>
      </c>
      <c r="G3857" s="19" t="n">
        <v>0.0398</v>
      </c>
    </row>
    <row r="3858" customFormat="false" ht="15" hidden="false" customHeight="false" outlineLevel="0" collapsed="false">
      <c r="A3858" s="28" t="s">
        <v>198</v>
      </c>
      <c r="B3858" s="28" t="s">
        <v>199</v>
      </c>
      <c r="C3858" s="28" t="s">
        <v>192</v>
      </c>
      <c r="D3858" s="23" t="n">
        <v>12</v>
      </c>
      <c r="E3858" s="23" t="n">
        <v>0</v>
      </c>
      <c r="F3858" s="28" t="s">
        <v>908</v>
      </c>
      <c r="G3858" s="19" t="n">
        <v>0.0414</v>
      </c>
    </row>
    <row r="3859" customFormat="false" ht="15" hidden="false" customHeight="false" outlineLevel="0" collapsed="false">
      <c r="A3859" s="28" t="s">
        <v>198</v>
      </c>
      <c r="B3859" s="28" t="s">
        <v>199</v>
      </c>
      <c r="C3859" s="28" t="s">
        <v>192</v>
      </c>
      <c r="D3859" s="23" t="n">
        <v>12</v>
      </c>
      <c r="E3859" s="23" t="n">
        <v>0</v>
      </c>
      <c r="F3859" s="28" t="s">
        <v>909</v>
      </c>
      <c r="G3859" s="19" t="n">
        <v>0.0415</v>
      </c>
    </row>
    <row r="3860" customFormat="false" ht="15" hidden="false" customHeight="false" outlineLevel="0" collapsed="false">
      <c r="A3860" s="28" t="s">
        <v>198</v>
      </c>
      <c r="B3860" s="28" t="s">
        <v>199</v>
      </c>
      <c r="C3860" s="28" t="s">
        <v>192</v>
      </c>
      <c r="D3860" s="23" t="n">
        <v>12</v>
      </c>
      <c r="E3860" s="23" t="n">
        <v>0</v>
      </c>
      <c r="F3860" s="28" t="s">
        <v>910</v>
      </c>
      <c r="G3860" s="19" t="n">
        <v>0.0419</v>
      </c>
    </row>
    <row r="3861" customFormat="false" ht="15" hidden="false" customHeight="false" outlineLevel="0" collapsed="false">
      <c r="A3861" s="28" t="s">
        <v>198</v>
      </c>
      <c r="B3861" s="28" t="s">
        <v>199</v>
      </c>
      <c r="C3861" s="28" t="s">
        <v>192</v>
      </c>
      <c r="D3861" s="23" t="n">
        <v>12</v>
      </c>
      <c r="E3861" s="23" t="n">
        <v>0</v>
      </c>
      <c r="F3861" s="28" t="s">
        <v>911</v>
      </c>
      <c r="G3861" s="19" t="n">
        <v>0.043</v>
      </c>
    </row>
    <row r="3862" customFormat="false" ht="15" hidden="false" customHeight="false" outlineLevel="0" collapsed="false">
      <c r="A3862" s="28" t="s">
        <v>198</v>
      </c>
      <c r="B3862" s="28" t="s">
        <v>199</v>
      </c>
      <c r="C3862" s="28" t="s">
        <v>192</v>
      </c>
      <c r="D3862" s="23" t="n">
        <v>12</v>
      </c>
      <c r="E3862" s="23" t="n">
        <v>0</v>
      </c>
      <c r="F3862" s="28" t="s">
        <v>912</v>
      </c>
      <c r="G3862" s="19" t="n">
        <v>0.0444</v>
      </c>
    </row>
    <row r="3863" customFormat="false" ht="15" hidden="false" customHeight="false" outlineLevel="0" collapsed="false">
      <c r="A3863" s="28" t="s">
        <v>198</v>
      </c>
      <c r="B3863" s="28" t="s">
        <v>199</v>
      </c>
      <c r="C3863" s="28" t="s">
        <v>192</v>
      </c>
      <c r="D3863" s="23" t="n">
        <v>12</v>
      </c>
      <c r="E3863" s="23" t="n">
        <v>0</v>
      </c>
      <c r="F3863" s="28" t="s">
        <v>913</v>
      </c>
      <c r="G3863" s="19" t="n">
        <v>0.0493</v>
      </c>
    </row>
    <row r="3864" customFormat="false" ht="15" hidden="false" customHeight="false" outlineLevel="0" collapsed="false">
      <c r="A3864" s="28" t="s">
        <v>198</v>
      </c>
      <c r="B3864" s="28" t="s">
        <v>199</v>
      </c>
      <c r="C3864" s="28" t="s">
        <v>192</v>
      </c>
      <c r="D3864" s="23" t="n">
        <v>12</v>
      </c>
      <c r="E3864" s="23" t="n">
        <v>0</v>
      </c>
      <c r="F3864" s="28" t="s">
        <v>914</v>
      </c>
      <c r="G3864" s="19" t="n">
        <v>0.0491</v>
      </c>
    </row>
    <row r="3865" customFormat="false" ht="15" hidden="false" customHeight="false" outlineLevel="0" collapsed="false">
      <c r="A3865" s="28" t="s">
        <v>198</v>
      </c>
      <c r="B3865" s="28" t="s">
        <v>199</v>
      </c>
      <c r="C3865" s="28" t="s">
        <v>192</v>
      </c>
      <c r="D3865" s="23" t="n">
        <v>12</v>
      </c>
      <c r="E3865" s="23" t="n">
        <v>0</v>
      </c>
      <c r="F3865" s="28" t="s">
        <v>915</v>
      </c>
      <c r="G3865" s="19" t="n">
        <v>0.0649</v>
      </c>
    </row>
    <row r="3866" customFormat="false" ht="15" hidden="false" customHeight="false" outlineLevel="0" collapsed="false">
      <c r="A3866" s="28" t="s">
        <v>198</v>
      </c>
      <c r="B3866" s="28" t="s">
        <v>199</v>
      </c>
      <c r="C3866" s="28" t="s">
        <v>192</v>
      </c>
      <c r="D3866" s="23" t="n">
        <v>12</v>
      </c>
      <c r="E3866" s="23" t="n">
        <v>1</v>
      </c>
      <c r="F3866" s="28" t="s">
        <v>904</v>
      </c>
      <c r="G3866" s="19" t="n">
        <v>0.037967</v>
      </c>
    </row>
    <row r="3867" customFormat="false" ht="15" hidden="false" customHeight="false" outlineLevel="0" collapsed="false">
      <c r="A3867" s="28" t="s">
        <v>198</v>
      </c>
      <c r="B3867" s="28" t="s">
        <v>199</v>
      </c>
      <c r="C3867" s="28" t="s">
        <v>192</v>
      </c>
      <c r="D3867" s="23" t="n">
        <v>12</v>
      </c>
      <c r="E3867" s="23" t="n">
        <v>1</v>
      </c>
      <c r="F3867" s="28" t="s">
        <v>551</v>
      </c>
      <c r="G3867" s="19" t="n">
        <v>0.069167</v>
      </c>
    </row>
    <row r="3868" customFormat="false" ht="15" hidden="false" customHeight="false" outlineLevel="0" collapsed="false">
      <c r="A3868" s="28" t="s">
        <v>198</v>
      </c>
      <c r="B3868" s="28" t="s">
        <v>199</v>
      </c>
      <c r="C3868" s="28" t="s">
        <v>192</v>
      </c>
      <c r="D3868" s="23" t="n">
        <v>12</v>
      </c>
      <c r="E3868" s="23" t="n">
        <v>1</v>
      </c>
      <c r="F3868" s="28" t="s">
        <v>451</v>
      </c>
      <c r="G3868" s="19" t="n">
        <v>0.037767</v>
      </c>
    </row>
    <row r="3869" customFormat="false" ht="15" hidden="false" customHeight="false" outlineLevel="0" collapsed="false">
      <c r="A3869" s="28" t="s">
        <v>198</v>
      </c>
      <c r="B3869" s="28" t="s">
        <v>199</v>
      </c>
      <c r="C3869" s="28" t="s">
        <v>192</v>
      </c>
      <c r="D3869" s="23" t="n">
        <v>12</v>
      </c>
      <c r="E3869" s="23" t="n">
        <v>1</v>
      </c>
      <c r="F3869" s="28" t="s">
        <v>905</v>
      </c>
      <c r="G3869" s="19" t="n">
        <v>0.040367</v>
      </c>
    </row>
    <row r="3870" customFormat="false" ht="15" hidden="false" customHeight="false" outlineLevel="0" collapsed="false">
      <c r="A3870" s="28" t="s">
        <v>198</v>
      </c>
      <c r="B3870" s="28" t="s">
        <v>199</v>
      </c>
      <c r="C3870" s="28" t="s">
        <v>192</v>
      </c>
      <c r="D3870" s="23" t="n">
        <v>12</v>
      </c>
      <c r="E3870" s="23" t="n">
        <v>1</v>
      </c>
      <c r="F3870" s="28" t="s">
        <v>906</v>
      </c>
      <c r="G3870" s="19" t="n">
        <v>0.041767</v>
      </c>
    </row>
    <row r="3871" customFormat="false" ht="15" hidden="false" customHeight="false" outlineLevel="0" collapsed="false">
      <c r="A3871" s="28" t="s">
        <v>198</v>
      </c>
      <c r="B3871" s="28" t="s">
        <v>199</v>
      </c>
      <c r="C3871" s="28" t="s">
        <v>192</v>
      </c>
      <c r="D3871" s="23" t="n">
        <v>12</v>
      </c>
      <c r="E3871" s="23" t="n">
        <v>1</v>
      </c>
      <c r="F3871" s="28" t="s">
        <v>907</v>
      </c>
      <c r="G3871" s="19" t="n">
        <v>0.041467</v>
      </c>
    </row>
    <row r="3872" customFormat="false" ht="15" hidden="false" customHeight="false" outlineLevel="0" collapsed="false">
      <c r="A3872" s="28" t="s">
        <v>198</v>
      </c>
      <c r="B3872" s="28" t="s">
        <v>199</v>
      </c>
      <c r="C3872" s="28" t="s">
        <v>192</v>
      </c>
      <c r="D3872" s="23" t="n">
        <v>12</v>
      </c>
      <c r="E3872" s="23" t="n">
        <v>1</v>
      </c>
      <c r="F3872" s="28" t="s">
        <v>908</v>
      </c>
      <c r="G3872" s="19" t="n">
        <v>0.043067</v>
      </c>
    </row>
    <row r="3873" customFormat="false" ht="15" hidden="false" customHeight="false" outlineLevel="0" collapsed="false">
      <c r="A3873" s="28" t="s">
        <v>198</v>
      </c>
      <c r="B3873" s="28" t="s">
        <v>199</v>
      </c>
      <c r="C3873" s="28" t="s">
        <v>192</v>
      </c>
      <c r="D3873" s="23" t="n">
        <v>12</v>
      </c>
      <c r="E3873" s="23" t="n">
        <v>1</v>
      </c>
      <c r="F3873" s="28" t="s">
        <v>909</v>
      </c>
      <c r="G3873" s="19" t="n">
        <v>0.043167</v>
      </c>
    </row>
    <row r="3874" customFormat="false" ht="15" hidden="false" customHeight="false" outlineLevel="0" collapsed="false">
      <c r="A3874" s="28" t="s">
        <v>198</v>
      </c>
      <c r="B3874" s="28" t="s">
        <v>199</v>
      </c>
      <c r="C3874" s="28" t="s">
        <v>192</v>
      </c>
      <c r="D3874" s="23" t="n">
        <v>12</v>
      </c>
      <c r="E3874" s="23" t="n">
        <v>1</v>
      </c>
      <c r="F3874" s="28" t="s">
        <v>910</v>
      </c>
      <c r="G3874" s="19" t="n">
        <v>0.043567</v>
      </c>
    </row>
    <row r="3875" customFormat="false" ht="15" hidden="false" customHeight="false" outlineLevel="0" collapsed="false">
      <c r="A3875" s="28" t="s">
        <v>198</v>
      </c>
      <c r="B3875" s="28" t="s">
        <v>199</v>
      </c>
      <c r="C3875" s="28" t="s">
        <v>192</v>
      </c>
      <c r="D3875" s="23" t="n">
        <v>12</v>
      </c>
      <c r="E3875" s="23" t="n">
        <v>1</v>
      </c>
      <c r="F3875" s="28" t="s">
        <v>911</v>
      </c>
      <c r="G3875" s="19" t="n">
        <v>0.044667</v>
      </c>
    </row>
    <row r="3876" customFormat="false" ht="15" hidden="false" customHeight="false" outlineLevel="0" collapsed="false">
      <c r="A3876" s="28" t="s">
        <v>198</v>
      </c>
      <c r="B3876" s="28" t="s">
        <v>199</v>
      </c>
      <c r="C3876" s="28" t="s">
        <v>192</v>
      </c>
      <c r="D3876" s="23" t="n">
        <v>12</v>
      </c>
      <c r="E3876" s="23" t="n">
        <v>1</v>
      </c>
      <c r="F3876" s="28" t="s">
        <v>912</v>
      </c>
      <c r="G3876" s="19" t="n">
        <v>0.046067</v>
      </c>
    </row>
    <row r="3877" customFormat="false" ht="15" hidden="false" customHeight="false" outlineLevel="0" collapsed="false">
      <c r="A3877" s="28" t="s">
        <v>198</v>
      </c>
      <c r="B3877" s="28" t="s">
        <v>199</v>
      </c>
      <c r="C3877" s="28" t="s">
        <v>192</v>
      </c>
      <c r="D3877" s="23" t="n">
        <v>12</v>
      </c>
      <c r="E3877" s="23" t="n">
        <v>1</v>
      </c>
      <c r="F3877" s="28" t="s">
        <v>913</v>
      </c>
      <c r="G3877" s="19" t="n">
        <v>0.050967</v>
      </c>
    </row>
    <row r="3878" customFormat="false" ht="15" hidden="false" customHeight="false" outlineLevel="0" collapsed="false">
      <c r="A3878" s="28" t="s">
        <v>198</v>
      </c>
      <c r="B3878" s="28" t="s">
        <v>199</v>
      </c>
      <c r="C3878" s="28" t="s">
        <v>192</v>
      </c>
      <c r="D3878" s="23" t="n">
        <v>12</v>
      </c>
      <c r="E3878" s="23" t="n">
        <v>1</v>
      </c>
      <c r="F3878" s="28" t="s">
        <v>914</v>
      </c>
      <c r="G3878" s="19" t="n">
        <v>0.050767</v>
      </c>
    </row>
    <row r="3879" customFormat="false" ht="15" hidden="false" customHeight="false" outlineLevel="0" collapsed="false">
      <c r="A3879" s="28" t="s">
        <v>198</v>
      </c>
      <c r="B3879" s="28" t="s">
        <v>199</v>
      </c>
      <c r="C3879" s="28" t="s">
        <v>192</v>
      </c>
      <c r="D3879" s="23" t="n">
        <v>12</v>
      </c>
      <c r="E3879" s="23" t="n">
        <v>1</v>
      </c>
      <c r="F3879" s="28" t="s">
        <v>915</v>
      </c>
      <c r="G3879" s="19" t="n">
        <v>0.066567</v>
      </c>
    </row>
    <row r="3880" customFormat="false" ht="15" hidden="false" customHeight="false" outlineLevel="0" collapsed="false">
      <c r="A3880" s="28" t="s">
        <v>198</v>
      </c>
      <c r="B3880" s="28" t="s">
        <v>199</v>
      </c>
      <c r="C3880" s="28" t="s">
        <v>192</v>
      </c>
      <c r="D3880" s="23" t="n">
        <v>12</v>
      </c>
      <c r="E3880" s="23" t="n">
        <v>2</v>
      </c>
      <c r="F3880" s="28" t="s">
        <v>904</v>
      </c>
      <c r="G3880" s="19" t="n">
        <v>0.039633</v>
      </c>
    </row>
    <row r="3881" customFormat="false" ht="15" hidden="false" customHeight="false" outlineLevel="0" collapsed="false">
      <c r="A3881" s="28" t="s">
        <v>198</v>
      </c>
      <c r="B3881" s="28" t="s">
        <v>199</v>
      </c>
      <c r="C3881" s="28" t="s">
        <v>192</v>
      </c>
      <c r="D3881" s="23" t="n">
        <v>12</v>
      </c>
      <c r="E3881" s="23" t="n">
        <v>2</v>
      </c>
      <c r="F3881" s="28" t="s">
        <v>551</v>
      </c>
      <c r="G3881" s="19" t="n">
        <v>0.070833</v>
      </c>
    </row>
    <row r="3882" customFormat="false" ht="15" hidden="false" customHeight="false" outlineLevel="0" collapsed="false">
      <c r="A3882" s="28" t="s">
        <v>198</v>
      </c>
      <c r="B3882" s="28" t="s">
        <v>199</v>
      </c>
      <c r="C3882" s="28" t="s">
        <v>192</v>
      </c>
      <c r="D3882" s="23" t="n">
        <v>12</v>
      </c>
      <c r="E3882" s="23" t="n">
        <v>2</v>
      </c>
      <c r="F3882" s="28" t="s">
        <v>451</v>
      </c>
      <c r="G3882" s="19" t="n">
        <v>0.039433</v>
      </c>
    </row>
    <row r="3883" customFormat="false" ht="15" hidden="false" customHeight="false" outlineLevel="0" collapsed="false">
      <c r="A3883" s="28" t="s">
        <v>198</v>
      </c>
      <c r="B3883" s="28" t="s">
        <v>199</v>
      </c>
      <c r="C3883" s="28" t="s">
        <v>192</v>
      </c>
      <c r="D3883" s="23" t="n">
        <v>12</v>
      </c>
      <c r="E3883" s="23" t="n">
        <v>2</v>
      </c>
      <c r="F3883" s="28" t="s">
        <v>905</v>
      </c>
      <c r="G3883" s="19" t="n">
        <v>0.042033</v>
      </c>
    </row>
    <row r="3884" customFormat="false" ht="15" hidden="false" customHeight="false" outlineLevel="0" collapsed="false">
      <c r="A3884" s="28" t="s">
        <v>198</v>
      </c>
      <c r="B3884" s="28" t="s">
        <v>199</v>
      </c>
      <c r="C3884" s="28" t="s">
        <v>192</v>
      </c>
      <c r="D3884" s="23" t="n">
        <v>12</v>
      </c>
      <c r="E3884" s="23" t="n">
        <v>2</v>
      </c>
      <c r="F3884" s="28" t="s">
        <v>906</v>
      </c>
      <c r="G3884" s="19" t="n">
        <v>0.043433</v>
      </c>
    </row>
    <row r="3885" customFormat="false" ht="15" hidden="false" customHeight="false" outlineLevel="0" collapsed="false">
      <c r="A3885" s="28" t="s">
        <v>198</v>
      </c>
      <c r="B3885" s="28" t="s">
        <v>199</v>
      </c>
      <c r="C3885" s="28" t="s">
        <v>192</v>
      </c>
      <c r="D3885" s="23" t="n">
        <v>12</v>
      </c>
      <c r="E3885" s="23" t="n">
        <v>2</v>
      </c>
      <c r="F3885" s="28" t="s">
        <v>907</v>
      </c>
      <c r="G3885" s="19" t="n">
        <v>0.043133</v>
      </c>
    </row>
    <row r="3886" customFormat="false" ht="15" hidden="false" customHeight="false" outlineLevel="0" collapsed="false">
      <c r="A3886" s="28" t="s">
        <v>198</v>
      </c>
      <c r="B3886" s="28" t="s">
        <v>199</v>
      </c>
      <c r="C3886" s="28" t="s">
        <v>192</v>
      </c>
      <c r="D3886" s="23" t="n">
        <v>12</v>
      </c>
      <c r="E3886" s="23" t="n">
        <v>2</v>
      </c>
      <c r="F3886" s="28" t="s">
        <v>908</v>
      </c>
      <c r="G3886" s="19" t="n">
        <v>0.044733</v>
      </c>
    </row>
    <row r="3887" customFormat="false" ht="15" hidden="false" customHeight="false" outlineLevel="0" collapsed="false">
      <c r="A3887" s="28" t="s">
        <v>198</v>
      </c>
      <c r="B3887" s="28" t="s">
        <v>199</v>
      </c>
      <c r="C3887" s="28" t="s">
        <v>192</v>
      </c>
      <c r="D3887" s="23" t="n">
        <v>12</v>
      </c>
      <c r="E3887" s="23" t="n">
        <v>2</v>
      </c>
      <c r="F3887" s="28" t="s">
        <v>909</v>
      </c>
      <c r="G3887" s="19" t="n">
        <v>0.044833</v>
      </c>
    </row>
    <row r="3888" customFormat="false" ht="15" hidden="false" customHeight="false" outlineLevel="0" collapsed="false">
      <c r="A3888" s="28" t="s">
        <v>198</v>
      </c>
      <c r="B3888" s="28" t="s">
        <v>199</v>
      </c>
      <c r="C3888" s="28" t="s">
        <v>192</v>
      </c>
      <c r="D3888" s="23" t="n">
        <v>12</v>
      </c>
      <c r="E3888" s="23" t="n">
        <v>2</v>
      </c>
      <c r="F3888" s="28" t="s">
        <v>910</v>
      </c>
      <c r="G3888" s="19" t="n">
        <v>0.045233</v>
      </c>
    </row>
    <row r="3889" customFormat="false" ht="15" hidden="false" customHeight="false" outlineLevel="0" collapsed="false">
      <c r="A3889" s="28" t="s">
        <v>198</v>
      </c>
      <c r="B3889" s="28" t="s">
        <v>199</v>
      </c>
      <c r="C3889" s="28" t="s">
        <v>192</v>
      </c>
      <c r="D3889" s="23" t="n">
        <v>12</v>
      </c>
      <c r="E3889" s="23" t="n">
        <v>2</v>
      </c>
      <c r="F3889" s="28" t="s">
        <v>911</v>
      </c>
      <c r="G3889" s="19" t="n">
        <v>0.046333</v>
      </c>
    </row>
    <row r="3890" customFormat="false" ht="15" hidden="false" customHeight="false" outlineLevel="0" collapsed="false">
      <c r="A3890" s="28" t="s">
        <v>198</v>
      </c>
      <c r="B3890" s="28" t="s">
        <v>199</v>
      </c>
      <c r="C3890" s="28" t="s">
        <v>192</v>
      </c>
      <c r="D3890" s="23" t="n">
        <v>12</v>
      </c>
      <c r="E3890" s="23" t="n">
        <v>2</v>
      </c>
      <c r="F3890" s="28" t="s">
        <v>912</v>
      </c>
      <c r="G3890" s="19" t="n">
        <v>0.047733</v>
      </c>
    </row>
    <row r="3891" customFormat="false" ht="15" hidden="false" customHeight="false" outlineLevel="0" collapsed="false">
      <c r="A3891" s="28" t="s">
        <v>198</v>
      </c>
      <c r="B3891" s="28" t="s">
        <v>199</v>
      </c>
      <c r="C3891" s="28" t="s">
        <v>192</v>
      </c>
      <c r="D3891" s="23" t="n">
        <v>12</v>
      </c>
      <c r="E3891" s="23" t="n">
        <v>2</v>
      </c>
      <c r="F3891" s="28" t="s">
        <v>913</v>
      </c>
      <c r="G3891" s="19" t="n">
        <v>0.052633</v>
      </c>
    </row>
    <row r="3892" customFormat="false" ht="15" hidden="false" customHeight="false" outlineLevel="0" collapsed="false">
      <c r="A3892" s="28" t="s">
        <v>198</v>
      </c>
      <c r="B3892" s="28" t="s">
        <v>199</v>
      </c>
      <c r="C3892" s="28" t="s">
        <v>192</v>
      </c>
      <c r="D3892" s="23" t="n">
        <v>12</v>
      </c>
      <c r="E3892" s="23" t="n">
        <v>2</v>
      </c>
      <c r="F3892" s="28" t="s">
        <v>914</v>
      </c>
      <c r="G3892" s="19" t="n">
        <v>0.052433</v>
      </c>
    </row>
    <row r="3893" customFormat="false" ht="15" hidden="false" customHeight="false" outlineLevel="0" collapsed="false">
      <c r="A3893" s="28" t="s">
        <v>198</v>
      </c>
      <c r="B3893" s="28" t="s">
        <v>199</v>
      </c>
      <c r="C3893" s="28" t="s">
        <v>192</v>
      </c>
      <c r="D3893" s="23" t="n">
        <v>12</v>
      </c>
      <c r="E3893" s="23" t="n">
        <v>2</v>
      </c>
      <c r="F3893" s="28" t="s">
        <v>915</v>
      </c>
      <c r="G3893" s="19" t="n">
        <v>0.068233</v>
      </c>
    </row>
    <row r="3894" customFormat="false" ht="15" hidden="false" customHeight="false" outlineLevel="0" collapsed="false">
      <c r="A3894" s="28" t="s">
        <v>198</v>
      </c>
      <c r="B3894" s="28" t="s">
        <v>199</v>
      </c>
      <c r="C3894" s="28" t="s">
        <v>192</v>
      </c>
      <c r="D3894" s="23" t="n">
        <v>12</v>
      </c>
      <c r="E3894" s="23" t="n">
        <v>3</v>
      </c>
      <c r="F3894" s="28" t="s">
        <v>904</v>
      </c>
      <c r="G3894" s="19" t="n">
        <v>0.0413</v>
      </c>
    </row>
    <row r="3895" customFormat="false" ht="15" hidden="false" customHeight="false" outlineLevel="0" collapsed="false">
      <c r="A3895" s="28" t="s">
        <v>198</v>
      </c>
      <c r="B3895" s="28" t="s">
        <v>199</v>
      </c>
      <c r="C3895" s="28" t="s">
        <v>192</v>
      </c>
      <c r="D3895" s="23" t="n">
        <v>12</v>
      </c>
      <c r="E3895" s="23" t="n">
        <v>3</v>
      </c>
      <c r="F3895" s="28" t="s">
        <v>551</v>
      </c>
      <c r="G3895" s="19" t="n">
        <v>0.0725</v>
      </c>
    </row>
    <row r="3896" customFormat="false" ht="15" hidden="false" customHeight="false" outlineLevel="0" collapsed="false">
      <c r="A3896" s="28" t="s">
        <v>198</v>
      </c>
      <c r="B3896" s="28" t="s">
        <v>199</v>
      </c>
      <c r="C3896" s="28" t="s">
        <v>192</v>
      </c>
      <c r="D3896" s="23" t="n">
        <v>12</v>
      </c>
      <c r="E3896" s="23" t="n">
        <v>3</v>
      </c>
      <c r="F3896" s="28" t="s">
        <v>451</v>
      </c>
      <c r="G3896" s="19" t="n">
        <v>0.0411</v>
      </c>
    </row>
    <row r="3897" customFormat="false" ht="15" hidden="false" customHeight="false" outlineLevel="0" collapsed="false">
      <c r="A3897" s="28" t="s">
        <v>198</v>
      </c>
      <c r="B3897" s="28" t="s">
        <v>199</v>
      </c>
      <c r="C3897" s="28" t="s">
        <v>192</v>
      </c>
      <c r="D3897" s="23" t="n">
        <v>12</v>
      </c>
      <c r="E3897" s="23" t="n">
        <v>3</v>
      </c>
      <c r="F3897" s="28" t="s">
        <v>905</v>
      </c>
      <c r="G3897" s="19" t="n">
        <v>0.0437</v>
      </c>
    </row>
    <row r="3898" customFormat="false" ht="15" hidden="false" customHeight="false" outlineLevel="0" collapsed="false">
      <c r="A3898" s="28" t="s">
        <v>198</v>
      </c>
      <c r="B3898" s="28" t="s">
        <v>199</v>
      </c>
      <c r="C3898" s="28" t="s">
        <v>192</v>
      </c>
      <c r="D3898" s="23" t="n">
        <v>12</v>
      </c>
      <c r="E3898" s="23" t="n">
        <v>3</v>
      </c>
      <c r="F3898" s="28" t="s">
        <v>906</v>
      </c>
      <c r="G3898" s="19" t="n">
        <v>0.0451</v>
      </c>
    </row>
    <row r="3899" customFormat="false" ht="15" hidden="false" customHeight="false" outlineLevel="0" collapsed="false">
      <c r="A3899" s="28" t="s">
        <v>198</v>
      </c>
      <c r="B3899" s="28" t="s">
        <v>199</v>
      </c>
      <c r="C3899" s="28" t="s">
        <v>192</v>
      </c>
      <c r="D3899" s="23" t="n">
        <v>12</v>
      </c>
      <c r="E3899" s="23" t="n">
        <v>3</v>
      </c>
      <c r="F3899" s="28" t="s">
        <v>907</v>
      </c>
      <c r="G3899" s="19" t="n">
        <v>0.0448</v>
      </c>
    </row>
    <row r="3900" customFormat="false" ht="15" hidden="false" customHeight="false" outlineLevel="0" collapsed="false">
      <c r="A3900" s="28" t="s">
        <v>198</v>
      </c>
      <c r="B3900" s="28" t="s">
        <v>199</v>
      </c>
      <c r="C3900" s="28" t="s">
        <v>192</v>
      </c>
      <c r="D3900" s="23" t="n">
        <v>12</v>
      </c>
      <c r="E3900" s="23" t="n">
        <v>3</v>
      </c>
      <c r="F3900" s="28" t="s">
        <v>908</v>
      </c>
      <c r="G3900" s="19" t="n">
        <v>0.0464</v>
      </c>
    </row>
    <row r="3901" customFormat="false" ht="15" hidden="false" customHeight="false" outlineLevel="0" collapsed="false">
      <c r="A3901" s="28" t="s">
        <v>198</v>
      </c>
      <c r="B3901" s="28" t="s">
        <v>199</v>
      </c>
      <c r="C3901" s="28" t="s">
        <v>192</v>
      </c>
      <c r="D3901" s="23" t="n">
        <v>12</v>
      </c>
      <c r="E3901" s="23" t="n">
        <v>3</v>
      </c>
      <c r="F3901" s="28" t="s">
        <v>909</v>
      </c>
      <c r="G3901" s="19" t="n">
        <v>0.0465</v>
      </c>
    </row>
    <row r="3902" customFormat="false" ht="15" hidden="false" customHeight="false" outlineLevel="0" collapsed="false">
      <c r="A3902" s="28" t="s">
        <v>198</v>
      </c>
      <c r="B3902" s="28" t="s">
        <v>199</v>
      </c>
      <c r="C3902" s="28" t="s">
        <v>192</v>
      </c>
      <c r="D3902" s="23" t="n">
        <v>12</v>
      </c>
      <c r="E3902" s="23" t="n">
        <v>3</v>
      </c>
      <c r="F3902" s="28" t="s">
        <v>910</v>
      </c>
      <c r="G3902" s="19" t="n">
        <v>0.0469</v>
      </c>
    </row>
    <row r="3903" customFormat="false" ht="15" hidden="false" customHeight="false" outlineLevel="0" collapsed="false">
      <c r="A3903" s="28" t="s">
        <v>198</v>
      </c>
      <c r="B3903" s="28" t="s">
        <v>199</v>
      </c>
      <c r="C3903" s="28" t="s">
        <v>192</v>
      </c>
      <c r="D3903" s="23" t="n">
        <v>12</v>
      </c>
      <c r="E3903" s="23" t="n">
        <v>3</v>
      </c>
      <c r="F3903" s="28" t="s">
        <v>911</v>
      </c>
      <c r="G3903" s="19" t="n">
        <v>0.048</v>
      </c>
    </row>
    <row r="3904" customFormat="false" ht="15" hidden="false" customHeight="false" outlineLevel="0" collapsed="false">
      <c r="A3904" s="28" t="s">
        <v>198</v>
      </c>
      <c r="B3904" s="28" t="s">
        <v>199</v>
      </c>
      <c r="C3904" s="28" t="s">
        <v>192</v>
      </c>
      <c r="D3904" s="23" t="n">
        <v>12</v>
      </c>
      <c r="E3904" s="23" t="n">
        <v>3</v>
      </c>
      <c r="F3904" s="28" t="s">
        <v>912</v>
      </c>
      <c r="G3904" s="19" t="n">
        <v>0.0494</v>
      </c>
    </row>
    <row r="3905" customFormat="false" ht="15" hidden="false" customHeight="false" outlineLevel="0" collapsed="false">
      <c r="A3905" s="28" t="s">
        <v>198</v>
      </c>
      <c r="B3905" s="28" t="s">
        <v>199</v>
      </c>
      <c r="C3905" s="28" t="s">
        <v>192</v>
      </c>
      <c r="D3905" s="23" t="n">
        <v>12</v>
      </c>
      <c r="E3905" s="23" t="n">
        <v>3</v>
      </c>
      <c r="F3905" s="28" t="s">
        <v>913</v>
      </c>
      <c r="G3905" s="19" t="n">
        <v>0.0543</v>
      </c>
    </row>
    <row r="3906" customFormat="false" ht="15" hidden="false" customHeight="false" outlineLevel="0" collapsed="false">
      <c r="A3906" s="28" t="s">
        <v>198</v>
      </c>
      <c r="B3906" s="28" t="s">
        <v>199</v>
      </c>
      <c r="C3906" s="28" t="s">
        <v>192</v>
      </c>
      <c r="D3906" s="23" t="n">
        <v>12</v>
      </c>
      <c r="E3906" s="23" t="n">
        <v>3</v>
      </c>
      <c r="F3906" s="28" t="s">
        <v>914</v>
      </c>
      <c r="G3906" s="19" t="n">
        <v>0.0541</v>
      </c>
    </row>
    <row r="3907" customFormat="false" ht="15" hidden="false" customHeight="false" outlineLevel="0" collapsed="false">
      <c r="A3907" s="28" t="s">
        <v>198</v>
      </c>
      <c r="B3907" s="28" t="s">
        <v>199</v>
      </c>
      <c r="C3907" s="28" t="s">
        <v>192</v>
      </c>
      <c r="D3907" s="23" t="n">
        <v>12</v>
      </c>
      <c r="E3907" s="23" t="n">
        <v>3</v>
      </c>
      <c r="F3907" s="28" t="s">
        <v>915</v>
      </c>
      <c r="G3907" s="19" t="n">
        <v>0.0699</v>
      </c>
    </row>
    <row r="3908" customFormat="false" ht="15" hidden="false" customHeight="false" outlineLevel="0" collapsed="false">
      <c r="A3908" s="28" t="s">
        <v>198</v>
      </c>
      <c r="B3908" s="28" t="s">
        <v>199</v>
      </c>
      <c r="C3908" s="28" t="s">
        <v>192</v>
      </c>
      <c r="D3908" s="23" t="n">
        <v>12</v>
      </c>
      <c r="E3908" s="23" t="n">
        <v>4</v>
      </c>
      <c r="F3908" s="28" t="s">
        <v>904</v>
      </c>
      <c r="G3908" s="19" t="n">
        <v>0.042967</v>
      </c>
    </row>
    <row r="3909" customFormat="false" ht="15" hidden="false" customHeight="false" outlineLevel="0" collapsed="false">
      <c r="A3909" s="28" t="s">
        <v>198</v>
      </c>
      <c r="B3909" s="28" t="s">
        <v>199</v>
      </c>
      <c r="C3909" s="28" t="s">
        <v>192</v>
      </c>
      <c r="D3909" s="23" t="n">
        <v>12</v>
      </c>
      <c r="E3909" s="23" t="n">
        <v>4</v>
      </c>
      <c r="F3909" s="28" t="s">
        <v>551</v>
      </c>
      <c r="G3909" s="19" t="n">
        <v>0.074167</v>
      </c>
    </row>
    <row r="3910" customFormat="false" ht="15" hidden="false" customHeight="false" outlineLevel="0" collapsed="false">
      <c r="A3910" s="28" t="s">
        <v>198</v>
      </c>
      <c r="B3910" s="28" t="s">
        <v>199</v>
      </c>
      <c r="C3910" s="28" t="s">
        <v>192</v>
      </c>
      <c r="D3910" s="23" t="n">
        <v>12</v>
      </c>
      <c r="E3910" s="23" t="n">
        <v>4</v>
      </c>
      <c r="F3910" s="28" t="s">
        <v>451</v>
      </c>
      <c r="G3910" s="19" t="n">
        <v>0.042767</v>
      </c>
    </row>
    <row r="3911" customFormat="false" ht="15" hidden="false" customHeight="false" outlineLevel="0" collapsed="false">
      <c r="A3911" s="28" t="s">
        <v>198</v>
      </c>
      <c r="B3911" s="28" t="s">
        <v>199</v>
      </c>
      <c r="C3911" s="28" t="s">
        <v>192</v>
      </c>
      <c r="D3911" s="23" t="n">
        <v>12</v>
      </c>
      <c r="E3911" s="23" t="n">
        <v>4</v>
      </c>
      <c r="F3911" s="28" t="s">
        <v>905</v>
      </c>
      <c r="G3911" s="19" t="n">
        <v>0.045367</v>
      </c>
    </row>
    <row r="3912" customFormat="false" ht="15" hidden="false" customHeight="false" outlineLevel="0" collapsed="false">
      <c r="A3912" s="28" t="s">
        <v>198</v>
      </c>
      <c r="B3912" s="28" t="s">
        <v>199</v>
      </c>
      <c r="C3912" s="28" t="s">
        <v>192</v>
      </c>
      <c r="D3912" s="23" t="n">
        <v>12</v>
      </c>
      <c r="E3912" s="23" t="n">
        <v>4</v>
      </c>
      <c r="F3912" s="28" t="s">
        <v>906</v>
      </c>
      <c r="G3912" s="19" t="n">
        <v>0.046767</v>
      </c>
    </row>
    <row r="3913" customFormat="false" ht="15" hidden="false" customHeight="false" outlineLevel="0" collapsed="false">
      <c r="A3913" s="28" t="s">
        <v>198</v>
      </c>
      <c r="B3913" s="28" t="s">
        <v>199</v>
      </c>
      <c r="C3913" s="28" t="s">
        <v>192</v>
      </c>
      <c r="D3913" s="23" t="n">
        <v>12</v>
      </c>
      <c r="E3913" s="23" t="n">
        <v>4</v>
      </c>
      <c r="F3913" s="28" t="s">
        <v>907</v>
      </c>
      <c r="G3913" s="19" t="n">
        <v>0.046467</v>
      </c>
    </row>
    <row r="3914" customFormat="false" ht="15" hidden="false" customHeight="false" outlineLevel="0" collapsed="false">
      <c r="A3914" s="28" t="s">
        <v>198</v>
      </c>
      <c r="B3914" s="28" t="s">
        <v>199</v>
      </c>
      <c r="C3914" s="28" t="s">
        <v>192</v>
      </c>
      <c r="D3914" s="23" t="n">
        <v>12</v>
      </c>
      <c r="E3914" s="23" t="n">
        <v>4</v>
      </c>
      <c r="F3914" s="28" t="s">
        <v>908</v>
      </c>
      <c r="G3914" s="19" t="n">
        <v>0.048067</v>
      </c>
    </row>
    <row r="3915" customFormat="false" ht="15" hidden="false" customHeight="false" outlineLevel="0" collapsed="false">
      <c r="A3915" s="28" t="s">
        <v>198</v>
      </c>
      <c r="B3915" s="28" t="s">
        <v>199</v>
      </c>
      <c r="C3915" s="28" t="s">
        <v>192</v>
      </c>
      <c r="D3915" s="23" t="n">
        <v>12</v>
      </c>
      <c r="E3915" s="23" t="n">
        <v>4</v>
      </c>
      <c r="F3915" s="28" t="s">
        <v>909</v>
      </c>
      <c r="G3915" s="19" t="n">
        <v>0.048167</v>
      </c>
    </row>
    <row r="3916" customFormat="false" ht="15" hidden="false" customHeight="false" outlineLevel="0" collapsed="false">
      <c r="A3916" s="28" t="s">
        <v>198</v>
      </c>
      <c r="B3916" s="28" t="s">
        <v>199</v>
      </c>
      <c r="C3916" s="28" t="s">
        <v>192</v>
      </c>
      <c r="D3916" s="23" t="n">
        <v>12</v>
      </c>
      <c r="E3916" s="23" t="n">
        <v>4</v>
      </c>
      <c r="F3916" s="28" t="s">
        <v>910</v>
      </c>
      <c r="G3916" s="19" t="n">
        <v>0.048567</v>
      </c>
    </row>
    <row r="3917" customFormat="false" ht="15" hidden="false" customHeight="false" outlineLevel="0" collapsed="false">
      <c r="A3917" s="28" t="s">
        <v>198</v>
      </c>
      <c r="B3917" s="28" t="s">
        <v>199</v>
      </c>
      <c r="C3917" s="28" t="s">
        <v>192</v>
      </c>
      <c r="D3917" s="23" t="n">
        <v>12</v>
      </c>
      <c r="E3917" s="23" t="n">
        <v>4</v>
      </c>
      <c r="F3917" s="28" t="s">
        <v>911</v>
      </c>
      <c r="G3917" s="19" t="n">
        <v>0.049667</v>
      </c>
    </row>
    <row r="3918" customFormat="false" ht="15" hidden="false" customHeight="false" outlineLevel="0" collapsed="false">
      <c r="A3918" s="28" t="s">
        <v>198</v>
      </c>
      <c r="B3918" s="28" t="s">
        <v>199</v>
      </c>
      <c r="C3918" s="28" t="s">
        <v>192</v>
      </c>
      <c r="D3918" s="23" t="n">
        <v>12</v>
      </c>
      <c r="E3918" s="23" t="n">
        <v>4</v>
      </c>
      <c r="F3918" s="28" t="s">
        <v>912</v>
      </c>
      <c r="G3918" s="19" t="n">
        <v>0.051067</v>
      </c>
    </row>
    <row r="3919" customFormat="false" ht="15" hidden="false" customHeight="false" outlineLevel="0" collapsed="false">
      <c r="A3919" s="28" t="s">
        <v>198</v>
      </c>
      <c r="B3919" s="28" t="s">
        <v>199</v>
      </c>
      <c r="C3919" s="28" t="s">
        <v>192</v>
      </c>
      <c r="D3919" s="23" t="n">
        <v>12</v>
      </c>
      <c r="E3919" s="23" t="n">
        <v>4</v>
      </c>
      <c r="F3919" s="28" t="s">
        <v>913</v>
      </c>
      <c r="G3919" s="19" t="n">
        <v>0.055967</v>
      </c>
    </row>
    <row r="3920" customFormat="false" ht="15" hidden="false" customHeight="false" outlineLevel="0" collapsed="false">
      <c r="A3920" s="28" t="s">
        <v>198</v>
      </c>
      <c r="B3920" s="28" t="s">
        <v>199</v>
      </c>
      <c r="C3920" s="28" t="s">
        <v>192</v>
      </c>
      <c r="D3920" s="23" t="n">
        <v>12</v>
      </c>
      <c r="E3920" s="23" t="n">
        <v>4</v>
      </c>
      <c r="F3920" s="28" t="s">
        <v>914</v>
      </c>
      <c r="G3920" s="19" t="n">
        <v>0.055767</v>
      </c>
    </row>
    <row r="3921" customFormat="false" ht="15" hidden="false" customHeight="false" outlineLevel="0" collapsed="false">
      <c r="A3921" s="28" t="s">
        <v>198</v>
      </c>
      <c r="B3921" s="28" t="s">
        <v>199</v>
      </c>
      <c r="C3921" s="28" t="s">
        <v>192</v>
      </c>
      <c r="D3921" s="23" t="n">
        <v>12</v>
      </c>
      <c r="E3921" s="23" t="n">
        <v>4</v>
      </c>
      <c r="F3921" s="28" t="s">
        <v>915</v>
      </c>
      <c r="G3921" s="19" t="n">
        <v>0.071567</v>
      </c>
    </row>
    <row r="3922" customFormat="false" ht="15" hidden="false" customHeight="false" outlineLevel="0" collapsed="false">
      <c r="A3922" s="28" t="s">
        <v>198</v>
      </c>
      <c r="B3922" s="28" t="s">
        <v>199</v>
      </c>
      <c r="C3922" s="28" t="s">
        <v>192</v>
      </c>
      <c r="D3922" s="23" t="n">
        <v>12</v>
      </c>
      <c r="E3922" s="23" t="n">
        <v>5</v>
      </c>
      <c r="F3922" s="28" t="s">
        <v>904</v>
      </c>
      <c r="G3922" s="19" t="n">
        <v>0.044633</v>
      </c>
    </row>
    <row r="3923" customFormat="false" ht="15" hidden="false" customHeight="false" outlineLevel="0" collapsed="false">
      <c r="A3923" s="28" t="s">
        <v>198</v>
      </c>
      <c r="B3923" s="28" t="s">
        <v>199</v>
      </c>
      <c r="C3923" s="28" t="s">
        <v>192</v>
      </c>
      <c r="D3923" s="23" t="n">
        <v>12</v>
      </c>
      <c r="E3923" s="23" t="n">
        <v>5</v>
      </c>
      <c r="F3923" s="28" t="s">
        <v>551</v>
      </c>
      <c r="G3923" s="19" t="n">
        <v>0.075833</v>
      </c>
    </row>
    <row r="3924" customFormat="false" ht="15" hidden="false" customHeight="false" outlineLevel="0" collapsed="false">
      <c r="A3924" s="28" t="s">
        <v>198</v>
      </c>
      <c r="B3924" s="28" t="s">
        <v>199</v>
      </c>
      <c r="C3924" s="28" t="s">
        <v>192</v>
      </c>
      <c r="D3924" s="23" t="n">
        <v>12</v>
      </c>
      <c r="E3924" s="23" t="n">
        <v>5</v>
      </c>
      <c r="F3924" s="28" t="s">
        <v>451</v>
      </c>
      <c r="G3924" s="19" t="n">
        <v>0.044433</v>
      </c>
    </row>
    <row r="3925" customFormat="false" ht="15" hidden="false" customHeight="false" outlineLevel="0" collapsed="false">
      <c r="A3925" s="28" t="s">
        <v>198</v>
      </c>
      <c r="B3925" s="28" t="s">
        <v>199</v>
      </c>
      <c r="C3925" s="28" t="s">
        <v>192</v>
      </c>
      <c r="D3925" s="23" t="n">
        <v>12</v>
      </c>
      <c r="E3925" s="23" t="n">
        <v>5</v>
      </c>
      <c r="F3925" s="28" t="s">
        <v>905</v>
      </c>
      <c r="G3925" s="19" t="n">
        <v>0.047033</v>
      </c>
    </row>
    <row r="3926" customFormat="false" ht="15" hidden="false" customHeight="false" outlineLevel="0" collapsed="false">
      <c r="A3926" s="28" t="s">
        <v>198</v>
      </c>
      <c r="B3926" s="28" t="s">
        <v>199</v>
      </c>
      <c r="C3926" s="28" t="s">
        <v>192</v>
      </c>
      <c r="D3926" s="23" t="n">
        <v>12</v>
      </c>
      <c r="E3926" s="23" t="n">
        <v>5</v>
      </c>
      <c r="F3926" s="28" t="s">
        <v>906</v>
      </c>
      <c r="G3926" s="19" t="n">
        <v>0.048433</v>
      </c>
    </row>
    <row r="3927" customFormat="false" ht="15" hidden="false" customHeight="false" outlineLevel="0" collapsed="false">
      <c r="A3927" s="28" t="s">
        <v>198</v>
      </c>
      <c r="B3927" s="28" t="s">
        <v>199</v>
      </c>
      <c r="C3927" s="28" t="s">
        <v>192</v>
      </c>
      <c r="D3927" s="23" t="n">
        <v>12</v>
      </c>
      <c r="E3927" s="23" t="n">
        <v>5</v>
      </c>
      <c r="F3927" s="28" t="s">
        <v>907</v>
      </c>
      <c r="G3927" s="19" t="n">
        <v>0.048133</v>
      </c>
    </row>
    <row r="3928" customFormat="false" ht="15" hidden="false" customHeight="false" outlineLevel="0" collapsed="false">
      <c r="A3928" s="28" t="s">
        <v>198</v>
      </c>
      <c r="B3928" s="28" t="s">
        <v>199</v>
      </c>
      <c r="C3928" s="28" t="s">
        <v>192</v>
      </c>
      <c r="D3928" s="23" t="n">
        <v>12</v>
      </c>
      <c r="E3928" s="23" t="n">
        <v>5</v>
      </c>
      <c r="F3928" s="28" t="s">
        <v>908</v>
      </c>
      <c r="G3928" s="19" t="n">
        <v>0.049733</v>
      </c>
    </row>
    <row r="3929" customFormat="false" ht="15" hidden="false" customHeight="false" outlineLevel="0" collapsed="false">
      <c r="A3929" s="28" t="s">
        <v>198</v>
      </c>
      <c r="B3929" s="28" t="s">
        <v>199</v>
      </c>
      <c r="C3929" s="28" t="s">
        <v>192</v>
      </c>
      <c r="D3929" s="23" t="n">
        <v>12</v>
      </c>
      <c r="E3929" s="23" t="n">
        <v>5</v>
      </c>
      <c r="F3929" s="28" t="s">
        <v>909</v>
      </c>
      <c r="G3929" s="19" t="n">
        <v>0.049833</v>
      </c>
    </row>
    <row r="3930" customFormat="false" ht="15" hidden="false" customHeight="false" outlineLevel="0" collapsed="false">
      <c r="A3930" s="28" t="s">
        <v>198</v>
      </c>
      <c r="B3930" s="28" t="s">
        <v>199</v>
      </c>
      <c r="C3930" s="28" t="s">
        <v>192</v>
      </c>
      <c r="D3930" s="23" t="n">
        <v>12</v>
      </c>
      <c r="E3930" s="23" t="n">
        <v>5</v>
      </c>
      <c r="F3930" s="28" t="s">
        <v>910</v>
      </c>
      <c r="G3930" s="19" t="n">
        <v>0.050233</v>
      </c>
    </row>
    <row r="3931" customFormat="false" ht="15" hidden="false" customHeight="false" outlineLevel="0" collapsed="false">
      <c r="A3931" s="28" t="s">
        <v>198</v>
      </c>
      <c r="B3931" s="28" t="s">
        <v>199</v>
      </c>
      <c r="C3931" s="28" t="s">
        <v>192</v>
      </c>
      <c r="D3931" s="23" t="n">
        <v>12</v>
      </c>
      <c r="E3931" s="23" t="n">
        <v>5</v>
      </c>
      <c r="F3931" s="28" t="s">
        <v>911</v>
      </c>
      <c r="G3931" s="19" t="n">
        <v>0.051333</v>
      </c>
    </row>
    <row r="3932" customFormat="false" ht="15" hidden="false" customHeight="false" outlineLevel="0" collapsed="false">
      <c r="A3932" s="28" t="s">
        <v>198</v>
      </c>
      <c r="B3932" s="28" t="s">
        <v>199</v>
      </c>
      <c r="C3932" s="28" t="s">
        <v>192</v>
      </c>
      <c r="D3932" s="23" t="n">
        <v>12</v>
      </c>
      <c r="E3932" s="23" t="n">
        <v>5</v>
      </c>
      <c r="F3932" s="28" t="s">
        <v>912</v>
      </c>
      <c r="G3932" s="19" t="n">
        <v>0.052733</v>
      </c>
    </row>
    <row r="3933" customFormat="false" ht="15" hidden="false" customHeight="false" outlineLevel="0" collapsed="false">
      <c r="A3933" s="28" t="s">
        <v>198</v>
      </c>
      <c r="B3933" s="28" t="s">
        <v>199</v>
      </c>
      <c r="C3933" s="28" t="s">
        <v>192</v>
      </c>
      <c r="D3933" s="23" t="n">
        <v>12</v>
      </c>
      <c r="E3933" s="23" t="n">
        <v>5</v>
      </c>
      <c r="F3933" s="28" t="s">
        <v>913</v>
      </c>
      <c r="G3933" s="19" t="n">
        <v>0.057633</v>
      </c>
    </row>
    <row r="3934" customFormat="false" ht="15" hidden="false" customHeight="false" outlineLevel="0" collapsed="false">
      <c r="A3934" s="28" t="s">
        <v>198</v>
      </c>
      <c r="B3934" s="28" t="s">
        <v>199</v>
      </c>
      <c r="C3934" s="28" t="s">
        <v>192</v>
      </c>
      <c r="D3934" s="23" t="n">
        <v>12</v>
      </c>
      <c r="E3934" s="23" t="n">
        <v>5</v>
      </c>
      <c r="F3934" s="28" t="s">
        <v>914</v>
      </c>
      <c r="G3934" s="19" t="n">
        <v>0.057433</v>
      </c>
    </row>
    <row r="3935" customFormat="false" ht="15" hidden="false" customHeight="false" outlineLevel="0" collapsed="false">
      <c r="A3935" s="28" t="s">
        <v>198</v>
      </c>
      <c r="B3935" s="28" t="s">
        <v>199</v>
      </c>
      <c r="C3935" s="28" t="s">
        <v>192</v>
      </c>
      <c r="D3935" s="23" t="n">
        <v>12</v>
      </c>
      <c r="E3935" s="23" t="n">
        <v>5</v>
      </c>
      <c r="F3935" s="28" t="s">
        <v>915</v>
      </c>
      <c r="G3935" s="19" t="n">
        <v>0.073233</v>
      </c>
    </row>
    <row r="3936" customFormat="false" ht="15" hidden="false" customHeight="false" outlineLevel="0" collapsed="false">
      <c r="A3936" s="28" t="s">
        <v>198</v>
      </c>
      <c r="B3936" s="28" t="s">
        <v>199</v>
      </c>
      <c r="C3936" s="28" t="s">
        <v>192</v>
      </c>
      <c r="D3936" s="23" t="n">
        <v>12</v>
      </c>
      <c r="E3936" s="23" t="n">
        <v>6</v>
      </c>
      <c r="F3936" s="28" t="s">
        <v>904</v>
      </c>
      <c r="G3936" s="19" t="n">
        <v>0.0463</v>
      </c>
    </row>
    <row r="3937" customFormat="false" ht="15" hidden="false" customHeight="false" outlineLevel="0" collapsed="false">
      <c r="A3937" s="28" t="s">
        <v>198</v>
      </c>
      <c r="B3937" s="28" t="s">
        <v>199</v>
      </c>
      <c r="C3937" s="28" t="s">
        <v>192</v>
      </c>
      <c r="D3937" s="23" t="n">
        <v>12</v>
      </c>
      <c r="E3937" s="23" t="n">
        <v>6</v>
      </c>
      <c r="F3937" s="28" t="s">
        <v>551</v>
      </c>
      <c r="G3937" s="19" t="n">
        <v>0.0775</v>
      </c>
    </row>
    <row r="3938" customFormat="false" ht="15" hidden="false" customHeight="false" outlineLevel="0" collapsed="false">
      <c r="A3938" s="28" t="s">
        <v>198</v>
      </c>
      <c r="B3938" s="28" t="s">
        <v>199</v>
      </c>
      <c r="C3938" s="28" t="s">
        <v>192</v>
      </c>
      <c r="D3938" s="23" t="n">
        <v>12</v>
      </c>
      <c r="E3938" s="23" t="n">
        <v>6</v>
      </c>
      <c r="F3938" s="28" t="s">
        <v>451</v>
      </c>
      <c r="G3938" s="19" t="n">
        <v>0.0461</v>
      </c>
    </row>
    <row r="3939" customFormat="false" ht="15" hidden="false" customHeight="false" outlineLevel="0" collapsed="false">
      <c r="A3939" s="28" t="s">
        <v>198</v>
      </c>
      <c r="B3939" s="28" t="s">
        <v>199</v>
      </c>
      <c r="C3939" s="28" t="s">
        <v>192</v>
      </c>
      <c r="D3939" s="23" t="n">
        <v>12</v>
      </c>
      <c r="E3939" s="23" t="n">
        <v>6</v>
      </c>
      <c r="F3939" s="28" t="s">
        <v>905</v>
      </c>
      <c r="G3939" s="19" t="n">
        <v>0.0487</v>
      </c>
    </row>
    <row r="3940" customFormat="false" ht="15" hidden="false" customHeight="false" outlineLevel="0" collapsed="false">
      <c r="A3940" s="28" t="s">
        <v>198</v>
      </c>
      <c r="B3940" s="28" t="s">
        <v>199</v>
      </c>
      <c r="C3940" s="28" t="s">
        <v>192</v>
      </c>
      <c r="D3940" s="23" t="n">
        <v>12</v>
      </c>
      <c r="E3940" s="23" t="n">
        <v>6</v>
      </c>
      <c r="F3940" s="28" t="s">
        <v>906</v>
      </c>
      <c r="G3940" s="19" t="n">
        <v>0.0501</v>
      </c>
    </row>
    <row r="3941" customFormat="false" ht="15" hidden="false" customHeight="false" outlineLevel="0" collapsed="false">
      <c r="A3941" s="28" t="s">
        <v>198</v>
      </c>
      <c r="B3941" s="28" t="s">
        <v>199</v>
      </c>
      <c r="C3941" s="28" t="s">
        <v>192</v>
      </c>
      <c r="D3941" s="23" t="n">
        <v>12</v>
      </c>
      <c r="E3941" s="23" t="n">
        <v>6</v>
      </c>
      <c r="F3941" s="28" t="s">
        <v>907</v>
      </c>
      <c r="G3941" s="19" t="n">
        <v>0.0498</v>
      </c>
    </row>
    <row r="3942" customFormat="false" ht="15" hidden="false" customHeight="false" outlineLevel="0" collapsed="false">
      <c r="A3942" s="28" t="s">
        <v>198</v>
      </c>
      <c r="B3942" s="28" t="s">
        <v>199</v>
      </c>
      <c r="C3942" s="28" t="s">
        <v>192</v>
      </c>
      <c r="D3942" s="23" t="n">
        <v>12</v>
      </c>
      <c r="E3942" s="23" t="n">
        <v>6</v>
      </c>
      <c r="F3942" s="28" t="s">
        <v>908</v>
      </c>
      <c r="G3942" s="19" t="n">
        <v>0.0514</v>
      </c>
    </row>
    <row r="3943" customFormat="false" ht="15" hidden="false" customHeight="false" outlineLevel="0" collapsed="false">
      <c r="A3943" s="28" t="s">
        <v>198</v>
      </c>
      <c r="B3943" s="28" t="s">
        <v>199</v>
      </c>
      <c r="C3943" s="28" t="s">
        <v>192</v>
      </c>
      <c r="D3943" s="23" t="n">
        <v>12</v>
      </c>
      <c r="E3943" s="23" t="n">
        <v>6</v>
      </c>
      <c r="F3943" s="28" t="s">
        <v>909</v>
      </c>
      <c r="G3943" s="19" t="n">
        <v>0.0515</v>
      </c>
    </row>
    <row r="3944" customFormat="false" ht="15" hidden="false" customHeight="false" outlineLevel="0" collapsed="false">
      <c r="A3944" s="28" t="s">
        <v>198</v>
      </c>
      <c r="B3944" s="28" t="s">
        <v>199</v>
      </c>
      <c r="C3944" s="28" t="s">
        <v>192</v>
      </c>
      <c r="D3944" s="23" t="n">
        <v>12</v>
      </c>
      <c r="E3944" s="23" t="n">
        <v>6</v>
      </c>
      <c r="F3944" s="28" t="s">
        <v>910</v>
      </c>
      <c r="G3944" s="19" t="n">
        <v>0.0519</v>
      </c>
    </row>
    <row r="3945" customFormat="false" ht="15" hidden="false" customHeight="false" outlineLevel="0" collapsed="false">
      <c r="A3945" s="28" t="s">
        <v>198</v>
      </c>
      <c r="B3945" s="28" t="s">
        <v>199</v>
      </c>
      <c r="C3945" s="28" t="s">
        <v>192</v>
      </c>
      <c r="D3945" s="23" t="n">
        <v>12</v>
      </c>
      <c r="E3945" s="23" t="n">
        <v>6</v>
      </c>
      <c r="F3945" s="28" t="s">
        <v>911</v>
      </c>
      <c r="G3945" s="19" t="n">
        <v>0.053</v>
      </c>
    </row>
    <row r="3946" customFormat="false" ht="15" hidden="false" customHeight="false" outlineLevel="0" collapsed="false">
      <c r="A3946" s="28" t="s">
        <v>198</v>
      </c>
      <c r="B3946" s="28" t="s">
        <v>199</v>
      </c>
      <c r="C3946" s="28" t="s">
        <v>192</v>
      </c>
      <c r="D3946" s="23" t="n">
        <v>12</v>
      </c>
      <c r="E3946" s="23" t="n">
        <v>6</v>
      </c>
      <c r="F3946" s="28" t="s">
        <v>912</v>
      </c>
      <c r="G3946" s="19" t="n">
        <v>0.0544</v>
      </c>
    </row>
    <row r="3947" customFormat="false" ht="15" hidden="false" customHeight="false" outlineLevel="0" collapsed="false">
      <c r="A3947" s="28" t="s">
        <v>198</v>
      </c>
      <c r="B3947" s="28" t="s">
        <v>199</v>
      </c>
      <c r="C3947" s="28" t="s">
        <v>192</v>
      </c>
      <c r="D3947" s="23" t="n">
        <v>12</v>
      </c>
      <c r="E3947" s="23" t="n">
        <v>6</v>
      </c>
      <c r="F3947" s="28" t="s">
        <v>913</v>
      </c>
      <c r="G3947" s="19" t="n">
        <v>0.0593</v>
      </c>
    </row>
    <row r="3948" customFormat="false" ht="15" hidden="false" customHeight="false" outlineLevel="0" collapsed="false">
      <c r="A3948" s="28" t="s">
        <v>198</v>
      </c>
      <c r="B3948" s="28" t="s">
        <v>199</v>
      </c>
      <c r="C3948" s="28" t="s">
        <v>192</v>
      </c>
      <c r="D3948" s="23" t="n">
        <v>12</v>
      </c>
      <c r="E3948" s="23" t="n">
        <v>6</v>
      </c>
      <c r="F3948" s="28" t="s">
        <v>914</v>
      </c>
      <c r="G3948" s="19" t="n">
        <v>0.0591</v>
      </c>
    </row>
    <row r="3949" customFormat="false" ht="15" hidden="false" customHeight="false" outlineLevel="0" collapsed="false">
      <c r="A3949" s="28" t="s">
        <v>198</v>
      </c>
      <c r="B3949" s="28" t="s">
        <v>199</v>
      </c>
      <c r="C3949" s="28" t="s">
        <v>192</v>
      </c>
      <c r="D3949" s="23" t="n">
        <v>12</v>
      </c>
      <c r="E3949" s="23" t="n">
        <v>6</v>
      </c>
      <c r="F3949" s="28" t="s">
        <v>915</v>
      </c>
      <c r="G3949" s="19" t="n">
        <v>0.0749</v>
      </c>
    </row>
    <row r="3950" customFormat="false" ht="15" hidden="false" customHeight="false" outlineLevel="0" collapsed="false">
      <c r="A3950" s="28" t="s">
        <v>198</v>
      </c>
      <c r="B3950" s="28" t="s">
        <v>199</v>
      </c>
      <c r="C3950" s="28" t="s">
        <v>192</v>
      </c>
      <c r="D3950" s="23" t="n">
        <v>12</v>
      </c>
      <c r="E3950" s="23" t="n">
        <v>7</v>
      </c>
      <c r="F3950" s="28" t="s">
        <v>904</v>
      </c>
      <c r="G3950" s="19" t="n">
        <v>0.047967</v>
      </c>
    </row>
    <row r="3951" customFormat="false" ht="15" hidden="false" customHeight="false" outlineLevel="0" collapsed="false">
      <c r="A3951" s="28" t="s">
        <v>198</v>
      </c>
      <c r="B3951" s="28" t="s">
        <v>199</v>
      </c>
      <c r="C3951" s="28" t="s">
        <v>192</v>
      </c>
      <c r="D3951" s="23" t="n">
        <v>12</v>
      </c>
      <c r="E3951" s="23" t="n">
        <v>7</v>
      </c>
      <c r="F3951" s="28" t="s">
        <v>551</v>
      </c>
      <c r="G3951" s="19" t="n">
        <v>0.079167</v>
      </c>
    </row>
    <row r="3952" customFormat="false" ht="15" hidden="false" customHeight="false" outlineLevel="0" collapsed="false">
      <c r="A3952" s="28" t="s">
        <v>198</v>
      </c>
      <c r="B3952" s="28" t="s">
        <v>199</v>
      </c>
      <c r="C3952" s="28" t="s">
        <v>192</v>
      </c>
      <c r="D3952" s="23" t="n">
        <v>12</v>
      </c>
      <c r="E3952" s="23" t="n">
        <v>7</v>
      </c>
      <c r="F3952" s="28" t="s">
        <v>451</v>
      </c>
      <c r="G3952" s="19" t="n">
        <v>0.047767</v>
      </c>
    </row>
    <row r="3953" customFormat="false" ht="15" hidden="false" customHeight="false" outlineLevel="0" collapsed="false">
      <c r="A3953" s="28" t="s">
        <v>198</v>
      </c>
      <c r="B3953" s="28" t="s">
        <v>199</v>
      </c>
      <c r="C3953" s="28" t="s">
        <v>192</v>
      </c>
      <c r="D3953" s="23" t="n">
        <v>12</v>
      </c>
      <c r="E3953" s="23" t="n">
        <v>7</v>
      </c>
      <c r="F3953" s="28" t="s">
        <v>905</v>
      </c>
      <c r="G3953" s="19" t="n">
        <v>0.050367</v>
      </c>
    </row>
    <row r="3954" customFormat="false" ht="15" hidden="false" customHeight="false" outlineLevel="0" collapsed="false">
      <c r="A3954" s="28" t="s">
        <v>198</v>
      </c>
      <c r="B3954" s="28" t="s">
        <v>199</v>
      </c>
      <c r="C3954" s="28" t="s">
        <v>192</v>
      </c>
      <c r="D3954" s="23" t="n">
        <v>12</v>
      </c>
      <c r="E3954" s="23" t="n">
        <v>7</v>
      </c>
      <c r="F3954" s="28" t="s">
        <v>906</v>
      </c>
      <c r="G3954" s="19" t="n">
        <v>0.051767</v>
      </c>
    </row>
    <row r="3955" customFormat="false" ht="15" hidden="false" customHeight="false" outlineLevel="0" collapsed="false">
      <c r="A3955" s="28" t="s">
        <v>198</v>
      </c>
      <c r="B3955" s="28" t="s">
        <v>199</v>
      </c>
      <c r="C3955" s="28" t="s">
        <v>192</v>
      </c>
      <c r="D3955" s="23" t="n">
        <v>12</v>
      </c>
      <c r="E3955" s="23" t="n">
        <v>7</v>
      </c>
      <c r="F3955" s="28" t="s">
        <v>907</v>
      </c>
      <c r="G3955" s="19" t="n">
        <v>0.051467</v>
      </c>
    </row>
    <row r="3956" customFormat="false" ht="15" hidden="false" customHeight="false" outlineLevel="0" collapsed="false">
      <c r="A3956" s="28" t="s">
        <v>198</v>
      </c>
      <c r="B3956" s="28" t="s">
        <v>199</v>
      </c>
      <c r="C3956" s="28" t="s">
        <v>192</v>
      </c>
      <c r="D3956" s="23" t="n">
        <v>12</v>
      </c>
      <c r="E3956" s="23" t="n">
        <v>7</v>
      </c>
      <c r="F3956" s="28" t="s">
        <v>908</v>
      </c>
      <c r="G3956" s="19" t="n">
        <v>0.053067</v>
      </c>
    </row>
    <row r="3957" customFormat="false" ht="15" hidden="false" customHeight="false" outlineLevel="0" collapsed="false">
      <c r="A3957" s="28" t="s">
        <v>198</v>
      </c>
      <c r="B3957" s="28" t="s">
        <v>199</v>
      </c>
      <c r="C3957" s="28" t="s">
        <v>192</v>
      </c>
      <c r="D3957" s="23" t="n">
        <v>12</v>
      </c>
      <c r="E3957" s="23" t="n">
        <v>7</v>
      </c>
      <c r="F3957" s="28" t="s">
        <v>909</v>
      </c>
      <c r="G3957" s="19" t="n">
        <v>0.053167</v>
      </c>
    </row>
    <row r="3958" customFormat="false" ht="15" hidden="false" customHeight="false" outlineLevel="0" collapsed="false">
      <c r="A3958" s="28" t="s">
        <v>198</v>
      </c>
      <c r="B3958" s="28" t="s">
        <v>199</v>
      </c>
      <c r="C3958" s="28" t="s">
        <v>192</v>
      </c>
      <c r="D3958" s="23" t="n">
        <v>12</v>
      </c>
      <c r="E3958" s="23" t="n">
        <v>7</v>
      </c>
      <c r="F3958" s="28" t="s">
        <v>910</v>
      </c>
      <c r="G3958" s="19" t="n">
        <v>0.053567</v>
      </c>
    </row>
    <row r="3959" customFormat="false" ht="15" hidden="false" customHeight="false" outlineLevel="0" collapsed="false">
      <c r="A3959" s="28" t="s">
        <v>198</v>
      </c>
      <c r="B3959" s="28" t="s">
        <v>199</v>
      </c>
      <c r="C3959" s="28" t="s">
        <v>192</v>
      </c>
      <c r="D3959" s="23" t="n">
        <v>12</v>
      </c>
      <c r="E3959" s="23" t="n">
        <v>7</v>
      </c>
      <c r="F3959" s="28" t="s">
        <v>911</v>
      </c>
      <c r="G3959" s="19" t="n">
        <v>0.054667</v>
      </c>
    </row>
    <row r="3960" customFormat="false" ht="15" hidden="false" customHeight="false" outlineLevel="0" collapsed="false">
      <c r="A3960" s="28" t="s">
        <v>198</v>
      </c>
      <c r="B3960" s="28" t="s">
        <v>199</v>
      </c>
      <c r="C3960" s="28" t="s">
        <v>192</v>
      </c>
      <c r="D3960" s="23" t="n">
        <v>12</v>
      </c>
      <c r="E3960" s="23" t="n">
        <v>7</v>
      </c>
      <c r="F3960" s="28" t="s">
        <v>912</v>
      </c>
      <c r="G3960" s="19" t="n">
        <v>0.056067</v>
      </c>
    </row>
    <row r="3961" customFormat="false" ht="15" hidden="false" customHeight="false" outlineLevel="0" collapsed="false">
      <c r="A3961" s="28" t="s">
        <v>198</v>
      </c>
      <c r="B3961" s="28" t="s">
        <v>199</v>
      </c>
      <c r="C3961" s="28" t="s">
        <v>192</v>
      </c>
      <c r="D3961" s="23" t="n">
        <v>12</v>
      </c>
      <c r="E3961" s="23" t="n">
        <v>7</v>
      </c>
      <c r="F3961" s="28" t="s">
        <v>913</v>
      </c>
      <c r="G3961" s="19" t="n">
        <v>0.060967</v>
      </c>
    </row>
    <row r="3962" customFormat="false" ht="15" hidden="false" customHeight="false" outlineLevel="0" collapsed="false">
      <c r="A3962" s="28" t="s">
        <v>198</v>
      </c>
      <c r="B3962" s="28" t="s">
        <v>199</v>
      </c>
      <c r="C3962" s="28" t="s">
        <v>192</v>
      </c>
      <c r="D3962" s="23" t="n">
        <v>12</v>
      </c>
      <c r="E3962" s="23" t="n">
        <v>7</v>
      </c>
      <c r="F3962" s="28" t="s">
        <v>914</v>
      </c>
      <c r="G3962" s="19" t="n">
        <v>0.060767</v>
      </c>
    </row>
    <row r="3963" customFormat="false" ht="15" hidden="false" customHeight="false" outlineLevel="0" collapsed="false">
      <c r="A3963" s="28" t="s">
        <v>198</v>
      </c>
      <c r="B3963" s="28" t="s">
        <v>199</v>
      </c>
      <c r="C3963" s="28" t="s">
        <v>192</v>
      </c>
      <c r="D3963" s="23" t="n">
        <v>12</v>
      </c>
      <c r="E3963" s="23" t="n">
        <v>7</v>
      </c>
      <c r="F3963" s="28" t="s">
        <v>915</v>
      </c>
      <c r="G3963" s="19" t="n">
        <v>0.076567</v>
      </c>
    </row>
    <row r="3964" customFormat="false" ht="15" hidden="false" customHeight="false" outlineLevel="0" collapsed="false">
      <c r="A3964" s="28" t="s">
        <v>198</v>
      </c>
      <c r="B3964" s="28" t="s">
        <v>199</v>
      </c>
      <c r="C3964" s="28" t="s">
        <v>192</v>
      </c>
      <c r="D3964" s="23" t="n">
        <v>12</v>
      </c>
      <c r="E3964" s="23" t="n">
        <v>8</v>
      </c>
      <c r="F3964" s="28" t="s">
        <v>904</v>
      </c>
      <c r="G3964" s="19" t="n">
        <v>0.049633</v>
      </c>
    </row>
    <row r="3965" customFormat="false" ht="15" hidden="false" customHeight="false" outlineLevel="0" collapsed="false">
      <c r="A3965" s="28" t="s">
        <v>198</v>
      </c>
      <c r="B3965" s="28" t="s">
        <v>199</v>
      </c>
      <c r="C3965" s="28" t="s">
        <v>192</v>
      </c>
      <c r="D3965" s="23" t="n">
        <v>12</v>
      </c>
      <c r="E3965" s="23" t="n">
        <v>8</v>
      </c>
      <c r="F3965" s="28" t="s">
        <v>551</v>
      </c>
      <c r="G3965" s="19" t="n">
        <v>0.080833</v>
      </c>
    </row>
    <row r="3966" customFormat="false" ht="15" hidden="false" customHeight="false" outlineLevel="0" collapsed="false">
      <c r="A3966" s="28" t="s">
        <v>198</v>
      </c>
      <c r="B3966" s="28" t="s">
        <v>199</v>
      </c>
      <c r="C3966" s="28" t="s">
        <v>192</v>
      </c>
      <c r="D3966" s="23" t="n">
        <v>12</v>
      </c>
      <c r="E3966" s="23" t="n">
        <v>8</v>
      </c>
      <c r="F3966" s="28" t="s">
        <v>451</v>
      </c>
      <c r="G3966" s="19" t="n">
        <v>0.049433</v>
      </c>
    </row>
    <row r="3967" customFormat="false" ht="15" hidden="false" customHeight="false" outlineLevel="0" collapsed="false">
      <c r="A3967" s="28" t="s">
        <v>198</v>
      </c>
      <c r="B3967" s="28" t="s">
        <v>199</v>
      </c>
      <c r="C3967" s="28" t="s">
        <v>192</v>
      </c>
      <c r="D3967" s="23" t="n">
        <v>12</v>
      </c>
      <c r="E3967" s="23" t="n">
        <v>8</v>
      </c>
      <c r="F3967" s="28" t="s">
        <v>905</v>
      </c>
      <c r="G3967" s="19" t="n">
        <v>0.052033</v>
      </c>
    </row>
    <row r="3968" customFormat="false" ht="15" hidden="false" customHeight="false" outlineLevel="0" collapsed="false">
      <c r="A3968" s="28" t="s">
        <v>198</v>
      </c>
      <c r="B3968" s="28" t="s">
        <v>199</v>
      </c>
      <c r="C3968" s="28" t="s">
        <v>192</v>
      </c>
      <c r="D3968" s="23" t="n">
        <v>12</v>
      </c>
      <c r="E3968" s="23" t="n">
        <v>8</v>
      </c>
      <c r="F3968" s="28" t="s">
        <v>906</v>
      </c>
      <c r="G3968" s="19" t="n">
        <v>0.053433</v>
      </c>
    </row>
    <row r="3969" customFormat="false" ht="15" hidden="false" customHeight="false" outlineLevel="0" collapsed="false">
      <c r="A3969" s="28" t="s">
        <v>198</v>
      </c>
      <c r="B3969" s="28" t="s">
        <v>199</v>
      </c>
      <c r="C3969" s="28" t="s">
        <v>192</v>
      </c>
      <c r="D3969" s="23" t="n">
        <v>12</v>
      </c>
      <c r="E3969" s="23" t="n">
        <v>8</v>
      </c>
      <c r="F3969" s="28" t="s">
        <v>907</v>
      </c>
      <c r="G3969" s="19" t="n">
        <v>0.053133</v>
      </c>
    </row>
    <row r="3970" customFormat="false" ht="15" hidden="false" customHeight="false" outlineLevel="0" collapsed="false">
      <c r="A3970" s="28" t="s">
        <v>198</v>
      </c>
      <c r="B3970" s="28" t="s">
        <v>199</v>
      </c>
      <c r="C3970" s="28" t="s">
        <v>192</v>
      </c>
      <c r="D3970" s="23" t="n">
        <v>12</v>
      </c>
      <c r="E3970" s="23" t="n">
        <v>8</v>
      </c>
      <c r="F3970" s="28" t="s">
        <v>908</v>
      </c>
      <c r="G3970" s="19" t="n">
        <v>0.054733</v>
      </c>
    </row>
    <row r="3971" customFormat="false" ht="15" hidden="false" customHeight="false" outlineLevel="0" collapsed="false">
      <c r="A3971" s="28" t="s">
        <v>198</v>
      </c>
      <c r="B3971" s="28" t="s">
        <v>199</v>
      </c>
      <c r="C3971" s="28" t="s">
        <v>192</v>
      </c>
      <c r="D3971" s="23" t="n">
        <v>12</v>
      </c>
      <c r="E3971" s="23" t="n">
        <v>8</v>
      </c>
      <c r="F3971" s="28" t="s">
        <v>909</v>
      </c>
      <c r="G3971" s="19" t="n">
        <v>0.054833</v>
      </c>
    </row>
    <row r="3972" customFormat="false" ht="15" hidden="false" customHeight="false" outlineLevel="0" collapsed="false">
      <c r="A3972" s="28" t="s">
        <v>198</v>
      </c>
      <c r="B3972" s="28" t="s">
        <v>199</v>
      </c>
      <c r="C3972" s="28" t="s">
        <v>192</v>
      </c>
      <c r="D3972" s="23" t="n">
        <v>12</v>
      </c>
      <c r="E3972" s="23" t="n">
        <v>8</v>
      </c>
      <c r="F3972" s="28" t="s">
        <v>910</v>
      </c>
      <c r="G3972" s="19" t="n">
        <v>0.055233</v>
      </c>
    </row>
    <row r="3973" customFormat="false" ht="15" hidden="false" customHeight="false" outlineLevel="0" collapsed="false">
      <c r="A3973" s="28" t="s">
        <v>198</v>
      </c>
      <c r="B3973" s="28" t="s">
        <v>199</v>
      </c>
      <c r="C3973" s="28" t="s">
        <v>192</v>
      </c>
      <c r="D3973" s="23" t="n">
        <v>12</v>
      </c>
      <c r="E3973" s="23" t="n">
        <v>8</v>
      </c>
      <c r="F3973" s="28" t="s">
        <v>911</v>
      </c>
      <c r="G3973" s="19" t="n">
        <v>0.056333</v>
      </c>
    </row>
    <row r="3974" customFormat="false" ht="15" hidden="false" customHeight="false" outlineLevel="0" collapsed="false">
      <c r="A3974" s="28" t="s">
        <v>198</v>
      </c>
      <c r="B3974" s="28" t="s">
        <v>199</v>
      </c>
      <c r="C3974" s="28" t="s">
        <v>192</v>
      </c>
      <c r="D3974" s="23" t="n">
        <v>12</v>
      </c>
      <c r="E3974" s="23" t="n">
        <v>8</v>
      </c>
      <c r="F3974" s="28" t="s">
        <v>912</v>
      </c>
      <c r="G3974" s="19" t="n">
        <v>0.057733</v>
      </c>
    </row>
    <row r="3975" customFormat="false" ht="15" hidden="false" customHeight="false" outlineLevel="0" collapsed="false">
      <c r="A3975" s="28" t="s">
        <v>198</v>
      </c>
      <c r="B3975" s="28" t="s">
        <v>199</v>
      </c>
      <c r="C3975" s="28" t="s">
        <v>192</v>
      </c>
      <c r="D3975" s="23" t="n">
        <v>12</v>
      </c>
      <c r="E3975" s="23" t="n">
        <v>8</v>
      </c>
      <c r="F3975" s="28" t="s">
        <v>913</v>
      </c>
      <c r="G3975" s="19" t="n">
        <v>0.062633</v>
      </c>
    </row>
    <row r="3976" customFormat="false" ht="15" hidden="false" customHeight="false" outlineLevel="0" collapsed="false">
      <c r="A3976" s="28" t="s">
        <v>198</v>
      </c>
      <c r="B3976" s="28" t="s">
        <v>199</v>
      </c>
      <c r="C3976" s="28" t="s">
        <v>192</v>
      </c>
      <c r="D3976" s="23" t="n">
        <v>12</v>
      </c>
      <c r="E3976" s="23" t="n">
        <v>8</v>
      </c>
      <c r="F3976" s="28" t="s">
        <v>914</v>
      </c>
      <c r="G3976" s="19" t="n">
        <v>0.062433</v>
      </c>
    </row>
    <row r="3977" customFormat="false" ht="15" hidden="false" customHeight="false" outlineLevel="0" collapsed="false">
      <c r="A3977" s="28" t="s">
        <v>198</v>
      </c>
      <c r="B3977" s="28" t="s">
        <v>199</v>
      </c>
      <c r="C3977" s="28" t="s">
        <v>192</v>
      </c>
      <c r="D3977" s="23" t="n">
        <v>12</v>
      </c>
      <c r="E3977" s="23" t="n">
        <v>8</v>
      </c>
      <c r="F3977" s="28" t="s">
        <v>915</v>
      </c>
      <c r="G3977" s="19" t="n">
        <v>0.078233</v>
      </c>
    </row>
    <row r="3978" customFormat="false" ht="15" hidden="false" customHeight="false" outlineLevel="0" collapsed="false">
      <c r="A3978" s="28" t="s">
        <v>198</v>
      </c>
      <c r="B3978" s="28" t="s">
        <v>199</v>
      </c>
      <c r="C3978" s="28" t="s">
        <v>192</v>
      </c>
      <c r="D3978" s="23" t="n">
        <v>12</v>
      </c>
      <c r="E3978" s="23" t="n">
        <v>9</v>
      </c>
      <c r="F3978" s="28" t="s">
        <v>904</v>
      </c>
      <c r="G3978" s="19" t="n">
        <v>0.0513</v>
      </c>
    </row>
    <row r="3979" customFormat="false" ht="15" hidden="false" customHeight="false" outlineLevel="0" collapsed="false">
      <c r="A3979" s="28" t="s">
        <v>198</v>
      </c>
      <c r="B3979" s="28" t="s">
        <v>199</v>
      </c>
      <c r="C3979" s="28" t="s">
        <v>192</v>
      </c>
      <c r="D3979" s="23" t="n">
        <v>12</v>
      </c>
      <c r="E3979" s="23" t="n">
        <v>9</v>
      </c>
      <c r="F3979" s="28" t="s">
        <v>551</v>
      </c>
      <c r="G3979" s="19" t="n">
        <v>0.0825</v>
      </c>
    </row>
    <row r="3980" customFormat="false" ht="15" hidden="false" customHeight="false" outlineLevel="0" collapsed="false">
      <c r="A3980" s="28" t="s">
        <v>198</v>
      </c>
      <c r="B3980" s="28" t="s">
        <v>199</v>
      </c>
      <c r="C3980" s="28" t="s">
        <v>192</v>
      </c>
      <c r="D3980" s="23" t="n">
        <v>12</v>
      </c>
      <c r="E3980" s="23" t="n">
        <v>9</v>
      </c>
      <c r="F3980" s="28" t="s">
        <v>451</v>
      </c>
      <c r="G3980" s="19" t="n">
        <v>0.0511</v>
      </c>
    </row>
    <row r="3981" customFormat="false" ht="15" hidden="false" customHeight="false" outlineLevel="0" collapsed="false">
      <c r="A3981" s="28" t="s">
        <v>198</v>
      </c>
      <c r="B3981" s="28" t="s">
        <v>199</v>
      </c>
      <c r="C3981" s="28" t="s">
        <v>192</v>
      </c>
      <c r="D3981" s="23" t="n">
        <v>12</v>
      </c>
      <c r="E3981" s="23" t="n">
        <v>9</v>
      </c>
      <c r="F3981" s="28" t="s">
        <v>905</v>
      </c>
      <c r="G3981" s="19" t="n">
        <v>0.0537</v>
      </c>
    </row>
    <row r="3982" customFormat="false" ht="15" hidden="false" customHeight="false" outlineLevel="0" collapsed="false">
      <c r="A3982" s="28" t="s">
        <v>198</v>
      </c>
      <c r="B3982" s="28" t="s">
        <v>199</v>
      </c>
      <c r="C3982" s="28" t="s">
        <v>192</v>
      </c>
      <c r="D3982" s="23" t="n">
        <v>12</v>
      </c>
      <c r="E3982" s="23" t="n">
        <v>9</v>
      </c>
      <c r="F3982" s="28" t="s">
        <v>906</v>
      </c>
      <c r="G3982" s="19" t="n">
        <v>0.0551</v>
      </c>
    </row>
    <row r="3983" customFormat="false" ht="15" hidden="false" customHeight="false" outlineLevel="0" collapsed="false">
      <c r="A3983" s="28" t="s">
        <v>198</v>
      </c>
      <c r="B3983" s="28" t="s">
        <v>199</v>
      </c>
      <c r="C3983" s="28" t="s">
        <v>192</v>
      </c>
      <c r="D3983" s="23" t="n">
        <v>12</v>
      </c>
      <c r="E3983" s="23" t="n">
        <v>9</v>
      </c>
      <c r="F3983" s="28" t="s">
        <v>907</v>
      </c>
      <c r="G3983" s="19" t="n">
        <v>0.0548</v>
      </c>
    </row>
    <row r="3984" customFormat="false" ht="15" hidden="false" customHeight="false" outlineLevel="0" collapsed="false">
      <c r="A3984" s="28" t="s">
        <v>198</v>
      </c>
      <c r="B3984" s="28" t="s">
        <v>199</v>
      </c>
      <c r="C3984" s="28" t="s">
        <v>192</v>
      </c>
      <c r="D3984" s="23" t="n">
        <v>12</v>
      </c>
      <c r="E3984" s="23" t="n">
        <v>9</v>
      </c>
      <c r="F3984" s="28" t="s">
        <v>908</v>
      </c>
      <c r="G3984" s="19" t="n">
        <v>0.0564</v>
      </c>
    </row>
    <row r="3985" customFormat="false" ht="15" hidden="false" customHeight="false" outlineLevel="0" collapsed="false">
      <c r="A3985" s="28" t="s">
        <v>198</v>
      </c>
      <c r="B3985" s="28" t="s">
        <v>199</v>
      </c>
      <c r="C3985" s="28" t="s">
        <v>192</v>
      </c>
      <c r="D3985" s="23" t="n">
        <v>12</v>
      </c>
      <c r="E3985" s="23" t="n">
        <v>9</v>
      </c>
      <c r="F3985" s="28" t="s">
        <v>909</v>
      </c>
      <c r="G3985" s="19" t="n">
        <v>0.0565</v>
      </c>
    </row>
    <row r="3986" customFormat="false" ht="15" hidden="false" customHeight="false" outlineLevel="0" collapsed="false">
      <c r="A3986" s="28" t="s">
        <v>198</v>
      </c>
      <c r="B3986" s="28" t="s">
        <v>199</v>
      </c>
      <c r="C3986" s="28" t="s">
        <v>192</v>
      </c>
      <c r="D3986" s="23" t="n">
        <v>12</v>
      </c>
      <c r="E3986" s="23" t="n">
        <v>9</v>
      </c>
      <c r="F3986" s="28" t="s">
        <v>910</v>
      </c>
      <c r="G3986" s="19" t="n">
        <v>0.0569</v>
      </c>
    </row>
    <row r="3987" customFormat="false" ht="15" hidden="false" customHeight="false" outlineLevel="0" collapsed="false">
      <c r="A3987" s="28" t="s">
        <v>198</v>
      </c>
      <c r="B3987" s="28" t="s">
        <v>199</v>
      </c>
      <c r="C3987" s="28" t="s">
        <v>192</v>
      </c>
      <c r="D3987" s="23" t="n">
        <v>12</v>
      </c>
      <c r="E3987" s="23" t="n">
        <v>9</v>
      </c>
      <c r="F3987" s="28" t="s">
        <v>911</v>
      </c>
      <c r="G3987" s="19" t="n">
        <v>0.058</v>
      </c>
    </row>
    <row r="3988" customFormat="false" ht="15" hidden="false" customHeight="false" outlineLevel="0" collapsed="false">
      <c r="A3988" s="28" t="s">
        <v>198</v>
      </c>
      <c r="B3988" s="28" t="s">
        <v>199</v>
      </c>
      <c r="C3988" s="28" t="s">
        <v>192</v>
      </c>
      <c r="D3988" s="23" t="n">
        <v>12</v>
      </c>
      <c r="E3988" s="23" t="n">
        <v>9</v>
      </c>
      <c r="F3988" s="28" t="s">
        <v>912</v>
      </c>
      <c r="G3988" s="19" t="n">
        <v>0.0594</v>
      </c>
    </row>
    <row r="3989" customFormat="false" ht="15" hidden="false" customHeight="false" outlineLevel="0" collapsed="false">
      <c r="A3989" s="28" t="s">
        <v>198</v>
      </c>
      <c r="B3989" s="28" t="s">
        <v>199</v>
      </c>
      <c r="C3989" s="28" t="s">
        <v>192</v>
      </c>
      <c r="D3989" s="23" t="n">
        <v>12</v>
      </c>
      <c r="E3989" s="23" t="n">
        <v>9</v>
      </c>
      <c r="F3989" s="28" t="s">
        <v>913</v>
      </c>
      <c r="G3989" s="19" t="n">
        <v>0.0643</v>
      </c>
    </row>
    <row r="3990" customFormat="false" ht="15" hidden="false" customHeight="false" outlineLevel="0" collapsed="false">
      <c r="A3990" s="28" t="s">
        <v>198</v>
      </c>
      <c r="B3990" s="28" t="s">
        <v>199</v>
      </c>
      <c r="C3990" s="28" t="s">
        <v>192</v>
      </c>
      <c r="D3990" s="23" t="n">
        <v>12</v>
      </c>
      <c r="E3990" s="23" t="n">
        <v>9</v>
      </c>
      <c r="F3990" s="28" t="s">
        <v>914</v>
      </c>
      <c r="G3990" s="19" t="n">
        <v>0.0641</v>
      </c>
    </row>
    <row r="3991" customFormat="false" ht="15" hidden="false" customHeight="false" outlineLevel="0" collapsed="false">
      <c r="A3991" s="28" t="s">
        <v>198</v>
      </c>
      <c r="B3991" s="28" t="s">
        <v>199</v>
      </c>
      <c r="C3991" s="28" t="s">
        <v>192</v>
      </c>
      <c r="D3991" s="23" t="n">
        <v>12</v>
      </c>
      <c r="E3991" s="23" t="n">
        <v>9</v>
      </c>
      <c r="F3991" s="28" t="s">
        <v>915</v>
      </c>
      <c r="G3991" s="19" t="n">
        <v>0.0799</v>
      </c>
    </row>
    <row r="3992" customFormat="false" ht="15" hidden="false" customHeight="false" outlineLevel="0" collapsed="false">
      <c r="A3992" s="28" t="s">
        <v>198</v>
      </c>
      <c r="B3992" s="28" t="s">
        <v>199</v>
      </c>
      <c r="C3992" s="28" t="s">
        <v>192</v>
      </c>
      <c r="D3992" s="23" t="n">
        <v>12</v>
      </c>
      <c r="E3992" s="23" t="n">
        <v>10</v>
      </c>
      <c r="F3992" s="28" t="s">
        <v>904</v>
      </c>
      <c r="G3992" s="19" t="n">
        <v>0.052967</v>
      </c>
    </row>
    <row r="3993" customFormat="false" ht="15" hidden="false" customHeight="false" outlineLevel="0" collapsed="false">
      <c r="A3993" s="28" t="s">
        <v>198</v>
      </c>
      <c r="B3993" s="28" t="s">
        <v>199</v>
      </c>
      <c r="C3993" s="28" t="s">
        <v>192</v>
      </c>
      <c r="D3993" s="23" t="n">
        <v>12</v>
      </c>
      <c r="E3993" s="23" t="n">
        <v>10</v>
      </c>
      <c r="F3993" s="28" t="s">
        <v>551</v>
      </c>
      <c r="G3993" s="19" t="n">
        <v>0.084167</v>
      </c>
    </row>
    <row r="3994" customFormat="false" ht="15" hidden="false" customHeight="false" outlineLevel="0" collapsed="false">
      <c r="A3994" s="28" t="s">
        <v>198</v>
      </c>
      <c r="B3994" s="28" t="s">
        <v>199</v>
      </c>
      <c r="C3994" s="28" t="s">
        <v>192</v>
      </c>
      <c r="D3994" s="23" t="n">
        <v>12</v>
      </c>
      <c r="E3994" s="23" t="n">
        <v>10</v>
      </c>
      <c r="F3994" s="28" t="s">
        <v>451</v>
      </c>
      <c r="G3994" s="19" t="n">
        <v>0.052767</v>
      </c>
    </row>
    <row r="3995" customFormat="false" ht="15" hidden="false" customHeight="false" outlineLevel="0" collapsed="false">
      <c r="A3995" s="28" t="s">
        <v>198</v>
      </c>
      <c r="B3995" s="28" t="s">
        <v>199</v>
      </c>
      <c r="C3995" s="28" t="s">
        <v>192</v>
      </c>
      <c r="D3995" s="23" t="n">
        <v>12</v>
      </c>
      <c r="E3995" s="23" t="n">
        <v>10</v>
      </c>
      <c r="F3995" s="28" t="s">
        <v>905</v>
      </c>
      <c r="G3995" s="19" t="n">
        <v>0.055367</v>
      </c>
    </row>
    <row r="3996" customFormat="false" ht="15" hidden="false" customHeight="false" outlineLevel="0" collapsed="false">
      <c r="A3996" s="28" t="s">
        <v>198</v>
      </c>
      <c r="B3996" s="28" t="s">
        <v>199</v>
      </c>
      <c r="C3996" s="28" t="s">
        <v>192</v>
      </c>
      <c r="D3996" s="23" t="n">
        <v>12</v>
      </c>
      <c r="E3996" s="23" t="n">
        <v>10</v>
      </c>
      <c r="F3996" s="28" t="s">
        <v>906</v>
      </c>
      <c r="G3996" s="19" t="n">
        <v>0.056767</v>
      </c>
    </row>
    <row r="3997" customFormat="false" ht="15" hidden="false" customHeight="false" outlineLevel="0" collapsed="false">
      <c r="A3997" s="28" t="s">
        <v>198</v>
      </c>
      <c r="B3997" s="28" t="s">
        <v>199</v>
      </c>
      <c r="C3997" s="28" t="s">
        <v>192</v>
      </c>
      <c r="D3997" s="23" t="n">
        <v>12</v>
      </c>
      <c r="E3997" s="23" t="n">
        <v>10</v>
      </c>
      <c r="F3997" s="28" t="s">
        <v>907</v>
      </c>
      <c r="G3997" s="19" t="n">
        <v>0.056467</v>
      </c>
    </row>
    <row r="3998" customFormat="false" ht="15" hidden="false" customHeight="false" outlineLevel="0" collapsed="false">
      <c r="A3998" s="28" t="s">
        <v>198</v>
      </c>
      <c r="B3998" s="28" t="s">
        <v>199</v>
      </c>
      <c r="C3998" s="28" t="s">
        <v>192</v>
      </c>
      <c r="D3998" s="23" t="n">
        <v>12</v>
      </c>
      <c r="E3998" s="23" t="n">
        <v>10</v>
      </c>
      <c r="F3998" s="28" t="s">
        <v>908</v>
      </c>
      <c r="G3998" s="19" t="n">
        <v>0.058067</v>
      </c>
    </row>
    <row r="3999" customFormat="false" ht="15" hidden="false" customHeight="false" outlineLevel="0" collapsed="false">
      <c r="A3999" s="28" t="s">
        <v>198</v>
      </c>
      <c r="B3999" s="28" t="s">
        <v>199</v>
      </c>
      <c r="C3999" s="28" t="s">
        <v>192</v>
      </c>
      <c r="D3999" s="23" t="n">
        <v>12</v>
      </c>
      <c r="E3999" s="23" t="n">
        <v>10</v>
      </c>
      <c r="F3999" s="28" t="s">
        <v>909</v>
      </c>
      <c r="G3999" s="19" t="n">
        <v>0.058167</v>
      </c>
    </row>
    <row r="4000" customFormat="false" ht="15" hidden="false" customHeight="false" outlineLevel="0" collapsed="false">
      <c r="A4000" s="28" t="s">
        <v>198</v>
      </c>
      <c r="B4000" s="28" t="s">
        <v>199</v>
      </c>
      <c r="C4000" s="28" t="s">
        <v>192</v>
      </c>
      <c r="D4000" s="23" t="n">
        <v>12</v>
      </c>
      <c r="E4000" s="23" t="n">
        <v>10</v>
      </c>
      <c r="F4000" s="28" t="s">
        <v>910</v>
      </c>
      <c r="G4000" s="19" t="n">
        <v>0.058567</v>
      </c>
    </row>
    <row r="4001" customFormat="false" ht="15" hidden="false" customHeight="false" outlineLevel="0" collapsed="false">
      <c r="A4001" s="28" t="s">
        <v>198</v>
      </c>
      <c r="B4001" s="28" t="s">
        <v>199</v>
      </c>
      <c r="C4001" s="28" t="s">
        <v>192</v>
      </c>
      <c r="D4001" s="23" t="n">
        <v>12</v>
      </c>
      <c r="E4001" s="23" t="n">
        <v>10</v>
      </c>
      <c r="F4001" s="28" t="s">
        <v>911</v>
      </c>
      <c r="G4001" s="19" t="n">
        <v>0.059667</v>
      </c>
    </row>
    <row r="4002" customFormat="false" ht="15" hidden="false" customHeight="false" outlineLevel="0" collapsed="false">
      <c r="A4002" s="28" t="s">
        <v>198</v>
      </c>
      <c r="B4002" s="28" t="s">
        <v>199</v>
      </c>
      <c r="C4002" s="28" t="s">
        <v>192</v>
      </c>
      <c r="D4002" s="23" t="n">
        <v>12</v>
      </c>
      <c r="E4002" s="23" t="n">
        <v>10</v>
      </c>
      <c r="F4002" s="28" t="s">
        <v>912</v>
      </c>
      <c r="G4002" s="19" t="n">
        <v>0.061067</v>
      </c>
    </row>
    <row r="4003" customFormat="false" ht="15" hidden="false" customHeight="false" outlineLevel="0" collapsed="false">
      <c r="A4003" s="28" t="s">
        <v>198</v>
      </c>
      <c r="B4003" s="28" t="s">
        <v>199</v>
      </c>
      <c r="C4003" s="28" t="s">
        <v>192</v>
      </c>
      <c r="D4003" s="23" t="n">
        <v>12</v>
      </c>
      <c r="E4003" s="23" t="n">
        <v>10</v>
      </c>
      <c r="F4003" s="28" t="s">
        <v>913</v>
      </c>
      <c r="G4003" s="19" t="n">
        <v>0.065967</v>
      </c>
    </row>
    <row r="4004" customFormat="false" ht="15" hidden="false" customHeight="false" outlineLevel="0" collapsed="false">
      <c r="A4004" s="28" t="s">
        <v>198</v>
      </c>
      <c r="B4004" s="28" t="s">
        <v>199</v>
      </c>
      <c r="C4004" s="28" t="s">
        <v>192</v>
      </c>
      <c r="D4004" s="23" t="n">
        <v>12</v>
      </c>
      <c r="E4004" s="23" t="n">
        <v>10</v>
      </c>
      <c r="F4004" s="28" t="s">
        <v>914</v>
      </c>
      <c r="G4004" s="19" t="n">
        <v>0.065767</v>
      </c>
    </row>
    <row r="4005" customFormat="false" ht="15" hidden="false" customHeight="false" outlineLevel="0" collapsed="false">
      <c r="A4005" s="28" t="s">
        <v>198</v>
      </c>
      <c r="B4005" s="28" t="s">
        <v>199</v>
      </c>
      <c r="C4005" s="28" t="s">
        <v>192</v>
      </c>
      <c r="D4005" s="23" t="n">
        <v>12</v>
      </c>
      <c r="E4005" s="23" t="n">
        <v>10</v>
      </c>
      <c r="F4005" s="28" t="s">
        <v>915</v>
      </c>
      <c r="G4005" s="19" t="n">
        <v>0.081567</v>
      </c>
    </row>
    <row r="4006" customFormat="false" ht="15" hidden="false" customHeight="false" outlineLevel="0" collapsed="false">
      <c r="A4006" s="28" t="s">
        <v>198</v>
      </c>
      <c r="B4006" s="28" t="s">
        <v>199</v>
      </c>
      <c r="C4006" s="28" t="s">
        <v>192</v>
      </c>
      <c r="D4006" s="23" t="n">
        <v>12</v>
      </c>
      <c r="E4006" s="23" t="n">
        <v>11</v>
      </c>
      <c r="F4006" s="28" t="s">
        <v>904</v>
      </c>
      <c r="G4006" s="19" t="n">
        <v>0.054633</v>
      </c>
    </row>
    <row r="4007" customFormat="false" ht="15" hidden="false" customHeight="false" outlineLevel="0" collapsed="false">
      <c r="A4007" s="28" t="s">
        <v>198</v>
      </c>
      <c r="B4007" s="28" t="s">
        <v>199</v>
      </c>
      <c r="C4007" s="28" t="s">
        <v>192</v>
      </c>
      <c r="D4007" s="23" t="n">
        <v>12</v>
      </c>
      <c r="E4007" s="23" t="n">
        <v>11</v>
      </c>
      <c r="F4007" s="28" t="s">
        <v>551</v>
      </c>
      <c r="G4007" s="19" t="n">
        <v>0.085833</v>
      </c>
    </row>
    <row r="4008" customFormat="false" ht="15" hidden="false" customHeight="false" outlineLevel="0" collapsed="false">
      <c r="A4008" s="28" t="s">
        <v>198</v>
      </c>
      <c r="B4008" s="28" t="s">
        <v>199</v>
      </c>
      <c r="C4008" s="28" t="s">
        <v>192</v>
      </c>
      <c r="D4008" s="23" t="n">
        <v>12</v>
      </c>
      <c r="E4008" s="23" t="n">
        <v>11</v>
      </c>
      <c r="F4008" s="28" t="s">
        <v>451</v>
      </c>
      <c r="G4008" s="19" t="n">
        <v>0.054433</v>
      </c>
    </row>
    <row r="4009" customFormat="false" ht="15" hidden="false" customHeight="false" outlineLevel="0" collapsed="false">
      <c r="A4009" s="28" t="s">
        <v>198</v>
      </c>
      <c r="B4009" s="28" t="s">
        <v>199</v>
      </c>
      <c r="C4009" s="28" t="s">
        <v>192</v>
      </c>
      <c r="D4009" s="23" t="n">
        <v>12</v>
      </c>
      <c r="E4009" s="23" t="n">
        <v>11</v>
      </c>
      <c r="F4009" s="28" t="s">
        <v>905</v>
      </c>
      <c r="G4009" s="19" t="n">
        <v>0.057033</v>
      </c>
    </row>
    <row r="4010" customFormat="false" ht="15" hidden="false" customHeight="false" outlineLevel="0" collapsed="false">
      <c r="A4010" s="28" t="s">
        <v>198</v>
      </c>
      <c r="B4010" s="28" t="s">
        <v>199</v>
      </c>
      <c r="C4010" s="28" t="s">
        <v>192</v>
      </c>
      <c r="D4010" s="23" t="n">
        <v>12</v>
      </c>
      <c r="E4010" s="23" t="n">
        <v>11</v>
      </c>
      <c r="F4010" s="28" t="s">
        <v>906</v>
      </c>
      <c r="G4010" s="19" t="n">
        <v>0.058433</v>
      </c>
    </row>
    <row r="4011" customFormat="false" ht="15" hidden="false" customHeight="false" outlineLevel="0" collapsed="false">
      <c r="A4011" s="28" t="s">
        <v>198</v>
      </c>
      <c r="B4011" s="28" t="s">
        <v>199</v>
      </c>
      <c r="C4011" s="28" t="s">
        <v>192</v>
      </c>
      <c r="D4011" s="23" t="n">
        <v>12</v>
      </c>
      <c r="E4011" s="23" t="n">
        <v>11</v>
      </c>
      <c r="F4011" s="28" t="s">
        <v>907</v>
      </c>
      <c r="G4011" s="19" t="n">
        <v>0.058133</v>
      </c>
    </row>
    <row r="4012" customFormat="false" ht="15" hidden="false" customHeight="false" outlineLevel="0" collapsed="false">
      <c r="A4012" s="28" t="s">
        <v>198</v>
      </c>
      <c r="B4012" s="28" t="s">
        <v>199</v>
      </c>
      <c r="C4012" s="28" t="s">
        <v>192</v>
      </c>
      <c r="D4012" s="23" t="n">
        <v>12</v>
      </c>
      <c r="E4012" s="23" t="n">
        <v>11</v>
      </c>
      <c r="F4012" s="28" t="s">
        <v>908</v>
      </c>
      <c r="G4012" s="19" t="n">
        <v>0.059733</v>
      </c>
    </row>
    <row r="4013" customFormat="false" ht="15" hidden="false" customHeight="false" outlineLevel="0" collapsed="false">
      <c r="A4013" s="28" t="s">
        <v>198</v>
      </c>
      <c r="B4013" s="28" t="s">
        <v>199</v>
      </c>
      <c r="C4013" s="28" t="s">
        <v>192</v>
      </c>
      <c r="D4013" s="23" t="n">
        <v>12</v>
      </c>
      <c r="E4013" s="23" t="n">
        <v>11</v>
      </c>
      <c r="F4013" s="28" t="s">
        <v>909</v>
      </c>
      <c r="G4013" s="19" t="n">
        <v>0.059833</v>
      </c>
    </row>
    <row r="4014" customFormat="false" ht="15" hidden="false" customHeight="false" outlineLevel="0" collapsed="false">
      <c r="A4014" s="28" t="s">
        <v>198</v>
      </c>
      <c r="B4014" s="28" t="s">
        <v>199</v>
      </c>
      <c r="C4014" s="28" t="s">
        <v>192</v>
      </c>
      <c r="D4014" s="23" t="n">
        <v>12</v>
      </c>
      <c r="E4014" s="23" t="n">
        <v>11</v>
      </c>
      <c r="F4014" s="28" t="s">
        <v>910</v>
      </c>
      <c r="G4014" s="19" t="n">
        <v>0.060233</v>
      </c>
    </row>
    <row r="4015" customFormat="false" ht="15" hidden="false" customHeight="false" outlineLevel="0" collapsed="false">
      <c r="A4015" s="28" t="s">
        <v>198</v>
      </c>
      <c r="B4015" s="28" t="s">
        <v>199</v>
      </c>
      <c r="C4015" s="28" t="s">
        <v>192</v>
      </c>
      <c r="D4015" s="23" t="n">
        <v>12</v>
      </c>
      <c r="E4015" s="23" t="n">
        <v>11</v>
      </c>
      <c r="F4015" s="28" t="s">
        <v>911</v>
      </c>
      <c r="G4015" s="19" t="n">
        <v>0.061333</v>
      </c>
    </row>
    <row r="4016" customFormat="false" ht="15" hidden="false" customHeight="false" outlineLevel="0" collapsed="false">
      <c r="A4016" s="28" t="s">
        <v>198</v>
      </c>
      <c r="B4016" s="28" t="s">
        <v>199</v>
      </c>
      <c r="C4016" s="28" t="s">
        <v>192</v>
      </c>
      <c r="D4016" s="23" t="n">
        <v>12</v>
      </c>
      <c r="E4016" s="23" t="n">
        <v>11</v>
      </c>
      <c r="F4016" s="28" t="s">
        <v>912</v>
      </c>
      <c r="G4016" s="19" t="n">
        <v>0.062733</v>
      </c>
    </row>
    <row r="4017" customFormat="false" ht="15" hidden="false" customHeight="false" outlineLevel="0" collapsed="false">
      <c r="A4017" s="28" t="s">
        <v>198</v>
      </c>
      <c r="B4017" s="28" t="s">
        <v>199</v>
      </c>
      <c r="C4017" s="28" t="s">
        <v>192</v>
      </c>
      <c r="D4017" s="23" t="n">
        <v>12</v>
      </c>
      <c r="E4017" s="23" t="n">
        <v>11</v>
      </c>
      <c r="F4017" s="28" t="s">
        <v>913</v>
      </c>
      <c r="G4017" s="19" t="n">
        <v>0.067633</v>
      </c>
    </row>
    <row r="4018" customFormat="false" ht="15" hidden="false" customHeight="false" outlineLevel="0" collapsed="false">
      <c r="A4018" s="28" t="s">
        <v>198</v>
      </c>
      <c r="B4018" s="28" t="s">
        <v>199</v>
      </c>
      <c r="C4018" s="28" t="s">
        <v>192</v>
      </c>
      <c r="D4018" s="23" t="n">
        <v>12</v>
      </c>
      <c r="E4018" s="23" t="n">
        <v>11</v>
      </c>
      <c r="F4018" s="28" t="s">
        <v>914</v>
      </c>
      <c r="G4018" s="19" t="n">
        <v>0.067433</v>
      </c>
    </row>
    <row r="4019" customFormat="false" ht="15" hidden="false" customHeight="false" outlineLevel="0" collapsed="false">
      <c r="A4019" s="28" t="s">
        <v>198</v>
      </c>
      <c r="B4019" s="28" t="s">
        <v>199</v>
      </c>
      <c r="C4019" s="28" t="s">
        <v>192</v>
      </c>
      <c r="D4019" s="23" t="n">
        <v>12</v>
      </c>
      <c r="E4019" s="23" t="n">
        <v>11</v>
      </c>
      <c r="F4019" s="28" t="s">
        <v>915</v>
      </c>
      <c r="G4019" s="19" t="n">
        <v>0.083233</v>
      </c>
    </row>
    <row r="4020" customFormat="false" ht="15" hidden="false" customHeight="false" outlineLevel="0" collapsed="false">
      <c r="A4020" s="28" t="s">
        <v>198</v>
      </c>
      <c r="B4020" s="28" t="s">
        <v>199</v>
      </c>
      <c r="C4020" s="28" t="s">
        <v>192</v>
      </c>
      <c r="D4020" s="23" t="n">
        <v>12</v>
      </c>
      <c r="E4020" s="23" t="n">
        <v>12</v>
      </c>
      <c r="F4020" s="28" t="s">
        <v>904</v>
      </c>
      <c r="G4020" s="19" t="n">
        <v>0.0563</v>
      </c>
    </row>
    <row r="4021" customFormat="false" ht="15" hidden="false" customHeight="false" outlineLevel="0" collapsed="false">
      <c r="A4021" s="28" t="s">
        <v>198</v>
      </c>
      <c r="B4021" s="28" t="s">
        <v>199</v>
      </c>
      <c r="C4021" s="28" t="s">
        <v>192</v>
      </c>
      <c r="D4021" s="23" t="n">
        <v>12</v>
      </c>
      <c r="E4021" s="23" t="n">
        <v>12</v>
      </c>
      <c r="F4021" s="28" t="s">
        <v>551</v>
      </c>
      <c r="G4021" s="19" t="n">
        <v>0.0875</v>
      </c>
    </row>
    <row r="4022" customFormat="false" ht="15" hidden="false" customHeight="false" outlineLevel="0" collapsed="false">
      <c r="A4022" s="28" t="s">
        <v>198</v>
      </c>
      <c r="B4022" s="28" t="s">
        <v>199</v>
      </c>
      <c r="C4022" s="28" t="s">
        <v>192</v>
      </c>
      <c r="D4022" s="23" t="n">
        <v>12</v>
      </c>
      <c r="E4022" s="23" t="n">
        <v>12</v>
      </c>
      <c r="F4022" s="28" t="s">
        <v>451</v>
      </c>
      <c r="G4022" s="19" t="n">
        <v>0.0561</v>
      </c>
    </row>
    <row r="4023" customFormat="false" ht="15" hidden="false" customHeight="false" outlineLevel="0" collapsed="false">
      <c r="A4023" s="28" t="s">
        <v>198</v>
      </c>
      <c r="B4023" s="28" t="s">
        <v>199</v>
      </c>
      <c r="C4023" s="28" t="s">
        <v>192</v>
      </c>
      <c r="D4023" s="23" t="n">
        <v>12</v>
      </c>
      <c r="E4023" s="23" t="n">
        <v>12</v>
      </c>
      <c r="F4023" s="28" t="s">
        <v>905</v>
      </c>
      <c r="G4023" s="19" t="n">
        <v>0.0587</v>
      </c>
    </row>
    <row r="4024" customFormat="false" ht="15" hidden="false" customHeight="false" outlineLevel="0" collapsed="false">
      <c r="A4024" s="28" t="s">
        <v>198</v>
      </c>
      <c r="B4024" s="28" t="s">
        <v>199</v>
      </c>
      <c r="C4024" s="28" t="s">
        <v>192</v>
      </c>
      <c r="D4024" s="23" t="n">
        <v>12</v>
      </c>
      <c r="E4024" s="23" t="n">
        <v>12</v>
      </c>
      <c r="F4024" s="28" t="s">
        <v>906</v>
      </c>
      <c r="G4024" s="19" t="n">
        <v>0.0601</v>
      </c>
    </row>
    <row r="4025" customFormat="false" ht="15" hidden="false" customHeight="false" outlineLevel="0" collapsed="false">
      <c r="A4025" s="28" t="s">
        <v>198</v>
      </c>
      <c r="B4025" s="28" t="s">
        <v>199</v>
      </c>
      <c r="C4025" s="28" t="s">
        <v>192</v>
      </c>
      <c r="D4025" s="23" t="n">
        <v>12</v>
      </c>
      <c r="E4025" s="23" t="n">
        <v>12</v>
      </c>
      <c r="F4025" s="28" t="s">
        <v>907</v>
      </c>
      <c r="G4025" s="19" t="n">
        <v>0.0598</v>
      </c>
    </row>
    <row r="4026" customFormat="false" ht="15" hidden="false" customHeight="false" outlineLevel="0" collapsed="false">
      <c r="A4026" s="28" t="s">
        <v>198</v>
      </c>
      <c r="B4026" s="28" t="s">
        <v>199</v>
      </c>
      <c r="C4026" s="28" t="s">
        <v>192</v>
      </c>
      <c r="D4026" s="23" t="n">
        <v>12</v>
      </c>
      <c r="E4026" s="23" t="n">
        <v>12</v>
      </c>
      <c r="F4026" s="28" t="s">
        <v>908</v>
      </c>
      <c r="G4026" s="19" t="n">
        <v>0.0614</v>
      </c>
    </row>
    <row r="4027" customFormat="false" ht="15" hidden="false" customHeight="false" outlineLevel="0" collapsed="false">
      <c r="A4027" s="28" t="s">
        <v>198</v>
      </c>
      <c r="B4027" s="28" t="s">
        <v>199</v>
      </c>
      <c r="C4027" s="28" t="s">
        <v>192</v>
      </c>
      <c r="D4027" s="23" t="n">
        <v>12</v>
      </c>
      <c r="E4027" s="23" t="n">
        <v>12</v>
      </c>
      <c r="F4027" s="28" t="s">
        <v>909</v>
      </c>
      <c r="G4027" s="19" t="n">
        <v>0.0615</v>
      </c>
    </row>
    <row r="4028" customFormat="false" ht="15" hidden="false" customHeight="false" outlineLevel="0" collapsed="false">
      <c r="A4028" s="28" t="s">
        <v>198</v>
      </c>
      <c r="B4028" s="28" t="s">
        <v>199</v>
      </c>
      <c r="C4028" s="28" t="s">
        <v>192</v>
      </c>
      <c r="D4028" s="23" t="n">
        <v>12</v>
      </c>
      <c r="E4028" s="23" t="n">
        <v>12</v>
      </c>
      <c r="F4028" s="28" t="s">
        <v>910</v>
      </c>
      <c r="G4028" s="19" t="n">
        <v>0.0619</v>
      </c>
    </row>
    <row r="4029" customFormat="false" ht="15" hidden="false" customHeight="false" outlineLevel="0" collapsed="false">
      <c r="A4029" s="28" t="s">
        <v>198</v>
      </c>
      <c r="B4029" s="28" t="s">
        <v>199</v>
      </c>
      <c r="C4029" s="28" t="s">
        <v>192</v>
      </c>
      <c r="D4029" s="23" t="n">
        <v>12</v>
      </c>
      <c r="E4029" s="23" t="n">
        <v>12</v>
      </c>
      <c r="F4029" s="28" t="s">
        <v>911</v>
      </c>
      <c r="G4029" s="19" t="n">
        <v>0.063</v>
      </c>
    </row>
    <row r="4030" customFormat="false" ht="15" hidden="false" customHeight="false" outlineLevel="0" collapsed="false">
      <c r="A4030" s="28" t="s">
        <v>198</v>
      </c>
      <c r="B4030" s="28" t="s">
        <v>199</v>
      </c>
      <c r="C4030" s="28" t="s">
        <v>192</v>
      </c>
      <c r="D4030" s="23" t="n">
        <v>12</v>
      </c>
      <c r="E4030" s="23" t="n">
        <v>12</v>
      </c>
      <c r="F4030" s="28" t="s">
        <v>912</v>
      </c>
      <c r="G4030" s="19" t="n">
        <v>0.0644</v>
      </c>
    </row>
    <row r="4031" customFormat="false" ht="15" hidden="false" customHeight="false" outlineLevel="0" collapsed="false">
      <c r="A4031" s="28" t="s">
        <v>198</v>
      </c>
      <c r="B4031" s="28" t="s">
        <v>199</v>
      </c>
      <c r="C4031" s="28" t="s">
        <v>192</v>
      </c>
      <c r="D4031" s="23" t="n">
        <v>12</v>
      </c>
      <c r="E4031" s="23" t="n">
        <v>12</v>
      </c>
      <c r="F4031" s="28" t="s">
        <v>913</v>
      </c>
      <c r="G4031" s="19" t="n">
        <v>0.0693</v>
      </c>
    </row>
    <row r="4032" customFormat="false" ht="15" hidden="false" customHeight="false" outlineLevel="0" collapsed="false">
      <c r="A4032" s="28" t="s">
        <v>198</v>
      </c>
      <c r="B4032" s="28" t="s">
        <v>199</v>
      </c>
      <c r="C4032" s="28" t="s">
        <v>192</v>
      </c>
      <c r="D4032" s="23" t="n">
        <v>12</v>
      </c>
      <c r="E4032" s="23" t="n">
        <v>12</v>
      </c>
      <c r="F4032" s="28" t="s">
        <v>914</v>
      </c>
      <c r="G4032" s="19" t="n">
        <v>0.0691</v>
      </c>
    </row>
    <row r="4033" customFormat="false" ht="15" hidden="false" customHeight="false" outlineLevel="0" collapsed="false">
      <c r="A4033" s="28" t="s">
        <v>198</v>
      </c>
      <c r="B4033" s="28" t="s">
        <v>199</v>
      </c>
      <c r="C4033" s="28" t="s">
        <v>192</v>
      </c>
      <c r="D4033" s="23" t="n">
        <v>12</v>
      </c>
      <c r="E4033" s="23" t="n">
        <v>12</v>
      </c>
      <c r="F4033" s="28" t="s">
        <v>915</v>
      </c>
      <c r="G4033" s="19" t="n">
        <v>0.0849</v>
      </c>
    </row>
    <row r="4034" customFormat="false" ht="15" hidden="false" customHeight="false" outlineLevel="0" collapsed="false">
      <c r="A4034" s="28" t="s">
        <v>198</v>
      </c>
      <c r="B4034" s="28" t="s">
        <v>199</v>
      </c>
      <c r="C4034" s="28" t="s">
        <v>192</v>
      </c>
      <c r="D4034" s="23" t="n">
        <v>12</v>
      </c>
      <c r="E4034" s="23" t="n">
        <v>13</v>
      </c>
      <c r="F4034" s="28" t="s">
        <v>904</v>
      </c>
      <c r="G4034" s="19" t="n">
        <v>0.0563</v>
      </c>
    </row>
    <row r="4035" customFormat="false" ht="15" hidden="false" customHeight="false" outlineLevel="0" collapsed="false">
      <c r="A4035" s="28" t="s">
        <v>198</v>
      </c>
      <c r="B4035" s="28" t="s">
        <v>199</v>
      </c>
      <c r="C4035" s="28" t="s">
        <v>192</v>
      </c>
      <c r="D4035" s="23" t="n">
        <v>12</v>
      </c>
      <c r="E4035" s="23" t="n">
        <v>13</v>
      </c>
      <c r="F4035" s="28" t="s">
        <v>551</v>
      </c>
      <c r="G4035" s="19" t="n">
        <v>0.0875</v>
      </c>
    </row>
    <row r="4036" customFormat="false" ht="15" hidden="false" customHeight="false" outlineLevel="0" collapsed="false">
      <c r="A4036" s="28" t="s">
        <v>198</v>
      </c>
      <c r="B4036" s="28" t="s">
        <v>199</v>
      </c>
      <c r="C4036" s="28" t="s">
        <v>192</v>
      </c>
      <c r="D4036" s="23" t="n">
        <v>12</v>
      </c>
      <c r="E4036" s="23" t="n">
        <v>13</v>
      </c>
      <c r="F4036" s="28" t="s">
        <v>451</v>
      </c>
      <c r="G4036" s="19" t="n">
        <v>0.0561</v>
      </c>
    </row>
    <row r="4037" customFormat="false" ht="15" hidden="false" customHeight="false" outlineLevel="0" collapsed="false">
      <c r="A4037" s="28" t="s">
        <v>198</v>
      </c>
      <c r="B4037" s="28" t="s">
        <v>199</v>
      </c>
      <c r="C4037" s="28" t="s">
        <v>192</v>
      </c>
      <c r="D4037" s="23" t="n">
        <v>12</v>
      </c>
      <c r="E4037" s="23" t="n">
        <v>13</v>
      </c>
      <c r="F4037" s="28" t="s">
        <v>905</v>
      </c>
      <c r="G4037" s="19" t="n">
        <v>0.0587</v>
      </c>
    </row>
    <row r="4038" customFormat="false" ht="15" hidden="false" customHeight="false" outlineLevel="0" collapsed="false">
      <c r="A4038" s="28" t="s">
        <v>198</v>
      </c>
      <c r="B4038" s="28" t="s">
        <v>199</v>
      </c>
      <c r="C4038" s="28" t="s">
        <v>192</v>
      </c>
      <c r="D4038" s="23" t="n">
        <v>12</v>
      </c>
      <c r="E4038" s="23" t="n">
        <v>13</v>
      </c>
      <c r="F4038" s="28" t="s">
        <v>906</v>
      </c>
      <c r="G4038" s="19" t="n">
        <v>0.0601</v>
      </c>
    </row>
    <row r="4039" customFormat="false" ht="15" hidden="false" customHeight="false" outlineLevel="0" collapsed="false">
      <c r="A4039" s="28" t="s">
        <v>198</v>
      </c>
      <c r="B4039" s="28" t="s">
        <v>199</v>
      </c>
      <c r="C4039" s="28" t="s">
        <v>192</v>
      </c>
      <c r="D4039" s="23" t="n">
        <v>12</v>
      </c>
      <c r="E4039" s="23" t="n">
        <v>13</v>
      </c>
      <c r="F4039" s="28" t="s">
        <v>907</v>
      </c>
      <c r="G4039" s="19" t="n">
        <v>0.0598</v>
      </c>
    </row>
    <row r="4040" customFormat="false" ht="15" hidden="false" customHeight="false" outlineLevel="0" collapsed="false">
      <c r="A4040" s="28" t="s">
        <v>198</v>
      </c>
      <c r="B4040" s="28" t="s">
        <v>199</v>
      </c>
      <c r="C4040" s="28" t="s">
        <v>192</v>
      </c>
      <c r="D4040" s="23" t="n">
        <v>12</v>
      </c>
      <c r="E4040" s="23" t="n">
        <v>13</v>
      </c>
      <c r="F4040" s="28" t="s">
        <v>908</v>
      </c>
      <c r="G4040" s="19" t="n">
        <v>0.0614</v>
      </c>
    </row>
    <row r="4041" customFormat="false" ht="15" hidden="false" customHeight="false" outlineLevel="0" collapsed="false">
      <c r="A4041" s="28" t="s">
        <v>198</v>
      </c>
      <c r="B4041" s="28" t="s">
        <v>199</v>
      </c>
      <c r="C4041" s="28" t="s">
        <v>192</v>
      </c>
      <c r="D4041" s="23" t="n">
        <v>12</v>
      </c>
      <c r="E4041" s="23" t="n">
        <v>13</v>
      </c>
      <c r="F4041" s="28" t="s">
        <v>909</v>
      </c>
      <c r="G4041" s="19" t="n">
        <v>0.0615</v>
      </c>
    </row>
    <row r="4042" customFormat="false" ht="15" hidden="false" customHeight="false" outlineLevel="0" collapsed="false">
      <c r="A4042" s="28" t="s">
        <v>198</v>
      </c>
      <c r="B4042" s="28" t="s">
        <v>199</v>
      </c>
      <c r="C4042" s="28" t="s">
        <v>192</v>
      </c>
      <c r="D4042" s="23" t="n">
        <v>12</v>
      </c>
      <c r="E4042" s="23" t="n">
        <v>13</v>
      </c>
      <c r="F4042" s="28" t="s">
        <v>910</v>
      </c>
      <c r="G4042" s="19" t="n">
        <v>0.0619</v>
      </c>
    </row>
    <row r="4043" customFormat="false" ht="15" hidden="false" customHeight="false" outlineLevel="0" collapsed="false">
      <c r="A4043" s="28" t="s">
        <v>198</v>
      </c>
      <c r="B4043" s="28" t="s">
        <v>199</v>
      </c>
      <c r="C4043" s="28" t="s">
        <v>192</v>
      </c>
      <c r="D4043" s="23" t="n">
        <v>12</v>
      </c>
      <c r="E4043" s="23" t="n">
        <v>13</v>
      </c>
      <c r="F4043" s="28" t="s">
        <v>911</v>
      </c>
      <c r="G4043" s="19" t="n">
        <v>0.063</v>
      </c>
    </row>
    <row r="4044" customFormat="false" ht="15" hidden="false" customHeight="false" outlineLevel="0" collapsed="false">
      <c r="A4044" s="28" t="s">
        <v>198</v>
      </c>
      <c r="B4044" s="28" t="s">
        <v>199</v>
      </c>
      <c r="C4044" s="28" t="s">
        <v>192</v>
      </c>
      <c r="D4044" s="23" t="n">
        <v>12</v>
      </c>
      <c r="E4044" s="23" t="n">
        <v>13</v>
      </c>
      <c r="F4044" s="28" t="s">
        <v>912</v>
      </c>
      <c r="G4044" s="19" t="n">
        <v>0.0644</v>
      </c>
    </row>
    <row r="4045" customFormat="false" ht="15" hidden="false" customHeight="false" outlineLevel="0" collapsed="false">
      <c r="A4045" s="28" t="s">
        <v>198</v>
      </c>
      <c r="B4045" s="28" t="s">
        <v>199</v>
      </c>
      <c r="C4045" s="28" t="s">
        <v>192</v>
      </c>
      <c r="D4045" s="23" t="n">
        <v>12</v>
      </c>
      <c r="E4045" s="23" t="n">
        <v>13</v>
      </c>
      <c r="F4045" s="28" t="s">
        <v>913</v>
      </c>
      <c r="G4045" s="19" t="n">
        <v>0.0693</v>
      </c>
    </row>
    <row r="4046" customFormat="false" ht="15" hidden="false" customHeight="false" outlineLevel="0" collapsed="false">
      <c r="A4046" s="28" t="s">
        <v>198</v>
      </c>
      <c r="B4046" s="28" t="s">
        <v>199</v>
      </c>
      <c r="C4046" s="28" t="s">
        <v>192</v>
      </c>
      <c r="D4046" s="23" t="n">
        <v>12</v>
      </c>
      <c r="E4046" s="23" t="n">
        <v>13</v>
      </c>
      <c r="F4046" s="28" t="s">
        <v>914</v>
      </c>
      <c r="G4046" s="19" t="n">
        <v>0.0691</v>
      </c>
    </row>
    <row r="4047" customFormat="false" ht="15" hidden="false" customHeight="false" outlineLevel="0" collapsed="false">
      <c r="A4047" s="28" t="s">
        <v>198</v>
      </c>
      <c r="B4047" s="28" t="s">
        <v>199</v>
      </c>
      <c r="C4047" s="28" t="s">
        <v>192</v>
      </c>
      <c r="D4047" s="23" t="n">
        <v>12</v>
      </c>
      <c r="E4047" s="23" t="n">
        <v>13</v>
      </c>
      <c r="F4047" s="28" t="s">
        <v>915</v>
      </c>
      <c r="G4047" s="19" t="n">
        <v>0.0849</v>
      </c>
    </row>
    <row r="4048" customFormat="false" ht="15" hidden="false" customHeight="false" outlineLevel="0" collapsed="false">
      <c r="A4048" s="28" t="s">
        <v>198</v>
      </c>
      <c r="B4048" s="28" t="s">
        <v>199</v>
      </c>
      <c r="C4048" s="28" t="s">
        <v>192</v>
      </c>
      <c r="D4048" s="23" t="n">
        <v>12</v>
      </c>
      <c r="E4048" s="23" t="n">
        <v>14</v>
      </c>
      <c r="F4048" s="28" t="s">
        <v>904</v>
      </c>
      <c r="G4048" s="19" t="n">
        <v>0.0563</v>
      </c>
    </row>
    <row r="4049" customFormat="false" ht="15" hidden="false" customHeight="false" outlineLevel="0" collapsed="false">
      <c r="A4049" s="28" t="s">
        <v>198</v>
      </c>
      <c r="B4049" s="28" t="s">
        <v>199</v>
      </c>
      <c r="C4049" s="28" t="s">
        <v>192</v>
      </c>
      <c r="D4049" s="23" t="n">
        <v>12</v>
      </c>
      <c r="E4049" s="23" t="n">
        <v>14</v>
      </c>
      <c r="F4049" s="28" t="s">
        <v>551</v>
      </c>
      <c r="G4049" s="19" t="n">
        <v>0.0875</v>
      </c>
    </row>
    <row r="4050" customFormat="false" ht="15" hidden="false" customHeight="false" outlineLevel="0" collapsed="false">
      <c r="A4050" s="28" t="s">
        <v>198</v>
      </c>
      <c r="B4050" s="28" t="s">
        <v>199</v>
      </c>
      <c r="C4050" s="28" t="s">
        <v>192</v>
      </c>
      <c r="D4050" s="23" t="n">
        <v>12</v>
      </c>
      <c r="E4050" s="23" t="n">
        <v>14</v>
      </c>
      <c r="F4050" s="28" t="s">
        <v>451</v>
      </c>
      <c r="G4050" s="19" t="n">
        <v>0.0561</v>
      </c>
    </row>
    <row r="4051" customFormat="false" ht="15" hidden="false" customHeight="false" outlineLevel="0" collapsed="false">
      <c r="A4051" s="28" t="s">
        <v>198</v>
      </c>
      <c r="B4051" s="28" t="s">
        <v>199</v>
      </c>
      <c r="C4051" s="28" t="s">
        <v>192</v>
      </c>
      <c r="D4051" s="23" t="n">
        <v>12</v>
      </c>
      <c r="E4051" s="23" t="n">
        <v>14</v>
      </c>
      <c r="F4051" s="28" t="s">
        <v>905</v>
      </c>
      <c r="G4051" s="19" t="n">
        <v>0.0587</v>
      </c>
    </row>
    <row r="4052" customFormat="false" ht="15" hidden="false" customHeight="false" outlineLevel="0" collapsed="false">
      <c r="A4052" s="28" t="s">
        <v>198</v>
      </c>
      <c r="B4052" s="28" t="s">
        <v>199</v>
      </c>
      <c r="C4052" s="28" t="s">
        <v>192</v>
      </c>
      <c r="D4052" s="23" t="n">
        <v>12</v>
      </c>
      <c r="E4052" s="23" t="n">
        <v>14</v>
      </c>
      <c r="F4052" s="28" t="s">
        <v>906</v>
      </c>
      <c r="G4052" s="19" t="n">
        <v>0.0601</v>
      </c>
    </row>
    <row r="4053" customFormat="false" ht="15" hidden="false" customHeight="false" outlineLevel="0" collapsed="false">
      <c r="A4053" s="28" t="s">
        <v>198</v>
      </c>
      <c r="B4053" s="28" t="s">
        <v>199</v>
      </c>
      <c r="C4053" s="28" t="s">
        <v>192</v>
      </c>
      <c r="D4053" s="23" t="n">
        <v>12</v>
      </c>
      <c r="E4053" s="23" t="n">
        <v>14</v>
      </c>
      <c r="F4053" s="28" t="s">
        <v>907</v>
      </c>
      <c r="G4053" s="19" t="n">
        <v>0.0598</v>
      </c>
    </row>
    <row r="4054" customFormat="false" ht="15" hidden="false" customHeight="false" outlineLevel="0" collapsed="false">
      <c r="A4054" s="28" t="s">
        <v>198</v>
      </c>
      <c r="B4054" s="28" t="s">
        <v>199</v>
      </c>
      <c r="C4054" s="28" t="s">
        <v>192</v>
      </c>
      <c r="D4054" s="23" t="n">
        <v>12</v>
      </c>
      <c r="E4054" s="23" t="n">
        <v>14</v>
      </c>
      <c r="F4054" s="28" t="s">
        <v>908</v>
      </c>
      <c r="G4054" s="19" t="n">
        <v>0.0614</v>
      </c>
    </row>
    <row r="4055" customFormat="false" ht="15" hidden="false" customHeight="false" outlineLevel="0" collapsed="false">
      <c r="A4055" s="28" t="s">
        <v>198</v>
      </c>
      <c r="B4055" s="28" t="s">
        <v>199</v>
      </c>
      <c r="C4055" s="28" t="s">
        <v>192</v>
      </c>
      <c r="D4055" s="23" t="n">
        <v>12</v>
      </c>
      <c r="E4055" s="23" t="n">
        <v>14</v>
      </c>
      <c r="F4055" s="28" t="s">
        <v>909</v>
      </c>
      <c r="G4055" s="19" t="n">
        <v>0.0615</v>
      </c>
    </row>
    <row r="4056" customFormat="false" ht="15" hidden="false" customHeight="false" outlineLevel="0" collapsed="false">
      <c r="A4056" s="28" t="s">
        <v>198</v>
      </c>
      <c r="B4056" s="28" t="s">
        <v>199</v>
      </c>
      <c r="C4056" s="28" t="s">
        <v>192</v>
      </c>
      <c r="D4056" s="23" t="n">
        <v>12</v>
      </c>
      <c r="E4056" s="23" t="n">
        <v>14</v>
      </c>
      <c r="F4056" s="28" t="s">
        <v>910</v>
      </c>
      <c r="G4056" s="19" t="n">
        <v>0.0619</v>
      </c>
    </row>
    <row r="4057" customFormat="false" ht="15" hidden="false" customHeight="false" outlineLevel="0" collapsed="false">
      <c r="A4057" s="28" t="s">
        <v>198</v>
      </c>
      <c r="B4057" s="28" t="s">
        <v>199</v>
      </c>
      <c r="C4057" s="28" t="s">
        <v>192</v>
      </c>
      <c r="D4057" s="23" t="n">
        <v>12</v>
      </c>
      <c r="E4057" s="23" t="n">
        <v>14</v>
      </c>
      <c r="F4057" s="28" t="s">
        <v>911</v>
      </c>
      <c r="G4057" s="19" t="n">
        <v>0.063</v>
      </c>
    </row>
    <row r="4058" customFormat="false" ht="15" hidden="false" customHeight="false" outlineLevel="0" collapsed="false">
      <c r="A4058" s="28" t="s">
        <v>198</v>
      </c>
      <c r="B4058" s="28" t="s">
        <v>199</v>
      </c>
      <c r="C4058" s="28" t="s">
        <v>192</v>
      </c>
      <c r="D4058" s="23" t="n">
        <v>12</v>
      </c>
      <c r="E4058" s="23" t="n">
        <v>14</v>
      </c>
      <c r="F4058" s="28" t="s">
        <v>912</v>
      </c>
      <c r="G4058" s="19" t="n">
        <v>0.0644</v>
      </c>
    </row>
    <row r="4059" customFormat="false" ht="15" hidden="false" customHeight="false" outlineLevel="0" collapsed="false">
      <c r="A4059" s="28" t="s">
        <v>198</v>
      </c>
      <c r="B4059" s="28" t="s">
        <v>199</v>
      </c>
      <c r="C4059" s="28" t="s">
        <v>192</v>
      </c>
      <c r="D4059" s="23" t="n">
        <v>12</v>
      </c>
      <c r="E4059" s="23" t="n">
        <v>14</v>
      </c>
      <c r="F4059" s="28" t="s">
        <v>913</v>
      </c>
      <c r="G4059" s="19" t="n">
        <v>0.0693</v>
      </c>
    </row>
    <row r="4060" customFormat="false" ht="15" hidden="false" customHeight="false" outlineLevel="0" collapsed="false">
      <c r="A4060" s="28" t="s">
        <v>198</v>
      </c>
      <c r="B4060" s="28" t="s">
        <v>199</v>
      </c>
      <c r="C4060" s="28" t="s">
        <v>192</v>
      </c>
      <c r="D4060" s="23" t="n">
        <v>12</v>
      </c>
      <c r="E4060" s="23" t="n">
        <v>14</v>
      </c>
      <c r="F4060" s="28" t="s">
        <v>914</v>
      </c>
      <c r="G4060" s="19" t="n">
        <v>0.0691</v>
      </c>
    </row>
    <row r="4061" customFormat="false" ht="15" hidden="false" customHeight="false" outlineLevel="0" collapsed="false">
      <c r="A4061" s="28" t="s">
        <v>198</v>
      </c>
      <c r="B4061" s="28" t="s">
        <v>199</v>
      </c>
      <c r="C4061" s="28" t="s">
        <v>192</v>
      </c>
      <c r="D4061" s="23" t="n">
        <v>12</v>
      </c>
      <c r="E4061" s="23" t="n">
        <v>14</v>
      </c>
      <c r="F4061" s="28" t="s">
        <v>915</v>
      </c>
      <c r="G4061" s="19" t="n">
        <v>0.0849</v>
      </c>
    </row>
    <row r="4062" customFormat="false" ht="15" hidden="false" customHeight="false" outlineLevel="0" collapsed="false">
      <c r="A4062" s="28" t="s">
        <v>198</v>
      </c>
      <c r="B4062" s="28" t="s">
        <v>199</v>
      </c>
      <c r="C4062" s="28" t="s">
        <v>192</v>
      </c>
      <c r="D4062" s="23" t="n">
        <v>12</v>
      </c>
      <c r="E4062" s="23" t="n">
        <v>15</v>
      </c>
      <c r="F4062" s="28" t="s">
        <v>904</v>
      </c>
      <c r="G4062" s="19" t="n">
        <v>0.0563</v>
      </c>
    </row>
    <row r="4063" customFormat="false" ht="15" hidden="false" customHeight="false" outlineLevel="0" collapsed="false">
      <c r="A4063" s="28" t="s">
        <v>198</v>
      </c>
      <c r="B4063" s="28" t="s">
        <v>199</v>
      </c>
      <c r="C4063" s="28" t="s">
        <v>192</v>
      </c>
      <c r="D4063" s="23" t="n">
        <v>12</v>
      </c>
      <c r="E4063" s="23" t="n">
        <v>15</v>
      </c>
      <c r="F4063" s="28" t="s">
        <v>551</v>
      </c>
      <c r="G4063" s="19" t="n">
        <v>0.0875</v>
      </c>
    </row>
    <row r="4064" customFormat="false" ht="15" hidden="false" customHeight="false" outlineLevel="0" collapsed="false">
      <c r="A4064" s="28" t="s">
        <v>198</v>
      </c>
      <c r="B4064" s="28" t="s">
        <v>199</v>
      </c>
      <c r="C4064" s="28" t="s">
        <v>192</v>
      </c>
      <c r="D4064" s="23" t="n">
        <v>12</v>
      </c>
      <c r="E4064" s="23" t="n">
        <v>15</v>
      </c>
      <c r="F4064" s="28" t="s">
        <v>451</v>
      </c>
      <c r="G4064" s="19" t="n">
        <v>0.0561</v>
      </c>
    </row>
    <row r="4065" customFormat="false" ht="15" hidden="false" customHeight="false" outlineLevel="0" collapsed="false">
      <c r="A4065" s="28" t="s">
        <v>198</v>
      </c>
      <c r="B4065" s="28" t="s">
        <v>199</v>
      </c>
      <c r="C4065" s="28" t="s">
        <v>192</v>
      </c>
      <c r="D4065" s="23" t="n">
        <v>12</v>
      </c>
      <c r="E4065" s="23" t="n">
        <v>15</v>
      </c>
      <c r="F4065" s="28" t="s">
        <v>905</v>
      </c>
      <c r="G4065" s="19" t="n">
        <v>0.0587</v>
      </c>
    </row>
    <row r="4066" customFormat="false" ht="15" hidden="false" customHeight="false" outlineLevel="0" collapsed="false">
      <c r="A4066" s="28" t="s">
        <v>198</v>
      </c>
      <c r="B4066" s="28" t="s">
        <v>199</v>
      </c>
      <c r="C4066" s="28" t="s">
        <v>192</v>
      </c>
      <c r="D4066" s="23" t="n">
        <v>12</v>
      </c>
      <c r="E4066" s="23" t="n">
        <v>15</v>
      </c>
      <c r="F4066" s="28" t="s">
        <v>906</v>
      </c>
      <c r="G4066" s="19" t="n">
        <v>0.0601</v>
      </c>
    </row>
    <row r="4067" customFormat="false" ht="15" hidden="false" customHeight="false" outlineLevel="0" collapsed="false">
      <c r="A4067" s="28" t="s">
        <v>198</v>
      </c>
      <c r="B4067" s="28" t="s">
        <v>199</v>
      </c>
      <c r="C4067" s="28" t="s">
        <v>192</v>
      </c>
      <c r="D4067" s="23" t="n">
        <v>12</v>
      </c>
      <c r="E4067" s="23" t="n">
        <v>15</v>
      </c>
      <c r="F4067" s="28" t="s">
        <v>907</v>
      </c>
      <c r="G4067" s="19" t="n">
        <v>0.0598</v>
      </c>
    </row>
    <row r="4068" customFormat="false" ht="15" hidden="false" customHeight="false" outlineLevel="0" collapsed="false">
      <c r="A4068" s="28" t="s">
        <v>198</v>
      </c>
      <c r="B4068" s="28" t="s">
        <v>199</v>
      </c>
      <c r="C4068" s="28" t="s">
        <v>192</v>
      </c>
      <c r="D4068" s="23" t="n">
        <v>12</v>
      </c>
      <c r="E4068" s="23" t="n">
        <v>15</v>
      </c>
      <c r="F4068" s="28" t="s">
        <v>908</v>
      </c>
      <c r="G4068" s="19" t="n">
        <v>0.0614</v>
      </c>
    </row>
    <row r="4069" customFormat="false" ht="15" hidden="false" customHeight="false" outlineLevel="0" collapsed="false">
      <c r="A4069" s="28" t="s">
        <v>198</v>
      </c>
      <c r="B4069" s="28" t="s">
        <v>199</v>
      </c>
      <c r="C4069" s="28" t="s">
        <v>192</v>
      </c>
      <c r="D4069" s="23" t="n">
        <v>12</v>
      </c>
      <c r="E4069" s="23" t="n">
        <v>15</v>
      </c>
      <c r="F4069" s="28" t="s">
        <v>909</v>
      </c>
      <c r="G4069" s="19" t="n">
        <v>0.0615</v>
      </c>
    </row>
    <row r="4070" customFormat="false" ht="15" hidden="false" customHeight="false" outlineLevel="0" collapsed="false">
      <c r="A4070" s="28" t="s">
        <v>198</v>
      </c>
      <c r="B4070" s="28" t="s">
        <v>199</v>
      </c>
      <c r="C4070" s="28" t="s">
        <v>192</v>
      </c>
      <c r="D4070" s="23" t="n">
        <v>12</v>
      </c>
      <c r="E4070" s="23" t="n">
        <v>15</v>
      </c>
      <c r="F4070" s="28" t="s">
        <v>910</v>
      </c>
      <c r="G4070" s="19" t="n">
        <v>0.0619</v>
      </c>
    </row>
    <row r="4071" customFormat="false" ht="15" hidden="false" customHeight="false" outlineLevel="0" collapsed="false">
      <c r="A4071" s="28" t="s">
        <v>198</v>
      </c>
      <c r="B4071" s="28" t="s">
        <v>199</v>
      </c>
      <c r="C4071" s="28" t="s">
        <v>192</v>
      </c>
      <c r="D4071" s="23" t="n">
        <v>12</v>
      </c>
      <c r="E4071" s="23" t="n">
        <v>15</v>
      </c>
      <c r="F4071" s="28" t="s">
        <v>911</v>
      </c>
      <c r="G4071" s="19" t="n">
        <v>0.063</v>
      </c>
    </row>
    <row r="4072" customFormat="false" ht="15" hidden="false" customHeight="false" outlineLevel="0" collapsed="false">
      <c r="A4072" s="28" t="s">
        <v>198</v>
      </c>
      <c r="B4072" s="28" t="s">
        <v>199</v>
      </c>
      <c r="C4072" s="28" t="s">
        <v>192</v>
      </c>
      <c r="D4072" s="23" t="n">
        <v>12</v>
      </c>
      <c r="E4072" s="23" t="n">
        <v>15</v>
      </c>
      <c r="F4072" s="28" t="s">
        <v>912</v>
      </c>
      <c r="G4072" s="19" t="n">
        <v>0.0644</v>
      </c>
    </row>
    <row r="4073" customFormat="false" ht="15" hidden="false" customHeight="false" outlineLevel="0" collapsed="false">
      <c r="A4073" s="28" t="s">
        <v>198</v>
      </c>
      <c r="B4073" s="28" t="s">
        <v>199</v>
      </c>
      <c r="C4073" s="28" t="s">
        <v>192</v>
      </c>
      <c r="D4073" s="23" t="n">
        <v>12</v>
      </c>
      <c r="E4073" s="23" t="n">
        <v>15</v>
      </c>
      <c r="F4073" s="28" t="s">
        <v>913</v>
      </c>
      <c r="G4073" s="19" t="n">
        <v>0.0693</v>
      </c>
    </row>
    <row r="4074" customFormat="false" ht="15" hidden="false" customHeight="false" outlineLevel="0" collapsed="false">
      <c r="A4074" s="28" t="s">
        <v>198</v>
      </c>
      <c r="B4074" s="28" t="s">
        <v>199</v>
      </c>
      <c r="C4074" s="28" t="s">
        <v>192</v>
      </c>
      <c r="D4074" s="23" t="n">
        <v>12</v>
      </c>
      <c r="E4074" s="23" t="n">
        <v>15</v>
      </c>
      <c r="F4074" s="28" t="s">
        <v>914</v>
      </c>
      <c r="G4074" s="19" t="n">
        <v>0.0691</v>
      </c>
    </row>
    <row r="4075" customFormat="false" ht="15" hidden="false" customHeight="false" outlineLevel="0" collapsed="false">
      <c r="A4075" s="28" t="s">
        <v>198</v>
      </c>
      <c r="B4075" s="28" t="s">
        <v>199</v>
      </c>
      <c r="C4075" s="28" t="s">
        <v>192</v>
      </c>
      <c r="D4075" s="23" t="n">
        <v>12</v>
      </c>
      <c r="E4075" s="23" t="n">
        <v>15</v>
      </c>
      <c r="F4075" s="28" t="s">
        <v>915</v>
      </c>
      <c r="G4075" s="19" t="n">
        <v>0.0849</v>
      </c>
    </row>
    <row r="4076" customFormat="false" ht="15" hidden="false" customHeight="false" outlineLevel="0" collapsed="false">
      <c r="A4076" s="28" t="s">
        <v>198</v>
      </c>
      <c r="B4076" s="28" t="s">
        <v>199</v>
      </c>
      <c r="C4076" s="28" t="s">
        <v>192</v>
      </c>
      <c r="D4076" s="23" t="n">
        <v>12</v>
      </c>
      <c r="E4076" s="23" t="n">
        <v>16</v>
      </c>
      <c r="F4076" s="28" t="s">
        <v>904</v>
      </c>
      <c r="G4076" s="19" t="n">
        <v>0.0563</v>
      </c>
    </row>
    <row r="4077" customFormat="false" ht="15" hidden="false" customHeight="false" outlineLevel="0" collapsed="false">
      <c r="A4077" s="28" t="s">
        <v>198</v>
      </c>
      <c r="B4077" s="28" t="s">
        <v>199</v>
      </c>
      <c r="C4077" s="28" t="s">
        <v>192</v>
      </c>
      <c r="D4077" s="23" t="n">
        <v>12</v>
      </c>
      <c r="E4077" s="23" t="n">
        <v>16</v>
      </c>
      <c r="F4077" s="28" t="s">
        <v>551</v>
      </c>
      <c r="G4077" s="19" t="n">
        <v>0.0875</v>
      </c>
    </row>
    <row r="4078" customFormat="false" ht="15" hidden="false" customHeight="false" outlineLevel="0" collapsed="false">
      <c r="A4078" s="28" t="s">
        <v>198</v>
      </c>
      <c r="B4078" s="28" t="s">
        <v>199</v>
      </c>
      <c r="C4078" s="28" t="s">
        <v>192</v>
      </c>
      <c r="D4078" s="23" t="n">
        <v>12</v>
      </c>
      <c r="E4078" s="23" t="n">
        <v>16</v>
      </c>
      <c r="F4078" s="28" t="s">
        <v>451</v>
      </c>
      <c r="G4078" s="19" t="n">
        <v>0.0561</v>
      </c>
    </row>
    <row r="4079" customFormat="false" ht="15" hidden="false" customHeight="false" outlineLevel="0" collapsed="false">
      <c r="A4079" s="28" t="s">
        <v>198</v>
      </c>
      <c r="B4079" s="28" t="s">
        <v>199</v>
      </c>
      <c r="C4079" s="28" t="s">
        <v>192</v>
      </c>
      <c r="D4079" s="23" t="n">
        <v>12</v>
      </c>
      <c r="E4079" s="23" t="n">
        <v>16</v>
      </c>
      <c r="F4079" s="28" t="s">
        <v>905</v>
      </c>
      <c r="G4079" s="19" t="n">
        <v>0.0587</v>
      </c>
    </row>
    <row r="4080" customFormat="false" ht="15" hidden="false" customHeight="false" outlineLevel="0" collapsed="false">
      <c r="A4080" s="28" t="s">
        <v>198</v>
      </c>
      <c r="B4080" s="28" t="s">
        <v>199</v>
      </c>
      <c r="C4080" s="28" t="s">
        <v>192</v>
      </c>
      <c r="D4080" s="23" t="n">
        <v>12</v>
      </c>
      <c r="E4080" s="23" t="n">
        <v>16</v>
      </c>
      <c r="F4080" s="28" t="s">
        <v>906</v>
      </c>
      <c r="G4080" s="19" t="n">
        <v>0.0601</v>
      </c>
    </row>
    <row r="4081" customFormat="false" ht="15" hidden="false" customHeight="false" outlineLevel="0" collapsed="false">
      <c r="A4081" s="28" t="s">
        <v>198</v>
      </c>
      <c r="B4081" s="28" t="s">
        <v>199</v>
      </c>
      <c r="C4081" s="28" t="s">
        <v>192</v>
      </c>
      <c r="D4081" s="23" t="n">
        <v>12</v>
      </c>
      <c r="E4081" s="23" t="n">
        <v>16</v>
      </c>
      <c r="F4081" s="28" t="s">
        <v>907</v>
      </c>
      <c r="G4081" s="19" t="n">
        <v>0.0598</v>
      </c>
    </row>
    <row r="4082" customFormat="false" ht="15" hidden="false" customHeight="false" outlineLevel="0" collapsed="false">
      <c r="A4082" s="28" t="s">
        <v>198</v>
      </c>
      <c r="B4082" s="28" t="s">
        <v>199</v>
      </c>
      <c r="C4082" s="28" t="s">
        <v>192</v>
      </c>
      <c r="D4082" s="23" t="n">
        <v>12</v>
      </c>
      <c r="E4082" s="23" t="n">
        <v>16</v>
      </c>
      <c r="F4082" s="28" t="s">
        <v>908</v>
      </c>
      <c r="G4082" s="19" t="n">
        <v>0.0614</v>
      </c>
    </row>
    <row r="4083" customFormat="false" ht="15" hidden="false" customHeight="false" outlineLevel="0" collapsed="false">
      <c r="A4083" s="28" t="s">
        <v>198</v>
      </c>
      <c r="B4083" s="28" t="s">
        <v>199</v>
      </c>
      <c r="C4083" s="28" t="s">
        <v>192</v>
      </c>
      <c r="D4083" s="23" t="n">
        <v>12</v>
      </c>
      <c r="E4083" s="23" t="n">
        <v>16</v>
      </c>
      <c r="F4083" s="28" t="s">
        <v>909</v>
      </c>
      <c r="G4083" s="19" t="n">
        <v>0.0615</v>
      </c>
    </row>
    <row r="4084" customFormat="false" ht="15" hidden="false" customHeight="false" outlineLevel="0" collapsed="false">
      <c r="A4084" s="28" t="s">
        <v>198</v>
      </c>
      <c r="B4084" s="28" t="s">
        <v>199</v>
      </c>
      <c r="C4084" s="28" t="s">
        <v>192</v>
      </c>
      <c r="D4084" s="23" t="n">
        <v>12</v>
      </c>
      <c r="E4084" s="23" t="n">
        <v>16</v>
      </c>
      <c r="F4084" s="28" t="s">
        <v>910</v>
      </c>
      <c r="G4084" s="19" t="n">
        <v>0.0619</v>
      </c>
    </row>
    <row r="4085" customFormat="false" ht="15" hidden="false" customHeight="false" outlineLevel="0" collapsed="false">
      <c r="A4085" s="28" t="s">
        <v>198</v>
      </c>
      <c r="B4085" s="28" t="s">
        <v>199</v>
      </c>
      <c r="C4085" s="28" t="s">
        <v>192</v>
      </c>
      <c r="D4085" s="23" t="n">
        <v>12</v>
      </c>
      <c r="E4085" s="23" t="n">
        <v>16</v>
      </c>
      <c r="F4085" s="28" t="s">
        <v>911</v>
      </c>
      <c r="G4085" s="19" t="n">
        <v>0.063</v>
      </c>
    </row>
    <row r="4086" customFormat="false" ht="15" hidden="false" customHeight="false" outlineLevel="0" collapsed="false">
      <c r="A4086" s="28" t="s">
        <v>198</v>
      </c>
      <c r="B4086" s="28" t="s">
        <v>199</v>
      </c>
      <c r="C4086" s="28" t="s">
        <v>192</v>
      </c>
      <c r="D4086" s="23" t="n">
        <v>12</v>
      </c>
      <c r="E4086" s="23" t="n">
        <v>16</v>
      </c>
      <c r="F4086" s="28" t="s">
        <v>912</v>
      </c>
      <c r="G4086" s="19" t="n">
        <v>0.0644</v>
      </c>
    </row>
    <row r="4087" customFormat="false" ht="15" hidden="false" customHeight="false" outlineLevel="0" collapsed="false">
      <c r="A4087" s="28" t="s">
        <v>198</v>
      </c>
      <c r="B4087" s="28" t="s">
        <v>199</v>
      </c>
      <c r="C4087" s="28" t="s">
        <v>192</v>
      </c>
      <c r="D4087" s="23" t="n">
        <v>12</v>
      </c>
      <c r="E4087" s="23" t="n">
        <v>16</v>
      </c>
      <c r="F4087" s="28" t="s">
        <v>913</v>
      </c>
      <c r="G4087" s="19" t="n">
        <v>0.0693</v>
      </c>
    </row>
    <row r="4088" customFormat="false" ht="15" hidden="false" customHeight="false" outlineLevel="0" collapsed="false">
      <c r="A4088" s="28" t="s">
        <v>198</v>
      </c>
      <c r="B4088" s="28" t="s">
        <v>199</v>
      </c>
      <c r="C4088" s="28" t="s">
        <v>192</v>
      </c>
      <c r="D4088" s="23" t="n">
        <v>12</v>
      </c>
      <c r="E4088" s="23" t="n">
        <v>16</v>
      </c>
      <c r="F4088" s="28" t="s">
        <v>914</v>
      </c>
      <c r="G4088" s="19" t="n">
        <v>0.0691</v>
      </c>
    </row>
    <row r="4089" customFormat="false" ht="15" hidden="false" customHeight="false" outlineLevel="0" collapsed="false">
      <c r="A4089" s="28" t="s">
        <v>198</v>
      </c>
      <c r="B4089" s="28" t="s">
        <v>199</v>
      </c>
      <c r="C4089" s="28" t="s">
        <v>192</v>
      </c>
      <c r="D4089" s="23" t="n">
        <v>12</v>
      </c>
      <c r="E4089" s="23" t="n">
        <v>16</v>
      </c>
      <c r="F4089" s="28" t="s">
        <v>915</v>
      </c>
      <c r="G4089" s="19" t="n">
        <v>0.0849</v>
      </c>
    </row>
    <row r="4090" customFormat="false" ht="15" hidden="false" customHeight="false" outlineLevel="0" collapsed="false">
      <c r="A4090" s="28" t="s">
        <v>198</v>
      </c>
      <c r="B4090" s="28" t="s">
        <v>199</v>
      </c>
      <c r="C4090" s="28" t="s">
        <v>192</v>
      </c>
      <c r="D4090" s="23" t="n">
        <v>12</v>
      </c>
      <c r="E4090" s="23" t="n">
        <v>17</v>
      </c>
      <c r="F4090" s="28" t="s">
        <v>904</v>
      </c>
      <c r="G4090" s="19" t="n">
        <v>0.0563</v>
      </c>
    </row>
    <row r="4091" customFormat="false" ht="15" hidden="false" customHeight="false" outlineLevel="0" collapsed="false">
      <c r="A4091" s="28" t="s">
        <v>198</v>
      </c>
      <c r="B4091" s="28" t="s">
        <v>199</v>
      </c>
      <c r="C4091" s="28" t="s">
        <v>192</v>
      </c>
      <c r="D4091" s="23" t="n">
        <v>12</v>
      </c>
      <c r="E4091" s="23" t="n">
        <v>17</v>
      </c>
      <c r="F4091" s="28" t="s">
        <v>551</v>
      </c>
      <c r="G4091" s="19" t="n">
        <v>0.0875</v>
      </c>
    </row>
    <row r="4092" customFormat="false" ht="15" hidden="false" customHeight="false" outlineLevel="0" collapsed="false">
      <c r="A4092" s="28" t="s">
        <v>198</v>
      </c>
      <c r="B4092" s="28" t="s">
        <v>199</v>
      </c>
      <c r="C4092" s="28" t="s">
        <v>192</v>
      </c>
      <c r="D4092" s="23" t="n">
        <v>12</v>
      </c>
      <c r="E4092" s="23" t="n">
        <v>17</v>
      </c>
      <c r="F4092" s="28" t="s">
        <v>451</v>
      </c>
      <c r="G4092" s="19" t="n">
        <v>0.0561</v>
      </c>
    </row>
    <row r="4093" customFormat="false" ht="15" hidden="false" customHeight="false" outlineLevel="0" collapsed="false">
      <c r="A4093" s="28" t="s">
        <v>198</v>
      </c>
      <c r="B4093" s="28" t="s">
        <v>199</v>
      </c>
      <c r="C4093" s="28" t="s">
        <v>192</v>
      </c>
      <c r="D4093" s="23" t="n">
        <v>12</v>
      </c>
      <c r="E4093" s="23" t="n">
        <v>17</v>
      </c>
      <c r="F4093" s="28" t="s">
        <v>905</v>
      </c>
      <c r="G4093" s="19" t="n">
        <v>0.0587</v>
      </c>
    </row>
    <row r="4094" customFormat="false" ht="15" hidden="false" customHeight="false" outlineLevel="0" collapsed="false">
      <c r="A4094" s="28" t="s">
        <v>198</v>
      </c>
      <c r="B4094" s="28" t="s">
        <v>199</v>
      </c>
      <c r="C4094" s="28" t="s">
        <v>192</v>
      </c>
      <c r="D4094" s="23" t="n">
        <v>12</v>
      </c>
      <c r="E4094" s="23" t="n">
        <v>17</v>
      </c>
      <c r="F4094" s="28" t="s">
        <v>906</v>
      </c>
      <c r="G4094" s="19" t="n">
        <v>0.0601</v>
      </c>
    </row>
    <row r="4095" customFormat="false" ht="15" hidden="false" customHeight="false" outlineLevel="0" collapsed="false">
      <c r="A4095" s="28" t="s">
        <v>198</v>
      </c>
      <c r="B4095" s="28" t="s">
        <v>199</v>
      </c>
      <c r="C4095" s="28" t="s">
        <v>192</v>
      </c>
      <c r="D4095" s="23" t="n">
        <v>12</v>
      </c>
      <c r="E4095" s="23" t="n">
        <v>17</v>
      </c>
      <c r="F4095" s="28" t="s">
        <v>907</v>
      </c>
      <c r="G4095" s="19" t="n">
        <v>0.0598</v>
      </c>
    </row>
    <row r="4096" customFormat="false" ht="15" hidden="false" customHeight="false" outlineLevel="0" collapsed="false">
      <c r="A4096" s="28" t="s">
        <v>198</v>
      </c>
      <c r="B4096" s="28" t="s">
        <v>199</v>
      </c>
      <c r="C4096" s="28" t="s">
        <v>192</v>
      </c>
      <c r="D4096" s="23" t="n">
        <v>12</v>
      </c>
      <c r="E4096" s="23" t="n">
        <v>17</v>
      </c>
      <c r="F4096" s="28" t="s">
        <v>908</v>
      </c>
      <c r="G4096" s="19" t="n">
        <v>0.0614</v>
      </c>
    </row>
    <row r="4097" customFormat="false" ht="15" hidden="false" customHeight="false" outlineLevel="0" collapsed="false">
      <c r="A4097" s="28" t="s">
        <v>198</v>
      </c>
      <c r="B4097" s="28" t="s">
        <v>199</v>
      </c>
      <c r="C4097" s="28" t="s">
        <v>192</v>
      </c>
      <c r="D4097" s="23" t="n">
        <v>12</v>
      </c>
      <c r="E4097" s="23" t="n">
        <v>17</v>
      </c>
      <c r="F4097" s="28" t="s">
        <v>909</v>
      </c>
      <c r="G4097" s="19" t="n">
        <v>0.0615</v>
      </c>
    </row>
    <row r="4098" customFormat="false" ht="15" hidden="false" customHeight="false" outlineLevel="0" collapsed="false">
      <c r="A4098" s="28" t="s">
        <v>198</v>
      </c>
      <c r="B4098" s="28" t="s">
        <v>199</v>
      </c>
      <c r="C4098" s="28" t="s">
        <v>192</v>
      </c>
      <c r="D4098" s="23" t="n">
        <v>12</v>
      </c>
      <c r="E4098" s="23" t="n">
        <v>17</v>
      </c>
      <c r="F4098" s="28" t="s">
        <v>910</v>
      </c>
      <c r="G4098" s="19" t="n">
        <v>0.0619</v>
      </c>
    </row>
    <row r="4099" customFormat="false" ht="15" hidden="false" customHeight="false" outlineLevel="0" collapsed="false">
      <c r="A4099" s="28" t="s">
        <v>198</v>
      </c>
      <c r="B4099" s="28" t="s">
        <v>199</v>
      </c>
      <c r="C4099" s="28" t="s">
        <v>192</v>
      </c>
      <c r="D4099" s="23" t="n">
        <v>12</v>
      </c>
      <c r="E4099" s="23" t="n">
        <v>17</v>
      </c>
      <c r="F4099" s="28" t="s">
        <v>911</v>
      </c>
      <c r="G4099" s="19" t="n">
        <v>0.063</v>
      </c>
    </row>
    <row r="4100" customFormat="false" ht="15" hidden="false" customHeight="false" outlineLevel="0" collapsed="false">
      <c r="A4100" s="28" t="s">
        <v>198</v>
      </c>
      <c r="B4100" s="28" t="s">
        <v>199</v>
      </c>
      <c r="C4100" s="28" t="s">
        <v>192</v>
      </c>
      <c r="D4100" s="23" t="n">
        <v>12</v>
      </c>
      <c r="E4100" s="23" t="n">
        <v>17</v>
      </c>
      <c r="F4100" s="28" t="s">
        <v>912</v>
      </c>
      <c r="G4100" s="19" t="n">
        <v>0.0644</v>
      </c>
    </row>
    <row r="4101" customFormat="false" ht="15" hidden="false" customHeight="false" outlineLevel="0" collapsed="false">
      <c r="A4101" s="28" t="s">
        <v>198</v>
      </c>
      <c r="B4101" s="28" t="s">
        <v>199</v>
      </c>
      <c r="C4101" s="28" t="s">
        <v>192</v>
      </c>
      <c r="D4101" s="23" t="n">
        <v>12</v>
      </c>
      <c r="E4101" s="23" t="n">
        <v>17</v>
      </c>
      <c r="F4101" s="28" t="s">
        <v>913</v>
      </c>
      <c r="G4101" s="19" t="n">
        <v>0.0693</v>
      </c>
    </row>
    <row r="4102" customFormat="false" ht="15" hidden="false" customHeight="false" outlineLevel="0" collapsed="false">
      <c r="A4102" s="28" t="s">
        <v>198</v>
      </c>
      <c r="B4102" s="28" t="s">
        <v>199</v>
      </c>
      <c r="C4102" s="28" t="s">
        <v>192</v>
      </c>
      <c r="D4102" s="23" t="n">
        <v>12</v>
      </c>
      <c r="E4102" s="23" t="n">
        <v>17</v>
      </c>
      <c r="F4102" s="28" t="s">
        <v>914</v>
      </c>
      <c r="G4102" s="19" t="n">
        <v>0.0691</v>
      </c>
    </row>
    <row r="4103" customFormat="false" ht="15" hidden="false" customHeight="false" outlineLevel="0" collapsed="false">
      <c r="A4103" s="28" t="s">
        <v>198</v>
      </c>
      <c r="B4103" s="28" t="s">
        <v>199</v>
      </c>
      <c r="C4103" s="28" t="s">
        <v>192</v>
      </c>
      <c r="D4103" s="23" t="n">
        <v>12</v>
      </c>
      <c r="E4103" s="23" t="n">
        <v>17</v>
      </c>
      <c r="F4103" s="28" t="s">
        <v>915</v>
      </c>
      <c r="G4103" s="19" t="n">
        <v>0.0849</v>
      </c>
    </row>
    <row r="4104" customFormat="false" ht="15" hidden="false" customHeight="false" outlineLevel="0" collapsed="false">
      <c r="A4104" s="28" t="s">
        <v>198</v>
      </c>
      <c r="B4104" s="28" t="s">
        <v>199</v>
      </c>
      <c r="C4104" s="28" t="s">
        <v>192</v>
      </c>
      <c r="D4104" s="23" t="n">
        <v>12</v>
      </c>
      <c r="E4104" s="23" t="n">
        <v>18</v>
      </c>
      <c r="F4104" s="28" t="s">
        <v>904</v>
      </c>
      <c r="G4104" s="19" t="n">
        <v>0.0563</v>
      </c>
    </row>
    <row r="4105" customFormat="false" ht="15" hidden="false" customHeight="false" outlineLevel="0" collapsed="false">
      <c r="A4105" s="28" t="s">
        <v>198</v>
      </c>
      <c r="B4105" s="28" t="s">
        <v>199</v>
      </c>
      <c r="C4105" s="28" t="s">
        <v>192</v>
      </c>
      <c r="D4105" s="23" t="n">
        <v>12</v>
      </c>
      <c r="E4105" s="23" t="n">
        <v>18</v>
      </c>
      <c r="F4105" s="28" t="s">
        <v>551</v>
      </c>
      <c r="G4105" s="19" t="n">
        <v>0.0875</v>
      </c>
    </row>
    <row r="4106" customFormat="false" ht="15" hidden="false" customHeight="false" outlineLevel="0" collapsed="false">
      <c r="A4106" s="28" t="s">
        <v>198</v>
      </c>
      <c r="B4106" s="28" t="s">
        <v>199</v>
      </c>
      <c r="C4106" s="28" t="s">
        <v>192</v>
      </c>
      <c r="D4106" s="23" t="n">
        <v>12</v>
      </c>
      <c r="E4106" s="23" t="n">
        <v>18</v>
      </c>
      <c r="F4106" s="28" t="s">
        <v>451</v>
      </c>
      <c r="G4106" s="19" t="n">
        <v>0.0561</v>
      </c>
    </row>
    <row r="4107" customFormat="false" ht="15" hidden="false" customHeight="false" outlineLevel="0" collapsed="false">
      <c r="A4107" s="28" t="s">
        <v>198</v>
      </c>
      <c r="B4107" s="28" t="s">
        <v>199</v>
      </c>
      <c r="C4107" s="28" t="s">
        <v>192</v>
      </c>
      <c r="D4107" s="23" t="n">
        <v>12</v>
      </c>
      <c r="E4107" s="23" t="n">
        <v>18</v>
      </c>
      <c r="F4107" s="28" t="s">
        <v>905</v>
      </c>
      <c r="G4107" s="19" t="n">
        <v>0.0587</v>
      </c>
    </row>
    <row r="4108" customFormat="false" ht="15" hidden="false" customHeight="false" outlineLevel="0" collapsed="false">
      <c r="A4108" s="28" t="s">
        <v>198</v>
      </c>
      <c r="B4108" s="28" t="s">
        <v>199</v>
      </c>
      <c r="C4108" s="28" t="s">
        <v>192</v>
      </c>
      <c r="D4108" s="23" t="n">
        <v>12</v>
      </c>
      <c r="E4108" s="23" t="n">
        <v>18</v>
      </c>
      <c r="F4108" s="28" t="s">
        <v>906</v>
      </c>
      <c r="G4108" s="19" t="n">
        <v>0.0601</v>
      </c>
    </row>
    <row r="4109" customFormat="false" ht="15" hidden="false" customHeight="false" outlineLevel="0" collapsed="false">
      <c r="A4109" s="28" t="s">
        <v>198</v>
      </c>
      <c r="B4109" s="28" t="s">
        <v>199</v>
      </c>
      <c r="C4109" s="28" t="s">
        <v>192</v>
      </c>
      <c r="D4109" s="23" t="n">
        <v>12</v>
      </c>
      <c r="E4109" s="23" t="n">
        <v>18</v>
      </c>
      <c r="F4109" s="28" t="s">
        <v>907</v>
      </c>
      <c r="G4109" s="19" t="n">
        <v>0.0598</v>
      </c>
    </row>
    <row r="4110" customFormat="false" ht="15" hidden="false" customHeight="false" outlineLevel="0" collapsed="false">
      <c r="A4110" s="28" t="s">
        <v>198</v>
      </c>
      <c r="B4110" s="28" t="s">
        <v>199</v>
      </c>
      <c r="C4110" s="28" t="s">
        <v>192</v>
      </c>
      <c r="D4110" s="23" t="n">
        <v>12</v>
      </c>
      <c r="E4110" s="23" t="n">
        <v>18</v>
      </c>
      <c r="F4110" s="28" t="s">
        <v>908</v>
      </c>
      <c r="G4110" s="19" t="n">
        <v>0.0614</v>
      </c>
    </row>
    <row r="4111" customFormat="false" ht="15" hidden="false" customHeight="false" outlineLevel="0" collapsed="false">
      <c r="A4111" s="28" t="s">
        <v>198</v>
      </c>
      <c r="B4111" s="28" t="s">
        <v>199</v>
      </c>
      <c r="C4111" s="28" t="s">
        <v>192</v>
      </c>
      <c r="D4111" s="23" t="n">
        <v>12</v>
      </c>
      <c r="E4111" s="23" t="n">
        <v>18</v>
      </c>
      <c r="F4111" s="28" t="s">
        <v>909</v>
      </c>
      <c r="G4111" s="19" t="n">
        <v>0.0615</v>
      </c>
    </row>
    <row r="4112" customFormat="false" ht="15" hidden="false" customHeight="false" outlineLevel="0" collapsed="false">
      <c r="A4112" s="28" t="s">
        <v>198</v>
      </c>
      <c r="B4112" s="28" t="s">
        <v>199</v>
      </c>
      <c r="C4112" s="28" t="s">
        <v>192</v>
      </c>
      <c r="D4112" s="23" t="n">
        <v>12</v>
      </c>
      <c r="E4112" s="23" t="n">
        <v>18</v>
      </c>
      <c r="F4112" s="28" t="s">
        <v>910</v>
      </c>
      <c r="G4112" s="19" t="n">
        <v>0.0619</v>
      </c>
    </row>
    <row r="4113" customFormat="false" ht="15" hidden="false" customHeight="false" outlineLevel="0" collapsed="false">
      <c r="A4113" s="28" t="s">
        <v>198</v>
      </c>
      <c r="B4113" s="28" t="s">
        <v>199</v>
      </c>
      <c r="C4113" s="28" t="s">
        <v>192</v>
      </c>
      <c r="D4113" s="23" t="n">
        <v>12</v>
      </c>
      <c r="E4113" s="23" t="n">
        <v>18</v>
      </c>
      <c r="F4113" s="28" t="s">
        <v>911</v>
      </c>
      <c r="G4113" s="19" t="n">
        <v>0.063</v>
      </c>
    </row>
    <row r="4114" customFormat="false" ht="15" hidden="false" customHeight="false" outlineLevel="0" collapsed="false">
      <c r="A4114" s="28" t="s">
        <v>198</v>
      </c>
      <c r="B4114" s="28" t="s">
        <v>199</v>
      </c>
      <c r="C4114" s="28" t="s">
        <v>192</v>
      </c>
      <c r="D4114" s="23" t="n">
        <v>12</v>
      </c>
      <c r="E4114" s="23" t="n">
        <v>18</v>
      </c>
      <c r="F4114" s="28" t="s">
        <v>912</v>
      </c>
      <c r="G4114" s="19" t="n">
        <v>0.0644</v>
      </c>
    </row>
    <row r="4115" customFormat="false" ht="15" hidden="false" customHeight="false" outlineLevel="0" collapsed="false">
      <c r="A4115" s="28" t="s">
        <v>198</v>
      </c>
      <c r="B4115" s="28" t="s">
        <v>199</v>
      </c>
      <c r="C4115" s="28" t="s">
        <v>192</v>
      </c>
      <c r="D4115" s="23" t="n">
        <v>12</v>
      </c>
      <c r="E4115" s="23" t="n">
        <v>18</v>
      </c>
      <c r="F4115" s="28" t="s">
        <v>913</v>
      </c>
      <c r="G4115" s="19" t="n">
        <v>0.0693</v>
      </c>
    </row>
    <row r="4116" customFormat="false" ht="15" hidden="false" customHeight="false" outlineLevel="0" collapsed="false">
      <c r="A4116" s="28" t="s">
        <v>198</v>
      </c>
      <c r="B4116" s="28" t="s">
        <v>199</v>
      </c>
      <c r="C4116" s="28" t="s">
        <v>192</v>
      </c>
      <c r="D4116" s="23" t="n">
        <v>12</v>
      </c>
      <c r="E4116" s="23" t="n">
        <v>18</v>
      </c>
      <c r="F4116" s="28" t="s">
        <v>914</v>
      </c>
      <c r="G4116" s="19" t="n">
        <v>0.0691</v>
      </c>
    </row>
    <row r="4117" customFormat="false" ht="15" hidden="false" customHeight="false" outlineLevel="0" collapsed="false">
      <c r="A4117" s="28" t="s">
        <v>198</v>
      </c>
      <c r="B4117" s="28" t="s">
        <v>199</v>
      </c>
      <c r="C4117" s="28" t="s">
        <v>192</v>
      </c>
      <c r="D4117" s="23" t="n">
        <v>12</v>
      </c>
      <c r="E4117" s="23" t="n">
        <v>18</v>
      </c>
      <c r="F4117" s="28" t="s">
        <v>915</v>
      </c>
      <c r="G4117" s="19" t="n">
        <v>0.0849</v>
      </c>
    </row>
    <row r="4118" customFormat="false" ht="15" hidden="false" customHeight="false" outlineLevel="0" collapsed="false">
      <c r="A4118" s="28" t="s">
        <v>198</v>
      </c>
      <c r="B4118" s="28" t="s">
        <v>199</v>
      </c>
      <c r="C4118" s="28" t="s">
        <v>192</v>
      </c>
      <c r="D4118" s="23" t="n">
        <v>12</v>
      </c>
      <c r="E4118" s="23" t="n">
        <v>19</v>
      </c>
      <c r="F4118" s="28" t="s">
        <v>904</v>
      </c>
      <c r="G4118" s="19" t="n">
        <v>0.0563</v>
      </c>
    </row>
    <row r="4119" customFormat="false" ht="15" hidden="false" customHeight="false" outlineLevel="0" collapsed="false">
      <c r="A4119" s="28" t="s">
        <v>198</v>
      </c>
      <c r="B4119" s="28" t="s">
        <v>199</v>
      </c>
      <c r="C4119" s="28" t="s">
        <v>192</v>
      </c>
      <c r="D4119" s="23" t="n">
        <v>12</v>
      </c>
      <c r="E4119" s="23" t="n">
        <v>19</v>
      </c>
      <c r="F4119" s="28" t="s">
        <v>551</v>
      </c>
      <c r="G4119" s="19" t="n">
        <v>0.0875</v>
      </c>
    </row>
    <row r="4120" customFormat="false" ht="15" hidden="false" customHeight="false" outlineLevel="0" collapsed="false">
      <c r="A4120" s="28" t="s">
        <v>198</v>
      </c>
      <c r="B4120" s="28" t="s">
        <v>199</v>
      </c>
      <c r="C4120" s="28" t="s">
        <v>192</v>
      </c>
      <c r="D4120" s="23" t="n">
        <v>12</v>
      </c>
      <c r="E4120" s="23" t="n">
        <v>19</v>
      </c>
      <c r="F4120" s="28" t="s">
        <v>451</v>
      </c>
      <c r="G4120" s="19" t="n">
        <v>0.0561</v>
      </c>
    </row>
    <row r="4121" customFormat="false" ht="15" hidden="false" customHeight="false" outlineLevel="0" collapsed="false">
      <c r="A4121" s="28" t="s">
        <v>198</v>
      </c>
      <c r="B4121" s="28" t="s">
        <v>199</v>
      </c>
      <c r="C4121" s="28" t="s">
        <v>192</v>
      </c>
      <c r="D4121" s="23" t="n">
        <v>12</v>
      </c>
      <c r="E4121" s="23" t="n">
        <v>19</v>
      </c>
      <c r="F4121" s="28" t="s">
        <v>905</v>
      </c>
      <c r="G4121" s="19" t="n">
        <v>0.0587</v>
      </c>
    </row>
    <row r="4122" customFormat="false" ht="15" hidden="false" customHeight="false" outlineLevel="0" collapsed="false">
      <c r="A4122" s="28" t="s">
        <v>198</v>
      </c>
      <c r="B4122" s="28" t="s">
        <v>199</v>
      </c>
      <c r="C4122" s="28" t="s">
        <v>192</v>
      </c>
      <c r="D4122" s="23" t="n">
        <v>12</v>
      </c>
      <c r="E4122" s="23" t="n">
        <v>19</v>
      </c>
      <c r="F4122" s="28" t="s">
        <v>906</v>
      </c>
      <c r="G4122" s="19" t="n">
        <v>0.0601</v>
      </c>
    </row>
    <row r="4123" customFormat="false" ht="15" hidden="false" customHeight="false" outlineLevel="0" collapsed="false">
      <c r="A4123" s="28" t="s">
        <v>198</v>
      </c>
      <c r="B4123" s="28" t="s">
        <v>199</v>
      </c>
      <c r="C4123" s="28" t="s">
        <v>192</v>
      </c>
      <c r="D4123" s="23" t="n">
        <v>12</v>
      </c>
      <c r="E4123" s="23" t="n">
        <v>19</v>
      </c>
      <c r="F4123" s="28" t="s">
        <v>907</v>
      </c>
      <c r="G4123" s="19" t="n">
        <v>0.0598</v>
      </c>
    </row>
    <row r="4124" customFormat="false" ht="15" hidden="false" customHeight="false" outlineLevel="0" collapsed="false">
      <c r="A4124" s="28" t="s">
        <v>198</v>
      </c>
      <c r="B4124" s="28" t="s">
        <v>199</v>
      </c>
      <c r="C4124" s="28" t="s">
        <v>192</v>
      </c>
      <c r="D4124" s="23" t="n">
        <v>12</v>
      </c>
      <c r="E4124" s="23" t="n">
        <v>19</v>
      </c>
      <c r="F4124" s="28" t="s">
        <v>908</v>
      </c>
      <c r="G4124" s="19" t="n">
        <v>0.0614</v>
      </c>
    </row>
    <row r="4125" customFormat="false" ht="15" hidden="false" customHeight="false" outlineLevel="0" collapsed="false">
      <c r="A4125" s="28" t="s">
        <v>198</v>
      </c>
      <c r="B4125" s="28" t="s">
        <v>199</v>
      </c>
      <c r="C4125" s="28" t="s">
        <v>192</v>
      </c>
      <c r="D4125" s="23" t="n">
        <v>12</v>
      </c>
      <c r="E4125" s="23" t="n">
        <v>19</v>
      </c>
      <c r="F4125" s="28" t="s">
        <v>909</v>
      </c>
      <c r="G4125" s="19" t="n">
        <v>0.0615</v>
      </c>
    </row>
    <row r="4126" customFormat="false" ht="15" hidden="false" customHeight="false" outlineLevel="0" collapsed="false">
      <c r="A4126" s="28" t="s">
        <v>198</v>
      </c>
      <c r="B4126" s="28" t="s">
        <v>199</v>
      </c>
      <c r="C4126" s="28" t="s">
        <v>192</v>
      </c>
      <c r="D4126" s="23" t="n">
        <v>12</v>
      </c>
      <c r="E4126" s="23" t="n">
        <v>19</v>
      </c>
      <c r="F4126" s="28" t="s">
        <v>910</v>
      </c>
      <c r="G4126" s="19" t="n">
        <v>0.0619</v>
      </c>
    </row>
    <row r="4127" customFormat="false" ht="15" hidden="false" customHeight="false" outlineLevel="0" collapsed="false">
      <c r="A4127" s="28" t="s">
        <v>198</v>
      </c>
      <c r="B4127" s="28" t="s">
        <v>199</v>
      </c>
      <c r="C4127" s="28" t="s">
        <v>192</v>
      </c>
      <c r="D4127" s="23" t="n">
        <v>12</v>
      </c>
      <c r="E4127" s="23" t="n">
        <v>19</v>
      </c>
      <c r="F4127" s="28" t="s">
        <v>911</v>
      </c>
      <c r="G4127" s="19" t="n">
        <v>0.063</v>
      </c>
    </row>
    <row r="4128" customFormat="false" ht="15" hidden="false" customHeight="false" outlineLevel="0" collapsed="false">
      <c r="A4128" s="28" t="s">
        <v>198</v>
      </c>
      <c r="B4128" s="28" t="s">
        <v>199</v>
      </c>
      <c r="C4128" s="28" t="s">
        <v>192</v>
      </c>
      <c r="D4128" s="23" t="n">
        <v>12</v>
      </c>
      <c r="E4128" s="23" t="n">
        <v>19</v>
      </c>
      <c r="F4128" s="28" t="s">
        <v>912</v>
      </c>
      <c r="G4128" s="19" t="n">
        <v>0.0644</v>
      </c>
    </row>
    <row r="4129" customFormat="false" ht="15" hidden="false" customHeight="false" outlineLevel="0" collapsed="false">
      <c r="A4129" s="28" t="s">
        <v>198</v>
      </c>
      <c r="B4129" s="28" t="s">
        <v>199</v>
      </c>
      <c r="C4129" s="28" t="s">
        <v>192</v>
      </c>
      <c r="D4129" s="23" t="n">
        <v>12</v>
      </c>
      <c r="E4129" s="23" t="n">
        <v>19</v>
      </c>
      <c r="F4129" s="28" t="s">
        <v>913</v>
      </c>
      <c r="G4129" s="19" t="n">
        <v>0.0693</v>
      </c>
    </row>
    <row r="4130" customFormat="false" ht="15" hidden="false" customHeight="false" outlineLevel="0" collapsed="false">
      <c r="A4130" s="28" t="s">
        <v>198</v>
      </c>
      <c r="B4130" s="28" t="s">
        <v>199</v>
      </c>
      <c r="C4130" s="28" t="s">
        <v>192</v>
      </c>
      <c r="D4130" s="23" t="n">
        <v>12</v>
      </c>
      <c r="E4130" s="23" t="n">
        <v>19</v>
      </c>
      <c r="F4130" s="28" t="s">
        <v>914</v>
      </c>
      <c r="G4130" s="19" t="n">
        <v>0.0691</v>
      </c>
    </row>
    <row r="4131" customFormat="false" ht="15" hidden="false" customHeight="false" outlineLevel="0" collapsed="false">
      <c r="A4131" s="28" t="s">
        <v>198</v>
      </c>
      <c r="B4131" s="28" t="s">
        <v>199</v>
      </c>
      <c r="C4131" s="28" t="s">
        <v>192</v>
      </c>
      <c r="D4131" s="23" t="n">
        <v>12</v>
      </c>
      <c r="E4131" s="23" t="n">
        <v>19</v>
      </c>
      <c r="F4131" s="28" t="s">
        <v>915</v>
      </c>
      <c r="G4131" s="19" t="n">
        <v>0.0849</v>
      </c>
    </row>
    <row r="4132" customFormat="false" ht="15" hidden="false" customHeight="false" outlineLevel="0" collapsed="false">
      <c r="A4132" s="28" t="s">
        <v>198</v>
      </c>
      <c r="B4132" s="28" t="s">
        <v>199</v>
      </c>
      <c r="C4132" s="28" t="s">
        <v>192</v>
      </c>
      <c r="D4132" s="23" t="n">
        <v>12</v>
      </c>
      <c r="E4132" s="23" t="n">
        <v>20</v>
      </c>
      <c r="F4132" s="28" t="s">
        <v>904</v>
      </c>
      <c r="G4132" s="19" t="n">
        <v>0.0563</v>
      </c>
    </row>
    <row r="4133" customFormat="false" ht="15" hidden="false" customHeight="false" outlineLevel="0" collapsed="false">
      <c r="A4133" s="28" t="s">
        <v>198</v>
      </c>
      <c r="B4133" s="28" t="s">
        <v>199</v>
      </c>
      <c r="C4133" s="28" t="s">
        <v>192</v>
      </c>
      <c r="D4133" s="23" t="n">
        <v>12</v>
      </c>
      <c r="E4133" s="23" t="n">
        <v>20</v>
      </c>
      <c r="F4133" s="28" t="s">
        <v>551</v>
      </c>
      <c r="G4133" s="19" t="n">
        <v>0.0875</v>
      </c>
    </row>
    <row r="4134" customFormat="false" ht="15" hidden="false" customHeight="false" outlineLevel="0" collapsed="false">
      <c r="A4134" s="28" t="s">
        <v>198</v>
      </c>
      <c r="B4134" s="28" t="s">
        <v>199</v>
      </c>
      <c r="C4134" s="28" t="s">
        <v>192</v>
      </c>
      <c r="D4134" s="23" t="n">
        <v>12</v>
      </c>
      <c r="E4134" s="23" t="n">
        <v>20</v>
      </c>
      <c r="F4134" s="28" t="s">
        <v>451</v>
      </c>
      <c r="G4134" s="19" t="n">
        <v>0.0561</v>
      </c>
    </row>
    <row r="4135" customFormat="false" ht="15" hidden="false" customHeight="false" outlineLevel="0" collapsed="false">
      <c r="A4135" s="28" t="s">
        <v>198</v>
      </c>
      <c r="B4135" s="28" t="s">
        <v>199</v>
      </c>
      <c r="C4135" s="28" t="s">
        <v>192</v>
      </c>
      <c r="D4135" s="23" t="n">
        <v>12</v>
      </c>
      <c r="E4135" s="23" t="n">
        <v>20</v>
      </c>
      <c r="F4135" s="28" t="s">
        <v>905</v>
      </c>
      <c r="G4135" s="19" t="n">
        <v>0.0587</v>
      </c>
    </row>
    <row r="4136" customFormat="false" ht="15" hidden="false" customHeight="false" outlineLevel="0" collapsed="false">
      <c r="A4136" s="28" t="s">
        <v>198</v>
      </c>
      <c r="B4136" s="28" t="s">
        <v>199</v>
      </c>
      <c r="C4136" s="28" t="s">
        <v>192</v>
      </c>
      <c r="D4136" s="23" t="n">
        <v>12</v>
      </c>
      <c r="E4136" s="23" t="n">
        <v>20</v>
      </c>
      <c r="F4136" s="28" t="s">
        <v>906</v>
      </c>
      <c r="G4136" s="19" t="n">
        <v>0.0601</v>
      </c>
    </row>
    <row r="4137" customFormat="false" ht="15" hidden="false" customHeight="false" outlineLevel="0" collapsed="false">
      <c r="A4137" s="28" t="s">
        <v>198</v>
      </c>
      <c r="B4137" s="28" t="s">
        <v>199</v>
      </c>
      <c r="C4137" s="28" t="s">
        <v>192</v>
      </c>
      <c r="D4137" s="23" t="n">
        <v>12</v>
      </c>
      <c r="E4137" s="23" t="n">
        <v>20</v>
      </c>
      <c r="F4137" s="28" t="s">
        <v>907</v>
      </c>
      <c r="G4137" s="19" t="n">
        <v>0.0598</v>
      </c>
    </row>
    <row r="4138" customFormat="false" ht="15" hidden="false" customHeight="false" outlineLevel="0" collapsed="false">
      <c r="A4138" s="28" t="s">
        <v>198</v>
      </c>
      <c r="B4138" s="28" t="s">
        <v>199</v>
      </c>
      <c r="C4138" s="28" t="s">
        <v>192</v>
      </c>
      <c r="D4138" s="23" t="n">
        <v>12</v>
      </c>
      <c r="E4138" s="23" t="n">
        <v>20</v>
      </c>
      <c r="F4138" s="28" t="s">
        <v>908</v>
      </c>
      <c r="G4138" s="19" t="n">
        <v>0.0614</v>
      </c>
    </row>
    <row r="4139" customFormat="false" ht="15" hidden="false" customHeight="false" outlineLevel="0" collapsed="false">
      <c r="A4139" s="28" t="s">
        <v>198</v>
      </c>
      <c r="B4139" s="28" t="s">
        <v>199</v>
      </c>
      <c r="C4139" s="28" t="s">
        <v>192</v>
      </c>
      <c r="D4139" s="23" t="n">
        <v>12</v>
      </c>
      <c r="E4139" s="23" t="n">
        <v>20</v>
      </c>
      <c r="F4139" s="28" t="s">
        <v>909</v>
      </c>
      <c r="G4139" s="19" t="n">
        <v>0.0615</v>
      </c>
    </row>
    <row r="4140" customFormat="false" ht="15" hidden="false" customHeight="false" outlineLevel="0" collapsed="false">
      <c r="A4140" s="28" t="s">
        <v>198</v>
      </c>
      <c r="B4140" s="28" t="s">
        <v>199</v>
      </c>
      <c r="C4140" s="28" t="s">
        <v>192</v>
      </c>
      <c r="D4140" s="23" t="n">
        <v>12</v>
      </c>
      <c r="E4140" s="23" t="n">
        <v>20</v>
      </c>
      <c r="F4140" s="28" t="s">
        <v>910</v>
      </c>
      <c r="G4140" s="19" t="n">
        <v>0.0619</v>
      </c>
    </row>
    <row r="4141" customFormat="false" ht="15" hidden="false" customHeight="false" outlineLevel="0" collapsed="false">
      <c r="A4141" s="28" t="s">
        <v>198</v>
      </c>
      <c r="B4141" s="28" t="s">
        <v>199</v>
      </c>
      <c r="C4141" s="28" t="s">
        <v>192</v>
      </c>
      <c r="D4141" s="23" t="n">
        <v>12</v>
      </c>
      <c r="E4141" s="23" t="n">
        <v>20</v>
      </c>
      <c r="F4141" s="28" t="s">
        <v>911</v>
      </c>
      <c r="G4141" s="19" t="n">
        <v>0.063</v>
      </c>
    </row>
    <row r="4142" customFormat="false" ht="15" hidden="false" customHeight="false" outlineLevel="0" collapsed="false">
      <c r="A4142" s="28" t="s">
        <v>198</v>
      </c>
      <c r="B4142" s="28" t="s">
        <v>199</v>
      </c>
      <c r="C4142" s="28" t="s">
        <v>192</v>
      </c>
      <c r="D4142" s="23" t="n">
        <v>12</v>
      </c>
      <c r="E4142" s="23" t="n">
        <v>20</v>
      </c>
      <c r="F4142" s="28" t="s">
        <v>912</v>
      </c>
      <c r="G4142" s="19" t="n">
        <v>0.0644</v>
      </c>
    </row>
    <row r="4143" customFormat="false" ht="15" hidden="false" customHeight="false" outlineLevel="0" collapsed="false">
      <c r="A4143" s="28" t="s">
        <v>198</v>
      </c>
      <c r="B4143" s="28" t="s">
        <v>199</v>
      </c>
      <c r="C4143" s="28" t="s">
        <v>192</v>
      </c>
      <c r="D4143" s="23" t="n">
        <v>12</v>
      </c>
      <c r="E4143" s="23" t="n">
        <v>20</v>
      </c>
      <c r="F4143" s="28" t="s">
        <v>913</v>
      </c>
      <c r="G4143" s="19" t="n">
        <v>0.0693</v>
      </c>
    </row>
    <row r="4144" customFormat="false" ht="15" hidden="false" customHeight="false" outlineLevel="0" collapsed="false">
      <c r="A4144" s="28" t="s">
        <v>198</v>
      </c>
      <c r="B4144" s="28" t="s">
        <v>199</v>
      </c>
      <c r="C4144" s="28" t="s">
        <v>192</v>
      </c>
      <c r="D4144" s="23" t="n">
        <v>12</v>
      </c>
      <c r="E4144" s="23" t="n">
        <v>20</v>
      </c>
      <c r="F4144" s="28" t="s">
        <v>914</v>
      </c>
      <c r="G4144" s="19" t="n">
        <v>0.0691</v>
      </c>
    </row>
    <row r="4145" customFormat="false" ht="15" hidden="false" customHeight="false" outlineLevel="0" collapsed="false">
      <c r="A4145" s="28" t="s">
        <v>198</v>
      </c>
      <c r="B4145" s="28" t="s">
        <v>199</v>
      </c>
      <c r="C4145" s="28" t="s">
        <v>192</v>
      </c>
      <c r="D4145" s="23" t="n">
        <v>12</v>
      </c>
      <c r="E4145" s="23" t="n">
        <v>20</v>
      </c>
      <c r="F4145" s="28" t="s">
        <v>915</v>
      </c>
      <c r="G4145" s="19" t="n">
        <v>0.0849</v>
      </c>
    </row>
    <row r="4146" customFormat="false" ht="15" hidden="false" customHeight="false" outlineLevel="0" collapsed="false">
      <c r="A4146" s="28" t="s">
        <v>198</v>
      </c>
      <c r="B4146" s="28" t="s">
        <v>199</v>
      </c>
      <c r="C4146" s="28" t="s">
        <v>192</v>
      </c>
      <c r="D4146" s="23" t="n">
        <v>12</v>
      </c>
      <c r="E4146" s="23" t="n">
        <v>21</v>
      </c>
      <c r="F4146" s="28" t="s">
        <v>904</v>
      </c>
      <c r="G4146" s="19" t="n">
        <v>0.0563</v>
      </c>
    </row>
    <row r="4147" customFormat="false" ht="15" hidden="false" customHeight="false" outlineLevel="0" collapsed="false">
      <c r="A4147" s="28" t="s">
        <v>198</v>
      </c>
      <c r="B4147" s="28" t="s">
        <v>199</v>
      </c>
      <c r="C4147" s="28" t="s">
        <v>192</v>
      </c>
      <c r="D4147" s="23" t="n">
        <v>12</v>
      </c>
      <c r="E4147" s="23" t="n">
        <v>21</v>
      </c>
      <c r="F4147" s="28" t="s">
        <v>551</v>
      </c>
      <c r="G4147" s="19" t="n">
        <v>0.0875</v>
      </c>
    </row>
    <row r="4148" customFormat="false" ht="15" hidden="false" customHeight="false" outlineLevel="0" collapsed="false">
      <c r="A4148" s="28" t="s">
        <v>198</v>
      </c>
      <c r="B4148" s="28" t="s">
        <v>199</v>
      </c>
      <c r="C4148" s="28" t="s">
        <v>192</v>
      </c>
      <c r="D4148" s="23" t="n">
        <v>12</v>
      </c>
      <c r="E4148" s="23" t="n">
        <v>21</v>
      </c>
      <c r="F4148" s="28" t="s">
        <v>451</v>
      </c>
      <c r="G4148" s="19" t="n">
        <v>0.0561</v>
      </c>
    </row>
    <row r="4149" customFormat="false" ht="15" hidden="false" customHeight="false" outlineLevel="0" collapsed="false">
      <c r="A4149" s="28" t="s">
        <v>198</v>
      </c>
      <c r="B4149" s="28" t="s">
        <v>199</v>
      </c>
      <c r="C4149" s="28" t="s">
        <v>192</v>
      </c>
      <c r="D4149" s="23" t="n">
        <v>12</v>
      </c>
      <c r="E4149" s="23" t="n">
        <v>21</v>
      </c>
      <c r="F4149" s="28" t="s">
        <v>905</v>
      </c>
      <c r="G4149" s="19" t="n">
        <v>0.0587</v>
      </c>
    </row>
    <row r="4150" customFormat="false" ht="15" hidden="false" customHeight="false" outlineLevel="0" collapsed="false">
      <c r="A4150" s="28" t="s">
        <v>198</v>
      </c>
      <c r="B4150" s="28" t="s">
        <v>199</v>
      </c>
      <c r="C4150" s="28" t="s">
        <v>192</v>
      </c>
      <c r="D4150" s="23" t="n">
        <v>12</v>
      </c>
      <c r="E4150" s="23" t="n">
        <v>21</v>
      </c>
      <c r="F4150" s="28" t="s">
        <v>906</v>
      </c>
      <c r="G4150" s="19" t="n">
        <v>0.0601</v>
      </c>
    </row>
    <row r="4151" customFormat="false" ht="15" hidden="false" customHeight="false" outlineLevel="0" collapsed="false">
      <c r="A4151" s="28" t="s">
        <v>198</v>
      </c>
      <c r="B4151" s="28" t="s">
        <v>199</v>
      </c>
      <c r="C4151" s="28" t="s">
        <v>192</v>
      </c>
      <c r="D4151" s="23" t="n">
        <v>12</v>
      </c>
      <c r="E4151" s="23" t="n">
        <v>21</v>
      </c>
      <c r="F4151" s="28" t="s">
        <v>907</v>
      </c>
      <c r="G4151" s="19" t="n">
        <v>0.0598</v>
      </c>
    </row>
    <row r="4152" customFormat="false" ht="15" hidden="false" customHeight="false" outlineLevel="0" collapsed="false">
      <c r="A4152" s="28" t="s">
        <v>198</v>
      </c>
      <c r="B4152" s="28" t="s">
        <v>199</v>
      </c>
      <c r="C4152" s="28" t="s">
        <v>192</v>
      </c>
      <c r="D4152" s="23" t="n">
        <v>12</v>
      </c>
      <c r="E4152" s="23" t="n">
        <v>21</v>
      </c>
      <c r="F4152" s="28" t="s">
        <v>908</v>
      </c>
      <c r="G4152" s="19" t="n">
        <v>0.0614</v>
      </c>
    </row>
    <row r="4153" customFormat="false" ht="15" hidden="false" customHeight="false" outlineLevel="0" collapsed="false">
      <c r="A4153" s="28" t="s">
        <v>198</v>
      </c>
      <c r="B4153" s="28" t="s">
        <v>199</v>
      </c>
      <c r="C4153" s="28" t="s">
        <v>192</v>
      </c>
      <c r="D4153" s="23" t="n">
        <v>12</v>
      </c>
      <c r="E4153" s="23" t="n">
        <v>21</v>
      </c>
      <c r="F4153" s="28" t="s">
        <v>909</v>
      </c>
      <c r="G4153" s="19" t="n">
        <v>0.0615</v>
      </c>
    </row>
    <row r="4154" customFormat="false" ht="15" hidden="false" customHeight="false" outlineLevel="0" collapsed="false">
      <c r="A4154" s="28" t="s">
        <v>198</v>
      </c>
      <c r="B4154" s="28" t="s">
        <v>199</v>
      </c>
      <c r="C4154" s="28" t="s">
        <v>192</v>
      </c>
      <c r="D4154" s="23" t="n">
        <v>12</v>
      </c>
      <c r="E4154" s="23" t="n">
        <v>21</v>
      </c>
      <c r="F4154" s="28" t="s">
        <v>910</v>
      </c>
      <c r="G4154" s="19" t="n">
        <v>0.0619</v>
      </c>
    </row>
    <row r="4155" customFormat="false" ht="15" hidden="false" customHeight="false" outlineLevel="0" collapsed="false">
      <c r="A4155" s="28" t="s">
        <v>198</v>
      </c>
      <c r="B4155" s="28" t="s">
        <v>199</v>
      </c>
      <c r="C4155" s="28" t="s">
        <v>192</v>
      </c>
      <c r="D4155" s="23" t="n">
        <v>12</v>
      </c>
      <c r="E4155" s="23" t="n">
        <v>21</v>
      </c>
      <c r="F4155" s="28" t="s">
        <v>911</v>
      </c>
      <c r="G4155" s="19" t="n">
        <v>0.063</v>
      </c>
    </row>
    <row r="4156" customFormat="false" ht="15" hidden="false" customHeight="false" outlineLevel="0" collapsed="false">
      <c r="A4156" s="28" t="s">
        <v>198</v>
      </c>
      <c r="B4156" s="28" t="s">
        <v>199</v>
      </c>
      <c r="C4156" s="28" t="s">
        <v>192</v>
      </c>
      <c r="D4156" s="23" t="n">
        <v>12</v>
      </c>
      <c r="E4156" s="23" t="n">
        <v>21</v>
      </c>
      <c r="F4156" s="28" t="s">
        <v>912</v>
      </c>
      <c r="G4156" s="19" t="n">
        <v>0.0644</v>
      </c>
    </row>
    <row r="4157" customFormat="false" ht="15" hidden="false" customHeight="false" outlineLevel="0" collapsed="false">
      <c r="A4157" s="28" t="s">
        <v>198</v>
      </c>
      <c r="B4157" s="28" t="s">
        <v>199</v>
      </c>
      <c r="C4157" s="28" t="s">
        <v>192</v>
      </c>
      <c r="D4157" s="23" t="n">
        <v>12</v>
      </c>
      <c r="E4157" s="23" t="n">
        <v>21</v>
      </c>
      <c r="F4157" s="28" t="s">
        <v>913</v>
      </c>
      <c r="G4157" s="19" t="n">
        <v>0.0693</v>
      </c>
    </row>
    <row r="4158" customFormat="false" ht="15" hidden="false" customHeight="false" outlineLevel="0" collapsed="false">
      <c r="A4158" s="28" t="s">
        <v>198</v>
      </c>
      <c r="B4158" s="28" t="s">
        <v>199</v>
      </c>
      <c r="C4158" s="28" t="s">
        <v>192</v>
      </c>
      <c r="D4158" s="23" t="n">
        <v>12</v>
      </c>
      <c r="E4158" s="23" t="n">
        <v>21</v>
      </c>
      <c r="F4158" s="28" t="s">
        <v>914</v>
      </c>
      <c r="G4158" s="19" t="n">
        <v>0.0691</v>
      </c>
    </row>
    <row r="4159" customFormat="false" ht="15" hidden="false" customHeight="false" outlineLevel="0" collapsed="false">
      <c r="A4159" s="28" t="s">
        <v>198</v>
      </c>
      <c r="B4159" s="28" t="s">
        <v>199</v>
      </c>
      <c r="C4159" s="28" t="s">
        <v>192</v>
      </c>
      <c r="D4159" s="23" t="n">
        <v>12</v>
      </c>
      <c r="E4159" s="23" t="n">
        <v>21</v>
      </c>
      <c r="F4159" s="28" t="s">
        <v>915</v>
      </c>
      <c r="G4159" s="19" t="n">
        <v>0.0849</v>
      </c>
    </row>
    <row r="4160" customFormat="false" ht="15" hidden="false" customHeight="false" outlineLevel="0" collapsed="false">
      <c r="A4160" s="28" t="s">
        <v>198</v>
      </c>
      <c r="B4160" s="28" t="s">
        <v>199</v>
      </c>
      <c r="C4160" s="28" t="s">
        <v>192</v>
      </c>
      <c r="D4160" s="23" t="n">
        <v>12</v>
      </c>
      <c r="E4160" s="23" t="n">
        <v>22</v>
      </c>
      <c r="F4160" s="28" t="s">
        <v>904</v>
      </c>
      <c r="G4160" s="19" t="n">
        <v>0.0563</v>
      </c>
    </row>
    <row r="4161" customFormat="false" ht="15" hidden="false" customHeight="false" outlineLevel="0" collapsed="false">
      <c r="A4161" s="28" t="s">
        <v>198</v>
      </c>
      <c r="B4161" s="28" t="s">
        <v>199</v>
      </c>
      <c r="C4161" s="28" t="s">
        <v>192</v>
      </c>
      <c r="D4161" s="23" t="n">
        <v>12</v>
      </c>
      <c r="E4161" s="23" t="n">
        <v>22</v>
      </c>
      <c r="F4161" s="28" t="s">
        <v>551</v>
      </c>
      <c r="G4161" s="19" t="n">
        <v>0.0875</v>
      </c>
    </row>
    <row r="4162" customFormat="false" ht="15" hidden="false" customHeight="false" outlineLevel="0" collapsed="false">
      <c r="A4162" s="28" t="s">
        <v>198</v>
      </c>
      <c r="B4162" s="28" t="s">
        <v>199</v>
      </c>
      <c r="C4162" s="28" t="s">
        <v>192</v>
      </c>
      <c r="D4162" s="23" t="n">
        <v>12</v>
      </c>
      <c r="E4162" s="23" t="n">
        <v>22</v>
      </c>
      <c r="F4162" s="28" t="s">
        <v>451</v>
      </c>
      <c r="G4162" s="19" t="n">
        <v>0.0561</v>
      </c>
    </row>
    <row r="4163" customFormat="false" ht="15" hidden="false" customHeight="false" outlineLevel="0" collapsed="false">
      <c r="A4163" s="28" t="s">
        <v>198</v>
      </c>
      <c r="B4163" s="28" t="s">
        <v>199</v>
      </c>
      <c r="C4163" s="28" t="s">
        <v>192</v>
      </c>
      <c r="D4163" s="23" t="n">
        <v>12</v>
      </c>
      <c r="E4163" s="23" t="n">
        <v>22</v>
      </c>
      <c r="F4163" s="28" t="s">
        <v>905</v>
      </c>
      <c r="G4163" s="19" t="n">
        <v>0.0587</v>
      </c>
    </row>
    <row r="4164" customFormat="false" ht="15" hidden="false" customHeight="false" outlineLevel="0" collapsed="false">
      <c r="A4164" s="28" t="s">
        <v>198</v>
      </c>
      <c r="B4164" s="28" t="s">
        <v>199</v>
      </c>
      <c r="C4164" s="28" t="s">
        <v>192</v>
      </c>
      <c r="D4164" s="23" t="n">
        <v>12</v>
      </c>
      <c r="E4164" s="23" t="n">
        <v>22</v>
      </c>
      <c r="F4164" s="28" t="s">
        <v>906</v>
      </c>
      <c r="G4164" s="19" t="n">
        <v>0.0601</v>
      </c>
    </row>
    <row r="4165" customFormat="false" ht="15" hidden="false" customHeight="false" outlineLevel="0" collapsed="false">
      <c r="A4165" s="28" t="s">
        <v>198</v>
      </c>
      <c r="B4165" s="28" t="s">
        <v>199</v>
      </c>
      <c r="C4165" s="28" t="s">
        <v>192</v>
      </c>
      <c r="D4165" s="23" t="n">
        <v>12</v>
      </c>
      <c r="E4165" s="23" t="n">
        <v>22</v>
      </c>
      <c r="F4165" s="28" t="s">
        <v>907</v>
      </c>
      <c r="G4165" s="19" t="n">
        <v>0.0598</v>
      </c>
    </row>
    <row r="4166" customFormat="false" ht="15" hidden="false" customHeight="false" outlineLevel="0" collapsed="false">
      <c r="A4166" s="28" t="s">
        <v>198</v>
      </c>
      <c r="B4166" s="28" t="s">
        <v>199</v>
      </c>
      <c r="C4166" s="28" t="s">
        <v>192</v>
      </c>
      <c r="D4166" s="23" t="n">
        <v>12</v>
      </c>
      <c r="E4166" s="23" t="n">
        <v>22</v>
      </c>
      <c r="F4166" s="28" t="s">
        <v>908</v>
      </c>
      <c r="G4166" s="19" t="n">
        <v>0.0614</v>
      </c>
    </row>
    <row r="4167" customFormat="false" ht="15" hidden="false" customHeight="false" outlineLevel="0" collapsed="false">
      <c r="A4167" s="28" t="s">
        <v>198</v>
      </c>
      <c r="B4167" s="28" t="s">
        <v>199</v>
      </c>
      <c r="C4167" s="28" t="s">
        <v>192</v>
      </c>
      <c r="D4167" s="23" t="n">
        <v>12</v>
      </c>
      <c r="E4167" s="23" t="n">
        <v>22</v>
      </c>
      <c r="F4167" s="28" t="s">
        <v>909</v>
      </c>
      <c r="G4167" s="19" t="n">
        <v>0.0615</v>
      </c>
    </row>
    <row r="4168" customFormat="false" ht="15" hidden="false" customHeight="false" outlineLevel="0" collapsed="false">
      <c r="A4168" s="28" t="s">
        <v>198</v>
      </c>
      <c r="B4168" s="28" t="s">
        <v>199</v>
      </c>
      <c r="C4168" s="28" t="s">
        <v>192</v>
      </c>
      <c r="D4168" s="23" t="n">
        <v>12</v>
      </c>
      <c r="E4168" s="23" t="n">
        <v>22</v>
      </c>
      <c r="F4168" s="28" t="s">
        <v>910</v>
      </c>
      <c r="G4168" s="19" t="n">
        <v>0.0619</v>
      </c>
    </row>
    <row r="4169" customFormat="false" ht="15" hidden="false" customHeight="false" outlineLevel="0" collapsed="false">
      <c r="A4169" s="28" t="s">
        <v>198</v>
      </c>
      <c r="B4169" s="28" t="s">
        <v>199</v>
      </c>
      <c r="C4169" s="28" t="s">
        <v>192</v>
      </c>
      <c r="D4169" s="23" t="n">
        <v>12</v>
      </c>
      <c r="E4169" s="23" t="n">
        <v>22</v>
      </c>
      <c r="F4169" s="28" t="s">
        <v>911</v>
      </c>
      <c r="G4169" s="19" t="n">
        <v>0.063</v>
      </c>
    </row>
    <row r="4170" customFormat="false" ht="15" hidden="false" customHeight="false" outlineLevel="0" collapsed="false">
      <c r="A4170" s="28" t="s">
        <v>198</v>
      </c>
      <c r="B4170" s="28" t="s">
        <v>199</v>
      </c>
      <c r="C4170" s="28" t="s">
        <v>192</v>
      </c>
      <c r="D4170" s="23" t="n">
        <v>12</v>
      </c>
      <c r="E4170" s="23" t="n">
        <v>22</v>
      </c>
      <c r="F4170" s="28" t="s">
        <v>912</v>
      </c>
      <c r="G4170" s="19" t="n">
        <v>0.0644</v>
      </c>
    </row>
    <row r="4171" customFormat="false" ht="15" hidden="false" customHeight="false" outlineLevel="0" collapsed="false">
      <c r="A4171" s="28" t="s">
        <v>198</v>
      </c>
      <c r="B4171" s="28" t="s">
        <v>199</v>
      </c>
      <c r="C4171" s="28" t="s">
        <v>192</v>
      </c>
      <c r="D4171" s="23" t="n">
        <v>12</v>
      </c>
      <c r="E4171" s="23" t="n">
        <v>22</v>
      </c>
      <c r="F4171" s="28" t="s">
        <v>913</v>
      </c>
      <c r="G4171" s="19" t="n">
        <v>0.0693</v>
      </c>
    </row>
    <row r="4172" customFormat="false" ht="15" hidden="false" customHeight="false" outlineLevel="0" collapsed="false">
      <c r="A4172" s="28" t="s">
        <v>198</v>
      </c>
      <c r="B4172" s="28" t="s">
        <v>199</v>
      </c>
      <c r="C4172" s="28" t="s">
        <v>192</v>
      </c>
      <c r="D4172" s="23" t="n">
        <v>12</v>
      </c>
      <c r="E4172" s="23" t="n">
        <v>22</v>
      </c>
      <c r="F4172" s="28" t="s">
        <v>914</v>
      </c>
      <c r="G4172" s="19" t="n">
        <v>0.0691</v>
      </c>
    </row>
    <row r="4173" customFormat="false" ht="15" hidden="false" customHeight="false" outlineLevel="0" collapsed="false">
      <c r="A4173" s="28" t="s">
        <v>198</v>
      </c>
      <c r="B4173" s="28" t="s">
        <v>199</v>
      </c>
      <c r="C4173" s="28" t="s">
        <v>192</v>
      </c>
      <c r="D4173" s="23" t="n">
        <v>12</v>
      </c>
      <c r="E4173" s="23" t="n">
        <v>22</v>
      </c>
      <c r="F4173" s="28" t="s">
        <v>915</v>
      </c>
      <c r="G4173" s="19" t="n">
        <v>0.0849</v>
      </c>
    </row>
    <row r="4174" customFormat="false" ht="15" hidden="false" customHeight="false" outlineLevel="0" collapsed="false">
      <c r="A4174" s="28" t="s">
        <v>198</v>
      </c>
      <c r="B4174" s="28" t="s">
        <v>199</v>
      </c>
      <c r="C4174" s="28" t="s">
        <v>192</v>
      </c>
      <c r="D4174" s="23" t="n">
        <v>12</v>
      </c>
      <c r="E4174" s="23" t="n">
        <v>23</v>
      </c>
      <c r="F4174" s="28" t="s">
        <v>904</v>
      </c>
      <c r="G4174" s="19" t="n">
        <v>0.0563</v>
      </c>
    </row>
    <row r="4175" customFormat="false" ht="15" hidden="false" customHeight="false" outlineLevel="0" collapsed="false">
      <c r="A4175" s="28" t="s">
        <v>198</v>
      </c>
      <c r="B4175" s="28" t="s">
        <v>199</v>
      </c>
      <c r="C4175" s="28" t="s">
        <v>192</v>
      </c>
      <c r="D4175" s="23" t="n">
        <v>12</v>
      </c>
      <c r="E4175" s="23" t="n">
        <v>23</v>
      </c>
      <c r="F4175" s="28" t="s">
        <v>551</v>
      </c>
      <c r="G4175" s="19" t="n">
        <v>0.0875</v>
      </c>
    </row>
    <row r="4176" customFormat="false" ht="15" hidden="false" customHeight="false" outlineLevel="0" collapsed="false">
      <c r="A4176" s="28" t="s">
        <v>198</v>
      </c>
      <c r="B4176" s="28" t="s">
        <v>199</v>
      </c>
      <c r="C4176" s="28" t="s">
        <v>192</v>
      </c>
      <c r="D4176" s="23" t="n">
        <v>12</v>
      </c>
      <c r="E4176" s="23" t="n">
        <v>23</v>
      </c>
      <c r="F4176" s="28" t="s">
        <v>451</v>
      </c>
      <c r="G4176" s="19" t="n">
        <v>0.0561</v>
      </c>
    </row>
    <row r="4177" customFormat="false" ht="15" hidden="false" customHeight="false" outlineLevel="0" collapsed="false">
      <c r="A4177" s="28" t="s">
        <v>198</v>
      </c>
      <c r="B4177" s="28" t="s">
        <v>199</v>
      </c>
      <c r="C4177" s="28" t="s">
        <v>192</v>
      </c>
      <c r="D4177" s="23" t="n">
        <v>12</v>
      </c>
      <c r="E4177" s="23" t="n">
        <v>23</v>
      </c>
      <c r="F4177" s="28" t="s">
        <v>905</v>
      </c>
      <c r="G4177" s="19" t="n">
        <v>0.0587</v>
      </c>
    </row>
    <row r="4178" customFormat="false" ht="15" hidden="false" customHeight="false" outlineLevel="0" collapsed="false">
      <c r="A4178" s="28" t="s">
        <v>198</v>
      </c>
      <c r="B4178" s="28" t="s">
        <v>199</v>
      </c>
      <c r="C4178" s="28" t="s">
        <v>192</v>
      </c>
      <c r="D4178" s="23" t="n">
        <v>12</v>
      </c>
      <c r="E4178" s="23" t="n">
        <v>23</v>
      </c>
      <c r="F4178" s="28" t="s">
        <v>906</v>
      </c>
      <c r="G4178" s="19" t="n">
        <v>0.0601</v>
      </c>
    </row>
    <row r="4179" customFormat="false" ht="15" hidden="false" customHeight="false" outlineLevel="0" collapsed="false">
      <c r="A4179" s="28" t="s">
        <v>198</v>
      </c>
      <c r="B4179" s="28" t="s">
        <v>199</v>
      </c>
      <c r="C4179" s="28" t="s">
        <v>192</v>
      </c>
      <c r="D4179" s="23" t="n">
        <v>12</v>
      </c>
      <c r="E4179" s="23" t="n">
        <v>23</v>
      </c>
      <c r="F4179" s="28" t="s">
        <v>907</v>
      </c>
      <c r="G4179" s="19" t="n">
        <v>0.0598</v>
      </c>
    </row>
    <row r="4180" customFormat="false" ht="15" hidden="false" customHeight="false" outlineLevel="0" collapsed="false">
      <c r="A4180" s="28" t="s">
        <v>198</v>
      </c>
      <c r="B4180" s="28" t="s">
        <v>199</v>
      </c>
      <c r="C4180" s="28" t="s">
        <v>192</v>
      </c>
      <c r="D4180" s="23" t="n">
        <v>12</v>
      </c>
      <c r="E4180" s="23" t="n">
        <v>23</v>
      </c>
      <c r="F4180" s="28" t="s">
        <v>908</v>
      </c>
      <c r="G4180" s="19" t="n">
        <v>0.0614</v>
      </c>
    </row>
    <row r="4181" customFormat="false" ht="15" hidden="false" customHeight="false" outlineLevel="0" collapsed="false">
      <c r="A4181" s="28" t="s">
        <v>198</v>
      </c>
      <c r="B4181" s="28" t="s">
        <v>199</v>
      </c>
      <c r="C4181" s="28" t="s">
        <v>192</v>
      </c>
      <c r="D4181" s="23" t="n">
        <v>12</v>
      </c>
      <c r="E4181" s="23" t="n">
        <v>23</v>
      </c>
      <c r="F4181" s="28" t="s">
        <v>909</v>
      </c>
      <c r="G4181" s="19" t="n">
        <v>0.0615</v>
      </c>
    </row>
    <row r="4182" customFormat="false" ht="15" hidden="false" customHeight="false" outlineLevel="0" collapsed="false">
      <c r="A4182" s="28" t="s">
        <v>198</v>
      </c>
      <c r="B4182" s="28" t="s">
        <v>199</v>
      </c>
      <c r="C4182" s="28" t="s">
        <v>192</v>
      </c>
      <c r="D4182" s="23" t="n">
        <v>12</v>
      </c>
      <c r="E4182" s="23" t="n">
        <v>23</v>
      </c>
      <c r="F4182" s="28" t="s">
        <v>910</v>
      </c>
      <c r="G4182" s="19" t="n">
        <v>0.0619</v>
      </c>
    </row>
    <row r="4183" customFormat="false" ht="15" hidden="false" customHeight="false" outlineLevel="0" collapsed="false">
      <c r="A4183" s="28" t="s">
        <v>198</v>
      </c>
      <c r="B4183" s="28" t="s">
        <v>199</v>
      </c>
      <c r="C4183" s="28" t="s">
        <v>192</v>
      </c>
      <c r="D4183" s="23" t="n">
        <v>12</v>
      </c>
      <c r="E4183" s="23" t="n">
        <v>23</v>
      </c>
      <c r="F4183" s="28" t="s">
        <v>911</v>
      </c>
      <c r="G4183" s="19" t="n">
        <v>0.063</v>
      </c>
    </row>
    <row r="4184" customFormat="false" ht="15" hidden="false" customHeight="false" outlineLevel="0" collapsed="false">
      <c r="A4184" s="28" t="s">
        <v>198</v>
      </c>
      <c r="B4184" s="28" t="s">
        <v>199</v>
      </c>
      <c r="C4184" s="28" t="s">
        <v>192</v>
      </c>
      <c r="D4184" s="23" t="n">
        <v>12</v>
      </c>
      <c r="E4184" s="23" t="n">
        <v>23</v>
      </c>
      <c r="F4184" s="28" t="s">
        <v>912</v>
      </c>
      <c r="G4184" s="19" t="n">
        <v>0.0644</v>
      </c>
    </row>
    <row r="4185" customFormat="false" ht="15" hidden="false" customHeight="false" outlineLevel="0" collapsed="false">
      <c r="A4185" s="28" t="s">
        <v>198</v>
      </c>
      <c r="B4185" s="28" t="s">
        <v>199</v>
      </c>
      <c r="C4185" s="28" t="s">
        <v>192</v>
      </c>
      <c r="D4185" s="23" t="n">
        <v>12</v>
      </c>
      <c r="E4185" s="23" t="n">
        <v>23</v>
      </c>
      <c r="F4185" s="28" t="s">
        <v>913</v>
      </c>
      <c r="G4185" s="19" t="n">
        <v>0.0693</v>
      </c>
    </row>
    <row r="4186" customFormat="false" ht="15" hidden="false" customHeight="false" outlineLevel="0" collapsed="false">
      <c r="A4186" s="28" t="s">
        <v>198</v>
      </c>
      <c r="B4186" s="28" t="s">
        <v>199</v>
      </c>
      <c r="C4186" s="28" t="s">
        <v>192</v>
      </c>
      <c r="D4186" s="23" t="n">
        <v>12</v>
      </c>
      <c r="E4186" s="23" t="n">
        <v>23</v>
      </c>
      <c r="F4186" s="28" t="s">
        <v>914</v>
      </c>
      <c r="G4186" s="19" t="n">
        <v>0.0691</v>
      </c>
    </row>
    <row r="4187" customFormat="false" ht="15" hidden="false" customHeight="false" outlineLevel="0" collapsed="false">
      <c r="A4187" s="28" t="s">
        <v>198</v>
      </c>
      <c r="B4187" s="28" t="s">
        <v>199</v>
      </c>
      <c r="C4187" s="28" t="s">
        <v>192</v>
      </c>
      <c r="D4187" s="23" t="n">
        <v>12</v>
      </c>
      <c r="E4187" s="23" t="n">
        <v>23</v>
      </c>
      <c r="F4187" s="28" t="s">
        <v>915</v>
      </c>
      <c r="G4187" s="19" t="n">
        <v>0.0849</v>
      </c>
    </row>
    <row r="4188" customFormat="false" ht="15" hidden="false" customHeight="false" outlineLevel="0" collapsed="false">
      <c r="A4188" s="28" t="s">
        <v>198</v>
      </c>
      <c r="B4188" s="28" t="s">
        <v>199</v>
      </c>
      <c r="C4188" s="28" t="s">
        <v>192</v>
      </c>
      <c r="D4188" s="23" t="n">
        <v>12</v>
      </c>
      <c r="E4188" s="23" t="n">
        <v>24</v>
      </c>
      <c r="F4188" s="28" t="s">
        <v>904</v>
      </c>
      <c r="G4188" s="19" t="n">
        <v>0.0563</v>
      </c>
    </row>
    <row r="4189" customFormat="false" ht="15" hidden="false" customHeight="false" outlineLevel="0" collapsed="false">
      <c r="A4189" s="28" t="s">
        <v>198</v>
      </c>
      <c r="B4189" s="28" t="s">
        <v>199</v>
      </c>
      <c r="C4189" s="28" t="s">
        <v>192</v>
      </c>
      <c r="D4189" s="23" t="n">
        <v>12</v>
      </c>
      <c r="E4189" s="23" t="n">
        <v>24</v>
      </c>
      <c r="F4189" s="28" t="s">
        <v>551</v>
      </c>
      <c r="G4189" s="19" t="n">
        <v>0.0875</v>
      </c>
    </row>
    <row r="4190" customFormat="false" ht="15" hidden="false" customHeight="false" outlineLevel="0" collapsed="false">
      <c r="A4190" s="28" t="s">
        <v>198</v>
      </c>
      <c r="B4190" s="28" t="s">
        <v>199</v>
      </c>
      <c r="C4190" s="28" t="s">
        <v>192</v>
      </c>
      <c r="D4190" s="23" t="n">
        <v>12</v>
      </c>
      <c r="E4190" s="23" t="n">
        <v>24</v>
      </c>
      <c r="F4190" s="28" t="s">
        <v>451</v>
      </c>
      <c r="G4190" s="19" t="n">
        <v>0.0561</v>
      </c>
    </row>
    <row r="4191" customFormat="false" ht="15" hidden="false" customHeight="false" outlineLevel="0" collapsed="false">
      <c r="A4191" s="28" t="s">
        <v>198</v>
      </c>
      <c r="B4191" s="28" t="s">
        <v>199</v>
      </c>
      <c r="C4191" s="28" t="s">
        <v>192</v>
      </c>
      <c r="D4191" s="23" t="n">
        <v>12</v>
      </c>
      <c r="E4191" s="23" t="n">
        <v>24</v>
      </c>
      <c r="F4191" s="28" t="s">
        <v>905</v>
      </c>
      <c r="G4191" s="19" t="n">
        <v>0.0587</v>
      </c>
    </row>
    <row r="4192" customFormat="false" ht="15" hidden="false" customHeight="false" outlineLevel="0" collapsed="false">
      <c r="A4192" s="28" t="s">
        <v>198</v>
      </c>
      <c r="B4192" s="28" t="s">
        <v>199</v>
      </c>
      <c r="C4192" s="28" t="s">
        <v>192</v>
      </c>
      <c r="D4192" s="23" t="n">
        <v>12</v>
      </c>
      <c r="E4192" s="23" t="n">
        <v>24</v>
      </c>
      <c r="F4192" s="28" t="s">
        <v>906</v>
      </c>
      <c r="G4192" s="19" t="n">
        <v>0.0601</v>
      </c>
    </row>
    <row r="4193" customFormat="false" ht="15" hidden="false" customHeight="false" outlineLevel="0" collapsed="false">
      <c r="A4193" s="28" t="s">
        <v>198</v>
      </c>
      <c r="B4193" s="28" t="s">
        <v>199</v>
      </c>
      <c r="C4193" s="28" t="s">
        <v>192</v>
      </c>
      <c r="D4193" s="23" t="n">
        <v>12</v>
      </c>
      <c r="E4193" s="23" t="n">
        <v>24</v>
      </c>
      <c r="F4193" s="28" t="s">
        <v>907</v>
      </c>
      <c r="G4193" s="19" t="n">
        <v>0.0598</v>
      </c>
    </row>
    <row r="4194" customFormat="false" ht="15" hidden="false" customHeight="false" outlineLevel="0" collapsed="false">
      <c r="A4194" s="28" t="s">
        <v>198</v>
      </c>
      <c r="B4194" s="28" t="s">
        <v>199</v>
      </c>
      <c r="C4194" s="28" t="s">
        <v>192</v>
      </c>
      <c r="D4194" s="23" t="n">
        <v>12</v>
      </c>
      <c r="E4194" s="23" t="n">
        <v>24</v>
      </c>
      <c r="F4194" s="28" t="s">
        <v>908</v>
      </c>
      <c r="G4194" s="19" t="n">
        <v>0.0614</v>
      </c>
    </row>
    <row r="4195" customFormat="false" ht="15" hidden="false" customHeight="false" outlineLevel="0" collapsed="false">
      <c r="A4195" s="28" t="s">
        <v>198</v>
      </c>
      <c r="B4195" s="28" t="s">
        <v>199</v>
      </c>
      <c r="C4195" s="28" t="s">
        <v>192</v>
      </c>
      <c r="D4195" s="23" t="n">
        <v>12</v>
      </c>
      <c r="E4195" s="23" t="n">
        <v>24</v>
      </c>
      <c r="F4195" s="28" t="s">
        <v>909</v>
      </c>
      <c r="G4195" s="19" t="n">
        <v>0.0615</v>
      </c>
    </row>
    <row r="4196" customFormat="false" ht="15" hidden="false" customHeight="false" outlineLevel="0" collapsed="false">
      <c r="A4196" s="28" t="s">
        <v>198</v>
      </c>
      <c r="B4196" s="28" t="s">
        <v>199</v>
      </c>
      <c r="C4196" s="28" t="s">
        <v>192</v>
      </c>
      <c r="D4196" s="23" t="n">
        <v>12</v>
      </c>
      <c r="E4196" s="23" t="n">
        <v>24</v>
      </c>
      <c r="F4196" s="28" t="s">
        <v>910</v>
      </c>
      <c r="G4196" s="19" t="n">
        <v>0.0619</v>
      </c>
    </row>
    <row r="4197" customFormat="false" ht="15" hidden="false" customHeight="false" outlineLevel="0" collapsed="false">
      <c r="A4197" s="28" t="s">
        <v>198</v>
      </c>
      <c r="B4197" s="28" t="s">
        <v>199</v>
      </c>
      <c r="C4197" s="28" t="s">
        <v>192</v>
      </c>
      <c r="D4197" s="23" t="n">
        <v>12</v>
      </c>
      <c r="E4197" s="23" t="n">
        <v>24</v>
      </c>
      <c r="F4197" s="28" t="s">
        <v>911</v>
      </c>
      <c r="G4197" s="19" t="n">
        <v>0.063</v>
      </c>
    </row>
    <row r="4198" customFormat="false" ht="15" hidden="false" customHeight="false" outlineLevel="0" collapsed="false">
      <c r="A4198" s="28" t="s">
        <v>198</v>
      </c>
      <c r="B4198" s="28" t="s">
        <v>199</v>
      </c>
      <c r="C4198" s="28" t="s">
        <v>192</v>
      </c>
      <c r="D4198" s="23" t="n">
        <v>12</v>
      </c>
      <c r="E4198" s="23" t="n">
        <v>24</v>
      </c>
      <c r="F4198" s="28" t="s">
        <v>912</v>
      </c>
      <c r="G4198" s="19" t="n">
        <v>0.0644</v>
      </c>
    </row>
    <row r="4199" customFormat="false" ht="15" hidden="false" customHeight="false" outlineLevel="0" collapsed="false">
      <c r="A4199" s="28" t="s">
        <v>198</v>
      </c>
      <c r="B4199" s="28" t="s">
        <v>199</v>
      </c>
      <c r="C4199" s="28" t="s">
        <v>192</v>
      </c>
      <c r="D4199" s="23" t="n">
        <v>12</v>
      </c>
      <c r="E4199" s="23" t="n">
        <v>24</v>
      </c>
      <c r="F4199" s="28" t="s">
        <v>913</v>
      </c>
      <c r="G4199" s="19" t="n">
        <v>0.0693</v>
      </c>
    </row>
    <row r="4200" customFormat="false" ht="15" hidden="false" customHeight="false" outlineLevel="0" collapsed="false">
      <c r="A4200" s="28" t="s">
        <v>198</v>
      </c>
      <c r="B4200" s="28" t="s">
        <v>199</v>
      </c>
      <c r="C4200" s="28" t="s">
        <v>192</v>
      </c>
      <c r="D4200" s="23" t="n">
        <v>12</v>
      </c>
      <c r="E4200" s="23" t="n">
        <v>24</v>
      </c>
      <c r="F4200" s="28" t="s">
        <v>914</v>
      </c>
      <c r="G4200" s="19" t="n">
        <v>0.0691</v>
      </c>
    </row>
    <row r="4201" customFormat="false" ht="15" hidden="false" customHeight="false" outlineLevel="0" collapsed="false">
      <c r="A4201" s="28" t="s">
        <v>198</v>
      </c>
      <c r="B4201" s="28" t="s">
        <v>199</v>
      </c>
      <c r="C4201" s="28" t="s">
        <v>192</v>
      </c>
      <c r="D4201" s="23" t="n">
        <v>12</v>
      </c>
      <c r="E4201" s="23" t="n">
        <v>24</v>
      </c>
      <c r="F4201" s="28" t="s">
        <v>915</v>
      </c>
      <c r="G4201" s="19" t="n">
        <v>0.0849</v>
      </c>
    </row>
    <row r="4202" customFormat="false" ht="15" hidden="false" customHeight="false" outlineLevel="0" collapsed="false">
      <c r="A4202" s="28" t="s">
        <v>200</v>
      </c>
      <c r="B4202" s="28" t="s">
        <v>201</v>
      </c>
      <c r="C4202" s="28" t="s">
        <v>202</v>
      </c>
      <c r="D4202" s="23" t="n">
        <v>13</v>
      </c>
      <c r="E4202" s="23" t="n">
        <v>0</v>
      </c>
      <c r="F4202" s="28" t="s">
        <v>904</v>
      </c>
      <c r="G4202" s="19" t="n">
        <v>0.0413</v>
      </c>
    </row>
    <row r="4203" customFormat="false" ht="15" hidden="false" customHeight="false" outlineLevel="0" collapsed="false">
      <c r="A4203" s="28" t="s">
        <v>200</v>
      </c>
      <c r="B4203" s="28" t="s">
        <v>201</v>
      </c>
      <c r="C4203" s="28" t="s">
        <v>202</v>
      </c>
      <c r="D4203" s="23" t="n">
        <v>13</v>
      </c>
      <c r="E4203" s="23" t="n">
        <v>0</v>
      </c>
      <c r="F4203" s="28" t="s">
        <v>551</v>
      </c>
      <c r="G4203" s="19" t="n">
        <v>0.0725</v>
      </c>
    </row>
    <row r="4204" customFormat="false" ht="15" hidden="false" customHeight="false" outlineLevel="0" collapsed="false">
      <c r="A4204" s="28" t="s">
        <v>200</v>
      </c>
      <c r="B4204" s="28" t="s">
        <v>201</v>
      </c>
      <c r="C4204" s="28" t="s">
        <v>202</v>
      </c>
      <c r="D4204" s="23" t="n">
        <v>13</v>
      </c>
      <c r="E4204" s="23" t="n">
        <v>0</v>
      </c>
      <c r="F4204" s="28" t="s">
        <v>451</v>
      </c>
      <c r="G4204" s="19" t="n">
        <v>0.0411</v>
      </c>
    </row>
    <row r="4205" customFormat="false" ht="15" hidden="false" customHeight="false" outlineLevel="0" collapsed="false">
      <c r="A4205" s="28" t="s">
        <v>200</v>
      </c>
      <c r="B4205" s="28" t="s">
        <v>201</v>
      </c>
      <c r="C4205" s="28" t="s">
        <v>202</v>
      </c>
      <c r="D4205" s="23" t="n">
        <v>13</v>
      </c>
      <c r="E4205" s="23" t="n">
        <v>0</v>
      </c>
      <c r="F4205" s="28" t="s">
        <v>905</v>
      </c>
      <c r="G4205" s="19" t="n">
        <v>0.0437</v>
      </c>
    </row>
    <row r="4206" customFormat="false" ht="15" hidden="false" customHeight="false" outlineLevel="0" collapsed="false">
      <c r="A4206" s="28" t="s">
        <v>200</v>
      </c>
      <c r="B4206" s="28" t="s">
        <v>201</v>
      </c>
      <c r="C4206" s="28" t="s">
        <v>202</v>
      </c>
      <c r="D4206" s="23" t="n">
        <v>13</v>
      </c>
      <c r="E4206" s="23" t="n">
        <v>0</v>
      </c>
      <c r="F4206" s="28" t="s">
        <v>906</v>
      </c>
      <c r="G4206" s="19" t="n">
        <v>0.045356</v>
      </c>
    </row>
    <row r="4207" customFormat="false" ht="15" hidden="false" customHeight="false" outlineLevel="0" collapsed="false">
      <c r="A4207" s="28" t="s">
        <v>200</v>
      </c>
      <c r="B4207" s="28" t="s">
        <v>201</v>
      </c>
      <c r="C4207" s="28" t="s">
        <v>202</v>
      </c>
      <c r="D4207" s="23" t="n">
        <v>13</v>
      </c>
      <c r="E4207" s="23" t="n">
        <v>0</v>
      </c>
      <c r="F4207" s="28" t="s">
        <v>907</v>
      </c>
      <c r="G4207" s="19" t="n">
        <v>0.045569</v>
      </c>
    </row>
    <row r="4208" customFormat="false" ht="15" hidden="false" customHeight="false" outlineLevel="0" collapsed="false">
      <c r="A4208" s="28" t="s">
        <v>200</v>
      </c>
      <c r="B4208" s="28" t="s">
        <v>201</v>
      </c>
      <c r="C4208" s="28" t="s">
        <v>202</v>
      </c>
      <c r="D4208" s="23" t="n">
        <v>13</v>
      </c>
      <c r="E4208" s="23" t="n">
        <v>0</v>
      </c>
      <c r="F4208" s="28" t="s">
        <v>908</v>
      </c>
      <c r="G4208" s="19" t="n">
        <v>0.048195</v>
      </c>
    </row>
    <row r="4209" customFormat="false" ht="15" hidden="false" customHeight="false" outlineLevel="0" collapsed="false">
      <c r="A4209" s="28" t="s">
        <v>200</v>
      </c>
      <c r="B4209" s="28" t="s">
        <v>201</v>
      </c>
      <c r="C4209" s="28" t="s">
        <v>202</v>
      </c>
      <c r="D4209" s="23" t="n">
        <v>13</v>
      </c>
      <c r="E4209" s="23" t="n">
        <v>0</v>
      </c>
      <c r="F4209" s="28" t="s">
        <v>909</v>
      </c>
      <c r="G4209" s="19" t="n">
        <v>0.049321</v>
      </c>
    </row>
    <row r="4210" customFormat="false" ht="15" hidden="false" customHeight="false" outlineLevel="0" collapsed="false">
      <c r="A4210" s="28" t="s">
        <v>200</v>
      </c>
      <c r="B4210" s="28" t="s">
        <v>201</v>
      </c>
      <c r="C4210" s="28" t="s">
        <v>202</v>
      </c>
      <c r="D4210" s="23" t="n">
        <v>13</v>
      </c>
      <c r="E4210" s="23" t="n">
        <v>0</v>
      </c>
      <c r="F4210" s="28" t="s">
        <v>910</v>
      </c>
      <c r="G4210" s="19" t="n">
        <v>0.051772</v>
      </c>
    </row>
    <row r="4211" customFormat="false" ht="15" hidden="false" customHeight="false" outlineLevel="0" collapsed="false">
      <c r="A4211" s="28" t="s">
        <v>200</v>
      </c>
      <c r="B4211" s="28" t="s">
        <v>201</v>
      </c>
      <c r="C4211" s="28" t="s">
        <v>202</v>
      </c>
      <c r="D4211" s="23" t="n">
        <v>13</v>
      </c>
      <c r="E4211" s="23" t="n">
        <v>0</v>
      </c>
      <c r="F4211" s="28" t="s">
        <v>911</v>
      </c>
      <c r="G4211" s="19" t="n">
        <v>0.054923</v>
      </c>
    </row>
    <row r="4212" customFormat="false" ht="15" hidden="false" customHeight="false" outlineLevel="0" collapsed="false">
      <c r="A4212" s="28" t="s">
        <v>200</v>
      </c>
      <c r="B4212" s="28" t="s">
        <v>201</v>
      </c>
      <c r="C4212" s="28" t="s">
        <v>202</v>
      </c>
      <c r="D4212" s="23" t="n">
        <v>13</v>
      </c>
      <c r="E4212" s="23" t="n">
        <v>0</v>
      </c>
      <c r="F4212" s="28" t="s">
        <v>912</v>
      </c>
      <c r="G4212" s="19" t="n">
        <v>0.0594</v>
      </c>
    </row>
    <row r="4213" customFormat="false" ht="15" hidden="false" customHeight="false" outlineLevel="0" collapsed="false">
      <c r="A4213" s="28" t="s">
        <v>200</v>
      </c>
      <c r="B4213" s="28" t="s">
        <v>201</v>
      </c>
      <c r="C4213" s="28" t="s">
        <v>202</v>
      </c>
      <c r="D4213" s="23" t="n">
        <v>13</v>
      </c>
      <c r="E4213" s="23" t="n">
        <v>0</v>
      </c>
      <c r="F4213" s="28" t="s">
        <v>913</v>
      </c>
      <c r="G4213" s="19" t="n">
        <v>0.0643</v>
      </c>
    </row>
    <row r="4214" customFormat="false" ht="15" hidden="false" customHeight="false" outlineLevel="0" collapsed="false">
      <c r="A4214" s="28" t="s">
        <v>200</v>
      </c>
      <c r="B4214" s="28" t="s">
        <v>201</v>
      </c>
      <c r="C4214" s="28" t="s">
        <v>202</v>
      </c>
      <c r="D4214" s="23" t="n">
        <v>13</v>
      </c>
      <c r="E4214" s="23" t="n">
        <v>0</v>
      </c>
      <c r="F4214" s="28" t="s">
        <v>914</v>
      </c>
      <c r="G4214" s="19" t="n">
        <v>0.0641</v>
      </c>
    </row>
    <row r="4215" customFormat="false" ht="15" hidden="false" customHeight="false" outlineLevel="0" collapsed="false">
      <c r="A4215" s="28" t="s">
        <v>200</v>
      </c>
      <c r="B4215" s="28" t="s">
        <v>201</v>
      </c>
      <c r="C4215" s="28" t="s">
        <v>202</v>
      </c>
      <c r="D4215" s="23" t="n">
        <v>13</v>
      </c>
      <c r="E4215" s="23" t="n">
        <v>0</v>
      </c>
      <c r="F4215" s="28" t="s">
        <v>915</v>
      </c>
      <c r="G4215" s="19" t="n">
        <v>0.0799</v>
      </c>
    </row>
    <row r="4216" customFormat="false" ht="15" hidden="false" customHeight="false" outlineLevel="0" collapsed="false">
      <c r="A4216" s="28" t="s">
        <v>200</v>
      </c>
      <c r="B4216" s="28" t="s">
        <v>201</v>
      </c>
      <c r="C4216" s="28" t="s">
        <v>202</v>
      </c>
      <c r="D4216" s="23" t="n">
        <v>13</v>
      </c>
      <c r="E4216" s="23" t="n">
        <v>1</v>
      </c>
      <c r="F4216" s="28" t="s">
        <v>904</v>
      </c>
      <c r="G4216" s="19" t="n">
        <v>0.0413</v>
      </c>
    </row>
    <row r="4217" customFormat="false" ht="15" hidden="false" customHeight="false" outlineLevel="0" collapsed="false">
      <c r="A4217" s="28" t="s">
        <v>200</v>
      </c>
      <c r="B4217" s="28" t="s">
        <v>201</v>
      </c>
      <c r="C4217" s="28" t="s">
        <v>202</v>
      </c>
      <c r="D4217" s="23" t="n">
        <v>13</v>
      </c>
      <c r="E4217" s="23" t="n">
        <v>1</v>
      </c>
      <c r="F4217" s="28" t="s">
        <v>551</v>
      </c>
      <c r="G4217" s="19" t="n">
        <v>0.0725</v>
      </c>
    </row>
    <row r="4218" customFormat="false" ht="15" hidden="false" customHeight="false" outlineLevel="0" collapsed="false">
      <c r="A4218" s="28" t="s">
        <v>200</v>
      </c>
      <c r="B4218" s="28" t="s">
        <v>201</v>
      </c>
      <c r="C4218" s="28" t="s">
        <v>202</v>
      </c>
      <c r="D4218" s="23" t="n">
        <v>13</v>
      </c>
      <c r="E4218" s="23" t="n">
        <v>1</v>
      </c>
      <c r="F4218" s="28" t="s">
        <v>451</v>
      </c>
      <c r="G4218" s="19" t="n">
        <v>0.0411</v>
      </c>
    </row>
    <row r="4219" customFormat="false" ht="15" hidden="false" customHeight="false" outlineLevel="0" collapsed="false">
      <c r="A4219" s="28" t="s">
        <v>200</v>
      </c>
      <c r="B4219" s="28" t="s">
        <v>201</v>
      </c>
      <c r="C4219" s="28" t="s">
        <v>202</v>
      </c>
      <c r="D4219" s="23" t="n">
        <v>13</v>
      </c>
      <c r="E4219" s="23" t="n">
        <v>1</v>
      </c>
      <c r="F4219" s="28" t="s">
        <v>905</v>
      </c>
      <c r="G4219" s="19" t="n">
        <v>0.0437</v>
      </c>
    </row>
    <row r="4220" customFormat="false" ht="15" hidden="false" customHeight="false" outlineLevel="0" collapsed="false">
      <c r="A4220" s="28" t="s">
        <v>200</v>
      </c>
      <c r="B4220" s="28" t="s">
        <v>201</v>
      </c>
      <c r="C4220" s="28" t="s">
        <v>202</v>
      </c>
      <c r="D4220" s="23" t="n">
        <v>13</v>
      </c>
      <c r="E4220" s="23" t="n">
        <v>1</v>
      </c>
      <c r="F4220" s="28" t="s">
        <v>906</v>
      </c>
      <c r="G4220" s="19" t="n">
        <v>0.045356</v>
      </c>
    </row>
    <row r="4221" customFormat="false" ht="15" hidden="false" customHeight="false" outlineLevel="0" collapsed="false">
      <c r="A4221" s="28" t="s">
        <v>200</v>
      </c>
      <c r="B4221" s="28" t="s">
        <v>201</v>
      </c>
      <c r="C4221" s="28" t="s">
        <v>202</v>
      </c>
      <c r="D4221" s="23" t="n">
        <v>13</v>
      </c>
      <c r="E4221" s="23" t="n">
        <v>1</v>
      </c>
      <c r="F4221" s="28" t="s">
        <v>907</v>
      </c>
      <c r="G4221" s="19" t="n">
        <v>0.045569</v>
      </c>
    </row>
    <row r="4222" customFormat="false" ht="15" hidden="false" customHeight="false" outlineLevel="0" collapsed="false">
      <c r="A4222" s="28" t="s">
        <v>200</v>
      </c>
      <c r="B4222" s="28" t="s">
        <v>201</v>
      </c>
      <c r="C4222" s="28" t="s">
        <v>202</v>
      </c>
      <c r="D4222" s="23" t="n">
        <v>13</v>
      </c>
      <c r="E4222" s="23" t="n">
        <v>1</v>
      </c>
      <c r="F4222" s="28" t="s">
        <v>908</v>
      </c>
      <c r="G4222" s="19" t="n">
        <v>0.048195</v>
      </c>
    </row>
    <row r="4223" customFormat="false" ht="15" hidden="false" customHeight="false" outlineLevel="0" collapsed="false">
      <c r="A4223" s="28" t="s">
        <v>200</v>
      </c>
      <c r="B4223" s="28" t="s">
        <v>201</v>
      </c>
      <c r="C4223" s="28" t="s">
        <v>202</v>
      </c>
      <c r="D4223" s="23" t="n">
        <v>13</v>
      </c>
      <c r="E4223" s="23" t="n">
        <v>1</v>
      </c>
      <c r="F4223" s="28" t="s">
        <v>909</v>
      </c>
      <c r="G4223" s="19" t="n">
        <v>0.049321</v>
      </c>
    </row>
    <row r="4224" customFormat="false" ht="15" hidden="false" customHeight="false" outlineLevel="0" collapsed="false">
      <c r="A4224" s="28" t="s">
        <v>200</v>
      </c>
      <c r="B4224" s="28" t="s">
        <v>201</v>
      </c>
      <c r="C4224" s="28" t="s">
        <v>202</v>
      </c>
      <c r="D4224" s="23" t="n">
        <v>13</v>
      </c>
      <c r="E4224" s="23" t="n">
        <v>1</v>
      </c>
      <c r="F4224" s="28" t="s">
        <v>910</v>
      </c>
      <c r="G4224" s="19" t="n">
        <v>0.051772</v>
      </c>
    </row>
    <row r="4225" customFormat="false" ht="15" hidden="false" customHeight="false" outlineLevel="0" collapsed="false">
      <c r="A4225" s="28" t="s">
        <v>200</v>
      </c>
      <c r="B4225" s="28" t="s">
        <v>201</v>
      </c>
      <c r="C4225" s="28" t="s">
        <v>202</v>
      </c>
      <c r="D4225" s="23" t="n">
        <v>13</v>
      </c>
      <c r="E4225" s="23" t="n">
        <v>1</v>
      </c>
      <c r="F4225" s="28" t="s">
        <v>911</v>
      </c>
      <c r="G4225" s="19" t="n">
        <v>0.054923</v>
      </c>
    </row>
    <row r="4226" customFormat="false" ht="15" hidden="false" customHeight="false" outlineLevel="0" collapsed="false">
      <c r="A4226" s="28" t="s">
        <v>200</v>
      </c>
      <c r="B4226" s="28" t="s">
        <v>201</v>
      </c>
      <c r="C4226" s="28" t="s">
        <v>202</v>
      </c>
      <c r="D4226" s="23" t="n">
        <v>13</v>
      </c>
      <c r="E4226" s="23" t="n">
        <v>1</v>
      </c>
      <c r="F4226" s="28" t="s">
        <v>912</v>
      </c>
      <c r="G4226" s="19" t="n">
        <v>0.0594</v>
      </c>
    </row>
    <row r="4227" customFormat="false" ht="15" hidden="false" customHeight="false" outlineLevel="0" collapsed="false">
      <c r="A4227" s="28" t="s">
        <v>200</v>
      </c>
      <c r="B4227" s="28" t="s">
        <v>201</v>
      </c>
      <c r="C4227" s="28" t="s">
        <v>202</v>
      </c>
      <c r="D4227" s="23" t="n">
        <v>13</v>
      </c>
      <c r="E4227" s="23" t="n">
        <v>1</v>
      </c>
      <c r="F4227" s="28" t="s">
        <v>913</v>
      </c>
      <c r="G4227" s="19" t="n">
        <v>0.0643</v>
      </c>
    </row>
    <row r="4228" customFormat="false" ht="15" hidden="false" customHeight="false" outlineLevel="0" collapsed="false">
      <c r="A4228" s="28" t="s">
        <v>200</v>
      </c>
      <c r="B4228" s="28" t="s">
        <v>201</v>
      </c>
      <c r="C4228" s="28" t="s">
        <v>202</v>
      </c>
      <c r="D4228" s="23" t="n">
        <v>13</v>
      </c>
      <c r="E4228" s="23" t="n">
        <v>1</v>
      </c>
      <c r="F4228" s="28" t="s">
        <v>914</v>
      </c>
      <c r="G4228" s="19" t="n">
        <v>0.0641</v>
      </c>
    </row>
    <row r="4229" customFormat="false" ht="15" hidden="false" customHeight="false" outlineLevel="0" collapsed="false">
      <c r="A4229" s="28" t="s">
        <v>200</v>
      </c>
      <c r="B4229" s="28" t="s">
        <v>201</v>
      </c>
      <c r="C4229" s="28" t="s">
        <v>202</v>
      </c>
      <c r="D4229" s="23" t="n">
        <v>13</v>
      </c>
      <c r="E4229" s="23" t="n">
        <v>1</v>
      </c>
      <c r="F4229" s="28" t="s">
        <v>915</v>
      </c>
      <c r="G4229" s="19" t="n">
        <v>0.0799</v>
      </c>
    </row>
    <row r="4230" customFormat="false" ht="15" hidden="false" customHeight="false" outlineLevel="0" collapsed="false">
      <c r="A4230" s="28" t="s">
        <v>200</v>
      </c>
      <c r="B4230" s="28" t="s">
        <v>201</v>
      </c>
      <c r="C4230" s="28" t="s">
        <v>202</v>
      </c>
      <c r="D4230" s="23" t="n">
        <v>13</v>
      </c>
      <c r="E4230" s="23" t="n">
        <v>2</v>
      </c>
      <c r="F4230" s="28" t="s">
        <v>904</v>
      </c>
      <c r="G4230" s="19" t="n">
        <v>0.0413</v>
      </c>
    </row>
    <row r="4231" customFormat="false" ht="15" hidden="false" customHeight="false" outlineLevel="0" collapsed="false">
      <c r="A4231" s="28" t="s">
        <v>200</v>
      </c>
      <c r="B4231" s="28" t="s">
        <v>201</v>
      </c>
      <c r="C4231" s="28" t="s">
        <v>202</v>
      </c>
      <c r="D4231" s="23" t="n">
        <v>13</v>
      </c>
      <c r="E4231" s="23" t="n">
        <v>2</v>
      </c>
      <c r="F4231" s="28" t="s">
        <v>551</v>
      </c>
      <c r="G4231" s="19" t="n">
        <v>0.0725</v>
      </c>
    </row>
    <row r="4232" customFormat="false" ht="15" hidden="false" customHeight="false" outlineLevel="0" collapsed="false">
      <c r="A4232" s="28" t="s">
        <v>200</v>
      </c>
      <c r="B4232" s="28" t="s">
        <v>201</v>
      </c>
      <c r="C4232" s="28" t="s">
        <v>202</v>
      </c>
      <c r="D4232" s="23" t="n">
        <v>13</v>
      </c>
      <c r="E4232" s="23" t="n">
        <v>2</v>
      </c>
      <c r="F4232" s="28" t="s">
        <v>451</v>
      </c>
      <c r="G4232" s="19" t="n">
        <v>0.0411</v>
      </c>
    </row>
    <row r="4233" customFormat="false" ht="15" hidden="false" customHeight="false" outlineLevel="0" collapsed="false">
      <c r="A4233" s="28" t="s">
        <v>200</v>
      </c>
      <c r="B4233" s="28" t="s">
        <v>201</v>
      </c>
      <c r="C4233" s="28" t="s">
        <v>202</v>
      </c>
      <c r="D4233" s="23" t="n">
        <v>13</v>
      </c>
      <c r="E4233" s="23" t="n">
        <v>2</v>
      </c>
      <c r="F4233" s="28" t="s">
        <v>905</v>
      </c>
      <c r="G4233" s="19" t="n">
        <v>0.0437</v>
      </c>
    </row>
    <row r="4234" customFormat="false" ht="15" hidden="false" customHeight="false" outlineLevel="0" collapsed="false">
      <c r="A4234" s="28" t="s">
        <v>200</v>
      </c>
      <c r="B4234" s="28" t="s">
        <v>201</v>
      </c>
      <c r="C4234" s="28" t="s">
        <v>202</v>
      </c>
      <c r="D4234" s="23" t="n">
        <v>13</v>
      </c>
      <c r="E4234" s="23" t="n">
        <v>2</v>
      </c>
      <c r="F4234" s="28" t="s">
        <v>906</v>
      </c>
      <c r="G4234" s="19" t="n">
        <v>0.045356</v>
      </c>
    </row>
    <row r="4235" customFormat="false" ht="15" hidden="false" customHeight="false" outlineLevel="0" collapsed="false">
      <c r="A4235" s="28" t="s">
        <v>200</v>
      </c>
      <c r="B4235" s="28" t="s">
        <v>201</v>
      </c>
      <c r="C4235" s="28" t="s">
        <v>202</v>
      </c>
      <c r="D4235" s="23" t="n">
        <v>13</v>
      </c>
      <c r="E4235" s="23" t="n">
        <v>2</v>
      </c>
      <c r="F4235" s="28" t="s">
        <v>907</v>
      </c>
      <c r="G4235" s="19" t="n">
        <v>0.045569</v>
      </c>
    </row>
    <row r="4236" customFormat="false" ht="15" hidden="false" customHeight="false" outlineLevel="0" collapsed="false">
      <c r="A4236" s="28" t="s">
        <v>200</v>
      </c>
      <c r="B4236" s="28" t="s">
        <v>201</v>
      </c>
      <c r="C4236" s="28" t="s">
        <v>202</v>
      </c>
      <c r="D4236" s="23" t="n">
        <v>13</v>
      </c>
      <c r="E4236" s="23" t="n">
        <v>2</v>
      </c>
      <c r="F4236" s="28" t="s">
        <v>908</v>
      </c>
      <c r="G4236" s="19" t="n">
        <v>0.048195</v>
      </c>
    </row>
    <row r="4237" customFormat="false" ht="15" hidden="false" customHeight="false" outlineLevel="0" collapsed="false">
      <c r="A4237" s="28" t="s">
        <v>200</v>
      </c>
      <c r="B4237" s="28" t="s">
        <v>201</v>
      </c>
      <c r="C4237" s="28" t="s">
        <v>202</v>
      </c>
      <c r="D4237" s="23" t="n">
        <v>13</v>
      </c>
      <c r="E4237" s="23" t="n">
        <v>2</v>
      </c>
      <c r="F4237" s="28" t="s">
        <v>909</v>
      </c>
      <c r="G4237" s="19" t="n">
        <v>0.049321</v>
      </c>
    </row>
    <row r="4238" customFormat="false" ht="15" hidden="false" customHeight="false" outlineLevel="0" collapsed="false">
      <c r="A4238" s="28" t="s">
        <v>200</v>
      </c>
      <c r="B4238" s="28" t="s">
        <v>201</v>
      </c>
      <c r="C4238" s="28" t="s">
        <v>202</v>
      </c>
      <c r="D4238" s="23" t="n">
        <v>13</v>
      </c>
      <c r="E4238" s="23" t="n">
        <v>2</v>
      </c>
      <c r="F4238" s="28" t="s">
        <v>910</v>
      </c>
      <c r="G4238" s="19" t="n">
        <v>0.051772</v>
      </c>
    </row>
    <row r="4239" customFormat="false" ht="15" hidden="false" customHeight="false" outlineLevel="0" collapsed="false">
      <c r="A4239" s="28" t="s">
        <v>200</v>
      </c>
      <c r="B4239" s="28" t="s">
        <v>201</v>
      </c>
      <c r="C4239" s="28" t="s">
        <v>202</v>
      </c>
      <c r="D4239" s="23" t="n">
        <v>13</v>
      </c>
      <c r="E4239" s="23" t="n">
        <v>2</v>
      </c>
      <c r="F4239" s="28" t="s">
        <v>911</v>
      </c>
      <c r="G4239" s="19" t="n">
        <v>0.054923</v>
      </c>
    </row>
    <row r="4240" customFormat="false" ht="15" hidden="false" customHeight="false" outlineLevel="0" collapsed="false">
      <c r="A4240" s="28" t="s">
        <v>200</v>
      </c>
      <c r="B4240" s="28" t="s">
        <v>201</v>
      </c>
      <c r="C4240" s="28" t="s">
        <v>202</v>
      </c>
      <c r="D4240" s="23" t="n">
        <v>13</v>
      </c>
      <c r="E4240" s="23" t="n">
        <v>2</v>
      </c>
      <c r="F4240" s="28" t="s">
        <v>912</v>
      </c>
      <c r="G4240" s="19" t="n">
        <v>0.0594</v>
      </c>
    </row>
    <row r="4241" customFormat="false" ht="15" hidden="false" customHeight="false" outlineLevel="0" collapsed="false">
      <c r="A4241" s="28" t="s">
        <v>200</v>
      </c>
      <c r="B4241" s="28" t="s">
        <v>201</v>
      </c>
      <c r="C4241" s="28" t="s">
        <v>202</v>
      </c>
      <c r="D4241" s="23" t="n">
        <v>13</v>
      </c>
      <c r="E4241" s="23" t="n">
        <v>2</v>
      </c>
      <c r="F4241" s="28" t="s">
        <v>913</v>
      </c>
      <c r="G4241" s="19" t="n">
        <v>0.0643</v>
      </c>
    </row>
    <row r="4242" customFormat="false" ht="15" hidden="false" customHeight="false" outlineLevel="0" collapsed="false">
      <c r="A4242" s="28" t="s">
        <v>200</v>
      </c>
      <c r="B4242" s="28" t="s">
        <v>201</v>
      </c>
      <c r="C4242" s="28" t="s">
        <v>202</v>
      </c>
      <c r="D4242" s="23" t="n">
        <v>13</v>
      </c>
      <c r="E4242" s="23" t="n">
        <v>2</v>
      </c>
      <c r="F4242" s="28" t="s">
        <v>914</v>
      </c>
      <c r="G4242" s="19" t="n">
        <v>0.0641</v>
      </c>
    </row>
    <row r="4243" customFormat="false" ht="15" hidden="false" customHeight="false" outlineLevel="0" collapsed="false">
      <c r="A4243" s="28" t="s">
        <v>200</v>
      </c>
      <c r="B4243" s="28" t="s">
        <v>201</v>
      </c>
      <c r="C4243" s="28" t="s">
        <v>202</v>
      </c>
      <c r="D4243" s="23" t="n">
        <v>13</v>
      </c>
      <c r="E4243" s="23" t="n">
        <v>2</v>
      </c>
      <c r="F4243" s="28" t="s">
        <v>915</v>
      </c>
      <c r="G4243" s="19" t="n">
        <v>0.0799</v>
      </c>
    </row>
    <row r="4244" customFormat="false" ht="15" hidden="false" customHeight="false" outlineLevel="0" collapsed="false">
      <c r="A4244" s="28" t="s">
        <v>200</v>
      </c>
      <c r="B4244" s="28" t="s">
        <v>201</v>
      </c>
      <c r="C4244" s="28" t="s">
        <v>202</v>
      </c>
      <c r="D4244" s="23" t="n">
        <v>13</v>
      </c>
      <c r="E4244" s="23" t="n">
        <v>3</v>
      </c>
      <c r="F4244" s="28" t="s">
        <v>904</v>
      </c>
      <c r="G4244" s="19" t="n">
        <v>0.0413</v>
      </c>
    </row>
    <row r="4245" customFormat="false" ht="15" hidden="false" customHeight="false" outlineLevel="0" collapsed="false">
      <c r="A4245" s="28" t="s">
        <v>200</v>
      </c>
      <c r="B4245" s="28" t="s">
        <v>201</v>
      </c>
      <c r="C4245" s="28" t="s">
        <v>202</v>
      </c>
      <c r="D4245" s="23" t="n">
        <v>13</v>
      </c>
      <c r="E4245" s="23" t="n">
        <v>3</v>
      </c>
      <c r="F4245" s="28" t="s">
        <v>551</v>
      </c>
      <c r="G4245" s="19" t="n">
        <v>0.0725</v>
      </c>
    </row>
    <row r="4246" customFormat="false" ht="15" hidden="false" customHeight="false" outlineLevel="0" collapsed="false">
      <c r="A4246" s="28" t="s">
        <v>200</v>
      </c>
      <c r="B4246" s="28" t="s">
        <v>201</v>
      </c>
      <c r="C4246" s="28" t="s">
        <v>202</v>
      </c>
      <c r="D4246" s="23" t="n">
        <v>13</v>
      </c>
      <c r="E4246" s="23" t="n">
        <v>3</v>
      </c>
      <c r="F4246" s="28" t="s">
        <v>451</v>
      </c>
      <c r="G4246" s="19" t="n">
        <v>0.0411</v>
      </c>
    </row>
    <row r="4247" customFormat="false" ht="15" hidden="false" customHeight="false" outlineLevel="0" collapsed="false">
      <c r="A4247" s="28" t="s">
        <v>200</v>
      </c>
      <c r="B4247" s="28" t="s">
        <v>201</v>
      </c>
      <c r="C4247" s="28" t="s">
        <v>202</v>
      </c>
      <c r="D4247" s="23" t="n">
        <v>13</v>
      </c>
      <c r="E4247" s="23" t="n">
        <v>3</v>
      </c>
      <c r="F4247" s="28" t="s">
        <v>905</v>
      </c>
      <c r="G4247" s="19" t="n">
        <v>0.0437</v>
      </c>
    </row>
    <row r="4248" customFormat="false" ht="15" hidden="false" customHeight="false" outlineLevel="0" collapsed="false">
      <c r="A4248" s="28" t="s">
        <v>200</v>
      </c>
      <c r="B4248" s="28" t="s">
        <v>201</v>
      </c>
      <c r="C4248" s="28" t="s">
        <v>202</v>
      </c>
      <c r="D4248" s="23" t="n">
        <v>13</v>
      </c>
      <c r="E4248" s="23" t="n">
        <v>3</v>
      </c>
      <c r="F4248" s="28" t="s">
        <v>906</v>
      </c>
      <c r="G4248" s="19" t="n">
        <v>0.045356</v>
      </c>
    </row>
    <row r="4249" customFormat="false" ht="15" hidden="false" customHeight="false" outlineLevel="0" collapsed="false">
      <c r="A4249" s="28" t="s">
        <v>200</v>
      </c>
      <c r="B4249" s="28" t="s">
        <v>201</v>
      </c>
      <c r="C4249" s="28" t="s">
        <v>202</v>
      </c>
      <c r="D4249" s="23" t="n">
        <v>13</v>
      </c>
      <c r="E4249" s="23" t="n">
        <v>3</v>
      </c>
      <c r="F4249" s="28" t="s">
        <v>907</v>
      </c>
      <c r="G4249" s="19" t="n">
        <v>0.045569</v>
      </c>
    </row>
    <row r="4250" customFormat="false" ht="15" hidden="false" customHeight="false" outlineLevel="0" collapsed="false">
      <c r="A4250" s="28" t="s">
        <v>200</v>
      </c>
      <c r="B4250" s="28" t="s">
        <v>201</v>
      </c>
      <c r="C4250" s="28" t="s">
        <v>202</v>
      </c>
      <c r="D4250" s="23" t="n">
        <v>13</v>
      </c>
      <c r="E4250" s="23" t="n">
        <v>3</v>
      </c>
      <c r="F4250" s="28" t="s">
        <v>908</v>
      </c>
      <c r="G4250" s="19" t="n">
        <v>0.048195</v>
      </c>
    </row>
    <row r="4251" customFormat="false" ht="15" hidden="false" customHeight="false" outlineLevel="0" collapsed="false">
      <c r="A4251" s="28" t="s">
        <v>200</v>
      </c>
      <c r="B4251" s="28" t="s">
        <v>201</v>
      </c>
      <c r="C4251" s="28" t="s">
        <v>202</v>
      </c>
      <c r="D4251" s="23" t="n">
        <v>13</v>
      </c>
      <c r="E4251" s="23" t="n">
        <v>3</v>
      </c>
      <c r="F4251" s="28" t="s">
        <v>909</v>
      </c>
      <c r="G4251" s="19" t="n">
        <v>0.049321</v>
      </c>
    </row>
    <row r="4252" customFormat="false" ht="15" hidden="false" customHeight="false" outlineLevel="0" collapsed="false">
      <c r="A4252" s="28" t="s">
        <v>200</v>
      </c>
      <c r="B4252" s="28" t="s">
        <v>201</v>
      </c>
      <c r="C4252" s="28" t="s">
        <v>202</v>
      </c>
      <c r="D4252" s="23" t="n">
        <v>13</v>
      </c>
      <c r="E4252" s="23" t="n">
        <v>3</v>
      </c>
      <c r="F4252" s="28" t="s">
        <v>910</v>
      </c>
      <c r="G4252" s="19" t="n">
        <v>0.051772</v>
      </c>
    </row>
    <row r="4253" customFormat="false" ht="15" hidden="false" customHeight="false" outlineLevel="0" collapsed="false">
      <c r="A4253" s="28" t="s">
        <v>200</v>
      </c>
      <c r="B4253" s="28" t="s">
        <v>201</v>
      </c>
      <c r="C4253" s="28" t="s">
        <v>202</v>
      </c>
      <c r="D4253" s="23" t="n">
        <v>13</v>
      </c>
      <c r="E4253" s="23" t="n">
        <v>3</v>
      </c>
      <c r="F4253" s="28" t="s">
        <v>911</v>
      </c>
      <c r="G4253" s="19" t="n">
        <v>0.054923</v>
      </c>
    </row>
    <row r="4254" customFormat="false" ht="15" hidden="false" customHeight="false" outlineLevel="0" collapsed="false">
      <c r="A4254" s="28" t="s">
        <v>200</v>
      </c>
      <c r="B4254" s="28" t="s">
        <v>201</v>
      </c>
      <c r="C4254" s="28" t="s">
        <v>202</v>
      </c>
      <c r="D4254" s="23" t="n">
        <v>13</v>
      </c>
      <c r="E4254" s="23" t="n">
        <v>3</v>
      </c>
      <c r="F4254" s="28" t="s">
        <v>912</v>
      </c>
      <c r="G4254" s="19" t="n">
        <v>0.0594</v>
      </c>
    </row>
    <row r="4255" customFormat="false" ht="15" hidden="false" customHeight="false" outlineLevel="0" collapsed="false">
      <c r="A4255" s="28" t="s">
        <v>200</v>
      </c>
      <c r="B4255" s="28" t="s">
        <v>201</v>
      </c>
      <c r="C4255" s="28" t="s">
        <v>202</v>
      </c>
      <c r="D4255" s="23" t="n">
        <v>13</v>
      </c>
      <c r="E4255" s="23" t="n">
        <v>3</v>
      </c>
      <c r="F4255" s="28" t="s">
        <v>913</v>
      </c>
      <c r="G4255" s="19" t="n">
        <v>0.0643</v>
      </c>
    </row>
    <row r="4256" customFormat="false" ht="15" hidden="false" customHeight="false" outlineLevel="0" collapsed="false">
      <c r="A4256" s="28" t="s">
        <v>200</v>
      </c>
      <c r="B4256" s="28" t="s">
        <v>201</v>
      </c>
      <c r="C4256" s="28" t="s">
        <v>202</v>
      </c>
      <c r="D4256" s="23" t="n">
        <v>13</v>
      </c>
      <c r="E4256" s="23" t="n">
        <v>3</v>
      </c>
      <c r="F4256" s="28" t="s">
        <v>914</v>
      </c>
      <c r="G4256" s="19" t="n">
        <v>0.0641</v>
      </c>
    </row>
    <row r="4257" customFormat="false" ht="15" hidden="false" customHeight="false" outlineLevel="0" collapsed="false">
      <c r="A4257" s="28" t="s">
        <v>200</v>
      </c>
      <c r="B4257" s="28" t="s">
        <v>201</v>
      </c>
      <c r="C4257" s="28" t="s">
        <v>202</v>
      </c>
      <c r="D4257" s="23" t="n">
        <v>13</v>
      </c>
      <c r="E4257" s="23" t="n">
        <v>3</v>
      </c>
      <c r="F4257" s="28" t="s">
        <v>915</v>
      </c>
      <c r="G4257" s="19" t="n">
        <v>0.0799</v>
      </c>
    </row>
    <row r="4258" customFormat="false" ht="15" hidden="false" customHeight="false" outlineLevel="0" collapsed="false">
      <c r="A4258" s="28" t="s">
        <v>200</v>
      </c>
      <c r="B4258" s="28" t="s">
        <v>201</v>
      </c>
      <c r="C4258" s="28" t="s">
        <v>202</v>
      </c>
      <c r="D4258" s="23" t="n">
        <v>13</v>
      </c>
      <c r="E4258" s="23" t="n">
        <v>4</v>
      </c>
      <c r="F4258" s="28" t="s">
        <v>904</v>
      </c>
      <c r="G4258" s="19" t="n">
        <v>0.0413</v>
      </c>
    </row>
    <row r="4259" customFormat="false" ht="15" hidden="false" customHeight="false" outlineLevel="0" collapsed="false">
      <c r="A4259" s="28" t="s">
        <v>200</v>
      </c>
      <c r="B4259" s="28" t="s">
        <v>201</v>
      </c>
      <c r="C4259" s="28" t="s">
        <v>202</v>
      </c>
      <c r="D4259" s="23" t="n">
        <v>13</v>
      </c>
      <c r="E4259" s="23" t="n">
        <v>4</v>
      </c>
      <c r="F4259" s="28" t="s">
        <v>551</v>
      </c>
      <c r="G4259" s="19" t="n">
        <v>0.0725</v>
      </c>
    </row>
    <row r="4260" customFormat="false" ht="15" hidden="false" customHeight="false" outlineLevel="0" collapsed="false">
      <c r="A4260" s="28" t="s">
        <v>200</v>
      </c>
      <c r="B4260" s="28" t="s">
        <v>201</v>
      </c>
      <c r="C4260" s="28" t="s">
        <v>202</v>
      </c>
      <c r="D4260" s="23" t="n">
        <v>13</v>
      </c>
      <c r="E4260" s="23" t="n">
        <v>4</v>
      </c>
      <c r="F4260" s="28" t="s">
        <v>451</v>
      </c>
      <c r="G4260" s="19" t="n">
        <v>0.0411</v>
      </c>
    </row>
    <row r="4261" customFormat="false" ht="15" hidden="false" customHeight="false" outlineLevel="0" collapsed="false">
      <c r="A4261" s="28" t="s">
        <v>200</v>
      </c>
      <c r="B4261" s="28" t="s">
        <v>201</v>
      </c>
      <c r="C4261" s="28" t="s">
        <v>202</v>
      </c>
      <c r="D4261" s="23" t="n">
        <v>13</v>
      </c>
      <c r="E4261" s="23" t="n">
        <v>4</v>
      </c>
      <c r="F4261" s="28" t="s">
        <v>905</v>
      </c>
      <c r="G4261" s="19" t="n">
        <v>0.0437</v>
      </c>
    </row>
    <row r="4262" customFormat="false" ht="15" hidden="false" customHeight="false" outlineLevel="0" collapsed="false">
      <c r="A4262" s="28" t="s">
        <v>200</v>
      </c>
      <c r="B4262" s="28" t="s">
        <v>201</v>
      </c>
      <c r="C4262" s="28" t="s">
        <v>202</v>
      </c>
      <c r="D4262" s="23" t="n">
        <v>13</v>
      </c>
      <c r="E4262" s="23" t="n">
        <v>4</v>
      </c>
      <c r="F4262" s="28" t="s">
        <v>906</v>
      </c>
      <c r="G4262" s="19" t="n">
        <v>0.045356</v>
      </c>
    </row>
    <row r="4263" customFormat="false" ht="15" hidden="false" customHeight="false" outlineLevel="0" collapsed="false">
      <c r="A4263" s="28" t="s">
        <v>200</v>
      </c>
      <c r="B4263" s="28" t="s">
        <v>201</v>
      </c>
      <c r="C4263" s="28" t="s">
        <v>202</v>
      </c>
      <c r="D4263" s="23" t="n">
        <v>13</v>
      </c>
      <c r="E4263" s="23" t="n">
        <v>4</v>
      </c>
      <c r="F4263" s="28" t="s">
        <v>907</v>
      </c>
      <c r="G4263" s="19" t="n">
        <v>0.045569</v>
      </c>
    </row>
    <row r="4264" customFormat="false" ht="15" hidden="false" customHeight="false" outlineLevel="0" collapsed="false">
      <c r="A4264" s="28" t="s">
        <v>200</v>
      </c>
      <c r="B4264" s="28" t="s">
        <v>201</v>
      </c>
      <c r="C4264" s="28" t="s">
        <v>202</v>
      </c>
      <c r="D4264" s="23" t="n">
        <v>13</v>
      </c>
      <c r="E4264" s="23" t="n">
        <v>4</v>
      </c>
      <c r="F4264" s="28" t="s">
        <v>908</v>
      </c>
      <c r="G4264" s="19" t="n">
        <v>0.048195</v>
      </c>
    </row>
    <row r="4265" customFormat="false" ht="15" hidden="false" customHeight="false" outlineLevel="0" collapsed="false">
      <c r="A4265" s="28" t="s">
        <v>200</v>
      </c>
      <c r="B4265" s="28" t="s">
        <v>201</v>
      </c>
      <c r="C4265" s="28" t="s">
        <v>202</v>
      </c>
      <c r="D4265" s="23" t="n">
        <v>13</v>
      </c>
      <c r="E4265" s="23" t="n">
        <v>4</v>
      </c>
      <c r="F4265" s="28" t="s">
        <v>909</v>
      </c>
      <c r="G4265" s="19" t="n">
        <v>0.049321</v>
      </c>
    </row>
    <row r="4266" customFormat="false" ht="15" hidden="false" customHeight="false" outlineLevel="0" collapsed="false">
      <c r="A4266" s="28" t="s">
        <v>200</v>
      </c>
      <c r="B4266" s="28" t="s">
        <v>201</v>
      </c>
      <c r="C4266" s="28" t="s">
        <v>202</v>
      </c>
      <c r="D4266" s="23" t="n">
        <v>13</v>
      </c>
      <c r="E4266" s="23" t="n">
        <v>4</v>
      </c>
      <c r="F4266" s="28" t="s">
        <v>910</v>
      </c>
      <c r="G4266" s="19" t="n">
        <v>0.051772</v>
      </c>
    </row>
    <row r="4267" customFormat="false" ht="15" hidden="false" customHeight="false" outlineLevel="0" collapsed="false">
      <c r="A4267" s="28" t="s">
        <v>200</v>
      </c>
      <c r="B4267" s="28" t="s">
        <v>201</v>
      </c>
      <c r="C4267" s="28" t="s">
        <v>202</v>
      </c>
      <c r="D4267" s="23" t="n">
        <v>13</v>
      </c>
      <c r="E4267" s="23" t="n">
        <v>4</v>
      </c>
      <c r="F4267" s="28" t="s">
        <v>911</v>
      </c>
      <c r="G4267" s="19" t="n">
        <v>0.054923</v>
      </c>
    </row>
    <row r="4268" customFormat="false" ht="15" hidden="false" customHeight="false" outlineLevel="0" collapsed="false">
      <c r="A4268" s="28" t="s">
        <v>200</v>
      </c>
      <c r="B4268" s="28" t="s">
        <v>201</v>
      </c>
      <c r="C4268" s="28" t="s">
        <v>202</v>
      </c>
      <c r="D4268" s="23" t="n">
        <v>13</v>
      </c>
      <c r="E4268" s="23" t="n">
        <v>4</v>
      </c>
      <c r="F4268" s="28" t="s">
        <v>912</v>
      </c>
      <c r="G4268" s="19" t="n">
        <v>0.0594</v>
      </c>
    </row>
    <row r="4269" customFormat="false" ht="15" hidden="false" customHeight="false" outlineLevel="0" collapsed="false">
      <c r="A4269" s="28" t="s">
        <v>200</v>
      </c>
      <c r="B4269" s="28" t="s">
        <v>201</v>
      </c>
      <c r="C4269" s="28" t="s">
        <v>202</v>
      </c>
      <c r="D4269" s="23" t="n">
        <v>13</v>
      </c>
      <c r="E4269" s="23" t="n">
        <v>4</v>
      </c>
      <c r="F4269" s="28" t="s">
        <v>913</v>
      </c>
      <c r="G4269" s="19" t="n">
        <v>0.0643</v>
      </c>
    </row>
    <row r="4270" customFormat="false" ht="15" hidden="false" customHeight="false" outlineLevel="0" collapsed="false">
      <c r="A4270" s="28" t="s">
        <v>200</v>
      </c>
      <c r="B4270" s="28" t="s">
        <v>201</v>
      </c>
      <c r="C4270" s="28" t="s">
        <v>202</v>
      </c>
      <c r="D4270" s="23" t="n">
        <v>13</v>
      </c>
      <c r="E4270" s="23" t="n">
        <v>4</v>
      </c>
      <c r="F4270" s="28" t="s">
        <v>914</v>
      </c>
      <c r="G4270" s="19" t="n">
        <v>0.0641</v>
      </c>
    </row>
    <row r="4271" customFormat="false" ht="15" hidden="false" customHeight="false" outlineLevel="0" collapsed="false">
      <c r="A4271" s="28" t="s">
        <v>200</v>
      </c>
      <c r="B4271" s="28" t="s">
        <v>201</v>
      </c>
      <c r="C4271" s="28" t="s">
        <v>202</v>
      </c>
      <c r="D4271" s="23" t="n">
        <v>13</v>
      </c>
      <c r="E4271" s="23" t="n">
        <v>4</v>
      </c>
      <c r="F4271" s="28" t="s">
        <v>915</v>
      </c>
      <c r="G4271" s="19" t="n">
        <v>0.0799</v>
      </c>
    </row>
    <row r="4272" customFormat="false" ht="15" hidden="false" customHeight="false" outlineLevel="0" collapsed="false">
      <c r="A4272" s="28" t="s">
        <v>200</v>
      </c>
      <c r="B4272" s="28" t="s">
        <v>201</v>
      </c>
      <c r="C4272" s="28" t="s">
        <v>202</v>
      </c>
      <c r="D4272" s="23" t="n">
        <v>13</v>
      </c>
      <c r="E4272" s="23" t="n">
        <v>5</v>
      </c>
      <c r="F4272" s="28" t="s">
        <v>904</v>
      </c>
      <c r="G4272" s="19" t="n">
        <v>0.0413</v>
      </c>
    </row>
    <row r="4273" customFormat="false" ht="15" hidden="false" customHeight="false" outlineLevel="0" collapsed="false">
      <c r="A4273" s="28" t="s">
        <v>200</v>
      </c>
      <c r="B4273" s="28" t="s">
        <v>201</v>
      </c>
      <c r="C4273" s="28" t="s">
        <v>202</v>
      </c>
      <c r="D4273" s="23" t="n">
        <v>13</v>
      </c>
      <c r="E4273" s="23" t="n">
        <v>5</v>
      </c>
      <c r="F4273" s="28" t="s">
        <v>551</v>
      </c>
      <c r="G4273" s="19" t="n">
        <v>0.0725</v>
      </c>
    </row>
    <row r="4274" customFormat="false" ht="15" hidden="false" customHeight="false" outlineLevel="0" collapsed="false">
      <c r="A4274" s="28" t="s">
        <v>200</v>
      </c>
      <c r="B4274" s="28" t="s">
        <v>201</v>
      </c>
      <c r="C4274" s="28" t="s">
        <v>202</v>
      </c>
      <c r="D4274" s="23" t="n">
        <v>13</v>
      </c>
      <c r="E4274" s="23" t="n">
        <v>5</v>
      </c>
      <c r="F4274" s="28" t="s">
        <v>451</v>
      </c>
      <c r="G4274" s="19" t="n">
        <v>0.0411</v>
      </c>
    </row>
    <row r="4275" customFormat="false" ht="15" hidden="false" customHeight="false" outlineLevel="0" collapsed="false">
      <c r="A4275" s="28" t="s">
        <v>200</v>
      </c>
      <c r="B4275" s="28" t="s">
        <v>201</v>
      </c>
      <c r="C4275" s="28" t="s">
        <v>202</v>
      </c>
      <c r="D4275" s="23" t="n">
        <v>13</v>
      </c>
      <c r="E4275" s="23" t="n">
        <v>5</v>
      </c>
      <c r="F4275" s="28" t="s">
        <v>905</v>
      </c>
      <c r="G4275" s="19" t="n">
        <v>0.0437</v>
      </c>
    </row>
    <row r="4276" customFormat="false" ht="15" hidden="false" customHeight="false" outlineLevel="0" collapsed="false">
      <c r="A4276" s="28" t="s">
        <v>200</v>
      </c>
      <c r="B4276" s="28" t="s">
        <v>201</v>
      </c>
      <c r="C4276" s="28" t="s">
        <v>202</v>
      </c>
      <c r="D4276" s="23" t="n">
        <v>13</v>
      </c>
      <c r="E4276" s="23" t="n">
        <v>5</v>
      </c>
      <c r="F4276" s="28" t="s">
        <v>906</v>
      </c>
      <c r="G4276" s="19" t="n">
        <v>0.045356</v>
      </c>
    </row>
    <row r="4277" customFormat="false" ht="15" hidden="false" customHeight="false" outlineLevel="0" collapsed="false">
      <c r="A4277" s="28" t="s">
        <v>200</v>
      </c>
      <c r="B4277" s="28" t="s">
        <v>201</v>
      </c>
      <c r="C4277" s="28" t="s">
        <v>202</v>
      </c>
      <c r="D4277" s="23" t="n">
        <v>13</v>
      </c>
      <c r="E4277" s="23" t="n">
        <v>5</v>
      </c>
      <c r="F4277" s="28" t="s">
        <v>907</v>
      </c>
      <c r="G4277" s="19" t="n">
        <v>0.045569</v>
      </c>
    </row>
    <row r="4278" customFormat="false" ht="15" hidden="false" customHeight="false" outlineLevel="0" collapsed="false">
      <c r="A4278" s="28" t="s">
        <v>200</v>
      </c>
      <c r="B4278" s="28" t="s">
        <v>201</v>
      </c>
      <c r="C4278" s="28" t="s">
        <v>202</v>
      </c>
      <c r="D4278" s="23" t="n">
        <v>13</v>
      </c>
      <c r="E4278" s="23" t="n">
        <v>5</v>
      </c>
      <c r="F4278" s="28" t="s">
        <v>908</v>
      </c>
      <c r="G4278" s="19" t="n">
        <v>0.048195</v>
      </c>
    </row>
    <row r="4279" customFormat="false" ht="15" hidden="false" customHeight="false" outlineLevel="0" collapsed="false">
      <c r="A4279" s="28" t="s">
        <v>200</v>
      </c>
      <c r="B4279" s="28" t="s">
        <v>201</v>
      </c>
      <c r="C4279" s="28" t="s">
        <v>202</v>
      </c>
      <c r="D4279" s="23" t="n">
        <v>13</v>
      </c>
      <c r="E4279" s="23" t="n">
        <v>5</v>
      </c>
      <c r="F4279" s="28" t="s">
        <v>909</v>
      </c>
      <c r="G4279" s="19" t="n">
        <v>0.049321</v>
      </c>
    </row>
    <row r="4280" customFormat="false" ht="15" hidden="false" customHeight="false" outlineLevel="0" collapsed="false">
      <c r="A4280" s="28" t="s">
        <v>200</v>
      </c>
      <c r="B4280" s="28" t="s">
        <v>201</v>
      </c>
      <c r="C4280" s="28" t="s">
        <v>202</v>
      </c>
      <c r="D4280" s="23" t="n">
        <v>13</v>
      </c>
      <c r="E4280" s="23" t="n">
        <v>5</v>
      </c>
      <c r="F4280" s="28" t="s">
        <v>910</v>
      </c>
      <c r="G4280" s="19" t="n">
        <v>0.051772</v>
      </c>
    </row>
    <row r="4281" customFormat="false" ht="15" hidden="false" customHeight="false" outlineLevel="0" collapsed="false">
      <c r="A4281" s="28" t="s">
        <v>200</v>
      </c>
      <c r="B4281" s="28" t="s">
        <v>201</v>
      </c>
      <c r="C4281" s="28" t="s">
        <v>202</v>
      </c>
      <c r="D4281" s="23" t="n">
        <v>13</v>
      </c>
      <c r="E4281" s="23" t="n">
        <v>5</v>
      </c>
      <c r="F4281" s="28" t="s">
        <v>911</v>
      </c>
      <c r="G4281" s="19" t="n">
        <v>0.054923</v>
      </c>
    </row>
    <row r="4282" customFormat="false" ht="15" hidden="false" customHeight="false" outlineLevel="0" collapsed="false">
      <c r="A4282" s="28" t="s">
        <v>200</v>
      </c>
      <c r="B4282" s="28" t="s">
        <v>201</v>
      </c>
      <c r="C4282" s="28" t="s">
        <v>202</v>
      </c>
      <c r="D4282" s="23" t="n">
        <v>13</v>
      </c>
      <c r="E4282" s="23" t="n">
        <v>5</v>
      </c>
      <c r="F4282" s="28" t="s">
        <v>912</v>
      </c>
      <c r="G4282" s="19" t="n">
        <v>0.0594</v>
      </c>
    </row>
    <row r="4283" customFormat="false" ht="15" hidden="false" customHeight="false" outlineLevel="0" collapsed="false">
      <c r="A4283" s="28" t="s">
        <v>200</v>
      </c>
      <c r="B4283" s="28" t="s">
        <v>201</v>
      </c>
      <c r="C4283" s="28" t="s">
        <v>202</v>
      </c>
      <c r="D4283" s="23" t="n">
        <v>13</v>
      </c>
      <c r="E4283" s="23" t="n">
        <v>5</v>
      </c>
      <c r="F4283" s="28" t="s">
        <v>913</v>
      </c>
      <c r="G4283" s="19" t="n">
        <v>0.0643</v>
      </c>
    </row>
    <row r="4284" customFormat="false" ht="15" hidden="false" customHeight="false" outlineLevel="0" collapsed="false">
      <c r="A4284" s="28" t="s">
        <v>200</v>
      </c>
      <c r="B4284" s="28" t="s">
        <v>201</v>
      </c>
      <c r="C4284" s="28" t="s">
        <v>202</v>
      </c>
      <c r="D4284" s="23" t="n">
        <v>13</v>
      </c>
      <c r="E4284" s="23" t="n">
        <v>5</v>
      </c>
      <c r="F4284" s="28" t="s">
        <v>914</v>
      </c>
      <c r="G4284" s="19" t="n">
        <v>0.0641</v>
      </c>
    </row>
    <row r="4285" customFormat="false" ht="15" hidden="false" customHeight="false" outlineLevel="0" collapsed="false">
      <c r="A4285" s="28" t="s">
        <v>200</v>
      </c>
      <c r="B4285" s="28" t="s">
        <v>201</v>
      </c>
      <c r="C4285" s="28" t="s">
        <v>202</v>
      </c>
      <c r="D4285" s="23" t="n">
        <v>13</v>
      </c>
      <c r="E4285" s="23" t="n">
        <v>5</v>
      </c>
      <c r="F4285" s="28" t="s">
        <v>915</v>
      </c>
      <c r="G4285" s="19" t="n">
        <v>0.0799</v>
      </c>
    </row>
    <row r="4286" customFormat="false" ht="15" hidden="false" customHeight="false" outlineLevel="0" collapsed="false">
      <c r="A4286" s="28" t="s">
        <v>200</v>
      </c>
      <c r="B4286" s="28" t="s">
        <v>201</v>
      </c>
      <c r="C4286" s="28" t="s">
        <v>202</v>
      </c>
      <c r="D4286" s="23" t="n">
        <v>13</v>
      </c>
      <c r="E4286" s="23" t="n">
        <v>6</v>
      </c>
      <c r="F4286" s="28" t="s">
        <v>904</v>
      </c>
      <c r="G4286" s="19" t="n">
        <v>0.0413</v>
      </c>
    </row>
    <row r="4287" customFormat="false" ht="15" hidden="false" customHeight="false" outlineLevel="0" collapsed="false">
      <c r="A4287" s="28" t="s">
        <v>200</v>
      </c>
      <c r="B4287" s="28" t="s">
        <v>201</v>
      </c>
      <c r="C4287" s="28" t="s">
        <v>202</v>
      </c>
      <c r="D4287" s="23" t="n">
        <v>13</v>
      </c>
      <c r="E4287" s="23" t="n">
        <v>6</v>
      </c>
      <c r="F4287" s="28" t="s">
        <v>551</v>
      </c>
      <c r="G4287" s="19" t="n">
        <v>0.0725</v>
      </c>
    </row>
    <row r="4288" customFormat="false" ht="15" hidden="false" customHeight="false" outlineLevel="0" collapsed="false">
      <c r="A4288" s="28" t="s">
        <v>200</v>
      </c>
      <c r="B4288" s="28" t="s">
        <v>201</v>
      </c>
      <c r="C4288" s="28" t="s">
        <v>202</v>
      </c>
      <c r="D4288" s="23" t="n">
        <v>13</v>
      </c>
      <c r="E4288" s="23" t="n">
        <v>6</v>
      </c>
      <c r="F4288" s="28" t="s">
        <v>451</v>
      </c>
      <c r="G4288" s="19" t="n">
        <v>0.0411</v>
      </c>
    </row>
    <row r="4289" customFormat="false" ht="15" hidden="false" customHeight="false" outlineLevel="0" collapsed="false">
      <c r="A4289" s="28" t="s">
        <v>200</v>
      </c>
      <c r="B4289" s="28" t="s">
        <v>201</v>
      </c>
      <c r="C4289" s="28" t="s">
        <v>202</v>
      </c>
      <c r="D4289" s="23" t="n">
        <v>13</v>
      </c>
      <c r="E4289" s="23" t="n">
        <v>6</v>
      </c>
      <c r="F4289" s="28" t="s">
        <v>905</v>
      </c>
      <c r="G4289" s="19" t="n">
        <v>0.0437</v>
      </c>
    </row>
    <row r="4290" customFormat="false" ht="15" hidden="false" customHeight="false" outlineLevel="0" collapsed="false">
      <c r="A4290" s="28" t="s">
        <v>200</v>
      </c>
      <c r="B4290" s="28" t="s">
        <v>201</v>
      </c>
      <c r="C4290" s="28" t="s">
        <v>202</v>
      </c>
      <c r="D4290" s="23" t="n">
        <v>13</v>
      </c>
      <c r="E4290" s="23" t="n">
        <v>6</v>
      </c>
      <c r="F4290" s="28" t="s">
        <v>906</v>
      </c>
      <c r="G4290" s="19" t="n">
        <v>0.045356</v>
      </c>
    </row>
    <row r="4291" customFormat="false" ht="15" hidden="false" customHeight="false" outlineLevel="0" collapsed="false">
      <c r="A4291" s="28" t="s">
        <v>200</v>
      </c>
      <c r="B4291" s="28" t="s">
        <v>201</v>
      </c>
      <c r="C4291" s="28" t="s">
        <v>202</v>
      </c>
      <c r="D4291" s="23" t="n">
        <v>13</v>
      </c>
      <c r="E4291" s="23" t="n">
        <v>6</v>
      </c>
      <c r="F4291" s="28" t="s">
        <v>907</v>
      </c>
      <c r="G4291" s="19" t="n">
        <v>0.045569</v>
      </c>
    </row>
    <row r="4292" customFormat="false" ht="15" hidden="false" customHeight="false" outlineLevel="0" collapsed="false">
      <c r="A4292" s="28" t="s">
        <v>200</v>
      </c>
      <c r="B4292" s="28" t="s">
        <v>201</v>
      </c>
      <c r="C4292" s="28" t="s">
        <v>202</v>
      </c>
      <c r="D4292" s="23" t="n">
        <v>13</v>
      </c>
      <c r="E4292" s="23" t="n">
        <v>6</v>
      </c>
      <c r="F4292" s="28" t="s">
        <v>908</v>
      </c>
      <c r="G4292" s="19" t="n">
        <v>0.048195</v>
      </c>
    </row>
    <row r="4293" customFormat="false" ht="15" hidden="false" customHeight="false" outlineLevel="0" collapsed="false">
      <c r="A4293" s="28" t="s">
        <v>200</v>
      </c>
      <c r="B4293" s="28" t="s">
        <v>201</v>
      </c>
      <c r="C4293" s="28" t="s">
        <v>202</v>
      </c>
      <c r="D4293" s="23" t="n">
        <v>13</v>
      </c>
      <c r="E4293" s="23" t="n">
        <v>6</v>
      </c>
      <c r="F4293" s="28" t="s">
        <v>909</v>
      </c>
      <c r="G4293" s="19" t="n">
        <v>0.049321</v>
      </c>
    </row>
    <row r="4294" customFormat="false" ht="15" hidden="false" customHeight="false" outlineLevel="0" collapsed="false">
      <c r="A4294" s="28" t="s">
        <v>200</v>
      </c>
      <c r="B4294" s="28" t="s">
        <v>201</v>
      </c>
      <c r="C4294" s="28" t="s">
        <v>202</v>
      </c>
      <c r="D4294" s="23" t="n">
        <v>13</v>
      </c>
      <c r="E4294" s="23" t="n">
        <v>6</v>
      </c>
      <c r="F4294" s="28" t="s">
        <v>910</v>
      </c>
      <c r="G4294" s="19" t="n">
        <v>0.051772</v>
      </c>
    </row>
    <row r="4295" customFormat="false" ht="15" hidden="false" customHeight="false" outlineLevel="0" collapsed="false">
      <c r="A4295" s="28" t="s">
        <v>200</v>
      </c>
      <c r="B4295" s="28" t="s">
        <v>201</v>
      </c>
      <c r="C4295" s="28" t="s">
        <v>202</v>
      </c>
      <c r="D4295" s="23" t="n">
        <v>13</v>
      </c>
      <c r="E4295" s="23" t="n">
        <v>6</v>
      </c>
      <c r="F4295" s="28" t="s">
        <v>911</v>
      </c>
      <c r="G4295" s="19" t="n">
        <v>0.054923</v>
      </c>
    </row>
    <row r="4296" customFormat="false" ht="15" hidden="false" customHeight="false" outlineLevel="0" collapsed="false">
      <c r="A4296" s="28" t="s">
        <v>200</v>
      </c>
      <c r="B4296" s="28" t="s">
        <v>201</v>
      </c>
      <c r="C4296" s="28" t="s">
        <v>202</v>
      </c>
      <c r="D4296" s="23" t="n">
        <v>13</v>
      </c>
      <c r="E4296" s="23" t="n">
        <v>6</v>
      </c>
      <c r="F4296" s="28" t="s">
        <v>912</v>
      </c>
      <c r="G4296" s="19" t="n">
        <v>0.0594</v>
      </c>
    </row>
    <row r="4297" customFormat="false" ht="15" hidden="false" customHeight="false" outlineLevel="0" collapsed="false">
      <c r="A4297" s="28" t="s">
        <v>200</v>
      </c>
      <c r="B4297" s="28" t="s">
        <v>201</v>
      </c>
      <c r="C4297" s="28" t="s">
        <v>202</v>
      </c>
      <c r="D4297" s="23" t="n">
        <v>13</v>
      </c>
      <c r="E4297" s="23" t="n">
        <v>6</v>
      </c>
      <c r="F4297" s="28" t="s">
        <v>913</v>
      </c>
      <c r="G4297" s="19" t="n">
        <v>0.0643</v>
      </c>
    </row>
    <row r="4298" customFormat="false" ht="15" hidden="false" customHeight="false" outlineLevel="0" collapsed="false">
      <c r="A4298" s="28" t="s">
        <v>200</v>
      </c>
      <c r="B4298" s="28" t="s">
        <v>201</v>
      </c>
      <c r="C4298" s="28" t="s">
        <v>202</v>
      </c>
      <c r="D4298" s="23" t="n">
        <v>13</v>
      </c>
      <c r="E4298" s="23" t="n">
        <v>6</v>
      </c>
      <c r="F4298" s="28" t="s">
        <v>914</v>
      </c>
      <c r="G4298" s="19" t="n">
        <v>0.0641</v>
      </c>
    </row>
    <row r="4299" customFormat="false" ht="15" hidden="false" customHeight="false" outlineLevel="0" collapsed="false">
      <c r="A4299" s="28" t="s">
        <v>200</v>
      </c>
      <c r="B4299" s="28" t="s">
        <v>201</v>
      </c>
      <c r="C4299" s="28" t="s">
        <v>202</v>
      </c>
      <c r="D4299" s="23" t="n">
        <v>13</v>
      </c>
      <c r="E4299" s="23" t="n">
        <v>6</v>
      </c>
      <c r="F4299" s="28" t="s">
        <v>915</v>
      </c>
      <c r="G4299" s="19" t="n">
        <v>0.0799</v>
      </c>
    </row>
    <row r="4300" customFormat="false" ht="15" hidden="false" customHeight="false" outlineLevel="0" collapsed="false">
      <c r="A4300" s="28" t="s">
        <v>200</v>
      </c>
      <c r="B4300" s="28" t="s">
        <v>201</v>
      </c>
      <c r="C4300" s="28" t="s">
        <v>202</v>
      </c>
      <c r="D4300" s="23" t="n">
        <v>13</v>
      </c>
      <c r="E4300" s="23" t="n">
        <v>7</v>
      </c>
      <c r="F4300" s="28" t="s">
        <v>904</v>
      </c>
      <c r="G4300" s="19" t="n">
        <v>0.0413</v>
      </c>
    </row>
    <row r="4301" customFormat="false" ht="15" hidden="false" customHeight="false" outlineLevel="0" collapsed="false">
      <c r="A4301" s="28" t="s">
        <v>200</v>
      </c>
      <c r="B4301" s="28" t="s">
        <v>201</v>
      </c>
      <c r="C4301" s="28" t="s">
        <v>202</v>
      </c>
      <c r="D4301" s="23" t="n">
        <v>13</v>
      </c>
      <c r="E4301" s="23" t="n">
        <v>7</v>
      </c>
      <c r="F4301" s="28" t="s">
        <v>551</v>
      </c>
      <c r="G4301" s="19" t="n">
        <v>0.0725</v>
      </c>
    </row>
    <row r="4302" customFormat="false" ht="15" hidden="false" customHeight="false" outlineLevel="0" collapsed="false">
      <c r="A4302" s="28" t="s">
        <v>200</v>
      </c>
      <c r="B4302" s="28" t="s">
        <v>201</v>
      </c>
      <c r="C4302" s="28" t="s">
        <v>202</v>
      </c>
      <c r="D4302" s="23" t="n">
        <v>13</v>
      </c>
      <c r="E4302" s="23" t="n">
        <v>7</v>
      </c>
      <c r="F4302" s="28" t="s">
        <v>451</v>
      </c>
      <c r="G4302" s="19" t="n">
        <v>0.0411</v>
      </c>
    </row>
    <row r="4303" customFormat="false" ht="15" hidden="false" customHeight="false" outlineLevel="0" collapsed="false">
      <c r="A4303" s="28" t="s">
        <v>200</v>
      </c>
      <c r="B4303" s="28" t="s">
        <v>201</v>
      </c>
      <c r="C4303" s="28" t="s">
        <v>202</v>
      </c>
      <c r="D4303" s="23" t="n">
        <v>13</v>
      </c>
      <c r="E4303" s="23" t="n">
        <v>7</v>
      </c>
      <c r="F4303" s="28" t="s">
        <v>905</v>
      </c>
      <c r="G4303" s="19" t="n">
        <v>0.0437</v>
      </c>
    </row>
    <row r="4304" customFormat="false" ht="15" hidden="false" customHeight="false" outlineLevel="0" collapsed="false">
      <c r="A4304" s="28" t="s">
        <v>200</v>
      </c>
      <c r="B4304" s="28" t="s">
        <v>201</v>
      </c>
      <c r="C4304" s="28" t="s">
        <v>202</v>
      </c>
      <c r="D4304" s="23" t="n">
        <v>13</v>
      </c>
      <c r="E4304" s="23" t="n">
        <v>7</v>
      </c>
      <c r="F4304" s="28" t="s">
        <v>906</v>
      </c>
      <c r="G4304" s="19" t="n">
        <v>0.045356</v>
      </c>
    </row>
    <row r="4305" customFormat="false" ht="15" hidden="false" customHeight="false" outlineLevel="0" collapsed="false">
      <c r="A4305" s="28" t="s">
        <v>200</v>
      </c>
      <c r="B4305" s="28" t="s">
        <v>201</v>
      </c>
      <c r="C4305" s="28" t="s">
        <v>202</v>
      </c>
      <c r="D4305" s="23" t="n">
        <v>13</v>
      </c>
      <c r="E4305" s="23" t="n">
        <v>7</v>
      </c>
      <c r="F4305" s="28" t="s">
        <v>907</v>
      </c>
      <c r="G4305" s="19" t="n">
        <v>0.045569</v>
      </c>
    </row>
    <row r="4306" customFormat="false" ht="15" hidden="false" customHeight="false" outlineLevel="0" collapsed="false">
      <c r="A4306" s="28" t="s">
        <v>200</v>
      </c>
      <c r="B4306" s="28" t="s">
        <v>201</v>
      </c>
      <c r="C4306" s="28" t="s">
        <v>202</v>
      </c>
      <c r="D4306" s="23" t="n">
        <v>13</v>
      </c>
      <c r="E4306" s="23" t="n">
        <v>7</v>
      </c>
      <c r="F4306" s="28" t="s">
        <v>908</v>
      </c>
      <c r="G4306" s="19" t="n">
        <v>0.048195</v>
      </c>
    </row>
    <row r="4307" customFormat="false" ht="15" hidden="false" customHeight="false" outlineLevel="0" collapsed="false">
      <c r="A4307" s="28" t="s">
        <v>200</v>
      </c>
      <c r="B4307" s="28" t="s">
        <v>201</v>
      </c>
      <c r="C4307" s="28" t="s">
        <v>202</v>
      </c>
      <c r="D4307" s="23" t="n">
        <v>13</v>
      </c>
      <c r="E4307" s="23" t="n">
        <v>7</v>
      </c>
      <c r="F4307" s="28" t="s">
        <v>909</v>
      </c>
      <c r="G4307" s="19" t="n">
        <v>0.049321</v>
      </c>
    </row>
    <row r="4308" customFormat="false" ht="15" hidden="false" customHeight="false" outlineLevel="0" collapsed="false">
      <c r="A4308" s="28" t="s">
        <v>200</v>
      </c>
      <c r="B4308" s="28" t="s">
        <v>201</v>
      </c>
      <c r="C4308" s="28" t="s">
        <v>202</v>
      </c>
      <c r="D4308" s="23" t="n">
        <v>13</v>
      </c>
      <c r="E4308" s="23" t="n">
        <v>7</v>
      </c>
      <c r="F4308" s="28" t="s">
        <v>910</v>
      </c>
      <c r="G4308" s="19" t="n">
        <v>0.051772</v>
      </c>
    </row>
    <row r="4309" customFormat="false" ht="15" hidden="false" customHeight="false" outlineLevel="0" collapsed="false">
      <c r="A4309" s="28" t="s">
        <v>200</v>
      </c>
      <c r="B4309" s="28" t="s">
        <v>201</v>
      </c>
      <c r="C4309" s="28" t="s">
        <v>202</v>
      </c>
      <c r="D4309" s="23" t="n">
        <v>13</v>
      </c>
      <c r="E4309" s="23" t="n">
        <v>7</v>
      </c>
      <c r="F4309" s="28" t="s">
        <v>911</v>
      </c>
      <c r="G4309" s="19" t="n">
        <v>0.054923</v>
      </c>
    </row>
    <row r="4310" customFormat="false" ht="15" hidden="false" customHeight="false" outlineLevel="0" collapsed="false">
      <c r="A4310" s="28" t="s">
        <v>200</v>
      </c>
      <c r="B4310" s="28" t="s">
        <v>201</v>
      </c>
      <c r="C4310" s="28" t="s">
        <v>202</v>
      </c>
      <c r="D4310" s="23" t="n">
        <v>13</v>
      </c>
      <c r="E4310" s="23" t="n">
        <v>7</v>
      </c>
      <c r="F4310" s="28" t="s">
        <v>912</v>
      </c>
      <c r="G4310" s="19" t="n">
        <v>0.0594</v>
      </c>
    </row>
    <row r="4311" customFormat="false" ht="15" hidden="false" customHeight="false" outlineLevel="0" collapsed="false">
      <c r="A4311" s="28" t="s">
        <v>200</v>
      </c>
      <c r="B4311" s="28" t="s">
        <v>201</v>
      </c>
      <c r="C4311" s="28" t="s">
        <v>202</v>
      </c>
      <c r="D4311" s="23" t="n">
        <v>13</v>
      </c>
      <c r="E4311" s="23" t="n">
        <v>7</v>
      </c>
      <c r="F4311" s="28" t="s">
        <v>913</v>
      </c>
      <c r="G4311" s="19" t="n">
        <v>0.0643</v>
      </c>
    </row>
    <row r="4312" customFormat="false" ht="15" hidden="false" customHeight="false" outlineLevel="0" collapsed="false">
      <c r="A4312" s="28" t="s">
        <v>200</v>
      </c>
      <c r="B4312" s="28" t="s">
        <v>201</v>
      </c>
      <c r="C4312" s="28" t="s">
        <v>202</v>
      </c>
      <c r="D4312" s="23" t="n">
        <v>13</v>
      </c>
      <c r="E4312" s="23" t="n">
        <v>7</v>
      </c>
      <c r="F4312" s="28" t="s">
        <v>914</v>
      </c>
      <c r="G4312" s="19" t="n">
        <v>0.0641</v>
      </c>
    </row>
    <row r="4313" customFormat="false" ht="15" hidden="false" customHeight="false" outlineLevel="0" collapsed="false">
      <c r="A4313" s="28" t="s">
        <v>200</v>
      </c>
      <c r="B4313" s="28" t="s">
        <v>201</v>
      </c>
      <c r="C4313" s="28" t="s">
        <v>202</v>
      </c>
      <c r="D4313" s="23" t="n">
        <v>13</v>
      </c>
      <c r="E4313" s="23" t="n">
        <v>7</v>
      </c>
      <c r="F4313" s="28" t="s">
        <v>915</v>
      </c>
      <c r="G4313" s="19" t="n">
        <v>0.0799</v>
      </c>
    </row>
    <row r="4314" customFormat="false" ht="15" hidden="false" customHeight="false" outlineLevel="0" collapsed="false">
      <c r="A4314" s="28" t="s">
        <v>200</v>
      </c>
      <c r="B4314" s="28" t="s">
        <v>201</v>
      </c>
      <c r="C4314" s="28" t="s">
        <v>202</v>
      </c>
      <c r="D4314" s="23" t="n">
        <v>13</v>
      </c>
      <c r="E4314" s="23" t="n">
        <v>8</v>
      </c>
      <c r="F4314" s="28" t="s">
        <v>904</v>
      </c>
      <c r="G4314" s="19" t="n">
        <v>0.0413</v>
      </c>
    </row>
    <row r="4315" customFormat="false" ht="15" hidden="false" customHeight="false" outlineLevel="0" collapsed="false">
      <c r="A4315" s="28" t="s">
        <v>200</v>
      </c>
      <c r="B4315" s="28" t="s">
        <v>201</v>
      </c>
      <c r="C4315" s="28" t="s">
        <v>202</v>
      </c>
      <c r="D4315" s="23" t="n">
        <v>13</v>
      </c>
      <c r="E4315" s="23" t="n">
        <v>8</v>
      </c>
      <c r="F4315" s="28" t="s">
        <v>551</v>
      </c>
      <c r="G4315" s="19" t="n">
        <v>0.0725</v>
      </c>
    </row>
    <row r="4316" customFormat="false" ht="15" hidden="false" customHeight="false" outlineLevel="0" collapsed="false">
      <c r="A4316" s="28" t="s">
        <v>200</v>
      </c>
      <c r="B4316" s="28" t="s">
        <v>201</v>
      </c>
      <c r="C4316" s="28" t="s">
        <v>202</v>
      </c>
      <c r="D4316" s="23" t="n">
        <v>13</v>
      </c>
      <c r="E4316" s="23" t="n">
        <v>8</v>
      </c>
      <c r="F4316" s="28" t="s">
        <v>451</v>
      </c>
      <c r="G4316" s="19" t="n">
        <v>0.0411</v>
      </c>
    </row>
    <row r="4317" customFormat="false" ht="15" hidden="false" customHeight="false" outlineLevel="0" collapsed="false">
      <c r="A4317" s="28" t="s">
        <v>200</v>
      </c>
      <c r="B4317" s="28" t="s">
        <v>201</v>
      </c>
      <c r="C4317" s="28" t="s">
        <v>202</v>
      </c>
      <c r="D4317" s="23" t="n">
        <v>13</v>
      </c>
      <c r="E4317" s="23" t="n">
        <v>8</v>
      </c>
      <c r="F4317" s="28" t="s">
        <v>905</v>
      </c>
      <c r="G4317" s="19" t="n">
        <v>0.0437</v>
      </c>
    </row>
    <row r="4318" customFormat="false" ht="15" hidden="false" customHeight="false" outlineLevel="0" collapsed="false">
      <c r="A4318" s="28" t="s">
        <v>200</v>
      </c>
      <c r="B4318" s="28" t="s">
        <v>201</v>
      </c>
      <c r="C4318" s="28" t="s">
        <v>202</v>
      </c>
      <c r="D4318" s="23" t="n">
        <v>13</v>
      </c>
      <c r="E4318" s="23" t="n">
        <v>8</v>
      </c>
      <c r="F4318" s="28" t="s">
        <v>906</v>
      </c>
      <c r="G4318" s="19" t="n">
        <v>0.045356</v>
      </c>
    </row>
    <row r="4319" customFormat="false" ht="15" hidden="false" customHeight="false" outlineLevel="0" collapsed="false">
      <c r="A4319" s="28" t="s">
        <v>200</v>
      </c>
      <c r="B4319" s="28" t="s">
        <v>201</v>
      </c>
      <c r="C4319" s="28" t="s">
        <v>202</v>
      </c>
      <c r="D4319" s="23" t="n">
        <v>13</v>
      </c>
      <c r="E4319" s="23" t="n">
        <v>8</v>
      </c>
      <c r="F4319" s="28" t="s">
        <v>907</v>
      </c>
      <c r="G4319" s="19" t="n">
        <v>0.045569</v>
      </c>
    </row>
    <row r="4320" customFormat="false" ht="15" hidden="false" customHeight="false" outlineLevel="0" collapsed="false">
      <c r="A4320" s="28" t="s">
        <v>200</v>
      </c>
      <c r="B4320" s="28" t="s">
        <v>201</v>
      </c>
      <c r="C4320" s="28" t="s">
        <v>202</v>
      </c>
      <c r="D4320" s="23" t="n">
        <v>13</v>
      </c>
      <c r="E4320" s="23" t="n">
        <v>8</v>
      </c>
      <c r="F4320" s="28" t="s">
        <v>908</v>
      </c>
      <c r="G4320" s="19" t="n">
        <v>0.048195</v>
      </c>
    </row>
    <row r="4321" customFormat="false" ht="15" hidden="false" customHeight="false" outlineLevel="0" collapsed="false">
      <c r="A4321" s="28" t="s">
        <v>200</v>
      </c>
      <c r="B4321" s="28" t="s">
        <v>201</v>
      </c>
      <c r="C4321" s="28" t="s">
        <v>202</v>
      </c>
      <c r="D4321" s="23" t="n">
        <v>13</v>
      </c>
      <c r="E4321" s="23" t="n">
        <v>8</v>
      </c>
      <c r="F4321" s="28" t="s">
        <v>909</v>
      </c>
      <c r="G4321" s="19" t="n">
        <v>0.049321</v>
      </c>
    </row>
    <row r="4322" customFormat="false" ht="15" hidden="false" customHeight="false" outlineLevel="0" collapsed="false">
      <c r="A4322" s="28" t="s">
        <v>200</v>
      </c>
      <c r="B4322" s="28" t="s">
        <v>201</v>
      </c>
      <c r="C4322" s="28" t="s">
        <v>202</v>
      </c>
      <c r="D4322" s="23" t="n">
        <v>13</v>
      </c>
      <c r="E4322" s="23" t="n">
        <v>8</v>
      </c>
      <c r="F4322" s="28" t="s">
        <v>910</v>
      </c>
      <c r="G4322" s="19" t="n">
        <v>0.051772</v>
      </c>
    </row>
    <row r="4323" customFormat="false" ht="15" hidden="false" customHeight="false" outlineLevel="0" collapsed="false">
      <c r="A4323" s="28" t="s">
        <v>200</v>
      </c>
      <c r="B4323" s="28" t="s">
        <v>201</v>
      </c>
      <c r="C4323" s="28" t="s">
        <v>202</v>
      </c>
      <c r="D4323" s="23" t="n">
        <v>13</v>
      </c>
      <c r="E4323" s="23" t="n">
        <v>8</v>
      </c>
      <c r="F4323" s="28" t="s">
        <v>911</v>
      </c>
      <c r="G4323" s="19" t="n">
        <v>0.054923</v>
      </c>
    </row>
    <row r="4324" customFormat="false" ht="15" hidden="false" customHeight="false" outlineLevel="0" collapsed="false">
      <c r="A4324" s="28" t="s">
        <v>200</v>
      </c>
      <c r="B4324" s="28" t="s">
        <v>201</v>
      </c>
      <c r="C4324" s="28" t="s">
        <v>202</v>
      </c>
      <c r="D4324" s="23" t="n">
        <v>13</v>
      </c>
      <c r="E4324" s="23" t="n">
        <v>8</v>
      </c>
      <c r="F4324" s="28" t="s">
        <v>912</v>
      </c>
      <c r="G4324" s="19" t="n">
        <v>0.0594</v>
      </c>
    </row>
    <row r="4325" customFormat="false" ht="15" hidden="false" customHeight="false" outlineLevel="0" collapsed="false">
      <c r="A4325" s="28" t="s">
        <v>200</v>
      </c>
      <c r="B4325" s="28" t="s">
        <v>201</v>
      </c>
      <c r="C4325" s="28" t="s">
        <v>202</v>
      </c>
      <c r="D4325" s="23" t="n">
        <v>13</v>
      </c>
      <c r="E4325" s="23" t="n">
        <v>8</v>
      </c>
      <c r="F4325" s="28" t="s">
        <v>913</v>
      </c>
      <c r="G4325" s="19" t="n">
        <v>0.0643</v>
      </c>
    </row>
    <row r="4326" customFormat="false" ht="15" hidden="false" customHeight="false" outlineLevel="0" collapsed="false">
      <c r="A4326" s="28" t="s">
        <v>200</v>
      </c>
      <c r="B4326" s="28" t="s">
        <v>201</v>
      </c>
      <c r="C4326" s="28" t="s">
        <v>202</v>
      </c>
      <c r="D4326" s="23" t="n">
        <v>13</v>
      </c>
      <c r="E4326" s="23" t="n">
        <v>8</v>
      </c>
      <c r="F4326" s="28" t="s">
        <v>914</v>
      </c>
      <c r="G4326" s="19" t="n">
        <v>0.0641</v>
      </c>
    </row>
    <row r="4327" customFormat="false" ht="15" hidden="false" customHeight="false" outlineLevel="0" collapsed="false">
      <c r="A4327" s="28" t="s">
        <v>200</v>
      </c>
      <c r="B4327" s="28" t="s">
        <v>201</v>
      </c>
      <c r="C4327" s="28" t="s">
        <v>202</v>
      </c>
      <c r="D4327" s="23" t="n">
        <v>13</v>
      </c>
      <c r="E4327" s="23" t="n">
        <v>8</v>
      </c>
      <c r="F4327" s="28" t="s">
        <v>915</v>
      </c>
      <c r="G4327" s="19" t="n">
        <v>0.0799</v>
      </c>
    </row>
    <row r="4328" customFormat="false" ht="15" hidden="false" customHeight="false" outlineLevel="0" collapsed="false">
      <c r="A4328" s="28" t="s">
        <v>200</v>
      </c>
      <c r="B4328" s="28" t="s">
        <v>201</v>
      </c>
      <c r="C4328" s="28" t="s">
        <v>202</v>
      </c>
      <c r="D4328" s="23" t="n">
        <v>13</v>
      </c>
      <c r="E4328" s="23" t="n">
        <v>9</v>
      </c>
      <c r="F4328" s="28" t="s">
        <v>904</v>
      </c>
      <c r="G4328" s="19" t="n">
        <v>0.0413</v>
      </c>
    </row>
    <row r="4329" customFormat="false" ht="15" hidden="false" customHeight="false" outlineLevel="0" collapsed="false">
      <c r="A4329" s="28" t="s">
        <v>200</v>
      </c>
      <c r="B4329" s="28" t="s">
        <v>201</v>
      </c>
      <c r="C4329" s="28" t="s">
        <v>202</v>
      </c>
      <c r="D4329" s="23" t="n">
        <v>13</v>
      </c>
      <c r="E4329" s="23" t="n">
        <v>9</v>
      </c>
      <c r="F4329" s="28" t="s">
        <v>551</v>
      </c>
      <c r="G4329" s="19" t="n">
        <v>0.0725</v>
      </c>
    </row>
    <row r="4330" customFormat="false" ht="15" hidden="false" customHeight="false" outlineLevel="0" collapsed="false">
      <c r="A4330" s="28" t="s">
        <v>200</v>
      </c>
      <c r="B4330" s="28" t="s">
        <v>201</v>
      </c>
      <c r="C4330" s="28" t="s">
        <v>202</v>
      </c>
      <c r="D4330" s="23" t="n">
        <v>13</v>
      </c>
      <c r="E4330" s="23" t="n">
        <v>9</v>
      </c>
      <c r="F4330" s="28" t="s">
        <v>451</v>
      </c>
      <c r="G4330" s="19" t="n">
        <v>0.0411</v>
      </c>
    </row>
    <row r="4331" customFormat="false" ht="15" hidden="false" customHeight="false" outlineLevel="0" collapsed="false">
      <c r="A4331" s="28" t="s">
        <v>200</v>
      </c>
      <c r="B4331" s="28" t="s">
        <v>201</v>
      </c>
      <c r="C4331" s="28" t="s">
        <v>202</v>
      </c>
      <c r="D4331" s="23" t="n">
        <v>13</v>
      </c>
      <c r="E4331" s="23" t="n">
        <v>9</v>
      </c>
      <c r="F4331" s="28" t="s">
        <v>905</v>
      </c>
      <c r="G4331" s="19" t="n">
        <v>0.0437</v>
      </c>
    </row>
    <row r="4332" customFormat="false" ht="15" hidden="false" customHeight="false" outlineLevel="0" collapsed="false">
      <c r="A4332" s="28" t="s">
        <v>200</v>
      </c>
      <c r="B4332" s="28" t="s">
        <v>201</v>
      </c>
      <c r="C4332" s="28" t="s">
        <v>202</v>
      </c>
      <c r="D4332" s="23" t="n">
        <v>13</v>
      </c>
      <c r="E4332" s="23" t="n">
        <v>9</v>
      </c>
      <c r="F4332" s="28" t="s">
        <v>906</v>
      </c>
      <c r="G4332" s="19" t="n">
        <v>0.045356</v>
      </c>
    </row>
    <row r="4333" customFormat="false" ht="15" hidden="false" customHeight="false" outlineLevel="0" collapsed="false">
      <c r="A4333" s="28" t="s">
        <v>200</v>
      </c>
      <c r="B4333" s="28" t="s">
        <v>201</v>
      </c>
      <c r="C4333" s="28" t="s">
        <v>202</v>
      </c>
      <c r="D4333" s="23" t="n">
        <v>13</v>
      </c>
      <c r="E4333" s="23" t="n">
        <v>9</v>
      </c>
      <c r="F4333" s="28" t="s">
        <v>907</v>
      </c>
      <c r="G4333" s="19" t="n">
        <v>0.045569</v>
      </c>
    </row>
    <row r="4334" customFormat="false" ht="15" hidden="false" customHeight="false" outlineLevel="0" collapsed="false">
      <c r="A4334" s="28" t="s">
        <v>200</v>
      </c>
      <c r="B4334" s="28" t="s">
        <v>201</v>
      </c>
      <c r="C4334" s="28" t="s">
        <v>202</v>
      </c>
      <c r="D4334" s="23" t="n">
        <v>13</v>
      </c>
      <c r="E4334" s="23" t="n">
        <v>9</v>
      </c>
      <c r="F4334" s="28" t="s">
        <v>908</v>
      </c>
      <c r="G4334" s="19" t="n">
        <v>0.048195</v>
      </c>
    </row>
    <row r="4335" customFormat="false" ht="15" hidden="false" customHeight="false" outlineLevel="0" collapsed="false">
      <c r="A4335" s="28" t="s">
        <v>200</v>
      </c>
      <c r="B4335" s="28" t="s">
        <v>201</v>
      </c>
      <c r="C4335" s="28" t="s">
        <v>202</v>
      </c>
      <c r="D4335" s="23" t="n">
        <v>13</v>
      </c>
      <c r="E4335" s="23" t="n">
        <v>9</v>
      </c>
      <c r="F4335" s="28" t="s">
        <v>909</v>
      </c>
      <c r="G4335" s="19" t="n">
        <v>0.049321</v>
      </c>
    </row>
    <row r="4336" customFormat="false" ht="15" hidden="false" customHeight="false" outlineLevel="0" collapsed="false">
      <c r="A4336" s="28" t="s">
        <v>200</v>
      </c>
      <c r="B4336" s="28" t="s">
        <v>201</v>
      </c>
      <c r="C4336" s="28" t="s">
        <v>202</v>
      </c>
      <c r="D4336" s="23" t="n">
        <v>13</v>
      </c>
      <c r="E4336" s="23" t="n">
        <v>9</v>
      </c>
      <c r="F4336" s="28" t="s">
        <v>910</v>
      </c>
      <c r="G4336" s="19" t="n">
        <v>0.051772</v>
      </c>
    </row>
    <row r="4337" customFormat="false" ht="15" hidden="false" customHeight="false" outlineLevel="0" collapsed="false">
      <c r="A4337" s="28" t="s">
        <v>200</v>
      </c>
      <c r="B4337" s="28" t="s">
        <v>201</v>
      </c>
      <c r="C4337" s="28" t="s">
        <v>202</v>
      </c>
      <c r="D4337" s="23" t="n">
        <v>13</v>
      </c>
      <c r="E4337" s="23" t="n">
        <v>9</v>
      </c>
      <c r="F4337" s="28" t="s">
        <v>911</v>
      </c>
      <c r="G4337" s="19" t="n">
        <v>0.054923</v>
      </c>
    </row>
    <row r="4338" customFormat="false" ht="15" hidden="false" customHeight="false" outlineLevel="0" collapsed="false">
      <c r="A4338" s="28" t="s">
        <v>200</v>
      </c>
      <c r="B4338" s="28" t="s">
        <v>201</v>
      </c>
      <c r="C4338" s="28" t="s">
        <v>202</v>
      </c>
      <c r="D4338" s="23" t="n">
        <v>13</v>
      </c>
      <c r="E4338" s="23" t="n">
        <v>9</v>
      </c>
      <c r="F4338" s="28" t="s">
        <v>912</v>
      </c>
      <c r="G4338" s="19" t="n">
        <v>0.0594</v>
      </c>
    </row>
    <row r="4339" customFormat="false" ht="15" hidden="false" customHeight="false" outlineLevel="0" collapsed="false">
      <c r="A4339" s="28" t="s">
        <v>200</v>
      </c>
      <c r="B4339" s="28" t="s">
        <v>201</v>
      </c>
      <c r="C4339" s="28" t="s">
        <v>202</v>
      </c>
      <c r="D4339" s="23" t="n">
        <v>13</v>
      </c>
      <c r="E4339" s="23" t="n">
        <v>9</v>
      </c>
      <c r="F4339" s="28" t="s">
        <v>913</v>
      </c>
      <c r="G4339" s="19" t="n">
        <v>0.0643</v>
      </c>
    </row>
    <row r="4340" customFormat="false" ht="15" hidden="false" customHeight="false" outlineLevel="0" collapsed="false">
      <c r="A4340" s="28" t="s">
        <v>200</v>
      </c>
      <c r="B4340" s="28" t="s">
        <v>201</v>
      </c>
      <c r="C4340" s="28" t="s">
        <v>202</v>
      </c>
      <c r="D4340" s="23" t="n">
        <v>13</v>
      </c>
      <c r="E4340" s="23" t="n">
        <v>9</v>
      </c>
      <c r="F4340" s="28" t="s">
        <v>914</v>
      </c>
      <c r="G4340" s="19" t="n">
        <v>0.0641</v>
      </c>
    </row>
    <row r="4341" customFormat="false" ht="15" hidden="false" customHeight="false" outlineLevel="0" collapsed="false">
      <c r="A4341" s="28" t="s">
        <v>200</v>
      </c>
      <c r="B4341" s="28" t="s">
        <v>201</v>
      </c>
      <c r="C4341" s="28" t="s">
        <v>202</v>
      </c>
      <c r="D4341" s="23" t="n">
        <v>13</v>
      </c>
      <c r="E4341" s="23" t="n">
        <v>9</v>
      </c>
      <c r="F4341" s="28" t="s">
        <v>915</v>
      </c>
      <c r="G4341" s="19" t="n">
        <v>0.0799</v>
      </c>
    </row>
    <row r="4342" customFormat="false" ht="15" hidden="false" customHeight="false" outlineLevel="0" collapsed="false">
      <c r="A4342" s="28" t="s">
        <v>200</v>
      </c>
      <c r="B4342" s="28" t="s">
        <v>201</v>
      </c>
      <c r="C4342" s="28" t="s">
        <v>202</v>
      </c>
      <c r="D4342" s="23" t="n">
        <v>13</v>
      </c>
      <c r="E4342" s="23" t="n">
        <v>10</v>
      </c>
      <c r="F4342" s="28" t="s">
        <v>904</v>
      </c>
      <c r="G4342" s="19" t="n">
        <v>0.0413</v>
      </c>
    </row>
    <row r="4343" customFormat="false" ht="15" hidden="false" customHeight="false" outlineLevel="0" collapsed="false">
      <c r="A4343" s="28" t="s">
        <v>200</v>
      </c>
      <c r="B4343" s="28" t="s">
        <v>201</v>
      </c>
      <c r="C4343" s="28" t="s">
        <v>202</v>
      </c>
      <c r="D4343" s="23" t="n">
        <v>13</v>
      </c>
      <c r="E4343" s="23" t="n">
        <v>10</v>
      </c>
      <c r="F4343" s="28" t="s">
        <v>551</v>
      </c>
      <c r="G4343" s="19" t="n">
        <v>0.0725</v>
      </c>
    </row>
    <row r="4344" customFormat="false" ht="15" hidden="false" customHeight="false" outlineLevel="0" collapsed="false">
      <c r="A4344" s="28" t="s">
        <v>200</v>
      </c>
      <c r="B4344" s="28" t="s">
        <v>201</v>
      </c>
      <c r="C4344" s="28" t="s">
        <v>202</v>
      </c>
      <c r="D4344" s="23" t="n">
        <v>13</v>
      </c>
      <c r="E4344" s="23" t="n">
        <v>10</v>
      </c>
      <c r="F4344" s="28" t="s">
        <v>451</v>
      </c>
      <c r="G4344" s="19" t="n">
        <v>0.0411</v>
      </c>
    </row>
    <row r="4345" customFormat="false" ht="15" hidden="false" customHeight="false" outlineLevel="0" collapsed="false">
      <c r="A4345" s="28" t="s">
        <v>200</v>
      </c>
      <c r="B4345" s="28" t="s">
        <v>201</v>
      </c>
      <c r="C4345" s="28" t="s">
        <v>202</v>
      </c>
      <c r="D4345" s="23" t="n">
        <v>13</v>
      </c>
      <c r="E4345" s="23" t="n">
        <v>10</v>
      </c>
      <c r="F4345" s="28" t="s">
        <v>905</v>
      </c>
      <c r="G4345" s="19" t="n">
        <v>0.0437</v>
      </c>
    </row>
    <row r="4346" customFormat="false" ht="15" hidden="false" customHeight="false" outlineLevel="0" collapsed="false">
      <c r="A4346" s="28" t="s">
        <v>200</v>
      </c>
      <c r="B4346" s="28" t="s">
        <v>201</v>
      </c>
      <c r="C4346" s="28" t="s">
        <v>202</v>
      </c>
      <c r="D4346" s="23" t="n">
        <v>13</v>
      </c>
      <c r="E4346" s="23" t="n">
        <v>10</v>
      </c>
      <c r="F4346" s="28" t="s">
        <v>906</v>
      </c>
      <c r="G4346" s="19" t="n">
        <v>0.045356</v>
      </c>
    </row>
    <row r="4347" customFormat="false" ht="15" hidden="false" customHeight="false" outlineLevel="0" collapsed="false">
      <c r="A4347" s="28" t="s">
        <v>200</v>
      </c>
      <c r="B4347" s="28" t="s">
        <v>201</v>
      </c>
      <c r="C4347" s="28" t="s">
        <v>202</v>
      </c>
      <c r="D4347" s="23" t="n">
        <v>13</v>
      </c>
      <c r="E4347" s="23" t="n">
        <v>10</v>
      </c>
      <c r="F4347" s="28" t="s">
        <v>907</v>
      </c>
      <c r="G4347" s="19" t="n">
        <v>0.045569</v>
      </c>
    </row>
    <row r="4348" customFormat="false" ht="15" hidden="false" customHeight="false" outlineLevel="0" collapsed="false">
      <c r="A4348" s="28" t="s">
        <v>200</v>
      </c>
      <c r="B4348" s="28" t="s">
        <v>201</v>
      </c>
      <c r="C4348" s="28" t="s">
        <v>202</v>
      </c>
      <c r="D4348" s="23" t="n">
        <v>13</v>
      </c>
      <c r="E4348" s="23" t="n">
        <v>10</v>
      </c>
      <c r="F4348" s="28" t="s">
        <v>908</v>
      </c>
      <c r="G4348" s="19" t="n">
        <v>0.048195</v>
      </c>
    </row>
    <row r="4349" customFormat="false" ht="15" hidden="false" customHeight="false" outlineLevel="0" collapsed="false">
      <c r="A4349" s="28" t="s">
        <v>200</v>
      </c>
      <c r="B4349" s="28" t="s">
        <v>201</v>
      </c>
      <c r="C4349" s="28" t="s">
        <v>202</v>
      </c>
      <c r="D4349" s="23" t="n">
        <v>13</v>
      </c>
      <c r="E4349" s="23" t="n">
        <v>10</v>
      </c>
      <c r="F4349" s="28" t="s">
        <v>909</v>
      </c>
      <c r="G4349" s="19" t="n">
        <v>0.049321</v>
      </c>
    </row>
    <row r="4350" customFormat="false" ht="15" hidden="false" customHeight="false" outlineLevel="0" collapsed="false">
      <c r="A4350" s="28" t="s">
        <v>200</v>
      </c>
      <c r="B4350" s="28" t="s">
        <v>201</v>
      </c>
      <c r="C4350" s="28" t="s">
        <v>202</v>
      </c>
      <c r="D4350" s="23" t="n">
        <v>13</v>
      </c>
      <c r="E4350" s="23" t="n">
        <v>10</v>
      </c>
      <c r="F4350" s="28" t="s">
        <v>910</v>
      </c>
      <c r="G4350" s="19" t="n">
        <v>0.051772</v>
      </c>
    </row>
    <row r="4351" customFormat="false" ht="15" hidden="false" customHeight="false" outlineLevel="0" collapsed="false">
      <c r="A4351" s="28" t="s">
        <v>200</v>
      </c>
      <c r="B4351" s="28" t="s">
        <v>201</v>
      </c>
      <c r="C4351" s="28" t="s">
        <v>202</v>
      </c>
      <c r="D4351" s="23" t="n">
        <v>13</v>
      </c>
      <c r="E4351" s="23" t="n">
        <v>10</v>
      </c>
      <c r="F4351" s="28" t="s">
        <v>911</v>
      </c>
      <c r="G4351" s="19" t="n">
        <v>0.054923</v>
      </c>
    </row>
    <row r="4352" customFormat="false" ht="15" hidden="false" customHeight="false" outlineLevel="0" collapsed="false">
      <c r="A4352" s="28" t="s">
        <v>200</v>
      </c>
      <c r="B4352" s="28" t="s">
        <v>201</v>
      </c>
      <c r="C4352" s="28" t="s">
        <v>202</v>
      </c>
      <c r="D4352" s="23" t="n">
        <v>13</v>
      </c>
      <c r="E4352" s="23" t="n">
        <v>10</v>
      </c>
      <c r="F4352" s="28" t="s">
        <v>912</v>
      </c>
      <c r="G4352" s="19" t="n">
        <v>0.0594</v>
      </c>
    </row>
    <row r="4353" customFormat="false" ht="15" hidden="false" customHeight="false" outlineLevel="0" collapsed="false">
      <c r="A4353" s="28" t="s">
        <v>200</v>
      </c>
      <c r="B4353" s="28" t="s">
        <v>201</v>
      </c>
      <c r="C4353" s="28" t="s">
        <v>202</v>
      </c>
      <c r="D4353" s="23" t="n">
        <v>13</v>
      </c>
      <c r="E4353" s="23" t="n">
        <v>10</v>
      </c>
      <c r="F4353" s="28" t="s">
        <v>913</v>
      </c>
      <c r="G4353" s="19" t="n">
        <v>0.0643</v>
      </c>
    </row>
    <row r="4354" customFormat="false" ht="15" hidden="false" customHeight="false" outlineLevel="0" collapsed="false">
      <c r="A4354" s="28" t="s">
        <v>200</v>
      </c>
      <c r="B4354" s="28" t="s">
        <v>201</v>
      </c>
      <c r="C4354" s="28" t="s">
        <v>202</v>
      </c>
      <c r="D4354" s="23" t="n">
        <v>13</v>
      </c>
      <c r="E4354" s="23" t="n">
        <v>10</v>
      </c>
      <c r="F4354" s="28" t="s">
        <v>914</v>
      </c>
      <c r="G4354" s="19" t="n">
        <v>0.0641</v>
      </c>
    </row>
    <row r="4355" customFormat="false" ht="15" hidden="false" customHeight="false" outlineLevel="0" collapsed="false">
      <c r="A4355" s="28" t="s">
        <v>200</v>
      </c>
      <c r="B4355" s="28" t="s">
        <v>201</v>
      </c>
      <c r="C4355" s="28" t="s">
        <v>202</v>
      </c>
      <c r="D4355" s="23" t="n">
        <v>13</v>
      </c>
      <c r="E4355" s="23" t="n">
        <v>10</v>
      </c>
      <c r="F4355" s="28" t="s">
        <v>915</v>
      </c>
      <c r="G4355" s="19" t="n">
        <v>0.0799</v>
      </c>
    </row>
    <row r="4356" customFormat="false" ht="15" hidden="false" customHeight="false" outlineLevel="0" collapsed="false">
      <c r="A4356" s="28" t="s">
        <v>200</v>
      </c>
      <c r="B4356" s="28" t="s">
        <v>201</v>
      </c>
      <c r="C4356" s="28" t="s">
        <v>202</v>
      </c>
      <c r="D4356" s="23" t="n">
        <v>13</v>
      </c>
      <c r="E4356" s="23" t="n">
        <v>11</v>
      </c>
      <c r="F4356" s="28" t="s">
        <v>904</v>
      </c>
      <c r="G4356" s="19" t="n">
        <v>0.0413</v>
      </c>
    </row>
    <row r="4357" customFormat="false" ht="15" hidden="false" customHeight="false" outlineLevel="0" collapsed="false">
      <c r="A4357" s="28" t="s">
        <v>200</v>
      </c>
      <c r="B4357" s="28" t="s">
        <v>201</v>
      </c>
      <c r="C4357" s="28" t="s">
        <v>202</v>
      </c>
      <c r="D4357" s="23" t="n">
        <v>13</v>
      </c>
      <c r="E4357" s="23" t="n">
        <v>11</v>
      </c>
      <c r="F4357" s="28" t="s">
        <v>551</v>
      </c>
      <c r="G4357" s="19" t="n">
        <v>0.0725</v>
      </c>
    </row>
    <row r="4358" customFormat="false" ht="15" hidden="false" customHeight="false" outlineLevel="0" collapsed="false">
      <c r="A4358" s="28" t="s">
        <v>200</v>
      </c>
      <c r="B4358" s="28" t="s">
        <v>201</v>
      </c>
      <c r="C4358" s="28" t="s">
        <v>202</v>
      </c>
      <c r="D4358" s="23" t="n">
        <v>13</v>
      </c>
      <c r="E4358" s="23" t="n">
        <v>11</v>
      </c>
      <c r="F4358" s="28" t="s">
        <v>451</v>
      </c>
      <c r="G4358" s="19" t="n">
        <v>0.0411</v>
      </c>
    </row>
    <row r="4359" customFormat="false" ht="15" hidden="false" customHeight="false" outlineLevel="0" collapsed="false">
      <c r="A4359" s="28" t="s">
        <v>200</v>
      </c>
      <c r="B4359" s="28" t="s">
        <v>201</v>
      </c>
      <c r="C4359" s="28" t="s">
        <v>202</v>
      </c>
      <c r="D4359" s="23" t="n">
        <v>13</v>
      </c>
      <c r="E4359" s="23" t="n">
        <v>11</v>
      </c>
      <c r="F4359" s="28" t="s">
        <v>905</v>
      </c>
      <c r="G4359" s="19" t="n">
        <v>0.0437</v>
      </c>
    </row>
    <row r="4360" customFormat="false" ht="15" hidden="false" customHeight="false" outlineLevel="0" collapsed="false">
      <c r="A4360" s="28" t="s">
        <v>200</v>
      </c>
      <c r="B4360" s="28" t="s">
        <v>201</v>
      </c>
      <c r="C4360" s="28" t="s">
        <v>202</v>
      </c>
      <c r="D4360" s="23" t="n">
        <v>13</v>
      </c>
      <c r="E4360" s="23" t="n">
        <v>11</v>
      </c>
      <c r="F4360" s="28" t="s">
        <v>906</v>
      </c>
      <c r="G4360" s="19" t="n">
        <v>0.045356</v>
      </c>
    </row>
    <row r="4361" customFormat="false" ht="15" hidden="false" customHeight="false" outlineLevel="0" collapsed="false">
      <c r="A4361" s="28" t="s">
        <v>200</v>
      </c>
      <c r="B4361" s="28" t="s">
        <v>201</v>
      </c>
      <c r="C4361" s="28" t="s">
        <v>202</v>
      </c>
      <c r="D4361" s="23" t="n">
        <v>13</v>
      </c>
      <c r="E4361" s="23" t="n">
        <v>11</v>
      </c>
      <c r="F4361" s="28" t="s">
        <v>907</v>
      </c>
      <c r="G4361" s="19" t="n">
        <v>0.045569</v>
      </c>
    </row>
    <row r="4362" customFormat="false" ht="15" hidden="false" customHeight="false" outlineLevel="0" collapsed="false">
      <c r="A4362" s="28" t="s">
        <v>200</v>
      </c>
      <c r="B4362" s="28" t="s">
        <v>201</v>
      </c>
      <c r="C4362" s="28" t="s">
        <v>202</v>
      </c>
      <c r="D4362" s="23" t="n">
        <v>13</v>
      </c>
      <c r="E4362" s="23" t="n">
        <v>11</v>
      </c>
      <c r="F4362" s="28" t="s">
        <v>908</v>
      </c>
      <c r="G4362" s="19" t="n">
        <v>0.048195</v>
      </c>
    </row>
    <row r="4363" customFormat="false" ht="15" hidden="false" customHeight="false" outlineLevel="0" collapsed="false">
      <c r="A4363" s="28" t="s">
        <v>200</v>
      </c>
      <c r="B4363" s="28" t="s">
        <v>201</v>
      </c>
      <c r="C4363" s="28" t="s">
        <v>202</v>
      </c>
      <c r="D4363" s="23" t="n">
        <v>13</v>
      </c>
      <c r="E4363" s="23" t="n">
        <v>11</v>
      </c>
      <c r="F4363" s="28" t="s">
        <v>909</v>
      </c>
      <c r="G4363" s="19" t="n">
        <v>0.049321</v>
      </c>
    </row>
    <row r="4364" customFormat="false" ht="15" hidden="false" customHeight="false" outlineLevel="0" collapsed="false">
      <c r="A4364" s="28" t="s">
        <v>200</v>
      </c>
      <c r="B4364" s="28" t="s">
        <v>201</v>
      </c>
      <c r="C4364" s="28" t="s">
        <v>202</v>
      </c>
      <c r="D4364" s="23" t="n">
        <v>13</v>
      </c>
      <c r="E4364" s="23" t="n">
        <v>11</v>
      </c>
      <c r="F4364" s="28" t="s">
        <v>910</v>
      </c>
      <c r="G4364" s="19" t="n">
        <v>0.051772</v>
      </c>
    </row>
    <row r="4365" customFormat="false" ht="15" hidden="false" customHeight="false" outlineLevel="0" collapsed="false">
      <c r="A4365" s="28" t="s">
        <v>200</v>
      </c>
      <c r="B4365" s="28" t="s">
        <v>201</v>
      </c>
      <c r="C4365" s="28" t="s">
        <v>202</v>
      </c>
      <c r="D4365" s="23" t="n">
        <v>13</v>
      </c>
      <c r="E4365" s="23" t="n">
        <v>11</v>
      </c>
      <c r="F4365" s="28" t="s">
        <v>911</v>
      </c>
      <c r="G4365" s="19" t="n">
        <v>0.054923</v>
      </c>
    </row>
    <row r="4366" customFormat="false" ht="15" hidden="false" customHeight="false" outlineLevel="0" collapsed="false">
      <c r="A4366" s="28" t="s">
        <v>200</v>
      </c>
      <c r="B4366" s="28" t="s">
        <v>201</v>
      </c>
      <c r="C4366" s="28" t="s">
        <v>202</v>
      </c>
      <c r="D4366" s="23" t="n">
        <v>13</v>
      </c>
      <c r="E4366" s="23" t="n">
        <v>11</v>
      </c>
      <c r="F4366" s="28" t="s">
        <v>912</v>
      </c>
      <c r="G4366" s="19" t="n">
        <v>0.0594</v>
      </c>
    </row>
    <row r="4367" customFormat="false" ht="15" hidden="false" customHeight="false" outlineLevel="0" collapsed="false">
      <c r="A4367" s="28" t="s">
        <v>200</v>
      </c>
      <c r="B4367" s="28" t="s">
        <v>201</v>
      </c>
      <c r="C4367" s="28" t="s">
        <v>202</v>
      </c>
      <c r="D4367" s="23" t="n">
        <v>13</v>
      </c>
      <c r="E4367" s="23" t="n">
        <v>11</v>
      </c>
      <c r="F4367" s="28" t="s">
        <v>913</v>
      </c>
      <c r="G4367" s="19" t="n">
        <v>0.0643</v>
      </c>
    </row>
    <row r="4368" customFormat="false" ht="15" hidden="false" customHeight="false" outlineLevel="0" collapsed="false">
      <c r="A4368" s="28" t="s">
        <v>200</v>
      </c>
      <c r="B4368" s="28" t="s">
        <v>201</v>
      </c>
      <c r="C4368" s="28" t="s">
        <v>202</v>
      </c>
      <c r="D4368" s="23" t="n">
        <v>13</v>
      </c>
      <c r="E4368" s="23" t="n">
        <v>11</v>
      </c>
      <c r="F4368" s="28" t="s">
        <v>914</v>
      </c>
      <c r="G4368" s="19" t="n">
        <v>0.0641</v>
      </c>
    </row>
    <row r="4369" customFormat="false" ht="15" hidden="false" customHeight="false" outlineLevel="0" collapsed="false">
      <c r="A4369" s="28" t="s">
        <v>200</v>
      </c>
      <c r="B4369" s="28" t="s">
        <v>201</v>
      </c>
      <c r="C4369" s="28" t="s">
        <v>202</v>
      </c>
      <c r="D4369" s="23" t="n">
        <v>13</v>
      </c>
      <c r="E4369" s="23" t="n">
        <v>11</v>
      </c>
      <c r="F4369" s="28" t="s">
        <v>915</v>
      </c>
      <c r="G4369" s="19" t="n">
        <v>0.0799</v>
      </c>
    </row>
    <row r="4370" customFormat="false" ht="15" hidden="false" customHeight="false" outlineLevel="0" collapsed="false">
      <c r="A4370" s="28" t="s">
        <v>200</v>
      </c>
      <c r="B4370" s="28" t="s">
        <v>201</v>
      </c>
      <c r="C4370" s="28" t="s">
        <v>202</v>
      </c>
      <c r="D4370" s="23" t="n">
        <v>13</v>
      </c>
      <c r="E4370" s="23" t="n">
        <v>12</v>
      </c>
      <c r="F4370" s="28" t="s">
        <v>904</v>
      </c>
      <c r="G4370" s="19" t="n">
        <v>0.0413</v>
      </c>
    </row>
    <row r="4371" customFormat="false" ht="15" hidden="false" customHeight="false" outlineLevel="0" collapsed="false">
      <c r="A4371" s="28" t="s">
        <v>200</v>
      </c>
      <c r="B4371" s="28" t="s">
        <v>201</v>
      </c>
      <c r="C4371" s="28" t="s">
        <v>202</v>
      </c>
      <c r="D4371" s="23" t="n">
        <v>13</v>
      </c>
      <c r="E4371" s="23" t="n">
        <v>12</v>
      </c>
      <c r="F4371" s="28" t="s">
        <v>551</v>
      </c>
      <c r="G4371" s="19" t="n">
        <v>0.0725</v>
      </c>
    </row>
    <row r="4372" customFormat="false" ht="15" hidden="false" customHeight="false" outlineLevel="0" collapsed="false">
      <c r="A4372" s="28" t="s">
        <v>200</v>
      </c>
      <c r="B4372" s="28" t="s">
        <v>201</v>
      </c>
      <c r="C4372" s="28" t="s">
        <v>202</v>
      </c>
      <c r="D4372" s="23" t="n">
        <v>13</v>
      </c>
      <c r="E4372" s="23" t="n">
        <v>12</v>
      </c>
      <c r="F4372" s="28" t="s">
        <v>451</v>
      </c>
      <c r="G4372" s="19" t="n">
        <v>0.0411</v>
      </c>
    </row>
    <row r="4373" customFormat="false" ht="15" hidden="false" customHeight="false" outlineLevel="0" collapsed="false">
      <c r="A4373" s="28" t="s">
        <v>200</v>
      </c>
      <c r="B4373" s="28" t="s">
        <v>201</v>
      </c>
      <c r="C4373" s="28" t="s">
        <v>202</v>
      </c>
      <c r="D4373" s="23" t="n">
        <v>13</v>
      </c>
      <c r="E4373" s="23" t="n">
        <v>12</v>
      </c>
      <c r="F4373" s="28" t="s">
        <v>905</v>
      </c>
      <c r="G4373" s="19" t="n">
        <v>0.0437</v>
      </c>
    </row>
    <row r="4374" customFormat="false" ht="15" hidden="false" customHeight="false" outlineLevel="0" collapsed="false">
      <c r="A4374" s="28" t="s">
        <v>200</v>
      </c>
      <c r="B4374" s="28" t="s">
        <v>201</v>
      </c>
      <c r="C4374" s="28" t="s">
        <v>202</v>
      </c>
      <c r="D4374" s="23" t="n">
        <v>13</v>
      </c>
      <c r="E4374" s="23" t="n">
        <v>12</v>
      </c>
      <c r="F4374" s="28" t="s">
        <v>906</v>
      </c>
      <c r="G4374" s="19" t="n">
        <v>0.045356</v>
      </c>
    </row>
    <row r="4375" customFormat="false" ht="15" hidden="false" customHeight="false" outlineLevel="0" collapsed="false">
      <c r="A4375" s="28" t="s">
        <v>200</v>
      </c>
      <c r="B4375" s="28" t="s">
        <v>201</v>
      </c>
      <c r="C4375" s="28" t="s">
        <v>202</v>
      </c>
      <c r="D4375" s="23" t="n">
        <v>13</v>
      </c>
      <c r="E4375" s="23" t="n">
        <v>12</v>
      </c>
      <c r="F4375" s="28" t="s">
        <v>907</v>
      </c>
      <c r="G4375" s="19" t="n">
        <v>0.045569</v>
      </c>
    </row>
    <row r="4376" customFormat="false" ht="15" hidden="false" customHeight="false" outlineLevel="0" collapsed="false">
      <c r="A4376" s="28" t="s">
        <v>200</v>
      </c>
      <c r="B4376" s="28" t="s">
        <v>201</v>
      </c>
      <c r="C4376" s="28" t="s">
        <v>202</v>
      </c>
      <c r="D4376" s="23" t="n">
        <v>13</v>
      </c>
      <c r="E4376" s="23" t="n">
        <v>12</v>
      </c>
      <c r="F4376" s="28" t="s">
        <v>908</v>
      </c>
      <c r="G4376" s="19" t="n">
        <v>0.048195</v>
      </c>
    </row>
    <row r="4377" customFormat="false" ht="15" hidden="false" customHeight="false" outlineLevel="0" collapsed="false">
      <c r="A4377" s="28" t="s">
        <v>200</v>
      </c>
      <c r="B4377" s="28" t="s">
        <v>201</v>
      </c>
      <c r="C4377" s="28" t="s">
        <v>202</v>
      </c>
      <c r="D4377" s="23" t="n">
        <v>13</v>
      </c>
      <c r="E4377" s="23" t="n">
        <v>12</v>
      </c>
      <c r="F4377" s="28" t="s">
        <v>909</v>
      </c>
      <c r="G4377" s="19" t="n">
        <v>0.049321</v>
      </c>
    </row>
    <row r="4378" customFormat="false" ht="15" hidden="false" customHeight="false" outlineLevel="0" collapsed="false">
      <c r="A4378" s="28" t="s">
        <v>200</v>
      </c>
      <c r="B4378" s="28" t="s">
        <v>201</v>
      </c>
      <c r="C4378" s="28" t="s">
        <v>202</v>
      </c>
      <c r="D4378" s="23" t="n">
        <v>13</v>
      </c>
      <c r="E4378" s="23" t="n">
        <v>12</v>
      </c>
      <c r="F4378" s="28" t="s">
        <v>910</v>
      </c>
      <c r="G4378" s="19" t="n">
        <v>0.051772</v>
      </c>
    </row>
    <row r="4379" customFormat="false" ht="15" hidden="false" customHeight="false" outlineLevel="0" collapsed="false">
      <c r="A4379" s="28" t="s">
        <v>200</v>
      </c>
      <c r="B4379" s="28" t="s">
        <v>201</v>
      </c>
      <c r="C4379" s="28" t="s">
        <v>202</v>
      </c>
      <c r="D4379" s="23" t="n">
        <v>13</v>
      </c>
      <c r="E4379" s="23" t="n">
        <v>12</v>
      </c>
      <c r="F4379" s="28" t="s">
        <v>911</v>
      </c>
      <c r="G4379" s="19" t="n">
        <v>0.054923</v>
      </c>
    </row>
    <row r="4380" customFormat="false" ht="15" hidden="false" customHeight="false" outlineLevel="0" collapsed="false">
      <c r="A4380" s="28" t="s">
        <v>200</v>
      </c>
      <c r="B4380" s="28" t="s">
        <v>201</v>
      </c>
      <c r="C4380" s="28" t="s">
        <v>202</v>
      </c>
      <c r="D4380" s="23" t="n">
        <v>13</v>
      </c>
      <c r="E4380" s="23" t="n">
        <v>12</v>
      </c>
      <c r="F4380" s="28" t="s">
        <v>912</v>
      </c>
      <c r="G4380" s="19" t="n">
        <v>0.0594</v>
      </c>
    </row>
    <row r="4381" customFormat="false" ht="15" hidden="false" customHeight="false" outlineLevel="0" collapsed="false">
      <c r="A4381" s="28" t="s">
        <v>200</v>
      </c>
      <c r="B4381" s="28" t="s">
        <v>201</v>
      </c>
      <c r="C4381" s="28" t="s">
        <v>202</v>
      </c>
      <c r="D4381" s="23" t="n">
        <v>13</v>
      </c>
      <c r="E4381" s="23" t="n">
        <v>12</v>
      </c>
      <c r="F4381" s="28" t="s">
        <v>913</v>
      </c>
      <c r="G4381" s="19" t="n">
        <v>0.0643</v>
      </c>
    </row>
    <row r="4382" customFormat="false" ht="15" hidden="false" customHeight="false" outlineLevel="0" collapsed="false">
      <c r="A4382" s="28" t="s">
        <v>200</v>
      </c>
      <c r="B4382" s="28" t="s">
        <v>201</v>
      </c>
      <c r="C4382" s="28" t="s">
        <v>202</v>
      </c>
      <c r="D4382" s="23" t="n">
        <v>13</v>
      </c>
      <c r="E4382" s="23" t="n">
        <v>12</v>
      </c>
      <c r="F4382" s="28" t="s">
        <v>914</v>
      </c>
      <c r="G4382" s="19" t="n">
        <v>0.0641</v>
      </c>
    </row>
    <row r="4383" customFormat="false" ht="15" hidden="false" customHeight="false" outlineLevel="0" collapsed="false">
      <c r="A4383" s="28" t="s">
        <v>200</v>
      </c>
      <c r="B4383" s="28" t="s">
        <v>201</v>
      </c>
      <c r="C4383" s="28" t="s">
        <v>202</v>
      </c>
      <c r="D4383" s="23" t="n">
        <v>13</v>
      </c>
      <c r="E4383" s="23" t="n">
        <v>12</v>
      </c>
      <c r="F4383" s="28" t="s">
        <v>915</v>
      </c>
      <c r="G4383" s="19" t="n">
        <v>0.0799</v>
      </c>
    </row>
    <row r="4384" customFormat="false" ht="15" hidden="false" customHeight="false" outlineLevel="0" collapsed="false">
      <c r="A4384" s="28" t="s">
        <v>200</v>
      </c>
      <c r="B4384" s="28" t="s">
        <v>201</v>
      </c>
      <c r="C4384" s="28" t="s">
        <v>202</v>
      </c>
      <c r="D4384" s="23" t="n">
        <v>13</v>
      </c>
      <c r="E4384" s="23" t="n">
        <v>13</v>
      </c>
      <c r="F4384" s="28" t="s">
        <v>904</v>
      </c>
      <c r="G4384" s="19" t="n">
        <v>0.0413</v>
      </c>
    </row>
    <row r="4385" customFormat="false" ht="15" hidden="false" customHeight="false" outlineLevel="0" collapsed="false">
      <c r="A4385" s="28" t="s">
        <v>200</v>
      </c>
      <c r="B4385" s="28" t="s">
        <v>201</v>
      </c>
      <c r="C4385" s="28" t="s">
        <v>202</v>
      </c>
      <c r="D4385" s="23" t="n">
        <v>13</v>
      </c>
      <c r="E4385" s="23" t="n">
        <v>13</v>
      </c>
      <c r="F4385" s="28" t="s">
        <v>551</v>
      </c>
      <c r="G4385" s="19" t="n">
        <v>0.0725</v>
      </c>
    </row>
    <row r="4386" customFormat="false" ht="15" hidden="false" customHeight="false" outlineLevel="0" collapsed="false">
      <c r="A4386" s="28" t="s">
        <v>200</v>
      </c>
      <c r="B4386" s="28" t="s">
        <v>201</v>
      </c>
      <c r="C4386" s="28" t="s">
        <v>202</v>
      </c>
      <c r="D4386" s="23" t="n">
        <v>13</v>
      </c>
      <c r="E4386" s="23" t="n">
        <v>13</v>
      </c>
      <c r="F4386" s="28" t="s">
        <v>451</v>
      </c>
      <c r="G4386" s="19" t="n">
        <v>0.0411</v>
      </c>
    </row>
    <row r="4387" customFormat="false" ht="15" hidden="false" customHeight="false" outlineLevel="0" collapsed="false">
      <c r="A4387" s="28" t="s">
        <v>200</v>
      </c>
      <c r="B4387" s="28" t="s">
        <v>201</v>
      </c>
      <c r="C4387" s="28" t="s">
        <v>202</v>
      </c>
      <c r="D4387" s="23" t="n">
        <v>13</v>
      </c>
      <c r="E4387" s="23" t="n">
        <v>13</v>
      </c>
      <c r="F4387" s="28" t="s">
        <v>905</v>
      </c>
      <c r="G4387" s="19" t="n">
        <v>0.0437</v>
      </c>
    </row>
    <row r="4388" customFormat="false" ht="15" hidden="false" customHeight="false" outlineLevel="0" collapsed="false">
      <c r="A4388" s="28" t="s">
        <v>200</v>
      </c>
      <c r="B4388" s="28" t="s">
        <v>201</v>
      </c>
      <c r="C4388" s="28" t="s">
        <v>202</v>
      </c>
      <c r="D4388" s="23" t="n">
        <v>13</v>
      </c>
      <c r="E4388" s="23" t="n">
        <v>13</v>
      </c>
      <c r="F4388" s="28" t="s">
        <v>906</v>
      </c>
      <c r="G4388" s="19" t="n">
        <v>0.045356</v>
      </c>
    </row>
    <row r="4389" customFormat="false" ht="15" hidden="false" customHeight="false" outlineLevel="0" collapsed="false">
      <c r="A4389" s="28" t="s">
        <v>200</v>
      </c>
      <c r="B4389" s="28" t="s">
        <v>201</v>
      </c>
      <c r="C4389" s="28" t="s">
        <v>202</v>
      </c>
      <c r="D4389" s="23" t="n">
        <v>13</v>
      </c>
      <c r="E4389" s="23" t="n">
        <v>13</v>
      </c>
      <c r="F4389" s="28" t="s">
        <v>907</v>
      </c>
      <c r="G4389" s="19" t="n">
        <v>0.045569</v>
      </c>
    </row>
    <row r="4390" customFormat="false" ht="15" hidden="false" customHeight="false" outlineLevel="0" collapsed="false">
      <c r="A4390" s="28" t="s">
        <v>200</v>
      </c>
      <c r="B4390" s="28" t="s">
        <v>201</v>
      </c>
      <c r="C4390" s="28" t="s">
        <v>202</v>
      </c>
      <c r="D4390" s="23" t="n">
        <v>13</v>
      </c>
      <c r="E4390" s="23" t="n">
        <v>13</v>
      </c>
      <c r="F4390" s="28" t="s">
        <v>908</v>
      </c>
      <c r="G4390" s="19" t="n">
        <v>0.048195</v>
      </c>
    </row>
    <row r="4391" customFormat="false" ht="15" hidden="false" customHeight="false" outlineLevel="0" collapsed="false">
      <c r="A4391" s="28" t="s">
        <v>200</v>
      </c>
      <c r="B4391" s="28" t="s">
        <v>201</v>
      </c>
      <c r="C4391" s="28" t="s">
        <v>202</v>
      </c>
      <c r="D4391" s="23" t="n">
        <v>13</v>
      </c>
      <c r="E4391" s="23" t="n">
        <v>13</v>
      </c>
      <c r="F4391" s="28" t="s">
        <v>909</v>
      </c>
      <c r="G4391" s="19" t="n">
        <v>0.049321</v>
      </c>
    </row>
    <row r="4392" customFormat="false" ht="15" hidden="false" customHeight="false" outlineLevel="0" collapsed="false">
      <c r="A4392" s="28" t="s">
        <v>200</v>
      </c>
      <c r="B4392" s="28" t="s">
        <v>201</v>
      </c>
      <c r="C4392" s="28" t="s">
        <v>202</v>
      </c>
      <c r="D4392" s="23" t="n">
        <v>13</v>
      </c>
      <c r="E4392" s="23" t="n">
        <v>13</v>
      </c>
      <c r="F4392" s="28" t="s">
        <v>910</v>
      </c>
      <c r="G4392" s="19" t="n">
        <v>0.051772</v>
      </c>
    </row>
    <row r="4393" customFormat="false" ht="15" hidden="false" customHeight="false" outlineLevel="0" collapsed="false">
      <c r="A4393" s="28" t="s">
        <v>200</v>
      </c>
      <c r="B4393" s="28" t="s">
        <v>201</v>
      </c>
      <c r="C4393" s="28" t="s">
        <v>202</v>
      </c>
      <c r="D4393" s="23" t="n">
        <v>13</v>
      </c>
      <c r="E4393" s="23" t="n">
        <v>13</v>
      </c>
      <c r="F4393" s="28" t="s">
        <v>911</v>
      </c>
      <c r="G4393" s="19" t="n">
        <v>0.054923</v>
      </c>
    </row>
    <row r="4394" customFormat="false" ht="15" hidden="false" customHeight="false" outlineLevel="0" collapsed="false">
      <c r="A4394" s="28" t="s">
        <v>200</v>
      </c>
      <c r="B4394" s="28" t="s">
        <v>201</v>
      </c>
      <c r="C4394" s="28" t="s">
        <v>202</v>
      </c>
      <c r="D4394" s="23" t="n">
        <v>13</v>
      </c>
      <c r="E4394" s="23" t="n">
        <v>13</v>
      </c>
      <c r="F4394" s="28" t="s">
        <v>912</v>
      </c>
      <c r="G4394" s="19" t="n">
        <v>0.0594</v>
      </c>
    </row>
    <row r="4395" customFormat="false" ht="15" hidden="false" customHeight="false" outlineLevel="0" collapsed="false">
      <c r="A4395" s="28" t="s">
        <v>200</v>
      </c>
      <c r="B4395" s="28" t="s">
        <v>201</v>
      </c>
      <c r="C4395" s="28" t="s">
        <v>202</v>
      </c>
      <c r="D4395" s="23" t="n">
        <v>13</v>
      </c>
      <c r="E4395" s="23" t="n">
        <v>13</v>
      </c>
      <c r="F4395" s="28" t="s">
        <v>913</v>
      </c>
      <c r="G4395" s="19" t="n">
        <v>0.0643</v>
      </c>
    </row>
    <row r="4396" customFormat="false" ht="15" hidden="false" customHeight="false" outlineLevel="0" collapsed="false">
      <c r="A4396" s="28" t="s">
        <v>200</v>
      </c>
      <c r="B4396" s="28" t="s">
        <v>201</v>
      </c>
      <c r="C4396" s="28" t="s">
        <v>202</v>
      </c>
      <c r="D4396" s="23" t="n">
        <v>13</v>
      </c>
      <c r="E4396" s="23" t="n">
        <v>13</v>
      </c>
      <c r="F4396" s="28" t="s">
        <v>914</v>
      </c>
      <c r="G4396" s="19" t="n">
        <v>0.0641</v>
      </c>
    </row>
    <row r="4397" customFormat="false" ht="15" hidden="false" customHeight="false" outlineLevel="0" collapsed="false">
      <c r="A4397" s="28" t="s">
        <v>200</v>
      </c>
      <c r="B4397" s="28" t="s">
        <v>201</v>
      </c>
      <c r="C4397" s="28" t="s">
        <v>202</v>
      </c>
      <c r="D4397" s="23" t="n">
        <v>13</v>
      </c>
      <c r="E4397" s="23" t="n">
        <v>13</v>
      </c>
      <c r="F4397" s="28" t="s">
        <v>915</v>
      </c>
      <c r="G4397" s="19" t="n">
        <v>0.0799</v>
      </c>
    </row>
    <row r="4398" customFormat="false" ht="15" hidden="false" customHeight="false" outlineLevel="0" collapsed="false">
      <c r="A4398" s="28" t="s">
        <v>200</v>
      </c>
      <c r="B4398" s="28" t="s">
        <v>201</v>
      </c>
      <c r="C4398" s="28" t="s">
        <v>202</v>
      </c>
      <c r="D4398" s="23" t="n">
        <v>13</v>
      </c>
      <c r="E4398" s="23" t="n">
        <v>14</v>
      </c>
      <c r="F4398" s="28" t="s">
        <v>904</v>
      </c>
      <c r="G4398" s="19" t="n">
        <v>0.0413</v>
      </c>
    </row>
    <row r="4399" customFormat="false" ht="15" hidden="false" customHeight="false" outlineLevel="0" collapsed="false">
      <c r="A4399" s="28" t="s">
        <v>200</v>
      </c>
      <c r="B4399" s="28" t="s">
        <v>201</v>
      </c>
      <c r="C4399" s="28" t="s">
        <v>202</v>
      </c>
      <c r="D4399" s="23" t="n">
        <v>13</v>
      </c>
      <c r="E4399" s="23" t="n">
        <v>14</v>
      </c>
      <c r="F4399" s="28" t="s">
        <v>551</v>
      </c>
      <c r="G4399" s="19" t="n">
        <v>0.0725</v>
      </c>
    </row>
    <row r="4400" customFormat="false" ht="15" hidden="false" customHeight="false" outlineLevel="0" collapsed="false">
      <c r="A4400" s="28" t="s">
        <v>200</v>
      </c>
      <c r="B4400" s="28" t="s">
        <v>201</v>
      </c>
      <c r="C4400" s="28" t="s">
        <v>202</v>
      </c>
      <c r="D4400" s="23" t="n">
        <v>13</v>
      </c>
      <c r="E4400" s="23" t="n">
        <v>14</v>
      </c>
      <c r="F4400" s="28" t="s">
        <v>451</v>
      </c>
      <c r="G4400" s="19" t="n">
        <v>0.0411</v>
      </c>
    </row>
    <row r="4401" customFormat="false" ht="15" hidden="false" customHeight="false" outlineLevel="0" collapsed="false">
      <c r="A4401" s="28" t="s">
        <v>200</v>
      </c>
      <c r="B4401" s="28" t="s">
        <v>201</v>
      </c>
      <c r="C4401" s="28" t="s">
        <v>202</v>
      </c>
      <c r="D4401" s="23" t="n">
        <v>13</v>
      </c>
      <c r="E4401" s="23" t="n">
        <v>14</v>
      </c>
      <c r="F4401" s="28" t="s">
        <v>905</v>
      </c>
      <c r="G4401" s="19" t="n">
        <v>0.0437</v>
      </c>
    </row>
    <row r="4402" customFormat="false" ht="15" hidden="false" customHeight="false" outlineLevel="0" collapsed="false">
      <c r="A4402" s="28" t="s">
        <v>200</v>
      </c>
      <c r="B4402" s="28" t="s">
        <v>201</v>
      </c>
      <c r="C4402" s="28" t="s">
        <v>202</v>
      </c>
      <c r="D4402" s="23" t="n">
        <v>13</v>
      </c>
      <c r="E4402" s="23" t="n">
        <v>14</v>
      </c>
      <c r="F4402" s="28" t="s">
        <v>906</v>
      </c>
      <c r="G4402" s="19" t="n">
        <v>0.045356</v>
      </c>
    </row>
    <row r="4403" customFormat="false" ht="15" hidden="false" customHeight="false" outlineLevel="0" collapsed="false">
      <c r="A4403" s="28" t="s">
        <v>200</v>
      </c>
      <c r="B4403" s="28" t="s">
        <v>201</v>
      </c>
      <c r="C4403" s="28" t="s">
        <v>202</v>
      </c>
      <c r="D4403" s="23" t="n">
        <v>13</v>
      </c>
      <c r="E4403" s="23" t="n">
        <v>14</v>
      </c>
      <c r="F4403" s="28" t="s">
        <v>907</v>
      </c>
      <c r="G4403" s="19" t="n">
        <v>0.045569</v>
      </c>
    </row>
    <row r="4404" customFormat="false" ht="15" hidden="false" customHeight="false" outlineLevel="0" collapsed="false">
      <c r="A4404" s="28" t="s">
        <v>200</v>
      </c>
      <c r="B4404" s="28" t="s">
        <v>201</v>
      </c>
      <c r="C4404" s="28" t="s">
        <v>202</v>
      </c>
      <c r="D4404" s="23" t="n">
        <v>13</v>
      </c>
      <c r="E4404" s="23" t="n">
        <v>14</v>
      </c>
      <c r="F4404" s="28" t="s">
        <v>908</v>
      </c>
      <c r="G4404" s="19" t="n">
        <v>0.048195</v>
      </c>
    </row>
    <row r="4405" customFormat="false" ht="15" hidden="false" customHeight="false" outlineLevel="0" collapsed="false">
      <c r="A4405" s="28" t="s">
        <v>200</v>
      </c>
      <c r="B4405" s="28" t="s">
        <v>201</v>
      </c>
      <c r="C4405" s="28" t="s">
        <v>202</v>
      </c>
      <c r="D4405" s="23" t="n">
        <v>13</v>
      </c>
      <c r="E4405" s="23" t="n">
        <v>14</v>
      </c>
      <c r="F4405" s="28" t="s">
        <v>909</v>
      </c>
      <c r="G4405" s="19" t="n">
        <v>0.049321</v>
      </c>
    </row>
    <row r="4406" customFormat="false" ht="15" hidden="false" customHeight="false" outlineLevel="0" collapsed="false">
      <c r="A4406" s="28" t="s">
        <v>200</v>
      </c>
      <c r="B4406" s="28" t="s">
        <v>201</v>
      </c>
      <c r="C4406" s="28" t="s">
        <v>202</v>
      </c>
      <c r="D4406" s="23" t="n">
        <v>13</v>
      </c>
      <c r="E4406" s="23" t="n">
        <v>14</v>
      </c>
      <c r="F4406" s="28" t="s">
        <v>910</v>
      </c>
      <c r="G4406" s="19" t="n">
        <v>0.051772</v>
      </c>
    </row>
    <row r="4407" customFormat="false" ht="15" hidden="false" customHeight="false" outlineLevel="0" collapsed="false">
      <c r="A4407" s="28" t="s">
        <v>200</v>
      </c>
      <c r="B4407" s="28" t="s">
        <v>201</v>
      </c>
      <c r="C4407" s="28" t="s">
        <v>202</v>
      </c>
      <c r="D4407" s="23" t="n">
        <v>13</v>
      </c>
      <c r="E4407" s="23" t="n">
        <v>14</v>
      </c>
      <c r="F4407" s="28" t="s">
        <v>911</v>
      </c>
      <c r="G4407" s="19" t="n">
        <v>0.054923</v>
      </c>
    </row>
    <row r="4408" customFormat="false" ht="15" hidden="false" customHeight="false" outlineLevel="0" collapsed="false">
      <c r="A4408" s="28" t="s">
        <v>200</v>
      </c>
      <c r="B4408" s="28" t="s">
        <v>201</v>
      </c>
      <c r="C4408" s="28" t="s">
        <v>202</v>
      </c>
      <c r="D4408" s="23" t="n">
        <v>13</v>
      </c>
      <c r="E4408" s="23" t="n">
        <v>14</v>
      </c>
      <c r="F4408" s="28" t="s">
        <v>912</v>
      </c>
      <c r="G4408" s="19" t="n">
        <v>0.0594</v>
      </c>
    </row>
    <row r="4409" customFormat="false" ht="15" hidden="false" customHeight="false" outlineLevel="0" collapsed="false">
      <c r="A4409" s="28" t="s">
        <v>200</v>
      </c>
      <c r="B4409" s="28" t="s">
        <v>201</v>
      </c>
      <c r="C4409" s="28" t="s">
        <v>202</v>
      </c>
      <c r="D4409" s="23" t="n">
        <v>13</v>
      </c>
      <c r="E4409" s="23" t="n">
        <v>14</v>
      </c>
      <c r="F4409" s="28" t="s">
        <v>913</v>
      </c>
      <c r="G4409" s="19" t="n">
        <v>0.0643</v>
      </c>
    </row>
    <row r="4410" customFormat="false" ht="15" hidden="false" customHeight="false" outlineLevel="0" collapsed="false">
      <c r="A4410" s="28" t="s">
        <v>200</v>
      </c>
      <c r="B4410" s="28" t="s">
        <v>201</v>
      </c>
      <c r="C4410" s="28" t="s">
        <v>202</v>
      </c>
      <c r="D4410" s="23" t="n">
        <v>13</v>
      </c>
      <c r="E4410" s="23" t="n">
        <v>14</v>
      </c>
      <c r="F4410" s="28" t="s">
        <v>914</v>
      </c>
      <c r="G4410" s="19" t="n">
        <v>0.0641</v>
      </c>
    </row>
    <row r="4411" customFormat="false" ht="15" hidden="false" customHeight="false" outlineLevel="0" collapsed="false">
      <c r="A4411" s="28" t="s">
        <v>200</v>
      </c>
      <c r="B4411" s="28" t="s">
        <v>201</v>
      </c>
      <c r="C4411" s="28" t="s">
        <v>202</v>
      </c>
      <c r="D4411" s="23" t="n">
        <v>13</v>
      </c>
      <c r="E4411" s="23" t="n">
        <v>14</v>
      </c>
      <c r="F4411" s="28" t="s">
        <v>915</v>
      </c>
      <c r="G4411" s="19" t="n">
        <v>0.0799</v>
      </c>
    </row>
    <row r="4412" customFormat="false" ht="15" hidden="false" customHeight="false" outlineLevel="0" collapsed="false">
      <c r="A4412" s="28" t="s">
        <v>200</v>
      </c>
      <c r="B4412" s="28" t="s">
        <v>201</v>
      </c>
      <c r="C4412" s="28" t="s">
        <v>202</v>
      </c>
      <c r="D4412" s="23" t="n">
        <v>13</v>
      </c>
      <c r="E4412" s="23" t="n">
        <v>15</v>
      </c>
      <c r="F4412" s="28" t="s">
        <v>904</v>
      </c>
      <c r="G4412" s="19" t="n">
        <v>0.0413</v>
      </c>
    </row>
    <row r="4413" customFormat="false" ht="15" hidden="false" customHeight="false" outlineLevel="0" collapsed="false">
      <c r="A4413" s="28" t="s">
        <v>200</v>
      </c>
      <c r="B4413" s="28" t="s">
        <v>201</v>
      </c>
      <c r="C4413" s="28" t="s">
        <v>202</v>
      </c>
      <c r="D4413" s="23" t="n">
        <v>13</v>
      </c>
      <c r="E4413" s="23" t="n">
        <v>15</v>
      </c>
      <c r="F4413" s="28" t="s">
        <v>551</v>
      </c>
      <c r="G4413" s="19" t="n">
        <v>0.0725</v>
      </c>
    </row>
    <row r="4414" customFormat="false" ht="15" hidden="false" customHeight="false" outlineLevel="0" collapsed="false">
      <c r="A4414" s="28" t="s">
        <v>200</v>
      </c>
      <c r="B4414" s="28" t="s">
        <v>201</v>
      </c>
      <c r="C4414" s="28" t="s">
        <v>202</v>
      </c>
      <c r="D4414" s="23" t="n">
        <v>13</v>
      </c>
      <c r="E4414" s="23" t="n">
        <v>15</v>
      </c>
      <c r="F4414" s="28" t="s">
        <v>451</v>
      </c>
      <c r="G4414" s="19" t="n">
        <v>0.0411</v>
      </c>
    </row>
    <row r="4415" customFormat="false" ht="15" hidden="false" customHeight="false" outlineLevel="0" collapsed="false">
      <c r="A4415" s="28" t="s">
        <v>200</v>
      </c>
      <c r="B4415" s="28" t="s">
        <v>201</v>
      </c>
      <c r="C4415" s="28" t="s">
        <v>202</v>
      </c>
      <c r="D4415" s="23" t="n">
        <v>13</v>
      </c>
      <c r="E4415" s="23" t="n">
        <v>15</v>
      </c>
      <c r="F4415" s="28" t="s">
        <v>905</v>
      </c>
      <c r="G4415" s="19" t="n">
        <v>0.0437</v>
      </c>
    </row>
    <row r="4416" customFormat="false" ht="15" hidden="false" customHeight="false" outlineLevel="0" collapsed="false">
      <c r="A4416" s="28" t="s">
        <v>200</v>
      </c>
      <c r="B4416" s="28" t="s">
        <v>201</v>
      </c>
      <c r="C4416" s="28" t="s">
        <v>202</v>
      </c>
      <c r="D4416" s="23" t="n">
        <v>13</v>
      </c>
      <c r="E4416" s="23" t="n">
        <v>15</v>
      </c>
      <c r="F4416" s="28" t="s">
        <v>906</v>
      </c>
      <c r="G4416" s="19" t="n">
        <v>0.045356</v>
      </c>
    </row>
    <row r="4417" customFormat="false" ht="15" hidden="false" customHeight="false" outlineLevel="0" collapsed="false">
      <c r="A4417" s="28" t="s">
        <v>200</v>
      </c>
      <c r="B4417" s="28" t="s">
        <v>201</v>
      </c>
      <c r="C4417" s="28" t="s">
        <v>202</v>
      </c>
      <c r="D4417" s="23" t="n">
        <v>13</v>
      </c>
      <c r="E4417" s="23" t="n">
        <v>15</v>
      </c>
      <c r="F4417" s="28" t="s">
        <v>907</v>
      </c>
      <c r="G4417" s="19" t="n">
        <v>0.045569</v>
      </c>
    </row>
    <row r="4418" customFormat="false" ht="15" hidden="false" customHeight="false" outlineLevel="0" collapsed="false">
      <c r="A4418" s="28" t="s">
        <v>200</v>
      </c>
      <c r="B4418" s="28" t="s">
        <v>201</v>
      </c>
      <c r="C4418" s="28" t="s">
        <v>202</v>
      </c>
      <c r="D4418" s="23" t="n">
        <v>13</v>
      </c>
      <c r="E4418" s="23" t="n">
        <v>15</v>
      </c>
      <c r="F4418" s="28" t="s">
        <v>908</v>
      </c>
      <c r="G4418" s="19" t="n">
        <v>0.048195</v>
      </c>
    </row>
    <row r="4419" customFormat="false" ht="15" hidden="false" customHeight="false" outlineLevel="0" collapsed="false">
      <c r="A4419" s="28" t="s">
        <v>200</v>
      </c>
      <c r="B4419" s="28" t="s">
        <v>201</v>
      </c>
      <c r="C4419" s="28" t="s">
        <v>202</v>
      </c>
      <c r="D4419" s="23" t="n">
        <v>13</v>
      </c>
      <c r="E4419" s="23" t="n">
        <v>15</v>
      </c>
      <c r="F4419" s="28" t="s">
        <v>909</v>
      </c>
      <c r="G4419" s="19" t="n">
        <v>0.049321</v>
      </c>
    </row>
    <row r="4420" customFormat="false" ht="15" hidden="false" customHeight="false" outlineLevel="0" collapsed="false">
      <c r="A4420" s="28" t="s">
        <v>200</v>
      </c>
      <c r="B4420" s="28" t="s">
        <v>201</v>
      </c>
      <c r="C4420" s="28" t="s">
        <v>202</v>
      </c>
      <c r="D4420" s="23" t="n">
        <v>13</v>
      </c>
      <c r="E4420" s="23" t="n">
        <v>15</v>
      </c>
      <c r="F4420" s="28" t="s">
        <v>910</v>
      </c>
      <c r="G4420" s="19" t="n">
        <v>0.051772</v>
      </c>
    </row>
    <row r="4421" customFormat="false" ht="15" hidden="false" customHeight="false" outlineLevel="0" collapsed="false">
      <c r="A4421" s="28" t="s">
        <v>200</v>
      </c>
      <c r="B4421" s="28" t="s">
        <v>201</v>
      </c>
      <c r="C4421" s="28" t="s">
        <v>202</v>
      </c>
      <c r="D4421" s="23" t="n">
        <v>13</v>
      </c>
      <c r="E4421" s="23" t="n">
        <v>15</v>
      </c>
      <c r="F4421" s="28" t="s">
        <v>911</v>
      </c>
      <c r="G4421" s="19" t="n">
        <v>0.054923</v>
      </c>
    </row>
    <row r="4422" customFormat="false" ht="15" hidden="false" customHeight="false" outlineLevel="0" collapsed="false">
      <c r="A4422" s="28" t="s">
        <v>200</v>
      </c>
      <c r="B4422" s="28" t="s">
        <v>201</v>
      </c>
      <c r="C4422" s="28" t="s">
        <v>202</v>
      </c>
      <c r="D4422" s="23" t="n">
        <v>13</v>
      </c>
      <c r="E4422" s="23" t="n">
        <v>15</v>
      </c>
      <c r="F4422" s="28" t="s">
        <v>912</v>
      </c>
      <c r="G4422" s="19" t="n">
        <v>0.0594</v>
      </c>
    </row>
    <row r="4423" customFormat="false" ht="15" hidden="false" customHeight="false" outlineLevel="0" collapsed="false">
      <c r="A4423" s="28" t="s">
        <v>200</v>
      </c>
      <c r="B4423" s="28" t="s">
        <v>201</v>
      </c>
      <c r="C4423" s="28" t="s">
        <v>202</v>
      </c>
      <c r="D4423" s="23" t="n">
        <v>13</v>
      </c>
      <c r="E4423" s="23" t="n">
        <v>15</v>
      </c>
      <c r="F4423" s="28" t="s">
        <v>913</v>
      </c>
      <c r="G4423" s="19" t="n">
        <v>0.0643</v>
      </c>
    </row>
    <row r="4424" customFormat="false" ht="15" hidden="false" customHeight="false" outlineLevel="0" collapsed="false">
      <c r="A4424" s="28" t="s">
        <v>200</v>
      </c>
      <c r="B4424" s="28" t="s">
        <v>201</v>
      </c>
      <c r="C4424" s="28" t="s">
        <v>202</v>
      </c>
      <c r="D4424" s="23" t="n">
        <v>13</v>
      </c>
      <c r="E4424" s="23" t="n">
        <v>15</v>
      </c>
      <c r="F4424" s="28" t="s">
        <v>914</v>
      </c>
      <c r="G4424" s="19" t="n">
        <v>0.0641</v>
      </c>
    </row>
    <row r="4425" customFormat="false" ht="15" hidden="false" customHeight="false" outlineLevel="0" collapsed="false">
      <c r="A4425" s="28" t="s">
        <v>200</v>
      </c>
      <c r="B4425" s="28" t="s">
        <v>201</v>
      </c>
      <c r="C4425" s="28" t="s">
        <v>202</v>
      </c>
      <c r="D4425" s="23" t="n">
        <v>13</v>
      </c>
      <c r="E4425" s="23" t="n">
        <v>15</v>
      </c>
      <c r="F4425" s="28" t="s">
        <v>915</v>
      </c>
      <c r="G4425" s="19" t="n">
        <v>0.0799</v>
      </c>
    </row>
    <row r="4426" customFormat="false" ht="15" hidden="false" customHeight="false" outlineLevel="0" collapsed="false">
      <c r="A4426" s="28" t="s">
        <v>200</v>
      </c>
      <c r="B4426" s="28" t="s">
        <v>201</v>
      </c>
      <c r="C4426" s="28" t="s">
        <v>202</v>
      </c>
      <c r="D4426" s="23" t="n">
        <v>13</v>
      </c>
      <c r="E4426" s="23" t="n">
        <v>16</v>
      </c>
      <c r="F4426" s="28" t="s">
        <v>904</v>
      </c>
      <c r="G4426" s="19" t="n">
        <v>0.0413</v>
      </c>
    </row>
    <row r="4427" customFormat="false" ht="15" hidden="false" customHeight="false" outlineLevel="0" collapsed="false">
      <c r="A4427" s="28" t="s">
        <v>200</v>
      </c>
      <c r="B4427" s="28" t="s">
        <v>201</v>
      </c>
      <c r="C4427" s="28" t="s">
        <v>202</v>
      </c>
      <c r="D4427" s="23" t="n">
        <v>13</v>
      </c>
      <c r="E4427" s="23" t="n">
        <v>16</v>
      </c>
      <c r="F4427" s="28" t="s">
        <v>551</v>
      </c>
      <c r="G4427" s="19" t="n">
        <v>0.0725</v>
      </c>
    </row>
    <row r="4428" customFormat="false" ht="15" hidden="false" customHeight="false" outlineLevel="0" collapsed="false">
      <c r="A4428" s="28" t="s">
        <v>200</v>
      </c>
      <c r="B4428" s="28" t="s">
        <v>201</v>
      </c>
      <c r="C4428" s="28" t="s">
        <v>202</v>
      </c>
      <c r="D4428" s="23" t="n">
        <v>13</v>
      </c>
      <c r="E4428" s="23" t="n">
        <v>16</v>
      </c>
      <c r="F4428" s="28" t="s">
        <v>451</v>
      </c>
      <c r="G4428" s="19" t="n">
        <v>0.0411</v>
      </c>
    </row>
    <row r="4429" customFormat="false" ht="15" hidden="false" customHeight="false" outlineLevel="0" collapsed="false">
      <c r="A4429" s="28" t="s">
        <v>200</v>
      </c>
      <c r="B4429" s="28" t="s">
        <v>201</v>
      </c>
      <c r="C4429" s="28" t="s">
        <v>202</v>
      </c>
      <c r="D4429" s="23" t="n">
        <v>13</v>
      </c>
      <c r="E4429" s="23" t="n">
        <v>16</v>
      </c>
      <c r="F4429" s="28" t="s">
        <v>905</v>
      </c>
      <c r="G4429" s="19" t="n">
        <v>0.0437</v>
      </c>
    </row>
    <row r="4430" customFormat="false" ht="15" hidden="false" customHeight="false" outlineLevel="0" collapsed="false">
      <c r="A4430" s="28" t="s">
        <v>200</v>
      </c>
      <c r="B4430" s="28" t="s">
        <v>201</v>
      </c>
      <c r="C4430" s="28" t="s">
        <v>202</v>
      </c>
      <c r="D4430" s="23" t="n">
        <v>13</v>
      </c>
      <c r="E4430" s="23" t="n">
        <v>16</v>
      </c>
      <c r="F4430" s="28" t="s">
        <v>906</v>
      </c>
      <c r="G4430" s="19" t="n">
        <v>0.045356</v>
      </c>
    </row>
    <row r="4431" customFormat="false" ht="15" hidden="false" customHeight="false" outlineLevel="0" collapsed="false">
      <c r="A4431" s="28" t="s">
        <v>200</v>
      </c>
      <c r="B4431" s="28" t="s">
        <v>201</v>
      </c>
      <c r="C4431" s="28" t="s">
        <v>202</v>
      </c>
      <c r="D4431" s="23" t="n">
        <v>13</v>
      </c>
      <c r="E4431" s="23" t="n">
        <v>16</v>
      </c>
      <c r="F4431" s="28" t="s">
        <v>907</v>
      </c>
      <c r="G4431" s="19" t="n">
        <v>0.045569</v>
      </c>
    </row>
    <row r="4432" customFormat="false" ht="15" hidden="false" customHeight="false" outlineLevel="0" collapsed="false">
      <c r="A4432" s="28" t="s">
        <v>200</v>
      </c>
      <c r="B4432" s="28" t="s">
        <v>201</v>
      </c>
      <c r="C4432" s="28" t="s">
        <v>202</v>
      </c>
      <c r="D4432" s="23" t="n">
        <v>13</v>
      </c>
      <c r="E4432" s="23" t="n">
        <v>16</v>
      </c>
      <c r="F4432" s="28" t="s">
        <v>908</v>
      </c>
      <c r="G4432" s="19" t="n">
        <v>0.048195</v>
      </c>
    </row>
    <row r="4433" customFormat="false" ht="15" hidden="false" customHeight="false" outlineLevel="0" collapsed="false">
      <c r="A4433" s="28" t="s">
        <v>200</v>
      </c>
      <c r="B4433" s="28" t="s">
        <v>201</v>
      </c>
      <c r="C4433" s="28" t="s">
        <v>202</v>
      </c>
      <c r="D4433" s="23" t="n">
        <v>13</v>
      </c>
      <c r="E4433" s="23" t="n">
        <v>16</v>
      </c>
      <c r="F4433" s="28" t="s">
        <v>909</v>
      </c>
      <c r="G4433" s="19" t="n">
        <v>0.049321</v>
      </c>
    </row>
    <row r="4434" customFormat="false" ht="15" hidden="false" customHeight="false" outlineLevel="0" collapsed="false">
      <c r="A4434" s="28" t="s">
        <v>200</v>
      </c>
      <c r="B4434" s="28" t="s">
        <v>201</v>
      </c>
      <c r="C4434" s="28" t="s">
        <v>202</v>
      </c>
      <c r="D4434" s="23" t="n">
        <v>13</v>
      </c>
      <c r="E4434" s="23" t="n">
        <v>16</v>
      </c>
      <c r="F4434" s="28" t="s">
        <v>910</v>
      </c>
      <c r="G4434" s="19" t="n">
        <v>0.051772</v>
      </c>
    </row>
    <row r="4435" customFormat="false" ht="15" hidden="false" customHeight="false" outlineLevel="0" collapsed="false">
      <c r="A4435" s="28" t="s">
        <v>200</v>
      </c>
      <c r="B4435" s="28" t="s">
        <v>201</v>
      </c>
      <c r="C4435" s="28" t="s">
        <v>202</v>
      </c>
      <c r="D4435" s="23" t="n">
        <v>13</v>
      </c>
      <c r="E4435" s="23" t="n">
        <v>16</v>
      </c>
      <c r="F4435" s="28" t="s">
        <v>911</v>
      </c>
      <c r="G4435" s="19" t="n">
        <v>0.054923</v>
      </c>
    </row>
    <row r="4436" customFormat="false" ht="15" hidden="false" customHeight="false" outlineLevel="0" collapsed="false">
      <c r="A4436" s="28" t="s">
        <v>200</v>
      </c>
      <c r="B4436" s="28" t="s">
        <v>201</v>
      </c>
      <c r="C4436" s="28" t="s">
        <v>202</v>
      </c>
      <c r="D4436" s="23" t="n">
        <v>13</v>
      </c>
      <c r="E4436" s="23" t="n">
        <v>16</v>
      </c>
      <c r="F4436" s="28" t="s">
        <v>912</v>
      </c>
      <c r="G4436" s="19" t="n">
        <v>0.0594</v>
      </c>
    </row>
    <row r="4437" customFormat="false" ht="15" hidden="false" customHeight="false" outlineLevel="0" collapsed="false">
      <c r="A4437" s="28" t="s">
        <v>200</v>
      </c>
      <c r="B4437" s="28" t="s">
        <v>201</v>
      </c>
      <c r="C4437" s="28" t="s">
        <v>202</v>
      </c>
      <c r="D4437" s="23" t="n">
        <v>13</v>
      </c>
      <c r="E4437" s="23" t="n">
        <v>16</v>
      </c>
      <c r="F4437" s="28" t="s">
        <v>913</v>
      </c>
      <c r="G4437" s="19" t="n">
        <v>0.0643</v>
      </c>
    </row>
    <row r="4438" customFormat="false" ht="15" hidden="false" customHeight="false" outlineLevel="0" collapsed="false">
      <c r="A4438" s="28" t="s">
        <v>200</v>
      </c>
      <c r="B4438" s="28" t="s">
        <v>201</v>
      </c>
      <c r="C4438" s="28" t="s">
        <v>202</v>
      </c>
      <c r="D4438" s="23" t="n">
        <v>13</v>
      </c>
      <c r="E4438" s="23" t="n">
        <v>16</v>
      </c>
      <c r="F4438" s="28" t="s">
        <v>914</v>
      </c>
      <c r="G4438" s="19" t="n">
        <v>0.0641</v>
      </c>
    </row>
    <row r="4439" customFormat="false" ht="15" hidden="false" customHeight="false" outlineLevel="0" collapsed="false">
      <c r="A4439" s="28" t="s">
        <v>200</v>
      </c>
      <c r="B4439" s="28" t="s">
        <v>201</v>
      </c>
      <c r="C4439" s="28" t="s">
        <v>202</v>
      </c>
      <c r="D4439" s="23" t="n">
        <v>13</v>
      </c>
      <c r="E4439" s="23" t="n">
        <v>16</v>
      </c>
      <c r="F4439" s="28" t="s">
        <v>915</v>
      </c>
      <c r="G4439" s="19" t="n">
        <v>0.0799</v>
      </c>
    </row>
    <row r="4440" customFormat="false" ht="15" hidden="false" customHeight="false" outlineLevel="0" collapsed="false">
      <c r="A4440" s="28" t="s">
        <v>200</v>
      </c>
      <c r="B4440" s="28" t="s">
        <v>201</v>
      </c>
      <c r="C4440" s="28" t="s">
        <v>202</v>
      </c>
      <c r="D4440" s="23" t="n">
        <v>13</v>
      </c>
      <c r="E4440" s="23" t="n">
        <v>17</v>
      </c>
      <c r="F4440" s="28" t="s">
        <v>904</v>
      </c>
      <c r="G4440" s="19" t="n">
        <v>0.0413</v>
      </c>
    </row>
    <row r="4441" customFormat="false" ht="15" hidden="false" customHeight="false" outlineLevel="0" collapsed="false">
      <c r="A4441" s="28" t="s">
        <v>200</v>
      </c>
      <c r="B4441" s="28" t="s">
        <v>201</v>
      </c>
      <c r="C4441" s="28" t="s">
        <v>202</v>
      </c>
      <c r="D4441" s="23" t="n">
        <v>13</v>
      </c>
      <c r="E4441" s="23" t="n">
        <v>17</v>
      </c>
      <c r="F4441" s="28" t="s">
        <v>551</v>
      </c>
      <c r="G4441" s="19" t="n">
        <v>0.0725</v>
      </c>
    </row>
    <row r="4442" customFormat="false" ht="15" hidden="false" customHeight="false" outlineLevel="0" collapsed="false">
      <c r="A4442" s="28" t="s">
        <v>200</v>
      </c>
      <c r="B4442" s="28" t="s">
        <v>201</v>
      </c>
      <c r="C4442" s="28" t="s">
        <v>202</v>
      </c>
      <c r="D4442" s="23" t="n">
        <v>13</v>
      </c>
      <c r="E4442" s="23" t="n">
        <v>17</v>
      </c>
      <c r="F4442" s="28" t="s">
        <v>451</v>
      </c>
      <c r="G4442" s="19" t="n">
        <v>0.0411</v>
      </c>
    </row>
    <row r="4443" customFormat="false" ht="15" hidden="false" customHeight="false" outlineLevel="0" collapsed="false">
      <c r="A4443" s="28" t="s">
        <v>200</v>
      </c>
      <c r="B4443" s="28" t="s">
        <v>201</v>
      </c>
      <c r="C4443" s="28" t="s">
        <v>202</v>
      </c>
      <c r="D4443" s="23" t="n">
        <v>13</v>
      </c>
      <c r="E4443" s="23" t="n">
        <v>17</v>
      </c>
      <c r="F4443" s="28" t="s">
        <v>905</v>
      </c>
      <c r="G4443" s="19" t="n">
        <v>0.0437</v>
      </c>
    </row>
    <row r="4444" customFormat="false" ht="15" hidden="false" customHeight="false" outlineLevel="0" collapsed="false">
      <c r="A4444" s="28" t="s">
        <v>200</v>
      </c>
      <c r="B4444" s="28" t="s">
        <v>201</v>
      </c>
      <c r="C4444" s="28" t="s">
        <v>202</v>
      </c>
      <c r="D4444" s="23" t="n">
        <v>13</v>
      </c>
      <c r="E4444" s="23" t="n">
        <v>17</v>
      </c>
      <c r="F4444" s="28" t="s">
        <v>906</v>
      </c>
      <c r="G4444" s="19" t="n">
        <v>0.045356</v>
      </c>
    </row>
    <row r="4445" customFormat="false" ht="15" hidden="false" customHeight="false" outlineLevel="0" collapsed="false">
      <c r="A4445" s="28" t="s">
        <v>200</v>
      </c>
      <c r="B4445" s="28" t="s">
        <v>201</v>
      </c>
      <c r="C4445" s="28" t="s">
        <v>202</v>
      </c>
      <c r="D4445" s="23" t="n">
        <v>13</v>
      </c>
      <c r="E4445" s="23" t="n">
        <v>17</v>
      </c>
      <c r="F4445" s="28" t="s">
        <v>907</v>
      </c>
      <c r="G4445" s="19" t="n">
        <v>0.045569</v>
      </c>
    </row>
    <row r="4446" customFormat="false" ht="15" hidden="false" customHeight="false" outlineLevel="0" collapsed="false">
      <c r="A4446" s="28" t="s">
        <v>200</v>
      </c>
      <c r="B4446" s="28" t="s">
        <v>201</v>
      </c>
      <c r="C4446" s="28" t="s">
        <v>202</v>
      </c>
      <c r="D4446" s="23" t="n">
        <v>13</v>
      </c>
      <c r="E4446" s="23" t="n">
        <v>17</v>
      </c>
      <c r="F4446" s="28" t="s">
        <v>908</v>
      </c>
      <c r="G4446" s="19" t="n">
        <v>0.048195</v>
      </c>
    </row>
    <row r="4447" customFormat="false" ht="15" hidden="false" customHeight="false" outlineLevel="0" collapsed="false">
      <c r="A4447" s="28" t="s">
        <v>200</v>
      </c>
      <c r="B4447" s="28" t="s">
        <v>201</v>
      </c>
      <c r="C4447" s="28" t="s">
        <v>202</v>
      </c>
      <c r="D4447" s="23" t="n">
        <v>13</v>
      </c>
      <c r="E4447" s="23" t="n">
        <v>17</v>
      </c>
      <c r="F4447" s="28" t="s">
        <v>909</v>
      </c>
      <c r="G4447" s="19" t="n">
        <v>0.049321</v>
      </c>
    </row>
    <row r="4448" customFormat="false" ht="15" hidden="false" customHeight="false" outlineLevel="0" collapsed="false">
      <c r="A4448" s="28" t="s">
        <v>200</v>
      </c>
      <c r="B4448" s="28" t="s">
        <v>201</v>
      </c>
      <c r="C4448" s="28" t="s">
        <v>202</v>
      </c>
      <c r="D4448" s="23" t="n">
        <v>13</v>
      </c>
      <c r="E4448" s="23" t="n">
        <v>17</v>
      </c>
      <c r="F4448" s="28" t="s">
        <v>910</v>
      </c>
      <c r="G4448" s="19" t="n">
        <v>0.051772</v>
      </c>
    </row>
    <row r="4449" customFormat="false" ht="15" hidden="false" customHeight="false" outlineLevel="0" collapsed="false">
      <c r="A4449" s="28" t="s">
        <v>200</v>
      </c>
      <c r="B4449" s="28" t="s">
        <v>201</v>
      </c>
      <c r="C4449" s="28" t="s">
        <v>202</v>
      </c>
      <c r="D4449" s="23" t="n">
        <v>13</v>
      </c>
      <c r="E4449" s="23" t="n">
        <v>17</v>
      </c>
      <c r="F4449" s="28" t="s">
        <v>911</v>
      </c>
      <c r="G4449" s="19" t="n">
        <v>0.054923</v>
      </c>
    </row>
    <row r="4450" customFormat="false" ht="15" hidden="false" customHeight="false" outlineLevel="0" collapsed="false">
      <c r="A4450" s="28" t="s">
        <v>200</v>
      </c>
      <c r="B4450" s="28" t="s">
        <v>201</v>
      </c>
      <c r="C4450" s="28" t="s">
        <v>202</v>
      </c>
      <c r="D4450" s="23" t="n">
        <v>13</v>
      </c>
      <c r="E4450" s="23" t="n">
        <v>17</v>
      </c>
      <c r="F4450" s="28" t="s">
        <v>912</v>
      </c>
      <c r="G4450" s="19" t="n">
        <v>0.0594</v>
      </c>
    </row>
    <row r="4451" customFormat="false" ht="15" hidden="false" customHeight="false" outlineLevel="0" collapsed="false">
      <c r="A4451" s="28" t="s">
        <v>200</v>
      </c>
      <c r="B4451" s="28" t="s">
        <v>201</v>
      </c>
      <c r="C4451" s="28" t="s">
        <v>202</v>
      </c>
      <c r="D4451" s="23" t="n">
        <v>13</v>
      </c>
      <c r="E4451" s="23" t="n">
        <v>17</v>
      </c>
      <c r="F4451" s="28" t="s">
        <v>913</v>
      </c>
      <c r="G4451" s="19" t="n">
        <v>0.0643</v>
      </c>
    </row>
    <row r="4452" customFormat="false" ht="15" hidden="false" customHeight="false" outlineLevel="0" collapsed="false">
      <c r="A4452" s="28" t="s">
        <v>200</v>
      </c>
      <c r="B4452" s="28" t="s">
        <v>201</v>
      </c>
      <c r="C4452" s="28" t="s">
        <v>202</v>
      </c>
      <c r="D4452" s="23" t="n">
        <v>13</v>
      </c>
      <c r="E4452" s="23" t="n">
        <v>17</v>
      </c>
      <c r="F4452" s="28" t="s">
        <v>914</v>
      </c>
      <c r="G4452" s="19" t="n">
        <v>0.0641</v>
      </c>
    </row>
    <row r="4453" customFormat="false" ht="15" hidden="false" customHeight="false" outlineLevel="0" collapsed="false">
      <c r="A4453" s="28" t="s">
        <v>200</v>
      </c>
      <c r="B4453" s="28" t="s">
        <v>201</v>
      </c>
      <c r="C4453" s="28" t="s">
        <v>202</v>
      </c>
      <c r="D4453" s="23" t="n">
        <v>13</v>
      </c>
      <c r="E4453" s="23" t="n">
        <v>17</v>
      </c>
      <c r="F4453" s="28" t="s">
        <v>915</v>
      </c>
      <c r="G4453" s="19" t="n">
        <v>0.0799</v>
      </c>
    </row>
    <row r="4454" customFormat="false" ht="15" hidden="false" customHeight="false" outlineLevel="0" collapsed="false">
      <c r="A4454" s="28" t="s">
        <v>200</v>
      </c>
      <c r="B4454" s="28" t="s">
        <v>201</v>
      </c>
      <c r="C4454" s="28" t="s">
        <v>202</v>
      </c>
      <c r="D4454" s="23" t="n">
        <v>13</v>
      </c>
      <c r="E4454" s="23" t="n">
        <v>18</v>
      </c>
      <c r="F4454" s="28" t="s">
        <v>904</v>
      </c>
      <c r="G4454" s="19" t="n">
        <v>0.0413</v>
      </c>
    </row>
    <row r="4455" customFormat="false" ht="15" hidden="false" customHeight="false" outlineLevel="0" collapsed="false">
      <c r="A4455" s="28" t="s">
        <v>200</v>
      </c>
      <c r="B4455" s="28" t="s">
        <v>201</v>
      </c>
      <c r="C4455" s="28" t="s">
        <v>202</v>
      </c>
      <c r="D4455" s="23" t="n">
        <v>13</v>
      </c>
      <c r="E4455" s="23" t="n">
        <v>18</v>
      </c>
      <c r="F4455" s="28" t="s">
        <v>551</v>
      </c>
      <c r="G4455" s="19" t="n">
        <v>0.0725</v>
      </c>
    </row>
    <row r="4456" customFormat="false" ht="15" hidden="false" customHeight="false" outlineLevel="0" collapsed="false">
      <c r="A4456" s="28" t="s">
        <v>200</v>
      </c>
      <c r="B4456" s="28" t="s">
        <v>201</v>
      </c>
      <c r="C4456" s="28" t="s">
        <v>202</v>
      </c>
      <c r="D4456" s="23" t="n">
        <v>13</v>
      </c>
      <c r="E4456" s="23" t="n">
        <v>18</v>
      </c>
      <c r="F4456" s="28" t="s">
        <v>451</v>
      </c>
      <c r="G4456" s="19" t="n">
        <v>0.0411</v>
      </c>
    </row>
    <row r="4457" customFormat="false" ht="15" hidden="false" customHeight="false" outlineLevel="0" collapsed="false">
      <c r="A4457" s="28" t="s">
        <v>200</v>
      </c>
      <c r="B4457" s="28" t="s">
        <v>201</v>
      </c>
      <c r="C4457" s="28" t="s">
        <v>202</v>
      </c>
      <c r="D4457" s="23" t="n">
        <v>13</v>
      </c>
      <c r="E4457" s="23" t="n">
        <v>18</v>
      </c>
      <c r="F4457" s="28" t="s">
        <v>905</v>
      </c>
      <c r="G4457" s="19" t="n">
        <v>0.0437</v>
      </c>
    </row>
    <row r="4458" customFormat="false" ht="15" hidden="false" customHeight="false" outlineLevel="0" collapsed="false">
      <c r="A4458" s="28" t="s">
        <v>200</v>
      </c>
      <c r="B4458" s="28" t="s">
        <v>201</v>
      </c>
      <c r="C4458" s="28" t="s">
        <v>202</v>
      </c>
      <c r="D4458" s="23" t="n">
        <v>13</v>
      </c>
      <c r="E4458" s="23" t="n">
        <v>18</v>
      </c>
      <c r="F4458" s="28" t="s">
        <v>906</v>
      </c>
      <c r="G4458" s="19" t="n">
        <v>0.045356</v>
      </c>
    </row>
    <row r="4459" customFormat="false" ht="15" hidden="false" customHeight="false" outlineLevel="0" collapsed="false">
      <c r="A4459" s="28" t="s">
        <v>200</v>
      </c>
      <c r="B4459" s="28" t="s">
        <v>201</v>
      </c>
      <c r="C4459" s="28" t="s">
        <v>202</v>
      </c>
      <c r="D4459" s="23" t="n">
        <v>13</v>
      </c>
      <c r="E4459" s="23" t="n">
        <v>18</v>
      </c>
      <c r="F4459" s="28" t="s">
        <v>907</v>
      </c>
      <c r="G4459" s="19" t="n">
        <v>0.045569</v>
      </c>
    </row>
    <row r="4460" customFormat="false" ht="15" hidden="false" customHeight="false" outlineLevel="0" collapsed="false">
      <c r="A4460" s="28" t="s">
        <v>200</v>
      </c>
      <c r="B4460" s="28" t="s">
        <v>201</v>
      </c>
      <c r="C4460" s="28" t="s">
        <v>202</v>
      </c>
      <c r="D4460" s="23" t="n">
        <v>13</v>
      </c>
      <c r="E4460" s="23" t="n">
        <v>18</v>
      </c>
      <c r="F4460" s="28" t="s">
        <v>908</v>
      </c>
      <c r="G4460" s="19" t="n">
        <v>0.048195</v>
      </c>
    </row>
    <row r="4461" customFormat="false" ht="15" hidden="false" customHeight="false" outlineLevel="0" collapsed="false">
      <c r="A4461" s="28" t="s">
        <v>200</v>
      </c>
      <c r="B4461" s="28" t="s">
        <v>201</v>
      </c>
      <c r="C4461" s="28" t="s">
        <v>202</v>
      </c>
      <c r="D4461" s="23" t="n">
        <v>13</v>
      </c>
      <c r="E4461" s="23" t="n">
        <v>18</v>
      </c>
      <c r="F4461" s="28" t="s">
        <v>909</v>
      </c>
      <c r="G4461" s="19" t="n">
        <v>0.049321</v>
      </c>
    </row>
    <row r="4462" customFormat="false" ht="15" hidden="false" customHeight="false" outlineLevel="0" collapsed="false">
      <c r="A4462" s="28" t="s">
        <v>200</v>
      </c>
      <c r="B4462" s="28" t="s">
        <v>201</v>
      </c>
      <c r="C4462" s="28" t="s">
        <v>202</v>
      </c>
      <c r="D4462" s="23" t="n">
        <v>13</v>
      </c>
      <c r="E4462" s="23" t="n">
        <v>18</v>
      </c>
      <c r="F4462" s="28" t="s">
        <v>910</v>
      </c>
      <c r="G4462" s="19" t="n">
        <v>0.051772</v>
      </c>
    </row>
    <row r="4463" customFormat="false" ht="15" hidden="false" customHeight="false" outlineLevel="0" collapsed="false">
      <c r="A4463" s="28" t="s">
        <v>200</v>
      </c>
      <c r="B4463" s="28" t="s">
        <v>201</v>
      </c>
      <c r="C4463" s="28" t="s">
        <v>202</v>
      </c>
      <c r="D4463" s="23" t="n">
        <v>13</v>
      </c>
      <c r="E4463" s="23" t="n">
        <v>18</v>
      </c>
      <c r="F4463" s="28" t="s">
        <v>911</v>
      </c>
      <c r="G4463" s="19" t="n">
        <v>0.054923</v>
      </c>
    </row>
    <row r="4464" customFormat="false" ht="15" hidden="false" customHeight="false" outlineLevel="0" collapsed="false">
      <c r="A4464" s="28" t="s">
        <v>200</v>
      </c>
      <c r="B4464" s="28" t="s">
        <v>201</v>
      </c>
      <c r="C4464" s="28" t="s">
        <v>202</v>
      </c>
      <c r="D4464" s="23" t="n">
        <v>13</v>
      </c>
      <c r="E4464" s="23" t="n">
        <v>18</v>
      </c>
      <c r="F4464" s="28" t="s">
        <v>912</v>
      </c>
      <c r="G4464" s="19" t="n">
        <v>0.0594</v>
      </c>
    </row>
    <row r="4465" customFormat="false" ht="15" hidden="false" customHeight="false" outlineLevel="0" collapsed="false">
      <c r="A4465" s="28" t="s">
        <v>200</v>
      </c>
      <c r="B4465" s="28" t="s">
        <v>201</v>
      </c>
      <c r="C4465" s="28" t="s">
        <v>202</v>
      </c>
      <c r="D4465" s="23" t="n">
        <v>13</v>
      </c>
      <c r="E4465" s="23" t="n">
        <v>18</v>
      </c>
      <c r="F4465" s="28" t="s">
        <v>913</v>
      </c>
      <c r="G4465" s="19" t="n">
        <v>0.0643</v>
      </c>
    </row>
    <row r="4466" customFormat="false" ht="15" hidden="false" customHeight="false" outlineLevel="0" collapsed="false">
      <c r="A4466" s="28" t="s">
        <v>200</v>
      </c>
      <c r="B4466" s="28" t="s">
        <v>201</v>
      </c>
      <c r="C4466" s="28" t="s">
        <v>202</v>
      </c>
      <c r="D4466" s="23" t="n">
        <v>13</v>
      </c>
      <c r="E4466" s="23" t="n">
        <v>18</v>
      </c>
      <c r="F4466" s="28" t="s">
        <v>914</v>
      </c>
      <c r="G4466" s="19" t="n">
        <v>0.0641</v>
      </c>
    </row>
    <row r="4467" customFormat="false" ht="15" hidden="false" customHeight="false" outlineLevel="0" collapsed="false">
      <c r="A4467" s="28" t="s">
        <v>200</v>
      </c>
      <c r="B4467" s="28" t="s">
        <v>201</v>
      </c>
      <c r="C4467" s="28" t="s">
        <v>202</v>
      </c>
      <c r="D4467" s="23" t="n">
        <v>13</v>
      </c>
      <c r="E4467" s="23" t="n">
        <v>18</v>
      </c>
      <c r="F4467" s="28" t="s">
        <v>915</v>
      </c>
      <c r="G4467" s="19" t="n">
        <v>0.0799</v>
      </c>
    </row>
    <row r="4468" customFormat="false" ht="15" hidden="false" customHeight="false" outlineLevel="0" collapsed="false">
      <c r="A4468" s="28" t="s">
        <v>200</v>
      </c>
      <c r="B4468" s="28" t="s">
        <v>201</v>
      </c>
      <c r="C4468" s="28" t="s">
        <v>202</v>
      </c>
      <c r="D4468" s="23" t="n">
        <v>13</v>
      </c>
      <c r="E4468" s="23" t="n">
        <v>19</v>
      </c>
      <c r="F4468" s="28" t="s">
        <v>904</v>
      </c>
      <c r="G4468" s="19" t="n">
        <v>0.0413</v>
      </c>
    </row>
    <row r="4469" customFormat="false" ht="15" hidden="false" customHeight="false" outlineLevel="0" collapsed="false">
      <c r="A4469" s="28" t="s">
        <v>200</v>
      </c>
      <c r="B4469" s="28" t="s">
        <v>201</v>
      </c>
      <c r="C4469" s="28" t="s">
        <v>202</v>
      </c>
      <c r="D4469" s="23" t="n">
        <v>13</v>
      </c>
      <c r="E4469" s="23" t="n">
        <v>19</v>
      </c>
      <c r="F4469" s="28" t="s">
        <v>551</v>
      </c>
      <c r="G4469" s="19" t="n">
        <v>0.0725</v>
      </c>
    </row>
    <row r="4470" customFormat="false" ht="15" hidden="false" customHeight="false" outlineLevel="0" collapsed="false">
      <c r="A4470" s="28" t="s">
        <v>200</v>
      </c>
      <c r="B4470" s="28" t="s">
        <v>201</v>
      </c>
      <c r="C4470" s="28" t="s">
        <v>202</v>
      </c>
      <c r="D4470" s="23" t="n">
        <v>13</v>
      </c>
      <c r="E4470" s="23" t="n">
        <v>19</v>
      </c>
      <c r="F4470" s="28" t="s">
        <v>451</v>
      </c>
      <c r="G4470" s="19" t="n">
        <v>0.0411</v>
      </c>
    </row>
    <row r="4471" customFormat="false" ht="15" hidden="false" customHeight="false" outlineLevel="0" collapsed="false">
      <c r="A4471" s="28" t="s">
        <v>200</v>
      </c>
      <c r="B4471" s="28" t="s">
        <v>201</v>
      </c>
      <c r="C4471" s="28" t="s">
        <v>202</v>
      </c>
      <c r="D4471" s="23" t="n">
        <v>13</v>
      </c>
      <c r="E4471" s="23" t="n">
        <v>19</v>
      </c>
      <c r="F4471" s="28" t="s">
        <v>905</v>
      </c>
      <c r="G4471" s="19" t="n">
        <v>0.0437</v>
      </c>
    </row>
    <row r="4472" customFormat="false" ht="15" hidden="false" customHeight="false" outlineLevel="0" collapsed="false">
      <c r="A4472" s="28" t="s">
        <v>200</v>
      </c>
      <c r="B4472" s="28" t="s">
        <v>201</v>
      </c>
      <c r="C4472" s="28" t="s">
        <v>202</v>
      </c>
      <c r="D4472" s="23" t="n">
        <v>13</v>
      </c>
      <c r="E4472" s="23" t="n">
        <v>19</v>
      </c>
      <c r="F4472" s="28" t="s">
        <v>906</v>
      </c>
      <c r="G4472" s="19" t="n">
        <v>0.045356</v>
      </c>
    </row>
    <row r="4473" customFormat="false" ht="15" hidden="false" customHeight="false" outlineLevel="0" collapsed="false">
      <c r="A4473" s="28" t="s">
        <v>200</v>
      </c>
      <c r="B4473" s="28" t="s">
        <v>201</v>
      </c>
      <c r="C4473" s="28" t="s">
        <v>202</v>
      </c>
      <c r="D4473" s="23" t="n">
        <v>13</v>
      </c>
      <c r="E4473" s="23" t="n">
        <v>19</v>
      </c>
      <c r="F4473" s="28" t="s">
        <v>907</v>
      </c>
      <c r="G4473" s="19" t="n">
        <v>0.045569</v>
      </c>
    </row>
    <row r="4474" customFormat="false" ht="15" hidden="false" customHeight="false" outlineLevel="0" collapsed="false">
      <c r="A4474" s="28" t="s">
        <v>200</v>
      </c>
      <c r="B4474" s="28" t="s">
        <v>201</v>
      </c>
      <c r="C4474" s="28" t="s">
        <v>202</v>
      </c>
      <c r="D4474" s="23" t="n">
        <v>13</v>
      </c>
      <c r="E4474" s="23" t="n">
        <v>19</v>
      </c>
      <c r="F4474" s="28" t="s">
        <v>908</v>
      </c>
      <c r="G4474" s="19" t="n">
        <v>0.048195</v>
      </c>
    </row>
    <row r="4475" customFormat="false" ht="15" hidden="false" customHeight="false" outlineLevel="0" collapsed="false">
      <c r="A4475" s="28" t="s">
        <v>200</v>
      </c>
      <c r="B4475" s="28" t="s">
        <v>201</v>
      </c>
      <c r="C4475" s="28" t="s">
        <v>202</v>
      </c>
      <c r="D4475" s="23" t="n">
        <v>13</v>
      </c>
      <c r="E4475" s="23" t="n">
        <v>19</v>
      </c>
      <c r="F4475" s="28" t="s">
        <v>909</v>
      </c>
      <c r="G4475" s="19" t="n">
        <v>0.049321</v>
      </c>
    </row>
    <row r="4476" customFormat="false" ht="15" hidden="false" customHeight="false" outlineLevel="0" collapsed="false">
      <c r="A4476" s="28" t="s">
        <v>200</v>
      </c>
      <c r="B4476" s="28" t="s">
        <v>201</v>
      </c>
      <c r="C4476" s="28" t="s">
        <v>202</v>
      </c>
      <c r="D4476" s="23" t="n">
        <v>13</v>
      </c>
      <c r="E4476" s="23" t="n">
        <v>19</v>
      </c>
      <c r="F4476" s="28" t="s">
        <v>910</v>
      </c>
      <c r="G4476" s="19" t="n">
        <v>0.051772</v>
      </c>
    </row>
    <row r="4477" customFormat="false" ht="15" hidden="false" customHeight="false" outlineLevel="0" collapsed="false">
      <c r="A4477" s="28" t="s">
        <v>200</v>
      </c>
      <c r="B4477" s="28" t="s">
        <v>201</v>
      </c>
      <c r="C4477" s="28" t="s">
        <v>202</v>
      </c>
      <c r="D4477" s="23" t="n">
        <v>13</v>
      </c>
      <c r="E4477" s="23" t="n">
        <v>19</v>
      </c>
      <c r="F4477" s="28" t="s">
        <v>911</v>
      </c>
      <c r="G4477" s="19" t="n">
        <v>0.054923</v>
      </c>
    </row>
    <row r="4478" customFormat="false" ht="15" hidden="false" customHeight="false" outlineLevel="0" collapsed="false">
      <c r="A4478" s="28" t="s">
        <v>200</v>
      </c>
      <c r="B4478" s="28" t="s">
        <v>201</v>
      </c>
      <c r="C4478" s="28" t="s">
        <v>202</v>
      </c>
      <c r="D4478" s="23" t="n">
        <v>13</v>
      </c>
      <c r="E4478" s="23" t="n">
        <v>19</v>
      </c>
      <c r="F4478" s="28" t="s">
        <v>912</v>
      </c>
      <c r="G4478" s="19" t="n">
        <v>0.0594</v>
      </c>
    </row>
    <row r="4479" customFormat="false" ht="15" hidden="false" customHeight="false" outlineLevel="0" collapsed="false">
      <c r="A4479" s="28" t="s">
        <v>200</v>
      </c>
      <c r="B4479" s="28" t="s">
        <v>201</v>
      </c>
      <c r="C4479" s="28" t="s">
        <v>202</v>
      </c>
      <c r="D4479" s="23" t="n">
        <v>13</v>
      </c>
      <c r="E4479" s="23" t="n">
        <v>19</v>
      </c>
      <c r="F4479" s="28" t="s">
        <v>913</v>
      </c>
      <c r="G4479" s="19" t="n">
        <v>0.0643</v>
      </c>
    </row>
    <row r="4480" customFormat="false" ht="15" hidden="false" customHeight="false" outlineLevel="0" collapsed="false">
      <c r="A4480" s="28" t="s">
        <v>200</v>
      </c>
      <c r="B4480" s="28" t="s">
        <v>201</v>
      </c>
      <c r="C4480" s="28" t="s">
        <v>202</v>
      </c>
      <c r="D4480" s="23" t="n">
        <v>13</v>
      </c>
      <c r="E4480" s="23" t="n">
        <v>19</v>
      </c>
      <c r="F4480" s="28" t="s">
        <v>914</v>
      </c>
      <c r="G4480" s="19" t="n">
        <v>0.0641</v>
      </c>
    </row>
    <row r="4481" customFormat="false" ht="15" hidden="false" customHeight="false" outlineLevel="0" collapsed="false">
      <c r="A4481" s="28" t="s">
        <v>200</v>
      </c>
      <c r="B4481" s="28" t="s">
        <v>201</v>
      </c>
      <c r="C4481" s="28" t="s">
        <v>202</v>
      </c>
      <c r="D4481" s="23" t="n">
        <v>13</v>
      </c>
      <c r="E4481" s="23" t="n">
        <v>19</v>
      </c>
      <c r="F4481" s="28" t="s">
        <v>915</v>
      </c>
      <c r="G4481" s="19" t="n">
        <v>0.0799</v>
      </c>
    </row>
    <row r="4482" customFormat="false" ht="15" hidden="false" customHeight="false" outlineLevel="0" collapsed="false">
      <c r="A4482" s="28" t="s">
        <v>200</v>
      </c>
      <c r="B4482" s="28" t="s">
        <v>201</v>
      </c>
      <c r="C4482" s="28" t="s">
        <v>202</v>
      </c>
      <c r="D4482" s="23" t="n">
        <v>13</v>
      </c>
      <c r="E4482" s="23" t="n">
        <v>20</v>
      </c>
      <c r="F4482" s="28" t="s">
        <v>904</v>
      </c>
      <c r="G4482" s="19" t="n">
        <v>0.0413</v>
      </c>
    </row>
    <row r="4483" customFormat="false" ht="15" hidden="false" customHeight="false" outlineLevel="0" collapsed="false">
      <c r="A4483" s="28" t="s">
        <v>200</v>
      </c>
      <c r="B4483" s="28" t="s">
        <v>201</v>
      </c>
      <c r="C4483" s="28" t="s">
        <v>202</v>
      </c>
      <c r="D4483" s="23" t="n">
        <v>13</v>
      </c>
      <c r="E4483" s="23" t="n">
        <v>20</v>
      </c>
      <c r="F4483" s="28" t="s">
        <v>551</v>
      </c>
      <c r="G4483" s="19" t="n">
        <v>0.0725</v>
      </c>
    </row>
    <row r="4484" customFormat="false" ht="15" hidden="false" customHeight="false" outlineLevel="0" collapsed="false">
      <c r="A4484" s="28" t="s">
        <v>200</v>
      </c>
      <c r="B4484" s="28" t="s">
        <v>201</v>
      </c>
      <c r="C4484" s="28" t="s">
        <v>202</v>
      </c>
      <c r="D4484" s="23" t="n">
        <v>13</v>
      </c>
      <c r="E4484" s="23" t="n">
        <v>20</v>
      </c>
      <c r="F4484" s="28" t="s">
        <v>451</v>
      </c>
      <c r="G4484" s="19" t="n">
        <v>0.0411</v>
      </c>
    </row>
    <row r="4485" customFormat="false" ht="15" hidden="false" customHeight="false" outlineLevel="0" collapsed="false">
      <c r="A4485" s="28" t="s">
        <v>200</v>
      </c>
      <c r="B4485" s="28" t="s">
        <v>201</v>
      </c>
      <c r="C4485" s="28" t="s">
        <v>202</v>
      </c>
      <c r="D4485" s="23" t="n">
        <v>13</v>
      </c>
      <c r="E4485" s="23" t="n">
        <v>20</v>
      </c>
      <c r="F4485" s="28" t="s">
        <v>905</v>
      </c>
      <c r="G4485" s="19" t="n">
        <v>0.0437</v>
      </c>
    </row>
    <row r="4486" customFormat="false" ht="15" hidden="false" customHeight="false" outlineLevel="0" collapsed="false">
      <c r="A4486" s="28" t="s">
        <v>200</v>
      </c>
      <c r="B4486" s="28" t="s">
        <v>201</v>
      </c>
      <c r="C4486" s="28" t="s">
        <v>202</v>
      </c>
      <c r="D4486" s="23" t="n">
        <v>13</v>
      </c>
      <c r="E4486" s="23" t="n">
        <v>20</v>
      </c>
      <c r="F4486" s="28" t="s">
        <v>906</v>
      </c>
      <c r="G4486" s="19" t="n">
        <v>0.045356</v>
      </c>
    </row>
    <row r="4487" customFormat="false" ht="15" hidden="false" customHeight="false" outlineLevel="0" collapsed="false">
      <c r="A4487" s="28" t="s">
        <v>200</v>
      </c>
      <c r="B4487" s="28" t="s">
        <v>201</v>
      </c>
      <c r="C4487" s="28" t="s">
        <v>202</v>
      </c>
      <c r="D4487" s="23" t="n">
        <v>13</v>
      </c>
      <c r="E4487" s="23" t="n">
        <v>20</v>
      </c>
      <c r="F4487" s="28" t="s">
        <v>907</v>
      </c>
      <c r="G4487" s="19" t="n">
        <v>0.045569</v>
      </c>
    </row>
    <row r="4488" customFormat="false" ht="15" hidden="false" customHeight="false" outlineLevel="0" collapsed="false">
      <c r="A4488" s="28" t="s">
        <v>200</v>
      </c>
      <c r="B4488" s="28" t="s">
        <v>201</v>
      </c>
      <c r="C4488" s="28" t="s">
        <v>202</v>
      </c>
      <c r="D4488" s="23" t="n">
        <v>13</v>
      </c>
      <c r="E4488" s="23" t="n">
        <v>20</v>
      </c>
      <c r="F4488" s="28" t="s">
        <v>908</v>
      </c>
      <c r="G4488" s="19" t="n">
        <v>0.048195</v>
      </c>
    </row>
    <row r="4489" customFormat="false" ht="15" hidden="false" customHeight="false" outlineLevel="0" collapsed="false">
      <c r="A4489" s="28" t="s">
        <v>200</v>
      </c>
      <c r="B4489" s="28" t="s">
        <v>201</v>
      </c>
      <c r="C4489" s="28" t="s">
        <v>202</v>
      </c>
      <c r="D4489" s="23" t="n">
        <v>13</v>
      </c>
      <c r="E4489" s="23" t="n">
        <v>20</v>
      </c>
      <c r="F4489" s="28" t="s">
        <v>909</v>
      </c>
      <c r="G4489" s="19" t="n">
        <v>0.049321</v>
      </c>
    </row>
    <row r="4490" customFormat="false" ht="15" hidden="false" customHeight="false" outlineLevel="0" collapsed="false">
      <c r="A4490" s="28" t="s">
        <v>200</v>
      </c>
      <c r="B4490" s="28" t="s">
        <v>201</v>
      </c>
      <c r="C4490" s="28" t="s">
        <v>202</v>
      </c>
      <c r="D4490" s="23" t="n">
        <v>13</v>
      </c>
      <c r="E4490" s="23" t="n">
        <v>20</v>
      </c>
      <c r="F4490" s="28" t="s">
        <v>910</v>
      </c>
      <c r="G4490" s="19" t="n">
        <v>0.051772</v>
      </c>
    </row>
    <row r="4491" customFormat="false" ht="15" hidden="false" customHeight="false" outlineLevel="0" collapsed="false">
      <c r="A4491" s="28" t="s">
        <v>200</v>
      </c>
      <c r="B4491" s="28" t="s">
        <v>201</v>
      </c>
      <c r="C4491" s="28" t="s">
        <v>202</v>
      </c>
      <c r="D4491" s="23" t="n">
        <v>13</v>
      </c>
      <c r="E4491" s="23" t="n">
        <v>20</v>
      </c>
      <c r="F4491" s="28" t="s">
        <v>911</v>
      </c>
      <c r="G4491" s="19" t="n">
        <v>0.054923</v>
      </c>
    </row>
    <row r="4492" customFormat="false" ht="15" hidden="false" customHeight="false" outlineLevel="0" collapsed="false">
      <c r="A4492" s="28" t="s">
        <v>200</v>
      </c>
      <c r="B4492" s="28" t="s">
        <v>201</v>
      </c>
      <c r="C4492" s="28" t="s">
        <v>202</v>
      </c>
      <c r="D4492" s="23" t="n">
        <v>13</v>
      </c>
      <c r="E4492" s="23" t="n">
        <v>20</v>
      </c>
      <c r="F4492" s="28" t="s">
        <v>912</v>
      </c>
      <c r="G4492" s="19" t="n">
        <v>0.0594</v>
      </c>
    </row>
    <row r="4493" customFormat="false" ht="15" hidden="false" customHeight="false" outlineLevel="0" collapsed="false">
      <c r="A4493" s="28" t="s">
        <v>200</v>
      </c>
      <c r="B4493" s="28" t="s">
        <v>201</v>
      </c>
      <c r="C4493" s="28" t="s">
        <v>202</v>
      </c>
      <c r="D4493" s="23" t="n">
        <v>13</v>
      </c>
      <c r="E4493" s="23" t="n">
        <v>20</v>
      </c>
      <c r="F4493" s="28" t="s">
        <v>913</v>
      </c>
      <c r="G4493" s="19" t="n">
        <v>0.0643</v>
      </c>
    </row>
    <row r="4494" customFormat="false" ht="15" hidden="false" customHeight="false" outlineLevel="0" collapsed="false">
      <c r="A4494" s="28" t="s">
        <v>200</v>
      </c>
      <c r="B4494" s="28" t="s">
        <v>201</v>
      </c>
      <c r="C4494" s="28" t="s">
        <v>202</v>
      </c>
      <c r="D4494" s="23" t="n">
        <v>13</v>
      </c>
      <c r="E4494" s="23" t="n">
        <v>20</v>
      </c>
      <c r="F4494" s="28" t="s">
        <v>914</v>
      </c>
      <c r="G4494" s="19" t="n">
        <v>0.0641</v>
      </c>
    </row>
    <row r="4495" customFormat="false" ht="15" hidden="false" customHeight="false" outlineLevel="0" collapsed="false">
      <c r="A4495" s="28" t="s">
        <v>200</v>
      </c>
      <c r="B4495" s="28" t="s">
        <v>201</v>
      </c>
      <c r="C4495" s="28" t="s">
        <v>202</v>
      </c>
      <c r="D4495" s="23" t="n">
        <v>13</v>
      </c>
      <c r="E4495" s="23" t="n">
        <v>20</v>
      </c>
      <c r="F4495" s="28" t="s">
        <v>915</v>
      </c>
      <c r="G4495" s="19" t="n">
        <v>0.0799</v>
      </c>
    </row>
    <row r="4496" customFormat="false" ht="15" hidden="false" customHeight="false" outlineLevel="0" collapsed="false">
      <c r="A4496" s="28" t="s">
        <v>200</v>
      </c>
      <c r="B4496" s="28" t="s">
        <v>201</v>
      </c>
      <c r="C4496" s="28" t="s">
        <v>202</v>
      </c>
      <c r="D4496" s="23" t="n">
        <v>13</v>
      </c>
      <c r="E4496" s="23" t="n">
        <v>21</v>
      </c>
      <c r="F4496" s="28" t="s">
        <v>904</v>
      </c>
      <c r="G4496" s="19" t="n">
        <v>0.0413</v>
      </c>
    </row>
    <row r="4497" customFormat="false" ht="15" hidden="false" customHeight="false" outlineLevel="0" collapsed="false">
      <c r="A4497" s="28" t="s">
        <v>200</v>
      </c>
      <c r="B4497" s="28" t="s">
        <v>201</v>
      </c>
      <c r="C4497" s="28" t="s">
        <v>202</v>
      </c>
      <c r="D4497" s="23" t="n">
        <v>13</v>
      </c>
      <c r="E4497" s="23" t="n">
        <v>21</v>
      </c>
      <c r="F4497" s="28" t="s">
        <v>551</v>
      </c>
      <c r="G4497" s="19" t="n">
        <v>0.0725</v>
      </c>
    </row>
    <row r="4498" customFormat="false" ht="15" hidden="false" customHeight="false" outlineLevel="0" collapsed="false">
      <c r="A4498" s="28" t="s">
        <v>200</v>
      </c>
      <c r="B4498" s="28" t="s">
        <v>201</v>
      </c>
      <c r="C4498" s="28" t="s">
        <v>202</v>
      </c>
      <c r="D4498" s="23" t="n">
        <v>13</v>
      </c>
      <c r="E4498" s="23" t="n">
        <v>21</v>
      </c>
      <c r="F4498" s="28" t="s">
        <v>451</v>
      </c>
      <c r="G4498" s="19" t="n">
        <v>0.0411</v>
      </c>
    </row>
    <row r="4499" customFormat="false" ht="15" hidden="false" customHeight="false" outlineLevel="0" collapsed="false">
      <c r="A4499" s="28" t="s">
        <v>200</v>
      </c>
      <c r="B4499" s="28" t="s">
        <v>201</v>
      </c>
      <c r="C4499" s="28" t="s">
        <v>202</v>
      </c>
      <c r="D4499" s="23" t="n">
        <v>13</v>
      </c>
      <c r="E4499" s="23" t="n">
        <v>21</v>
      </c>
      <c r="F4499" s="28" t="s">
        <v>905</v>
      </c>
      <c r="G4499" s="19" t="n">
        <v>0.0437</v>
      </c>
    </row>
    <row r="4500" customFormat="false" ht="15" hidden="false" customHeight="false" outlineLevel="0" collapsed="false">
      <c r="A4500" s="28" t="s">
        <v>200</v>
      </c>
      <c r="B4500" s="28" t="s">
        <v>201</v>
      </c>
      <c r="C4500" s="28" t="s">
        <v>202</v>
      </c>
      <c r="D4500" s="23" t="n">
        <v>13</v>
      </c>
      <c r="E4500" s="23" t="n">
        <v>21</v>
      </c>
      <c r="F4500" s="28" t="s">
        <v>906</v>
      </c>
      <c r="G4500" s="19" t="n">
        <v>0.045356</v>
      </c>
    </row>
    <row r="4501" customFormat="false" ht="15" hidden="false" customHeight="false" outlineLevel="0" collapsed="false">
      <c r="A4501" s="28" t="s">
        <v>200</v>
      </c>
      <c r="B4501" s="28" t="s">
        <v>201</v>
      </c>
      <c r="C4501" s="28" t="s">
        <v>202</v>
      </c>
      <c r="D4501" s="23" t="n">
        <v>13</v>
      </c>
      <c r="E4501" s="23" t="n">
        <v>21</v>
      </c>
      <c r="F4501" s="28" t="s">
        <v>907</v>
      </c>
      <c r="G4501" s="19" t="n">
        <v>0.045569</v>
      </c>
    </row>
    <row r="4502" customFormat="false" ht="15" hidden="false" customHeight="false" outlineLevel="0" collapsed="false">
      <c r="A4502" s="28" t="s">
        <v>200</v>
      </c>
      <c r="B4502" s="28" t="s">
        <v>201</v>
      </c>
      <c r="C4502" s="28" t="s">
        <v>202</v>
      </c>
      <c r="D4502" s="23" t="n">
        <v>13</v>
      </c>
      <c r="E4502" s="23" t="n">
        <v>21</v>
      </c>
      <c r="F4502" s="28" t="s">
        <v>908</v>
      </c>
      <c r="G4502" s="19" t="n">
        <v>0.048195</v>
      </c>
    </row>
    <row r="4503" customFormat="false" ht="15" hidden="false" customHeight="false" outlineLevel="0" collapsed="false">
      <c r="A4503" s="28" t="s">
        <v>200</v>
      </c>
      <c r="B4503" s="28" t="s">
        <v>201</v>
      </c>
      <c r="C4503" s="28" t="s">
        <v>202</v>
      </c>
      <c r="D4503" s="23" t="n">
        <v>13</v>
      </c>
      <c r="E4503" s="23" t="n">
        <v>21</v>
      </c>
      <c r="F4503" s="28" t="s">
        <v>909</v>
      </c>
      <c r="G4503" s="19" t="n">
        <v>0.049321</v>
      </c>
    </row>
    <row r="4504" customFormat="false" ht="15" hidden="false" customHeight="false" outlineLevel="0" collapsed="false">
      <c r="A4504" s="28" t="s">
        <v>200</v>
      </c>
      <c r="B4504" s="28" t="s">
        <v>201</v>
      </c>
      <c r="C4504" s="28" t="s">
        <v>202</v>
      </c>
      <c r="D4504" s="23" t="n">
        <v>13</v>
      </c>
      <c r="E4504" s="23" t="n">
        <v>21</v>
      </c>
      <c r="F4504" s="28" t="s">
        <v>910</v>
      </c>
      <c r="G4504" s="19" t="n">
        <v>0.051772</v>
      </c>
    </row>
    <row r="4505" customFormat="false" ht="15" hidden="false" customHeight="false" outlineLevel="0" collapsed="false">
      <c r="A4505" s="28" t="s">
        <v>200</v>
      </c>
      <c r="B4505" s="28" t="s">
        <v>201</v>
      </c>
      <c r="C4505" s="28" t="s">
        <v>202</v>
      </c>
      <c r="D4505" s="23" t="n">
        <v>13</v>
      </c>
      <c r="E4505" s="23" t="n">
        <v>21</v>
      </c>
      <c r="F4505" s="28" t="s">
        <v>911</v>
      </c>
      <c r="G4505" s="19" t="n">
        <v>0.054923</v>
      </c>
    </row>
    <row r="4506" customFormat="false" ht="15" hidden="false" customHeight="false" outlineLevel="0" collapsed="false">
      <c r="A4506" s="28" t="s">
        <v>200</v>
      </c>
      <c r="B4506" s="28" t="s">
        <v>201</v>
      </c>
      <c r="C4506" s="28" t="s">
        <v>202</v>
      </c>
      <c r="D4506" s="23" t="n">
        <v>13</v>
      </c>
      <c r="E4506" s="23" t="n">
        <v>21</v>
      </c>
      <c r="F4506" s="28" t="s">
        <v>912</v>
      </c>
      <c r="G4506" s="19" t="n">
        <v>0.0594</v>
      </c>
    </row>
    <row r="4507" customFormat="false" ht="15" hidden="false" customHeight="false" outlineLevel="0" collapsed="false">
      <c r="A4507" s="28" t="s">
        <v>200</v>
      </c>
      <c r="B4507" s="28" t="s">
        <v>201</v>
      </c>
      <c r="C4507" s="28" t="s">
        <v>202</v>
      </c>
      <c r="D4507" s="23" t="n">
        <v>13</v>
      </c>
      <c r="E4507" s="23" t="n">
        <v>21</v>
      </c>
      <c r="F4507" s="28" t="s">
        <v>913</v>
      </c>
      <c r="G4507" s="19" t="n">
        <v>0.0643</v>
      </c>
    </row>
    <row r="4508" customFormat="false" ht="15" hidden="false" customHeight="false" outlineLevel="0" collapsed="false">
      <c r="A4508" s="28" t="s">
        <v>200</v>
      </c>
      <c r="B4508" s="28" t="s">
        <v>201</v>
      </c>
      <c r="C4508" s="28" t="s">
        <v>202</v>
      </c>
      <c r="D4508" s="23" t="n">
        <v>13</v>
      </c>
      <c r="E4508" s="23" t="n">
        <v>21</v>
      </c>
      <c r="F4508" s="28" t="s">
        <v>914</v>
      </c>
      <c r="G4508" s="19" t="n">
        <v>0.0641</v>
      </c>
    </row>
    <row r="4509" customFormat="false" ht="15" hidden="false" customHeight="false" outlineLevel="0" collapsed="false">
      <c r="A4509" s="28" t="s">
        <v>200</v>
      </c>
      <c r="B4509" s="28" t="s">
        <v>201</v>
      </c>
      <c r="C4509" s="28" t="s">
        <v>202</v>
      </c>
      <c r="D4509" s="23" t="n">
        <v>13</v>
      </c>
      <c r="E4509" s="23" t="n">
        <v>21</v>
      </c>
      <c r="F4509" s="28" t="s">
        <v>915</v>
      </c>
      <c r="G4509" s="19" t="n">
        <v>0.0799</v>
      </c>
    </row>
    <row r="4510" customFormat="false" ht="15" hidden="false" customHeight="false" outlineLevel="0" collapsed="false">
      <c r="A4510" s="28" t="s">
        <v>200</v>
      </c>
      <c r="B4510" s="28" t="s">
        <v>201</v>
      </c>
      <c r="C4510" s="28" t="s">
        <v>202</v>
      </c>
      <c r="D4510" s="23" t="n">
        <v>13</v>
      </c>
      <c r="E4510" s="23" t="n">
        <v>22</v>
      </c>
      <c r="F4510" s="28" t="s">
        <v>904</v>
      </c>
      <c r="G4510" s="19" t="n">
        <v>0.0413</v>
      </c>
    </row>
    <row r="4511" customFormat="false" ht="15" hidden="false" customHeight="false" outlineLevel="0" collapsed="false">
      <c r="A4511" s="28" t="s">
        <v>200</v>
      </c>
      <c r="B4511" s="28" t="s">
        <v>201</v>
      </c>
      <c r="C4511" s="28" t="s">
        <v>202</v>
      </c>
      <c r="D4511" s="23" t="n">
        <v>13</v>
      </c>
      <c r="E4511" s="23" t="n">
        <v>22</v>
      </c>
      <c r="F4511" s="28" t="s">
        <v>551</v>
      </c>
      <c r="G4511" s="19" t="n">
        <v>0.0725</v>
      </c>
    </row>
    <row r="4512" customFormat="false" ht="15" hidden="false" customHeight="false" outlineLevel="0" collapsed="false">
      <c r="A4512" s="28" t="s">
        <v>200</v>
      </c>
      <c r="B4512" s="28" t="s">
        <v>201</v>
      </c>
      <c r="C4512" s="28" t="s">
        <v>202</v>
      </c>
      <c r="D4512" s="23" t="n">
        <v>13</v>
      </c>
      <c r="E4512" s="23" t="n">
        <v>22</v>
      </c>
      <c r="F4512" s="28" t="s">
        <v>451</v>
      </c>
      <c r="G4512" s="19" t="n">
        <v>0.0411</v>
      </c>
    </row>
    <row r="4513" customFormat="false" ht="15" hidden="false" customHeight="false" outlineLevel="0" collapsed="false">
      <c r="A4513" s="28" t="s">
        <v>200</v>
      </c>
      <c r="B4513" s="28" t="s">
        <v>201</v>
      </c>
      <c r="C4513" s="28" t="s">
        <v>202</v>
      </c>
      <c r="D4513" s="23" t="n">
        <v>13</v>
      </c>
      <c r="E4513" s="23" t="n">
        <v>22</v>
      </c>
      <c r="F4513" s="28" t="s">
        <v>905</v>
      </c>
      <c r="G4513" s="19" t="n">
        <v>0.0437</v>
      </c>
    </row>
    <row r="4514" customFormat="false" ht="15" hidden="false" customHeight="false" outlineLevel="0" collapsed="false">
      <c r="A4514" s="28" t="s">
        <v>200</v>
      </c>
      <c r="B4514" s="28" t="s">
        <v>201</v>
      </c>
      <c r="C4514" s="28" t="s">
        <v>202</v>
      </c>
      <c r="D4514" s="23" t="n">
        <v>13</v>
      </c>
      <c r="E4514" s="23" t="n">
        <v>22</v>
      </c>
      <c r="F4514" s="28" t="s">
        <v>906</v>
      </c>
      <c r="G4514" s="19" t="n">
        <v>0.045356</v>
      </c>
    </row>
    <row r="4515" customFormat="false" ht="15" hidden="false" customHeight="false" outlineLevel="0" collapsed="false">
      <c r="A4515" s="28" t="s">
        <v>200</v>
      </c>
      <c r="B4515" s="28" t="s">
        <v>201</v>
      </c>
      <c r="C4515" s="28" t="s">
        <v>202</v>
      </c>
      <c r="D4515" s="23" t="n">
        <v>13</v>
      </c>
      <c r="E4515" s="23" t="n">
        <v>22</v>
      </c>
      <c r="F4515" s="28" t="s">
        <v>907</v>
      </c>
      <c r="G4515" s="19" t="n">
        <v>0.045569</v>
      </c>
    </row>
    <row r="4516" customFormat="false" ht="15" hidden="false" customHeight="false" outlineLevel="0" collapsed="false">
      <c r="A4516" s="28" t="s">
        <v>200</v>
      </c>
      <c r="B4516" s="28" t="s">
        <v>201</v>
      </c>
      <c r="C4516" s="28" t="s">
        <v>202</v>
      </c>
      <c r="D4516" s="23" t="n">
        <v>13</v>
      </c>
      <c r="E4516" s="23" t="n">
        <v>22</v>
      </c>
      <c r="F4516" s="28" t="s">
        <v>908</v>
      </c>
      <c r="G4516" s="19" t="n">
        <v>0.048195</v>
      </c>
    </row>
    <row r="4517" customFormat="false" ht="15" hidden="false" customHeight="false" outlineLevel="0" collapsed="false">
      <c r="A4517" s="28" t="s">
        <v>200</v>
      </c>
      <c r="B4517" s="28" t="s">
        <v>201</v>
      </c>
      <c r="C4517" s="28" t="s">
        <v>202</v>
      </c>
      <c r="D4517" s="23" t="n">
        <v>13</v>
      </c>
      <c r="E4517" s="23" t="n">
        <v>22</v>
      </c>
      <c r="F4517" s="28" t="s">
        <v>909</v>
      </c>
      <c r="G4517" s="19" t="n">
        <v>0.049321</v>
      </c>
    </row>
    <row r="4518" customFormat="false" ht="15" hidden="false" customHeight="false" outlineLevel="0" collapsed="false">
      <c r="A4518" s="28" t="s">
        <v>200</v>
      </c>
      <c r="B4518" s="28" t="s">
        <v>201</v>
      </c>
      <c r="C4518" s="28" t="s">
        <v>202</v>
      </c>
      <c r="D4518" s="23" t="n">
        <v>13</v>
      </c>
      <c r="E4518" s="23" t="n">
        <v>22</v>
      </c>
      <c r="F4518" s="28" t="s">
        <v>910</v>
      </c>
      <c r="G4518" s="19" t="n">
        <v>0.051772</v>
      </c>
    </row>
    <row r="4519" customFormat="false" ht="15" hidden="false" customHeight="false" outlineLevel="0" collapsed="false">
      <c r="A4519" s="28" t="s">
        <v>200</v>
      </c>
      <c r="B4519" s="28" t="s">
        <v>201</v>
      </c>
      <c r="C4519" s="28" t="s">
        <v>202</v>
      </c>
      <c r="D4519" s="23" t="n">
        <v>13</v>
      </c>
      <c r="E4519" s="23" t="n">
        <v>22</v>
      </c>
      <c r="F4519" s="28" t="s">
        <v>911</v>
      </c>
      <c r="G4519" s="19" t="n">
        <v>0.054923</v>
      </c>
    </row>
    <row r="4520" customFormat="false" ht="15" hidden="false" customHeight="false" outlineLevel="0" collapsed="false">
      <c r="A4520" s="28" t="s">
        <v>200</v>
      </c>
      <c r="B4520" s="28" t="s">
        <v>201</v>
      </c>
      <c r="C4520" s="28" t="s">
        <v>202</v>
      </c>
      <c r="D4520" s="23" t="n">
        <v>13</v>
      </c>
      <c r="E4520" s="23" t="n">
        <v>22</v>
      </c>
      <c r="F4520" s="28" t="s">
        <v>912</v>
      </c>
      <c r="G4520" s="19" t="n">
        <v>0.0594</v>
      </c>
    </row>
    <row r="4521" customFormat="false" ht="15" hidden="false" customHeight="false" outlineLevel="0" collapsed="false">
      <c r="A4521" s="28" t="s">
        <v>200</v>
      </c>
      <c r="B4521" s="28" t="s">
        <v>201</v>
      </c>
      <c r="C4521" s="28" t="s">
        <v>202</v>
      </c>
      <c r="D4521" s="23" t="n">
        <v>13</v>
      </c>
      <c r="E4521" s="23" t="n">
        <v>22</v>
      </c>
      <c r="F4521" s="28" t="s">
        <v>913</v>
      </c>
      <c r="G4521" s="19" t="n">
        <v>0.0643</v>
      </c>
    </row>
    <row r="4522" customFormat="false" ht="15" hidden="false" customHeight="false" outlineLevel="0" collapsed="false">
      <c r="A4522" s="28" t="s">
        <v>200</v>
      </c>
      <c r="B4522" s="28" t="s">
        <v>201</v>
      </c>
      <c r="C4522" s="28" t="s">
        <v>202</v>
      </c>
      <c r="D4522" s="23" t="n">
        <v>13</v>
      </c>
      <c r="E4522" s="23" t="n">
        <v>22</v>
      </c>
      <c r="F4522" s="28" t="s">
        <v>914</v>
      </c>
      <c r="G4522" s="19" t="n">
        <v>0.0641</v>
      </c>
    </row>
    <row r="4523" customFormat="false" ht="15" hidden="false" customHeight="false" outlineLevel="0" collapsed="false">
      <c r="A4523" s="28" t="s">
        <v>200</v>
      </c>
      <c r="B4523" s="28" t="s">
        <v>201</v>
      </c>
      <c r="C4523" s="28" t="s">
        <v>202</v>
      </c>
      <c r="D4523" s="23" t="n">
        <v>13</v>
      </c>
      <c r="E4523" s="23" t="n">
        <v>22</v>
      </c>
      <c r="F4523" s="28" t="s">
        <v>915</v>
      </c>
      <c r="G4523" s="19" t="n">
        <v>0.0799</v>
      </c>
    </row>
    <row r="4524" customFormat="false" ht="15" hidden="false" customHeight="false" outlineLevel="0" collapsed="false">
      <c r="A4524" s="28" t="s">
        <v>200</v>
      </c>
      <c r="B4524" s="28" t="s">
        <v>201</v>
      </c>
      <c r="C4524" s="28" t="s">
        <v>202</v>
      </c>
      <c r="D4524" s="23" t="n">
        <v>13</v>
      </c>
      <c r="E4524" s="23" t="n">
        <v>23</v>
      </c>
      <c r="F4524" s="28" t="s">
        <v>904</v>
      </c>
      <c r="G4524" s="19" t="n">
        <v>0.0413</v>
      </c>
    </row>
    <row r="4525" customFormat="false" ht="15" hidden="false" customHeight="false" outlineLevel="0" collapsed="false">
      <c r="A4525" s="28" t="s">
        <v>200</v>
      </c>
      <c r="B4525" s="28" t="s">
        <v>201</v>
      </c>
      <c r="C4525" s="28" t="s">
        <v>202</v>
      </c>
      <c r="D4525" s="23" t="n">
        <v>13</v>
      </c>
      <c r="E4525" s="23" t="n">
        <v>23</v>
      </c>
      <c r="F4525" s="28" t="s">
        <v>551</v>
      </c>
      <c r="G4525" s="19" t="n">
        <v>0.0725</v>
      </c>
    </row>
    <row r="4526" customFormat="false" ht="15" hidden="false" customHeight="false" outlineLevel="0" collapsed="false">
      <c r="A4526" s="28" t="s">
        <v>200</v>
      </c>
      <c r="B4526" s="28" t="s">
        <v>201</v>
      </c>
      <c r="C4526" s="28" t="s">
        <v>202</v>
      </c>
      <c r="D4526" s="23" t="n">
        <v>13</v>
      </c>
      <c r="E4526" s="23" t="n">
        <v>23</v>
      </c>
      <c r="F4526" s="28" t="s">
        <v>451</v>
      </c>
      <c r="G4526" s="19" t="n">
        <v>0.0411</v>
      </c>
    </row>
    <row r="4527" customFormat="false" ht="15" hidden="false" customHeight="false" outlineLevel="0" collapsed="false">
      <c r="A4527" s="28" t="s">
        <v>200</v>
      </c>
      <c r="B4527" s="28" t="s">
        <v>201</v>
      </c>
      <c r="C4527" s="28" t="s">
        <v>202</v>
      </c>
      <c r="D4527" s="23" t="n">
        <v>13</v>
      </c>
      <c r="E4527" s="23" t="n">
        <v>23</v>
      </c>
      <c r="F4527" s="28" t="s">
        <v>905</v>
      </c>
      <c r="G4527" s="19" t="n">
        <v>0.0437</v>
      </c>
    </row>
    <row r="4528" customFormat="false" ht="15" hidden="false" customHeight="false" outlineLevel="0" collapsed="false">
      <c r="A4528" s="28" t="s">
        <v>200</v>
      </c>
      <c r="B4528" s="28" t="s">
        <v>201</v>
      </c>
      <c r="C4528" s="28" t="s">
        <v>202</v>
      </c>
      <c r="D4528" s="23" t="n">
        <v>13</v>
      </c>
      <c r="E4528" s="23" t="n">
        <v>23</v>
      </c>
      <c r="F4528" s="28" t="s">
        <v>906</v>
      </c>
      <c r="G4528" s="19" t="n">
        <v>0.045356</v>
      </c>
    </row>
    <row r="4529" customFormat="false" ht="15" hidden="false" customHeight="false" outlineLevel="0" collapsed="false">
      <c r="A4529" s="28" t="s">
        <v>200</v>
      </c>
      <c r="B4529" s="28" t="s">
        <v>201</v>
      </c>
      <c r="C4529" s="28" t="s">
        <v>202</v>
      </c>
      <c r="D4529" s="23" t="n">
        <v>13</v>
      </c>
      <c r="E4529" s="23" t="n">
        <v>23</v>
      </c>
      <c r="F4529" s="28" t="s">
        <v>907</v>
      </c>
      <c r="G4529" s="19" t="n">
        <v>0.045569</v>
      </c>
    </row>
    <row r="4530" customFormat="false" ht="15" hidden="false" customHeight="false" outlineLevel="0" collapsed="false">
      <c r="A4530" s="28" t="s">
        <v>200</v>
      </c>
      <c r="B4530" s="28" t="s">
        <v>201</v>
      </c>
      <c r="C4530" s="28" t="s">
        <v>202</v>
      </c>
      <c r="D4530" s="23" t="n">
        <v>13</v>
      </c>
      <c r="E4530" s="23" t="n">
        <v>23</v>
      </c>
      <c r="F4530" s="28" t="s">
        <v>908</v>
      </c>
      <c r="G4530" s="19" t="n">
        <v>0.048195</v>
      </c>
    </row>
    <row r="4531" customFormat="false" ht="15" hidden="false" customHeight="false" outlineLevel="0" collapsed="false">
      <c r="A4531" s="28" t="s">
        <v>200</v>
      </c>
      <c r="B4531" s="28" t="s">
        <v>201</v>
      </c>
      <c r="C4531" s="28" t="s">
        <v>202</v>
      </c>
      <c r="D4531" s="23" t="n">
        <v>13</v>
      </c>
      <c r="E4531" s="23" t="n">
        <v>23</v>
      </c>
      <c r="F4531" s="28" t="s">
        <v>909</v>
      </c>
      <c r="G4531" s="19" t="n">
        <v>0.049321</v>
      </c>
    </row>
    <row r="4532" customFormat="false" ht="15" hidden="false" customHeight="false" outlineLevel="0" collapsed="false">
      <c r="A4532" s="28" t="s">
        <v>200</v>
      </c>
      <c r="B4532" s="28" t="s">
        <v>201</v>
      </c>
      <c r="C4532" s="28" t="s">
        <v>202</v>
      </c>
      <c r="D4532" s="23" t="n">
        <v>13</v>
      </c>
      <c r="E4532" s="23" t="n">
        <v>23</v>
      </c>
      <c r="F4532" s="28" t="s">
        <v>910</v>
      </c>
      <c r="G4532" s="19" t="n">
        <v>0.051772</v>
      </c>
    </row>
    <row r="4533" customFormat="false" ht="15" hidden="false" customHeight="false" outlineLevel="0" collapsed="false">
      <c r="A4533" s="28" t="s">
        <v>200</v>
      </c>
      <c r="B4533" s="28" t="s">
        <v>201</v>
      </c>
      <c r="C4533" s="28" t="s">
        <v>202</v>
      </c>
      <c r="D4533" s="23" t="n">
        <v>13</v>
      </c>
      <c r="E4533" s="23" t="n">
        <v>23</v>
      </c>
      <c r="F4533" s="28" t="s">
        <v>911</v>
      </c>
      <c r="G4533" s="19" t="n">
        <v>0.054923</v>
      </c>
    </row>
    <row r="4534" customFormat="false" ht="15" hidden="false" customHeight="false" outlineLevel="0" collapsed="false">
      <c r="A4534" s="28" t="s">
        <v>200</v>
      </c>
      <c r="B4534" s="28" t="s">
        <v>201</v>
      </c>
      <c r="C4534" s="28" t="s">
        <v>202</v>
      </c>
      <c r="D4534" s="23" t="n">
        <v>13</v>
      </c>
      <c r="E4534" s="23" t="n">
        <v>23</v>
      </c>
      <c r="F4534" s="28" t="s">
        <v>912</v>
      </c>
      <c r="G4534" s="19" t="n">
        <v>0.0594</v>
      </c>
    </row>
    <row r="4535" customFormat="false" ht="15" hidden="false" customHeight="false" outlineLevel="0" collapsed="false">
      <c r="A4535" s="28" t="s">
        <v>200</v>
      </c>
      <c r="B4535" s="28" t="s">
        <v>201</v>
      </c>
      <c r="C4535" s="28" t="s">
        <v>202</v>
      </c>
      <c r="D4535" s="23" t="n">
        <v>13</v>
      </c>
      <c r="E4535" s="23" t="n">
        <v>23</v>
      </c>
      <c r="F4535" s="28" t="s">
        <v>913</v>
      </c>
      <c r="G4535" s="19" t="n">
        <v>0.0643</v>
      </c>
    </row>
    <row r="4536" customFormat="false" ht="15" hidden="false" customHeight="false" outlineLevel="0" collapsed="false">
      <c r="A4536" s="28" t="s">
        <v>200</v>
      </c>
      <c r="B4536" s="28" t="s">
        <v>201</v>
      </c>
      <c r="C4536" s="28" t="s">
        <v>202</v>
      </c>
      <c r="D4536" s="23" t="n">
        <v>13</v>
      </c>
      <c r="E4536" s="23" t="n">
        <v>23</v>
      </c>
      <c r="F4536" s="28" t="s">
        <v>914</v>
      </c>
      <c r="G4536" s="19" t="n">
        <v>0.0641</v>
      </c>
    </row>
    <row r="4537" customFormat="false" ht="15" hidden="false" customHeight="false" outlineLevel="0" collapsed="false">
      <c r="A4537" s="28" t="s">
        <v>200</v>
      </c>
      <c r="B4537" s="28" t="s">
        <v>201</v>
      </c>
      <c r="C4537" s="28" t="s">
        <v>202</v>
      </c>
      <c r="D4537" s="23" t="n">
        <v>13</v>
      </c>
      <c r="E4537" s="23" t="n">
        <v>23</v>
      </c>
      <c r="F4537" s="28" t="s">
        <v>915</v>
      </c>
      <c r="G4537" s="19" t="n">
        <v>0.0799</v>
      </c>
    </row>
    <row r="4538" customFormat="false" ht="15" hidden="false" customHeight="false" outlineLevel="0" collapsed="false">
      <c r="A4538" s="28" t="s">
        <v>200</v>
      </c>
      <c r="B4538" s="28" t="s">
        <v>201</v>
      </c>
      <c r="C4538" s="28" t="s">
        <v>202</v>
      </c>
      <c r="D4538" s="23" t="n">
        <v>13</v>
      </c>
      <c r="E4538" s="23" t="n">
        <v>24</v>
      </c>
      <c r="F4538" s="28" t="s">
        <v>904</v>
      </c>
      <c r="G4538" s="19" t="n">
        <v>0.0413</v>
      </c>
    </row>
    <row r="4539" customFormat="false" ht="15" hidden="false" customHeight="false" outlineLevel="0" collapsed="false">
      <c r="A4539" s="28" t="s">
        <v>200</v>
      </c>
      <c r="B4539" s="28" t="s">
        <v>201</v>
      </c>
      <c r="C4539" s="28" t="s">
        <v>202</v>
      </c>
      <c r="D4539" s="23" t="n">
        <v>13</v>
      </c>
      <c r="E4539" s="23" t="n">
        <v>24</v>
      </c>
      <c r="F4539" s="28" t="s">
        <v>551</v>
      </c>
      <c r="G4539" s="19" t="n">
        <v>0.0725</v>
      </c>
    </row>
    <row r="4540" customFormat="false" ht="15" hidden="false" customHeight="false" outlineLevel="0" collapsed="false">
      <c r="A4540" s="28" t="s">
        <v>200</v>
      </c>
      <c r="B4540" s="28" t="s">
        <v>201</v>
      </c>
      <c r="C4540" s="28" t="s">
        <v>202</v>
      </c>
      <c r="D4540" s="23" t="n">
        <v>13</v>
      </c>
      <c r="E4540" s="23" t="n">
        <v>24</v>
      </c>
      <c r="F4540" s="28" t="s">
        <v>451</v>
      </c>
      <c r="G4540" s="19" t="n">
        <v>0.0411</v>
      </c>
    </row>
    <row r="4541" customFormat="false" ht="15" hidden="false" customHeight="false" outlineLevel="0" collapsed="false">
      <c r="A4541" s="28" t="s">
        <v>200</v>
      </c>
      <c r="B4541" s="28" t="s">
        <v>201</v>
      </c>
      <c r="C4541" s="28" t="s">
        <v>202</v>
      </c>
      <c r="D4541" s="23" t="n">
        <v>13</v>
      </c>
      <c r="E4541" s="23" t="n">
        <v>24</v>
      </c>
      <c r="F4541" s="28" t="s">
        <v>905</v>
      </c>
      <c r="G4541" s="19" t="n">
        <v>0.0437</v>
      </c>
    </row>
    <row r="4542" customFormat="false" ht="15" hidden="false" customHeight="false" outlineLevel="0" collapsed="false">
      <c r="A4542" s="28" t="s">
        <v>200</v>
      </c>
      <c r="B4542" s="28" t="s">
        <v>201</v>
      </c>
      <c r="C4542" s="28" t="s">
        <v>202</v>
      </c>
      <c r="D4542" s="23" t="n">
        <v>13</v>
      </c>
      <c r="E4542" s="23" t="n">
        <v>24</v>
      </c>
      <c r="F4542" s="28" t="s">
        <v>906</v>
      </c>
      <c r="G4542" s="19" t="n">
        <v>0.045356</v>
      </c>
    </row>
    <row r="4543" customFormat="false" ht="15" hidden="false" customHeight="false" outlineLevel="0" collapsed="false">
      <c r="A4543" s="28" t="s">
        <v>200</v>
      </c>
      <c r="B4543" s="28" t="s">
        <v>201</v>
      </c>
      <c r="C4543" s="28" t="s">
        <v>202</v>
      </c>
      <c r="D4543" s="23" t="n">
        <v>13</v>
      </c>
      <c r="E4543" s="23" t="n">
        <v>24</v>
      </c>
      <c r="F4543" s="28" t="s">
        <v>907</v>
      </c>
      <c r="G4543" s="19" t="n">
        <v>0.045569</v>
      </c>
    </row>
    <row r="4544" customFormat="false" ht="15" hidden="false" customHeight="false" outlineLevel="0" collapsed="false">
      <c r="A4544" s="28" t="s">
        <v>200</v>
      </c>
      <c r="B4544" s="28" t="s">
        <v>201</v>
      </c>
      <c r="C4544" s="28" t="s">
        <v>202</v>
      </c>
      <c r="D4544" s="23" t="n">
        <v>13</v>
      </c>
      <c r="E4544" s="23" t="n">
        <v>24</v>
      </c>
      <c r="F4544" s="28" t="s">
        <v>908</v>
      </c>
      <c r="G4544" s="19" t="n">
        <v>0.048195</v>
      </c>
    </row>
    <row r="4545" customFormat="false" ht="15" hidden="false" customHeight="false" outlineLevel="0" collapsed="false">
      <c r="A4545" s="28" t="s">
        <v>200</v>
      </c>
      <c r="B4545" s="28" t="s">
        <v>201</v>
      </c>
      <c r="C4545" s="28" t="s">
        <v>202</v>
      </c>
      <c r="D4545" s="23" t="n">
        <v>13</v>
      </c>
      <c r="E4545" s="23" t="n">
        <v>24</v>
      </c>
      <c r="F4545" s="28" t="s">
        <v>909</v>
      </c>
      <c r="G4545" s="19" t="n">
        <v>0.049321</v>
      </c>
    </row>
    <row r="4546" customFormat="false" ht="15" hidden="false" customHeight="false" outlineLevel="0" collapsed="false">
      <c r="A4546" s="28" t="s">
        <v>200</v>
      </c>
      <c r="B4546" s="28" t="s">
        <v>201</v>
      </c>
      <c r="C4546" s="28" t="s">
        <v>202</v>
      </c>
      <c r="D4546" s="23" t="n">
        <v>13</v>
      </c>
      <c r="E4546" s="23" t="n">
        <v>24</v>
      </c>
      <c r="F4546" s="28" t="s">
        <v>910</v>
      </c>
      <c r="G4546" s="19" t="n">
        <v>0.051772</v>
      </c>
    </row>
    <row r="4547" customFormat="false" ht="15" hidden="false" customHeight="false" outlineLevel="0" collapsed="false">
      <c r="A4547" s="28" t="s">
        <v>200</v>
      </c>
      <c r="B4547" s="28" t="s">
        <v>201</v>
      </c>
      <c r="C4547" s="28" t="s">
        <v>202</v>
      </c>
      <c r="D4547" s="23" t="n">
        <v>13</v>
      </c>
      <c r="E4547" s="23" t="n">
        <v>24</v>
      </c>
      <c r="F4547" s="28" t="s">
        <v>911</v>
      </c>
      <c r="G4547" s="19" t="n">
        <v>0.054923</v>
      </c>
    </row>
    <row r="4548" customFormat="false" ht="15" hidden="false" customHeight="false" outlineLevel="0" collapsed="false">
      <c r="A4548" s="28" t="s">
        <v>200</v>
      </c>
      <c r="B4548" s="28" t="s">
        <v>201</v>
      </c>
      <c r="C4548" s="28" t="s">
        <v>202</v>
      </c>
      <c r="D4548" s="23" t="n">
        <v>13</v>
      </c>
      <c r="E4548" s="23" t="n">
        <v>24</v>
      </c>
      <c r="F4548" s="28" t="s">
        <v>912</v>
      </c>
      <c r="G4548" s="19" t="n">
        <v>0.0594</v>
      </c>
    </row>
    <row r="4549" customFormat="false" ht="15" hidden="false" customHeight="false" outlineLevel="0" collapsed="false">
      <c r="A4549" s="28" t="s">
        <v>200</v>
      </c>
      <c r="B4549" s="28" t="s">
        <v>201</v>
      </c>
      <c r="C4549" s="28" t="s">
        <v>202</v>
      </c>
      <c r="D4549" s="23" t="n">
        <v>13</v>
      </c>
      <c r="E4549" s="23" t="n">
        <v>24</v>
      </c>
      <c r="F4549" s="28" t="s">
        <v>913</v>
      </c>
      <c r="G4549" s="19" t="n">
        <v>0.0643</v>
      </c>
    </row>
    <row r="4550" customFormat="false" ht="15" hidden="false" customHeight="false" outlineLevel="0" collapsed="false">
      <c r="A4550" s="28" t="s">
        <v>200</v>
      </c>
      <c r="B4550" s="28" t="s">
        <v>201</v>
      </c>
      <c r="C4550" s="28" t="s">
        <v>202</v>
      </c>
      <c r="D4550" s="23" t="n">
        <v>13</v>
      </c>
      <c r="E4550" s="23" t="n">
        <v>24</v>
      </c>
      <c r="F4550" s="28" t="s">
        <v>914</v>
      </c>
      <c r="G4550" s="19" t="n">
        <v>0.0641</v>
      </c>
    </row>
    <row r="4551" customFormat="false" ht="15" hidden="false" customHeight="false" outlineLevel="0" collapsed="false">
      <c r="A4551" s="28" t="s">
        <v>200</v>
      </c>
      <c r="B4551" s="28" t="s">
        <v>201</v>
      </c>
      <c r="C4551" s="28" t="s">
        <v>202</v>
      </c>
      <c r="D4551" s="23" t="n">
        <v>13</v>
      </c>
      <c r="E4551" s="23" t="n">
        <v>24</v>
      </c>
      <c r="F4551" s="28" t="s">
        <v>915</v>
      </c>
      <c r="G4551" s="19" t="n">
        <v>0.0799</v>
      </c>
    </row>
    <row r="4552" customFormat="false" ht="15" hidden="false" customHeight="false" outlineLevel="0" collapsed="false">
      <c r="A4552" s="28" t="s">
        <v>203</v>
      </c>
      <c r="B4552" s="28" t="s">
        <v>204</v>
      </c>
      <c r="C4552" s="28" t="s">
        <v>202</v>
      </c>
      <c r="D4552" s="23" t="n">
        <v>14</v>
      </c>
      <c r="E4552" s="23" t="n">
        <v>0</v>
      </c>
      <c r="F4552" s="28" t="s">
        <v>904</v>
      </c>
      <c r="G4552" s="19" t="n">
        <v>0.0363</v>
      </c>
    </row>
    <row r="4553" customFormat="false" ht="15" hidden="false" customHeight="false" outlineLevel="0" collapsed="false">
      <c r="A4553" s="28" t="s">
        <v>203</v>
      </c>
      <c r="B4553" s="28" t="s">
        <v>204</v>
      </c>
      <c r="C4553" s="28" t="s">
        <v>202</v>
      </c>
      <c r="D4553" s="23" t="n">
        <v>14</v>
      </c>
      <c r="E4553" s="23" t="n">
        <v>0</v>
      </c>
      <c r="F4553" s="28" t="s">
        <v>551</v>
      </c>
      <c r="G4553" s="19" t="n">
        <v>0.0675</v>
      </c>
    </row>
    <row r="4554" customFormat="false" ht="15" hidden="false" customHeight="false" outlineLevel="0" collapsed="false">
      <c r="A4554" s="28" t="s">
        <v>203</v>
      </c>
      <c r="B4554" s="28" t="s">
        <v>204</v>
      </c>
      <c r="C4554" s="28" t="s">
        <v>202</v>
      </c>
      <c r="D4554" s="23" t="n">
        <v>14</v>
      </c>
      <c r="E4554" s="23" t="n">
        <v>0</v>
      </c>
      <c r="F4554" s="28" t="s">
        <v>451</v>
      </c>
      <c r="G4554" s="19" t="n">
        <v>0.0361</v>
      </c>
    </row>
    <row r="4555" customFormat="false" ht="15" hidden="false" customHeight="false" outlineLevel="0" collapsed="false">
      <c r="A4555" s="28" t="s">
        <v>203</v>
      </c>
      <c r="B4555" s="28" t="s">
        <v>204</v>
      </c>
      <c r="C4555" s="28" t="s">
        <v>202</v>
      </c>
      <c r="D4555" s="23" t="n">
        <v>14</v>
      </c>
      <c r="E4555" s="23" t="n">
        <v>0</v>
      </c>
      <c r="F4555" s="28" t="s">
        <v>905</v>
      </c>
      <c r="G4555" s="19" t="n">
        <v>0.0387</v>
      </c>
    </row>
    <row r="4556" customFormat="false" ht="15" hidden="false" customHeight="false" outlineLevel="0" collapsed="false">
      <c r="A4556" s="28" t="s">
        <v>203</v>
      </c>
      <c r="B4556" s="28" t="s">
        <v>204</v>
      </c>
      <c r="C4556" s="28" t="s">
        <v>202</v>
      </c>
      <c r="D4556" s="23" t="n">
        <v>14</v>
      </c>
      <c r="E4556" s="23" t="n">
        <v>0</v>
      </c>
      <c r="F4556" s="28" t="s">
        <v>906</v>
      </c>
      <c r="G4556" s="19" t="n">
        <v>0.039844</v>
      </c>
    </row>
    <row r="4557" customFormat="false" ht="15" hidden="false" customHeight="false" outlineLevel="0" collapsed="false">
      <c r="A4557" s="28" t="s">
        <v>203</v>
      </c>
      <c r="B4557" s="28" t="s">
        <v>204</v>
      </c>
      <c r="C4557" s="28" t="s">
        <v>202</v>
      </c>
      <c r="D4557" s="23" t="n">
        <v>14</v>
      </c>
      <c r="E4557" s="23" t="n">
        <v>0</v>
      </c>
      <c r="F4557" s="28" t="s">
        <v>907</v>
      </c>
      <c r="G4557" s="19" t="n">
        <v>0.039031</v>
      </c>
    </row>
    <row r="4558" customFormat="false" ht="15" hidden="false" customHeight="false" outlineLevel="0" collapsed="false">
      <c r="A4558" s="28" t="s">
        <v>203</v>
      </c>
      <c r="B4558" s="28" t="s">
        <v>204</v>
      </c>
      <c r="C4558" s="28" t="s">
        <v>202</v>
      </c>
      <c r="D4558" s="23" t="n">
        <v>14</v>
      </c>
      <c r="E4558" s="23" t="n">
        <v>0</v>
      </c>
      <c r="F4558" s="28" t="s">
        <v>908</v>
      </c>
      <c r="G4558" s="19" t="n">
        <v>0.039605</v>
      </c>
    </row>
    <row r="4559" customFormat="false" ht="15" hidden="false" customHeight="false" outlineLevel="0" collapsed="false">
      <c r="A4559" s="28" t="s">
        <v>203</v>
      </c>
      <c r="B4559" s="28" t="s">
        <v>204</v>
      </c>
      <c r="C4559" s="28" t="s">
        <v>202</v>
      </c>
      <c r="D4559" s="23" t="n">
        <v>14</v>
      </c>
      <c r="E4559" s="23" t="n">
        <v>0</v>
      </c>
      <c r="F4559" s="28" t="s">
        <v>909</v>
      </c>
      <c r="G4559" s="19" t="n">
        <v>0.038679</v>
      </c>
    </row>
    <row r="4560" customFormat="false" ht="15" hidden="false" customHeight="false" outlineLevel="0" collapsed="false">
      <c r="A4560" s="28" t="s">
        <v>203</v>
      </c>
      <c r="B4560" s="28" t="s">
        <v>204</v>
      </c>
      <c r="C4560" s="28" t="s">
        <v>202</v>
      </c>
      <c r="D4560" s="23" t="n">
        <v>14</v>
      </c>
      <c r="E4560" s="23" t="n">
        <v>0</v>
      </c>
      <c r="F4560" s="28" t="s">
        <v>910</v>
      </c>
      <c r="G4560" s="19" t="n">
        <v>0.037028</v>
      </c>
    </row>
    <row r="4561" customFormat="false" ht="15" hidden="false" customHeight="false" outlineLevel="0" collapsed="false">
      <c r="A4561" s="28" t="s">
        <v>203</v>
      </c>
      <c r="B4561" s="28" t="s">
        <v>204</v>
      </c>
      <c r="C4561" s="28" t="s">
        <v>202</v>
      </c>
      <c r="D4561" s="23" t="n">
        <v>14</v>
      </c>
      <c r="E4561" s="23" t="n">
        <v>0</v>
      </c>
      <c r="F4561" s="28" t="s">
        <v>911</v>
      </c>
      <c r="G4561" s="19" t="n">
        <v>0.036077</v>
      </c>
    </row>
    <row r="4562" customFormat="false" ht="15" hidden="false" customHeight="false" outlineLevel="0" collapsed="false">
      <c r="A4562" s="28" t="s">
        <v>203</v>
      </c>
      <c r="B4562" s="28" t="s">
        <v>204</v>
      </c>
      <c r="C4562" s="28" t="s">
        <v>202</v>
      </c>
      <c r="D4562" s="23" t="n">
        <v>14</v>
      </c>
      <c r="E4562" s="23" t="n">
        <v>0</v>
      </c>
      <c r="F4562" s="28" t="s">
        <v>912</v>
      </c>
      <c r="G4562" s="19" t="n">
        <v>0.0344</v>
      </c>
    </row>
    <row r="4563" customFormat="false" ht="15" hidden="false" customHeight="false" outlineLevel="0" collapsed="false">
      <c r="A4563" s="28" t="s">
        <v>203</v>
      </c>
      <c r="B4563" s="28" t="s">
        <v>204</v>
      </c>
      <c r="C4563" s="28" t="s">
        <v>202</v>
      </c>
      <c r="D4563" s="23" t="n">
        <v>14</v>
      </c>
      <c r="E4563" s="23" t="n">
        <v>0</v>
      </c>
      <c r="F4563" s="28" t="s">
        <v>913</v>
      </c>
      <c r="G4563" s="19" t="n">
        <v>0.0393</v>
      </c>
    </row>
    <row r="4564" customFormat="false" ht="15" hidden="false" customHeight="false" outlineLevel="0" collapsed="false">
      <c r="A4564" s="28" t="s">
        <v>203</v>
      </c>
      <c r="B4564" s="28" t="s">
        <v>204</v>
      </c>
      <c r="C4564" s="28" t="s">
        <v>202</v>
      </c>
      <c r="D4564" s="23" t="n">
        <v>14</v>
      </c>
      <c r="E4564" s="23" t="n">
        <v>0</v>
      </c>
      <c r="F4564" s="28" t="s">
        <v>914</v>
      </c>
      <c r="G4564" s="19" t="n">
        <v>0.0391</v>
      </c>
    </row>
    <row r="4565" customFormat="false" ht="15" hidden="false" customHeight="false" outlineLevel="0" collapsed="false">
      <c r="A4565" s="28" t="s">
        <v>203</v>
      </c>
      <c r="B4565" s="28" t="s">
        <v>204</v>
      </c>
      <c r="C4565" s="28" t="s">
        <v>202</v>
      </c>
      <c r="D4565" s="23" t="n">
        <v>14</v>
      </c>
      <c r="E4565" s="23" t="n">
        <v>0</v>
      </c>
      <c r="F4565" s="28" t="s">
        <v>915</v>
      </c>
      <c r="G4565" s="19" t="n">
        <v>0.0549</v>
      </c>
    </row>
    <row r="4566" customFormat="false" ht="15" hidden="false" customHeight="false" outlineLevel="0" collapsed="false">
      <c r="A4566" s="28" t="s">
        <v>203</v>
      </c>
      <c r="B4566" s="28" t="s">
        <v>204</v>
      </c>
      <c r="C4566" s="28" t="s">
        <v>202</v>
      </c>
      <c r="D4566" s="23" t="n">
        <v>14</v>
      </c>
      <c r="E4566" s="23" t="n">
        <v>1</v>
      </c>
      <c r="F4566" s="28" t="s">
        <v>904</v>
      </c>
      <c r="G4566" s="19" t="n">
        <v>0.0363</v>
      </c>
    </row>
    <row r="4567" customFormat="false" ht="15" hidden="false" customHeight="false" outlineLevel="0" collapsed="false">
      <c r="A4567" s="28" t="s">
        <v>203</v>
      </c>
      <c r="B4567" s="28" t="s">
        <v>204</v>
      </c>
      <c r="C4567" s="28" t="s">
        <v>202</v>
      </c>
      <c r="D4567" s="23" t="n">
        <v>14</v>
      </c>
      <c r="E4567" s="23" t="n">
        <v>1</v>
      </c>
      <c r="F4567" s="28" t="s">
        <v>551</v>
      </c>
      <c r="G4567" s="19" t="n">
        <v>0.0675</v>
      </c>
    </row>
    <row r="4568" customFormat="false" ht="15" hidden="false" customHeight="false" outlineLevel="0" collapsed="false">
      <c r="A4568" s="28" t="s">
        <v>203</v>
      </c>
      <c r="B4568" s="28" t="s">
        <v>204</v>
      </c>
      <c r="C4568" s="28" t="s">
        <v>202</v>
      </c>
      <c r="D4568" s="23" t="n">
        <v>14</v>
      </c>
      <c r="E4568" s="23" t="n">
        <v>1</v>
      </c>
      <c r="F4568" s="28" t="s">
        <v>451</v>
      </c>
      <c r="G4568" s="19" t="n">
        <v>0.0361</v>
      </c>
    </row>
    <row r="4569" customFormat="false" ht="15" hidden="false" customHeight="false" outlineLevel="0" collapsed="false">
      <c r="A4569" s="28" t="s">
        <v>203</v>
      </c>
      <c r="B4569" s="28" t="s">
        <v>204</v>
      </c>
      <c r="C4569" s="28" t="s">
        <v>202</v>
      </c>
      <c r="D4569" s="23" t="n">
        <v>14</v>
      </c>
      <c r="E4569" s="23" t="n">
        <v>1</v>
      </c>
      <c r="F4569" s="28" t="s">
        <v>905</v>
      </c>
      <c r="G4569" s="19" t="n">
        <v>0.0387</v>
      </c>
    </row>
    <row r="4570" customFormat="false" ht="15" hidden="false" customHeight="false" outlineLevel="0" collapsed="false">
      <c r="A4570" s="28" t="s">
        <v>203</v>
      </c>
      <c r="B4570" s="28" t="s">
        <v>204</v>
      </c>
      <c r="C4570" s="28" t="s">
        <v>202</v>
      </c>
      <c r="D4570" s="23" t="n">
        <v>14</v>
      </c>
      <c r="E4570" s="23" t="n">
        <v>1</v>
      </c>
      <c r="F4570" s="28" t="s">
        <v>906</v>
      </c>
      <c r="G4570" s="19" t="n">
        <v>0.039844</v>
      </c>
    </row>
    <row r="4571" customFormat="false" ht="15" hidden="false" customHeight="false" outlineLevel="0" collapsed="false">
      <c r="A4571" s="28" t="s">
        <v>203</v>
      </c>
      <c r="B4571" s="28" t="s">
        <v>204</v>
      </c>
      <c r="C4571" s="28" t="s">
        <v>202</v>
      </c>
      <c r="D4571" s="23" t="n">
        <v>14</v>
      </c>
      <c r="E4571" s="23" t="n">
        <v>1</v>
      </c>
      <c r="F4571" s="28" t="s">
        <v>907</v>
      </c>
      <c r="G4571" s="19" t="n">
        <v>0.039031</v>
      </c>
    </row>
    <row r="4572" customFormat="false" ht="15" hidden="false" customHeight="false" outlineLevel="0" collapsed="false">
      <c r="A4572" s="28" t="s">
        <v>203</v>
      </c>
      <c r="B4572" s="28" t="s">
        <v>204</v>
      </c>
      <c r="C4572" s="28" t="s">
        <v>202</v>
      </c>
      <c r="D4572" s="23" t="n">
        <v>14</v>
      </c>
      <c r="E4572" s="23" t="n">
        <v>1</v>
      </c>
      <c r="F4572" s="28" t="s">
        <v>908</v>
      </c>
      <c r="G4572" s="19" t="n">
        <v>0.039605</v>
      </c>
    </row>
    <row r="4573" customFormat="false" ht="15" hidden="false" customHeight="false" outlineLevel="0" collapsed="false">
      <c r="A4573" s="28" t="s">
        <v>203</v>
      </c>
      <c r="B4573" s="28" t="s">
        <v>204</v>
      </c>
      <c r="C4573" s="28" t="s">
        <v>202</v>
      </c>
      <c r="D4573" s="23" t="n">
        <v>14</v>
      </c>
      <c r="E4573" s="23" t="n">
        <v>1</v>
      </c>
      <c r="F4573" s="28" t="s">
        <v>909</v>
      </c>
      <c r="G4573" s="19" t="n">
        <v>0.038679</v>
      </c>
    </row>
    <row r="4574" customFormat="false" ht="15" hidden="false" customHeight="false" outlineLevel="0" collapsed="false">
      <c r="A4574" s="28" t="s">
        <v>203</v>
      </c>
      <c r="B4574" s="28" t="s">
        <v>204</v>
      </c>
      <c r="C4574" s="28" t="s">
        <v>202</v>
      </c>
      <c r="D4574" s="23" t="n">
        <v>14</v>
      </c>
      <c r="E4574" s="23" t="n">
        <v>1</v>
      </c>
      <c r="F4574" s="28" t="s">
        <v>910</v>
      </c>
      <c r="G4574" s="19" t="n">
        <v>0.037028</v>
      </c>
    </row>
    <row r="4575" customFormat="false" ht="15" hidden="false" customHeight="false" outlineLevel="0" collapsed="false">
      <c r="A4575" s="28" t="s">
        <v>203</v>
      </c>
      <c r="B4575" s="28" t="s">
        <v>204</v>
      </c>
      <c r="C4575" s="28" t="s">
        <v>202</v>
      </c>
      <c r="D4575" s="23" t="n">
        <v>14</v>
      </c>
      <c r="E4575" s="23" t="n">
        <v>1</v>
      </c>
      <c r="F4575" s="28" t="s">
        <v>911</v>
      </c>
      <c r="G4575" s="19" t="n">
        <v>0.036077</v>
      </c>
    </row>
    <row r="4576" customFormat="false" ht="15" hidden="false" customHeight="false" outlineLevel="0" collapsed="false">
      <c r="A4576" s="28" t="s">
        <v>203</v>
      </c>
      <c r="B4576" s="28" t="s">
        <v>204</v>
      </c>
      <c r="C4576" s="28" t="s">
        <v>202</v>
      </c>
      <c r="D4576" s="23" t="n">
        <v>14</v>
      </c>
      <c r="E4576" s="23" t="n">
        <v>1</v>
      </c>
      <c r="F4576" s="28" t="s">
        <v>912</v>
      </c>
      <c r="G4576" s="19" t="n">
        <v>0.0344</v>
      </c>
    </row>
    <row r="4577" customFormat="false" ht="15" hidden="false" customHeight="false" outlineLevel="0" collapsed="false">
      <c r="A4577" s="28" t="s">
        <v>203</v>
      </c>
      <c r="B4577" s="28" t="s">
        <v>204</v>
      </c>
      <c r="C4577" s="28" t="s">
        <v>202</v>
      </c>
      <c r="D4577" s="23" t="n">
        <v>14</v>
      </c>
      <c r="E4577" s="23" t="n">
        <v>1</v>
      </c>
      <c r="F4577" s="28" t="s">
        <v>913</v>
      </c>
      <c r="G4577" s="19" t="n">
        <v>0.0393</v>
      </c>
    </row>
    <row r="4578" customFormat="false" ht="15" hidden="false" customHeight="false" outlineLevel="0" collapsed="false">
      <c r="A4578" s="28" t="s">
        <v>203</v>
      </c>
      <c r="B4578" s="28" t="s">
        <v>204</v>
      </c>
      <c r="C4578" s="28" t="s">
        <v>202</v>
      </c>
      <c r="D4578" s="23" t="n">
        <v>14</v>
      </c>
      <c r="E4578" s="23" t="n">
        <v>1</v>
      </c>
      <c r="F4578" s="28" t="s">
        <v>914</v>
      </c>
      <c r="G4578" s="19" t="n">
        <v>0.0391</v>
      </c>
    </row>
    <row r="4579" customFormat="false" ht="15" hidden="false" customHeight="false" outlineLevel="0" collapsed="false">
      <c r="A4579" s="28" t="s">
        <v>203</v>
      </c>
      <c r="B4579" s="28" t="s">
        <v>204</v>
      </c>
      <c r="C4579" s="28" t="s">
        <v>202</v>
      </c>
      <c r="D4579" s="23" t="n">
        <v>14</v>
      </c>
      <c r="E4579" s="23" t="n">
        <v>1</v>
      </c>
      <c r="F4579" s="28" t="s">
        <v>915</v>
      </c>
      <c r="G4579" s="19" t="n">
        <v>0.0549</v>
      </c>
    </row>
    <row r="4580" customFormat="false" ht="15" hidden="false" customHeight="false" outlineLevel="0" collapsed="false">
      <c r="A4580" s="28" t="s">
        <v>203</v>
      </c>
      <c r="B4580" s="28" t="s">
        <v>204</v>
      </c>
      <c r="C4580" s="28" t="s">
        <v>202</v>
      </c>
      <c r="D4580" s="23" t="n">
        <v>14</v>
      </c>
      <c r="E4580" s="23" t="n">
        <v>2</v>
      </c>
      <c r="F4580" s="28" t="s">
        <v>904</v>
      </c>
      <c r="G4580" s="19" t="n">
        <v>0.0363</v>
      </c>
    </row>
    <row r="4581" customFormat="false" ht="15" hidden="false" customHeight="false" outlineLevel="0" collapsed="false">
      <c r="A4581" s="28" t="s">
        <v>203</v>
      </c>
      <c r="B4581" s="28" t="s">
        <v>204</v>
      </c>
      <c r="C4581" s="28" t="s">
        <v>202</v>
      </c>
      <c r="D4581" s="23" t="n">
        <v>14</v>
      </c>
      <c r="E4581" s="23" t="n">
        <v>2</v>
      </c>
      <c r="F4581" s="28" t="s">
        <v>551</v>
      </c>
      <c r="G4581" s="19" t="n">
        <v>0.0675</v>
      </c>
    </row>
    <row r="4582" customFormat="false" ht="15" hidden="false" customHeight="false" outlineLevel="0" collapsed="false">
      <c r="A4582" s="28" t="s">
        <v>203</v>
      </c>
      <c r="B4582" s="28" t="s">
        <v>204</v>
      </c>
      <c r="C4582" s="28" t="s">
        <v>202</v>
      </c>
      <c r="D4582" s="23" t="n">
        <v>14</v>
      </c>
      <c r="E4582" s="23" t="n">
        <v>2</v>
      </c>
      <c r="F4582" s="28" t="s">
        <v>451</v>
      </c>
      <c r="G4582" s="19" t="n">
        <v>0.0361</v>
      </c>
    </row>
    <row r="4583" customFormat="false" ht="15" hidden="false" customHeight="false" outlineLevel="0" collapsed="false">
      <c r="A4583" s="28" t="s">
        <v>203</v>
      </c>
      <c r="B4583" s="28" t="s">
        <v>204</v>
      </c>
      <c r="C4583" s="28" t="s">
        <v>202</v>
      </c>
      <c r="D4583" s="23" t="n">
        <v>14</v>
      </c>
      <c r="E4583" s="23" t="n">
        <v>2</v>
      </c>
      <c r="F4583" s="28" t="s">
        <v>905</v>
      </c>
      <c r="G4583" s="19" t="n">
        <v>0.0387</v>
      </c>
    </row>
    <row r="4584" customFormat="false" ht="15" hidden="false" customHeight="false" outlineLevel="0" collapsed="false">
      <c r="A4584" s="28" t="s">
        <v>203</v>
      </c>
      <c r="B4584" s="28" t="s">
        <v>204</v>
      </c>
      <c r="C4584" s="28" t="s">
        <v>202</v>
      </c>
      <c r="D4584" s="23" t="n">
        <v>14</v>
      </c>
      <c r="E4584" s="23" t="n">
        <v>2</v>
      </c>
      <c r="F4584" s="28" t="s">
        <v>906</v>
      </c>
      <c r="G4584" s="19" t="n">
        <v>0.039844</v>
      </c>
    </row>
    <row r="4585" customFormat="false" ht="15" hidden="false" customHeight="false" outlineLevel="0" collapsed="false">
      <c r="A4585" s="28" t="s">
        <v>203</v>
      </c>
      <c r="B4585" s="28" t="s">
        <v>204</v>
      </c>
      <c r="C4585" s="28" t="s">
        <v>202</v>
      </c>
      <c r="D4585" s="23" t="n">
        <v>14</v>
      </c>
      <c r="E4585" s="23" t="n">
        <v>2</v>
      </c>
      <c r="F4585" s="28" t="s">
        <v>907</v>
      </c>
      <c r="G4585" s="19" t="n">
        <v>0.039031</v>
      </c>
    </row>
    <row r="4586" customFormat="false" ht="15" hidden="false" customHeight="false" outlineLevel="0" collapsed="false">
      <c r="A4586" s="28" t="s">
        <v>203</v>
      </c>
      <c r="B4586" s="28" t="s">
        <v>204</v>
      </c>
      <c r="C4586" s="28" t="s">
        <v>202</v>
      </c>
      <c r="D4586" s="23" t="n">
        <v>14</v>
      </c>
      <c r="E4586" s="23" t="n">
        <v>2</v>
      </c>
      <c r="F4586" s="28" t="s">
        <v>908</v>
      </c>
      <c r="G4586" s="19" t="n">
        <v>0.039605</v>
      </c>
    </row>
    <row r="4587" customFormat="false" ht="15" hidden="false" customHeight="false" outlineLevel="0" collapsed="false">
      <c r="A4587" s="28" t="s">
        <v>203</v>
      </c>
      <c r="B4587" s="28" t="s">
        <v>204</v>
      </c>
      <c r="C4587" s="28" t="s">
        <v>202</v>
      </c>
      <c r="D4587" s="23" t="n">
        <v>14</v>
      </c>
      <c r="E4587" s="23" t="n">
        <v>2</v>
      </c>
      <c r="F4587" s="28" t="s">
        <v>909</v>
      </c>
      <c r="G4587" s="19" t="n">
        <v>0.038679</v>
      </c>
    </row>
    <row r="4588" customFormat="false" ht="15" hidden="false" customHeight="false" outlineLevel="0" collapsed="false">
      <c r="A4588" s="28" t="s">
        <v>203</v>
      </c>
      <c r="B4588" s="28" t="s">
        <v>204</v>
      </c>
      <c r="C4588" s="28" t="s">
        <v>202</v>
      </c>
      <c r="D4588" s="23" t="n">
        <v>14</v>
      </c>
      <c r="E4588" s="23" t="n">
        <v>2</v>
      </c>
      <c r="F4588" s="28" t="s">
        <v>910</v>
      </c>
      <c r="G4588" s="19" t="n">
        <v>0.037028</v>
      </c>
    </row>
    <row r="4589" customFormat="false" ht="15" hidden="false" customHeight="false" outlineLevel="0" collapsed="false">
      <c r="A4589" s="28" t="s">
        <v>203</v>
      </c>
      <c r="B4589" s="28" t="s">
        <v>204</v>
      </c>
      <c r="C4589" s="28" t="s">
        <v>202</v>
      </c>
      <c r="D4589" s="23" t="n">
        <v>14</v>
      </c>
      <c r="E4589" s="23" t="n">
        <v>2</v>
      </c>
      <c r="F4589" s="28" t="s">
        <v>911</v>
      </c>
      <c r="G4589" s="19" t="n">
        <v>0.036077</v>
      </c>
    </row>
    <row r="4590" customFormat="false" ht="15" hidden="false" customHeight="false" outlineLevel="0" collapsed="false">
      <c r="A4590" s="28" t="s">
        <v>203</v>
      </c>
      <c r="B4590" s="28" t="s">
        <v>204</v>
      </c>
      <c r="C4590" s="28" t="s">
        <v>202</v>
      </c>
      <c r="D4590" s="23" t="n">
        <v>14</v>
      </c>
      <c r="E4590" s="23" t="n">
        <v>2</v>
      </c>
      <c r="F4590" s="28" t="s">
        <v>912</v>
      </c>
      <c r="G4590" s="19" t="n">
        <v>0.0344</v>
      </c>
    </row>
    <row r="4591" customFormat="false" ht="15" hidden="false" customHeight="false" outlineLevel="0" collapsed="false">
      <c r="A4591" s="28" t="s">
        <v>203</v>
      </c>
      <c r="B4591" s="28" t="s">
        <v>204</v>
      </c>
      <c r="C4591" s="28" t="s">
        <v>202</v>
      </c>
      <c r="D4591" s="23" t="n">
        <v>14</v>
      </c>
      <c r="E4591" s="23" t="n">
        <v>2</v>
      </c>
      <c r="F4591" s="28" t="s">
        <v>913</v>
      </c>
      <c r="G4591" s="19" t="n">
        <v>0.0393</v>
      </c>
    </row>
    <row r="4592" customFormat="false" ht="15" hidden="false" customHeight="false" outlineLevel="0" collapsed="false">
      <c r="A4592" s="28" t="s">
        <v>203</v>
      </c>
      <c r="B4592" s="28" t="s">
        <v>204</v>
      </c>
      <c r="C4592" s="28" t="s">
        <v>202</v>
      </c>
      <c r="D4592" s="23" t="n">
        <v>14</v>
      </c>
      <c r="E4592" s="23" t="n">
        <v>2</v>
      </c>
      <c r="F4592" s="28" t="s">
        <v>914</v>
      </c>
      <c r="G4592" s="19" t="n">
        <v>0.0391</v>
      </c>
    </row>
    <row r="4593" customFormat="false" ht="15" hidden="false" customHeight="false" outlineLevel="0" collapsed="false">
      <c r="A4593" s="28" t="s">
        <v>203</v>
      </c>
      <c r="B4593" s="28" t="s">
        <v>204</v>
      </c>
      <c r="C4593" s="28" t="s">
        <v>202</v>
      </c>
      <c r="D4593" s="23" t="n">
        <v>14</v>
      </c>
      <c r="E4593" s="23" t="n">
        <v>2</v>
      </c>
      <c r="F4593" s="28" t="s">
        <v>915</v>
      </c>
      <c r="G4593" s="19" t="n">
        <v>0.0549</v>
      </c>
    </row>
    <row r="4594" customFormat="false" ht="15" hidden="false" customHeight="false" outlineLevel="0" collapsed="false">
      <c r="A4594" s="28" t="s">
        <v>203</v>
      </c>
      <c r="B4594" s="28" t="s">
        <v>204</v>
      </c>
      <c r="C4594" s="28" t="s">
        <v>202</v>
      </c>
      <c r="D4594" s="23" t="n">
        <v>14</v>
      </c>
      <c r="E4594" s="23" t="n">
        <v>3</v>
      </c>
      <c r="F4594" s="28" t="s">
        <v>904</v>
      </c>
      <c r="G4594" s="19" t="n">
        <v>0.0363</v>
      </c>
    </row>
    <row r="4595" customFormat="false" ht="15" hidden="false" customHeight="false" outlineLevel="0" collapsed="false">
      <c r="A4595" s="28" t="s">
        <v>203</v>
      </c>
      <c r="B4595" s="28" t="s">
        <v>204</v>
      </c>
      <c r="C4595" s="28" t="s">
        <v>202</v>
      </c>
      <c r="D4595" s="23" t="n">
        <v>14</v>
      </c>
      <c r="E4595" s="23" t="n">
        <v>3</v>
      </c>
      <c r="F4595" s="28" t="s">
        <v>551</v>
      </c>
      <c r="G4595" s="19" t="n">
        <v>0.0675</v>
      </c>
    </row>
    <row r="4596" customFormat="false" ht="15" hidden="false" customHeight="false" outlineLevel="0" collapsed="false">
      <c r="A4596" s="28" t="s">
        <v>203</v>
      </c>
      <c r="B4596" s="28" t="s">
        <v>204</v>
      </c>
      <c r="C4596" s="28" t="s">
        <v>202</v>
      </c>
      <c r="D4596" s="23" t="n">
        <v>14</v>
      </c>
      <c r="E4596" s="23" t="n">
        <v>3</v>
      </c>
      <c r="F4596" s="28" t="s">
        <v>451</v>
      </c>
      <c r="G4596" s="19" t="n">
        <v>0.0361</v>
      </c>
    </row>
    <row r="4597" customFormat="false" ht="15" hidden="false" customHeight="false" outlineLevel="0" collapsed="false">
      <c r="A4597" s="28" t="s">
        <v>203</v>
      </c>
      <c r="B4597" s="28" t="s">
        <v>204</v>
      </c>
      <c r="C4597" s="28" t="s">
        <v>202</v>
      </c>
      <c r="D4597" s="23" t="n">
        <v>14</v>
      </c>
      <c r="E4597" s="23" t="n">
        <v>3</v>
      </c>
      <c r="F4597" s="28" t="s">
        <v>905</v>
      </c>
      <c r="G4597" s="19" t="n">
        <v>0.0387</v>
      </c>
    </row>
    <row r="4598" customFormat="false" ht="15" hidden="false" customHeight="false" outlineLevel="0" collapsed="false">
      <c r="A4598" s="28" t="s">
        <v>203</v>
      </c>
      <c r="B4598" s="28" t="s">
        <v>204</v>
      </c>
      <c r="C4598" s="28" t="s">
        <v>202</v>
      </c>
      <c r="D4598" s="23" t="n">
        <v>14</v>
      </c>
      <c r="E4598" s="23" t="n">
        <v>3</v>
      </c>
      <c r="F4598" s="28" t="s">
        <v>906</v>
      </c>
      <c r="G4598" s="19" t="n">
        <v>0.039844</v>
      </c>
    </row>
    <row r="4599" customFormat="false" ht="15" hidden="false" customHeight="false" outlineLevel="0" collapsed="false">
      <c r="A4599" s="28" t="s">
        <v>203</v>
      </c>
      <c r="B4599" s="28" t="s">
        <v>204</v>
      </c>
      <c r="C4599" s="28" t="s">
        <v>202</v>
      </c>
      <c r="D4599" s="23" t="n">
        <v>14</v>
      </c>
      <c r="E4599" s="23" t="n">
        <v>3</v>
      </c>
      <c r="F4599" s="28" t="s">
        <v>907</v>
      </c>
      <c r="G4599" s="19" t="n">
        <v>0.039031</v>
      </c>
    </row>
    <row r="4600" customFormat="false" ht="15" hidden="false" customHeight="false" outlineLevel="0" collapsed="false">
      <c r="A4600" s="28" t="s">
        <v>203</v>
      </c>
      <c r="B4600" s="28" t="s">
        <v>204</v>
      </c>
      <c r="C4600" s="28" t="s">
        <v>202</v>
      </c>
      <c r="D4600" s="23" t="n">
        <v>14</v>
      </c>
      <c r="E4600" s="23" t="n">
        <v>3</v>
      </c>
      <c r="F4600" s="28" t="s">
        <v>908</v>
      </c>
      <c r="G4600" s="19" t="n">
        <v>0.039605</v>
      </c>
    </row>
    <row r="4601" customFormat="false" ht="15" hidden="false" customHeight="false" outlineLevel="0" collapsed="false">
      <c r="A4601" s="28" t="s">
        <v>203</v>
      </c>
      <c r="B4601" s="28" t="s">
        <v>204</v>
      </c>
      <c r="C4601" s="28" t="s">
        <v>202</v>
      </c>
      <c r="D4601" s="23" t="n">
        <v>14</v>
      </c>
      <c r="E4601" s="23" t="n">
        <v>3</v>
      </c>
      <c r="F4601" s="28" t="s">
        <v>909</v>
      </c>
      <c r="G4601" s="19" t="n">
        <v>0.038679</v>
      </c>
    </row>
    <row r="4602" customFormat="false" ht="15" hidden="false" customHeight="false" outlineLevel="0" collapsed="false">
      <c r="A4602" s="28" t="s">
        <v>203</v>
      </c>
      <c r="B4602" s="28" t="s">
        <v>204</v>
      </c>
      <c r="C4602" s="28" t="s">
        <v>202</v>
      </c>
      <c r="D4602" s="23" t="n">
        <v>14</v>
      </c>
      <c r="E4602" s="23" t="n">
        <v>3</v>
      </c>
      <c r="F4602" s="28" t="s">
        <v>910</v>
      </c>
      <c r="G4602" s="19" t="n">
        <v>0.037028</v>
      </c>
    </row>
    <row r="4603" customFormat="false" ht="15" hidden="false" customHeight="false" outlineLevel="0" collapsed="false">
      <c r="A4603" s="28" t="s">
        <v>203</v>
      </c>
      <c r="B4603" s="28" t="s">
        <v>204</v>
      </c>
      <c r="C4603" s="28" t="s">
        <v>202</v>
      </c>
      <c r="D4603" s="23" t="n">
        <v>14</v>
      </c>
      <c r="E4603" s="23" t="n">
        <v>3</v>
      </c>
      <c r="F4603" s="28" t="s">
        <v>911</v>
      </c>
      <c r="G4603" s="19" t="n">
        <v>0.036077</v>
      </c>
    </row>
    <row r="4604" customFormat="false" ht="15" hidden="false" customHeight="false" outlineLevel="0" collapsed="false">
      <c r="A4604" s="28" t="s">
        <v>203</v>
      </c>
      <c r="B4604" s="28" t="s">
        <v>204</v>
      </c>
      <c r="C4604" s="28" t="s">
        <v>202</v>
      </c>
      <c r="D4604" s="23" t="n">
        <v>14</v>
      </c>
      <c r="E4604" s="23" t="n">
        <v>3</v>
      </c>
      <c r="F4604" s="28" t="s">
        <v>912</v>
      </c>
      <c r="G4604" s="19" t="n">
        <v>0.0344</v>
      </c>
    </row>
    <row r="4605" customFormat="false" ht="15" hidden="false" customHeight="false" outlineLevel="0" collapsed="false">
      <c r="A4605" s="28" t="s">
        <v>203</v>
      </c>
      <c r="B4605" s="28" t="s">
        <v>204</v>
      </c>
      <c r="C4605" s="28" t="s">
        <v>202</v>
      </c>
      <c r="D4605" s="23" t="n">
        <v>14</v>
      </c>
      <c r="E4605" s="23" t="n">
        <v>3</v>
      </c>
      <c r="F4605" s="28" t="s">
        <v>913</v>
      </c>
      <c r="G4605" s="19" t="n">
        <v>0.0393</v>
      </c>
    </row>
    <row r="4606" customFormat="false" ht="15" hidden="false" customHeight="false" outlineLevel="0" collapsed="false">
      <c r="A4606" s="28" t="s">
        <v>203</v>
      </c>
      <c r="B4606" s="28" t="s">
        <v>204</v>
      </c>
      <c r="C4606" s="28" t="s">
        <v>202</v>
      </c>
      <c r="D4606" s="23" t="n">
        <v>14</v>
      </c>
      <c r="E4606" s="23" t="n">
        <v>3</v>
      </c>
      <c r="F4606" s="28" t="s">
        <v>914</v>
      </c>
      <c r="G4606" s="19" t="n">
        <v>0.0391</v>
      </c>
    </row>
    <row r="4607" customFormat="false" ht="15" hidden="false" customHeight="false" outlineLevel="0" collapsed="false">
      <c r="A4607" s="28" t="s">
        <v>203</v>
      </c>
      <c r="B4607" s="28" t="s">
        <v>204</v>
      </c>
      <c r="C4607" s="28" t="s">
        <v>202</v>
      </c>
      <c r="D4607" s="23" t="n">
        <v>14</v>
      </c>
      <c r="E4607" s="23" t="n">
        <v>3</v>
      </c>
      <c r="F4607" s="28" t="s">
        <v>915</v>
      </c>
      <c r="G4607" s="19" t="n">
        <v>0.0549</v>
      </c>
    </row>
    <row r="4608" customFormat="false" ht="15" hidden="false" customHeight="false" outlineLevel="0" collapsed="false">
      <c r="A4608" s="28" t="s">
        <v>203</v>
      </c>
      <c r="B4608" s="28" t="s">
        <v>204</v>
      </c>
      <c r="C4608" s="28" t="s">
        <v>202</v>
      </c>
      <c r="D4608" s="23" t="n">
        <v>14</v>
      </c>
      <c r="E4608" s="23" t="n">
        <v>4</v>
      </c>
      <c r="F4608" s="28" t="s">
        <v>904</v>
      </c>
      <c r="G4608" s="19" t="n">
        <v>0.0363</v>
      </c>
    </row>
    <row r="4609" customFormat="false" ht="15" hidden="false" customHeight="false" outlineLevel="0" collapsed="false">
      <c r="A4609" s="28" t="s">
        <v>203</v>
      </c>
      <c r="B4609" s="28" t="s">
        <v>204</v>
      </c>
      <c r="C4609" s="28" t="s">
        <v>202</v>
      </c>
      <c r="D4609" s="23" t="n">
        <v>14</v>
      </c>
      <c r="E4609" s="23" t="n">
        <v>4</v>
      </c>
      <c r="F4609" s="28" t="s">
        <v>551</v>
      </c>
      <c r="G4609" s="19" t="n">
        <v>0.0675</v>
      </c>
    </row>
    <row r="4610" customFormat="false" ht="15" hidden="false" customHeight="false" outlineLevel="0" collapsed="false">
      <c r="A4610" s="28" t="s">
        <v>203</v>
      </c>
      <c r="B4610" s="28" t="s">
        <v>204</v>
      </c>
      <c r="C4610" s="28" t="s">
        <v>202</v>
      </c>
      <c r="D4610" s="23" t="n">
        <v>14</v>
      </c>
      <c r="E4610" s="23" t="n">
        <v>4</v>
      </c>
      <c r="F4610" s="28" t="s">
        <v>451</v>
      </c>
      <c r="G4610" s="19" t="n">
        <v>0.0361</v>
      </c>
    </row>
    <row r="4611" customFormat="false" ht="15" hidden="false" customHeight="false" outlineLevel="0" collapsed="false">
      <c r="A4611" s="28" t="s">
        <v>203</v>
      </c>
      <c r="B4611" s="28" t="s">
        <v>204</v>
      </c>
      <c r="C4611" s="28" t="s">
        <v>202</v>
      </c>
      <c r="D4611" s="23" t="n">
        <v>14</v>
      </c>
      <c r="E4611" s="23" t="n">
        <v>4</v>
      </c>
      <c r="F4611" s="28" t="s">
        <v>905</v>
      </c>
      <c r="G4611" s="19" t="n">
        <v>0.0387</v>
      </c>
    </row>
    <row r="4612" customFormat="false" ht="15" hidden="false" customHeight="false" outlineLevel="0" collapsed="false">
      <c r="A4612" s="28" t="s">
        <v>203</v>
      </c>
      <c r="B4612" s="28" t="s">
        <v>204</v>
      </c>
      <c r="C4612" s="28" t="s">
        <v>202</v>
      </c>
      <c r="D4612" s="23" t="n">
        <v>14</v>
      </c>
      <c r="E4612" s="23" t="n">
        <v>4</v>
      </c>
      <c r="F4612" s="28" t="s">
        <v>906</v>
      </c>
      <c r="G4612" s="19" t="n">
        <v>0.039844</v>
      </c>
    </row>
    <row r="4613" customFormat="false" ht="15" hidden="false" customHeight="false" outlineLevel="0" collapsed="false">
      <c r="A4613" s="28" t="s">
        <v>203</v>
      </c>
      <c r="B4613" s="28" t="s">
        <v>204</v>
      </c>
      <c r="C4613" s="28" t="s">
        <v>202</v>
      </c>
      <c r="D4613" s="23" t="n">
        <v>14</v>
      </c>
      <c r="E4613" s="23" t="n">
        <v>4</v>
      </c>
      <c r="F4613" s="28" t="s">
        <v>907</v>
      </c>
      <c r="G4613" s="19" t="n">
        <v>0.039031</v>
      </c>
    </row>
    <row r="4614" customFormat="false" ht="15" hidden="false" customHeight="false" outlineLevel="0" collapsed="false">
      <c r="A4614" s="28" t="s">
        <v>203</v>
      </c>
      <c r="B4614" s="28" t="s">
        <v>204</v>
      </c>
      <c r="C4614" s="28" t="s">
        <v>202</v>
      </c>
      <c r="D4614" s="23" t="n">
        <v>14</v>
      </c>
      <c r="E4614" s="23" t="n">
        <v>4</v>
      </c>
      <c r="F4614" s="28" t="s">
        <v>908</v>
      </c>
      <c r="G4614" s="19" t="n">
        <v>0.039605</v>
      </c>
    </row>
    <row r="4615" customFormat="false" ht="15" hidden="false" customHeight="false" outlineLevel="0" collapsed="false">
      <c r="A4615" s="28" t="s">
        <v>203</v>
      </c>
      <c r="B4615" s="28" t="s">
        <v>204</v>
      </c>
      <c r="C4615" s="28" t="s">
        <v>202</v>
      </c>
      <c r="D4615" s="23" t="n">
        <v>14</v>
      </c>
      <c r="E4615" s="23" t="n">
        <v>4</v>
      </c>
      <c r="F4615" s="28" t="s">
        <v>909</v>
      </c>
      <c r="G4615" s="19" t="n">
        <v>0.038679</v>
      </c>
    </row>
    <row r="4616" customFormat="false" ht="15" hidden="false" customHeight="false" outlineLevel="0" collapsed="false">
      <c r="A4616" s="28" t="s">
        <v>203</v>
      </c>
      <c r="B4616" s="28" t="s">
        <v>204</v>
      </c>
      <c r="C4616" s="28" t="s">
        <v>202</v>
      </c>
      <c r="D4616" s="23" t="n">
        <v>14</v>
      </c>
      <c r="E4616" s="23" t="n">
        <v>4</v>
      </c>
      <c r="F4616" s="28" t="s">
        <v>910</v>
      </c>
      <c r="G4616" s="19" t="n">
        <v>0.037028</v>
      </c>
    </row>
    <row r="4617" customFormat="false" ht="15" hidden="false" customHeight="false" outlineLevel="0" collapsed="false">
      <c r="A4617" s="28" t="s">
        <v>203</v>
      </c>
      <c r="B4617" s="28" t="s">
        <v>204</v>
      </c>
      <c r="C4617" s="28" t="s">
        <v>202</v>
      </c>
      <c r="D4617" s="23" t="n">
        <v>14</v>
      </c>
      <c r="E4617" s="23" t="n">
        <v>4</v>
      </c>
      <c r="F4617" s="28" t="s">
        <v>911</v>
      </c>
      <c r="G4617" s="19" t="n">
        <v>0.036077</v>
      </c>
    </row>
    <row r="4618" customFormat="false" ht="15" hidden="false" customHeight="false" outlineLevel="0" collapsed="false">
      <c r="A4618" s="28" t="s">
        <v>203</v>
      </c>
      <c r="B4618" s="28" t="s">
        <v>204</v>
      </c>
      <c r="C4618" s="28" t="s">
        <v>202</v>
      </c>
      <c r="D4618" s="23" t="n">
        <v>14</v>
      </c>
      <c r="E4618" s="23" t="n">
        <v>4</v>
      </c>
      <c r="F4618" s="28" t="s">
        <v>912</v>
      </c>
      <c r="G4618" s="19" t="n">
        <v>0.0344</v>
      </c>
    </row>
    <row r="4619" customFormat="false" ht="15" hidden="false" customHeight="false" outlineLevel="0" collapsed="false">
      <c r="A4619" s="28" t="s">
        <v>203</v>
      </c>
      <c r="B4619" s="28" t="s">
        <v>204</v>
      </c>
      <c r="C4619" s="28" t="s">
        <v>202</v>
      </c>
      <c r="D4619" s="23" t="n">
        <v>14</v>
      </c>
      <c r="E4619" s="23" t="n">
        <v>4</v>
      </c>
      <c r="F4619" s="28" t="s">
        <v>913</v>
      </c>
      <c r="G4619" s="19" t="n">
        <v>0.0393</v>
      </c>
    </row>
    <row r="4620" customFormat="false" ht="15" hidden="false" customHeight="false" outlineLevel="0" collapsed="false">
      <c r="A4620" s="28" t="s">
        <v>203</v>
      </c>
      <c r="B4620" s="28" t="s">
        <v>204</v>
      </c>
      <c r="C4620" s="28" t="s">
        <v>202</v>
      </c>
      <c r="D4620" s="23" t="n">
        <v>14</v>
      </c>
      <c r="E4620" s="23" t="n">
        <v>4</v>
      </c>
      <c r="F4620" s="28" t="s">
        <v>914</v>
      </c>
      <c r="G4620" s="19" t="n">
        <v>0.0391</v>
      </c>
    </row>
    <row r="4621" customFormat="false" ht="15" hidden="false" customHeight="false" outlineLevel="0" collapsed="false">
      <c r="A4621" s="28" t="s">
        <v>203</v>
      </c>
      <c r="B4621" s="28" t="s">
        <v>204</v>
      </c>
      <c r="C4621" s="28" t="s">
        <v>202</v>
      </c>
      <c r="D4621" s="23" t="n">
        <v>14</v>
      </c>
      <c r="E4621" s="23" t="n">
        <v>4</v>
      </c>
      <c r="F4621" s="28" t="s">
        <v>915</v>
      </c>
      <c r="G4621" s="19" t="n">
        <v>0.0549</v>
      </c>
    </row>
    <row r="4622" customFormat="false" ht="15" hidden="false" customHeight="false" outlineLevel="0" collapsed="false">
      <c r="A4622" s="28" t="s">
        <v>203</v>
      </c>
      <c r="B4622" s="28" t="s">
        <v>204</v>
      </c>
      <c r="C4622" s="28" t="s">
        <v>202</v>
      </c>
      <c r="D4622" s="23" t="n">
        <v>14</v>
      </c>
      <c r="E4622" s="23" t="n">
        <v>5</v>
      </c>
      <c r="F4622" s="28" t="s">
        <v>904</v>
      </c>
      <c r="G4622" s="19" t="n">
        <v>0.0363</v>
      </c>
    </row>
    <row r="4623" customFormat="false" ht="15" hidden="false" customHeight="false" outlineLevel="0" collapsed="false">
      <c r="A4623" s="28" t="s">
        <v>203</v>
      </c>
      <c r="B4623" s="28" t="s">
        <v>204</v>
      </c>
      <c r="C4623" s="28" t="s">
        <v>202</v>
      </c>
      <c r="D4623" s="23" t="n">
        <v>14</v>
      </c>
      <c r="E4623" s="23" t="n">
        <v>5</v>
      </c>
      <c r="F4623" s="28" t="s">
        <v>551</v>
      </c>
      <c r="G4623" s="19" t="n">
        <v>0.0675</v>
      </c>
    </row>
    <row r="4624" customFormat="false" ht="15" hidden="false" customHeight="false" outlineLevel="0" collapsed="false">
      <c r="A4624" s="28" t="s">
        <v>203</v>
      </c>
      <c r="B4624" s="28" t="s">
        <v>204</v>
      </c>
      <c r="C4624" s="28" t="s">
        <v>202</v>
      </c>
      <c r="D4624" s="23" t="n">
        <v>14</v>
      </c>
      <c r="E4624" s="23" t="n">
        <v>5</v>
      </c>
      <c r="F4624" s="28" t="s">
        <v>451</v>
      </c>
      <c r="G4624" s="19" t="n">
        <v>0.0361</v>
      </c>
    </row>
    <row r="4625" customFormat="false" ht="15" hidden="false" customHeight="false" outlineLevel="0" collapsed="false">
      <c r="A4625" s="28" t="s">
        <v>203</v>
      </c>
      <c r="B4625" s="28" t="s">
        <v>204</v>
      </c>
      <c r="C4625" s="28" t="s">
        <v>202</v>
      </c>
      <c r="D4625" s="23" t="n">
        <v>14</v>
      </c>
      <c r="E4625" s="23" t="n">
        <v>5</v>
      </c>
      <c r="F4625" s="28" t="s">
        <v>905</v>
      </c>
      <c r="G4625" s="19" t="n">
        <v>0.0387</v>
      </c>
    </row>
    <row r="4626" customFormat="false" ht="15" hidden="false" customHeight="false" outlineLevel="0" collapsed="false">
      <c r="A4626" s="28" t="s">
        <v>203</v>
      </c>
      <c r="B4626" s="28" t="s">
        <v>204</v>
      </c>
      <c r="C4626" s="28" t="s">
        <v>202</v>
      </c>
      <c r="D4626" s="23" t="n">
        <v>14</v>
      </c>
      <c r="E4626" s="23" t="n">
        <v>5</v>
      </c>
      <c r="F4626" s="28" t="s">
        <v>906</v>
      </c>
      <c r="G4626" s="19" t="n">
        <v>0.039844</v>
      </c>
    </row>
    <row r="4627" customFormat="false" ht="15" hidden="false" customHeight="false" outlineLevel="0" collapsed="false">
      <c r="A4627" s="28" t="s">
        <v>203</v>
      </c>
      <c r="B4627" s="28" t="s">
        <v>204</v>
      </c>
      <c r="C4627" s="28" t="s">
        <v>202</v>
      </c>
      <c r="D4627" s="23" t="n">
        <v>14</v>
      </c>
      <c r="E4627" s="23" t="n">
        <v>5</v>
      </c>
      <c r="F4627" s="28" t="s">
        <v>907</v>
      </c>
      <c r="G4627" s="19" t="n">
        <v>0.039031</v>
      </c>
    </row>
    <row r="4628" customFormat="false" ht="15" hidden="false" customHeight="false" outlineLevel="0" collapsed="false">
      <c r="A4628" s="28" t="s">
        <v>203</v>
      </c>
      <c r="B4628" s="28" t="s">
        <v>204</v>
      </c>
      <c r="C4628" s="28" t="s">
        <v>202</v>
      </c>
      <c r="D4628" s="23" t="n">
        <v>14</v>
      </c>
      <c r="E4628" s="23" t="n">
        <v>5</v>
      </c>
      <c r="F4628" s="28" t="s">
        <v>908</v>
      </c>
      <c r="G4628" s="19" t="n">
        <v>0.039605</v>
      </c>
    </row>
    <row r="4629" customFormat="false" ht="15" hidden="false" customHeight="false" outlineLevel="0" collapsed="false">
      <c r="A4629" s="28" t="s">
        <v>203</v>
      </c>
      <c r="B4629" s="28" t="s">
        <v>204</v>
      </c>
      <c r="C4629" s="28" t="s">
        <v>202</v>
      </c>
      <c r="D4629" s="23" t="n">
        <v>14</v>
      </c>
      <c r="E4629" s="23" t="n">
        <v>5</v>
      </c>
      <c r="F4629" s="28" t="s">
        <v>909</v>
      </c>
      <c r="G4629" s="19" t="n">
        <v>0.038679</v>
      </c>
    </row>
    <row r="4630" customFormat="false" ht="15" hidden="false" customHeight="false" outlineLevel="0" collapsed="false">
      <c r="A4630" s="28" t="s">
        <v>203</v>
      </c>
      <c r="B4630" s="28" t="s">
        <v>204</v>
      </c>
      <c r="C4630" s="28" t="s">
        <v>202</v>
      </c>
      <c r="D4630" s="23" t="n">
        <v>14</v>
      </c>
      <c r="E4630" s="23" t="n">
        <v>5</v>
      </c>
      <c r="F4630" s="28" t="s">
        <v>910</v>
      </c>
      <c r="G4630" s="19" t="n">
        <v>0.037028</v>
      </c>
    </row>
    <row r="4631" customFormat="false" ht="15" hidden="false" customHeight="false" outlineLevel="0" collapsed="false">
      <c r="A4631" s="28" t="s">
        <v>203</v>
      </c>
      <c r="B4631" s="28" t="s">
        <v>204</v>
      </c>
      <c r="C4631" s="28" t="s">
        <v>202</v>
      </c>
      <c r="D4631" s="23" t="n">
        <v>14</v>
      </c>
      <c r="E4631" s="23" t="n">
        <v>5</v>
      </c>
      <c r="F4631" s="28" t="s">
        <v>911</v>
      </c>
      <c r="G4631" s="19" t="n">
        <v>0.036077</v>
      </c>
    </row>
    <row r="4632" customFormat="false" ht="15" hidden="false" customHeight="false" outlineLevel="0" collapsed="false">
      <c r="A4632" s="28" t="s">
        <v>203</v>
      </c>
      <c r="B4632" s="28" t="s">
        <v>204</v>
      </c>
      <c r="C4632" s="28" t="s">
        <v>202</v>
      </c>
      <c r="D4632" s="23" t="n">
        <v>14</v>
      </c>
      <c r="E4632" s="23" t="n">
        <v>5</v>
      </c>
      <c r="F4632" s="28" t="s">
        <v>912</v>
      </c>
      <c r="G4632" s="19" t="n">
        <v>0.0344</v>
      </c>
    </row>
    <row r="4633" customFormat="false" ht="15" hidden="false" customHeight="false" outlineLevel="0" collapsed="false">
      <c r="A4633" s="28" t="s">
        <v>203</v>
      </c>
      <c r="B4633" s="28" t="s">
        <v>204</v>
      </c>
      <c r="C4633" s="28" t="s">
        <v>202</v>
      </c>
      <c r="D4633" s="23" t="n">
        <v>14</v>
      </c>
      <c r="E4633" s="23" t="n">
        <v>5</v>
      </c>
      <c r="F4633" s="28" t="s">
        <v>913</v>
      </c>
      <c r="G4633" s="19" t="n">
        <v>0.0393</v>
      </c>
    </row>
    <row r="4634" customFormat="false" ht="15" hidden="false" customHeight="false" outlineLevel="0" collapsed="false">
      <c r="A4634" s="28" t="s">
        <v>203</v>
      </c>
      <c r="B4634" s="28" t="s">
        <v>204</v>
      </c>
      <c r="C4634" s="28" t="s">
        <v>202</v>
      </c>
      <c r="D4634" s="23" t="n">
        <v>14</v>
      </c>
      <c r="E4634" s="23" t="n">
        <v>5</v>
      </c>
      <c r="F4634" s="28" t="s">
        <v>914</v>
      </c>
      <c r="G4634" s="19" t="n">
        <v>0.0391</v>
      </c>
    </row>
    <row r="4635" customFormat="false" ht="15" hidden="false" customHeight="false" outlineLevel="0" collapsed="false">
      <c r="A4635" s="28" t="s">
        <v>203</v>
      </c>
      <c r="B4635" s="28" t="s">
        <v>204</v>
      </c>
      <c r="C4635" s="28" t="s">
        <v>202</v>
      </c>
      <c r="D4635" s="23" t="n">
        <v>14</v>
      </c>
      <c r="E4635" s="23" t="n">
        <v>5</v>
      </c>
      <c r="F4635" s="28" t="s">
        <v>915</v>
      </c>
      <c r="G4635" s="19" t="n">
        <v>0.0549</v>
      </c>
    </row>
    <row r="4636" customFormat="false" ht="15" hidden="false" customHeight="false" outlineLevel="0" collapsed="false">
      <c r="A4636" s="28" t="s">
        <v>203</v>
      </c>
      <c r="B4636" s="28" t="s">
        <v>204</v>
      </c>
      <c r="C4636" s="28" t="s">
        <v>202</v>
      </c>
      <c r="D4636" s="23" t="n">
        <v>14</v>
      </c>
      <c r="E4636" s="23" t="n">
        <v>6</v>
      </c>
      <c r="F4636" s="28" t="s">
        <v>904</v>
      </c>
      <c r="G4636" s="19" t="n">
        <v>0.0363</v>
      </c>
    </row>
    <row r="4637" customFormat="false" ht="15" hidden="false" customHeight="false" outlineLevel="0" collapsed="false">
      <c r="A4637" s="28" t="s">
        <v>203</v>
      </c>
      <c r="B4637" s="28" t="s">
        <v>204</v>
      </c>
      <c r="C4637" s="28" t="s">
        <v>202</v>
      </c>
      <c r="D4637" s="23" t="n">
        <v>14</v>
      </c>
      <c r="E4637" s="23" t="n">
        <v>6</v>
      </c>
      <c r="F4637" s="28" t="s">
        <v>551</v>
      </c>
      <c r="G4637" s="19" t="n">
        <v>0.0675</v>
      </c>
    </row>
    <row r="4638" customFormat="false" ht="15" hidden="false" customHeight="false" outlineLevel="0" collapsed="false">
      <c r="A4638" s="28" t="s">
        <v>203</v>
      </c>
      <c r="B4638" s="28" t="s">
        <v>204</v>
      </c>
      <c r="C4638" s="28" t="s">
        <v>202</v>
      </c>
      <c r="D4638" s="23" t="n">
        <v>14</v>
      </c>
      <c r="E4638" s="23" t="n">
        <v>6</v>
      </c>
      <c r="F4638" s="28" t="s">
        <v>451</v>
      </c>
      <c r="G4638" s="19" t="n">
        <v>0.0361</v>
      </c>
    </row>
    <row r="4639" customFormat="false" ht="15" hidden="false" customHeight="false" outlineLevel="0" collapsed="false">
      <c r="A4639" s="28" t="s">
        <v>203</v>
      </c>
      <c r="B4639" s="28" t="s">
        <v>204</v>
      </c>
      <c r="C4639" s="28" t="s">
        <v>202</v>
      </c>
      <c r="D4639" s="23" t="n">
        <v>14</v>
      </c>
      <c r="E4639" s="23" t="n">
        <v>6</v>
      </c>
      <c r="F4639" s="28" t="s">
        <v>905</v>
      </c>
      <c r="G4639" s="19" t="n">
        <v>0.0387</v>
      </c>
    </row>
    <row r="4640" customFormat="false" ht="15" hidden="false" customHeight="false" outlineLevel="0" collapsed="false">
      <c r="A4640" s="28" t="s">
        <v>203</v>
      </c>
      <c r="B4640" s="28" t="s">
        <v>204</v>
      </c>
      <c r="C4640" s="28" t="s">
        <v>202</v>
      </c>
      <c r="D4640" s="23" t="n">
        <v>14</v>
      </c>
      <c r="E4640" s="23" t="n">
        <v>6</v>
      </c>
      <c r="F4640" s="28" t="s">
        <v>906</v>
      </c>
      <c r="G4640" s="19" t="n">
        <v>0.039844</v>
      </c>
    </row>
    <row r="4641" customFormat="false" ht="15" hidden="false" customHeight="false" outlineLevel="0" collapsed="false">
      <c r="A4641" s="28" t="s">
        <v>203</v>
      </c>
      <c r="B4641" s="28" t="s">
        <v>204</v>
      </c>
      <c r="C4641" s="28" t="s">
        <v>202</v>
      </c>
      <c r="D4641" s="23" t="n">
        <v>14</v>
      </c>
      <c r="E4641" s="23" t="n">
        <v>6</v>
      </c>
      <c r="F4641" s="28" t="s">
        <v>907</v>
      </c>
      <c r="G4641" s="19" t="n">
        <v>0.039031</v>
      </c>
    </row>
    <row r="4642" customFormat="false" ht="15" hidden="false" customHeight="false" outlineLevel="0" collapsed="false">
      <c r="A4642" s="28" t="s">
        <v>203</v>
      </c>
      <c r="B4642" s="28" t="s">
        <v>204</v>
      </c>
      <c r="C4642" s="28" t="s">
        <v>202</v>
      </c>
      <c r="D4642" s="23" t="n">
        <v>14</v>
      </c>
      <c r="E4642" s="23" t="n">
        <v>6</v>
      </c>
      <c r="F4642" s="28" t="s">
        <v>908</v>
      </c>
      <c r="G4642" s="19" t="n">
        <v>0.039605</v>
      </c>
    </row>
    <row r="4643" customFormat="false" ht="15" hidden="false" customHeight="false" outlineLevel="0" collapsed="false">
      <c r="A4643" s="28" t="s">
        <v>203</v>
      </c>
      <c r="B4643" s="28" t="s">
        <v>204</v>
      </c>
      <c r="C4643" s="28" t="s">
        <v>202</v>
      </c>
      <c r="D4643" s="23" t="n">
        <v>14</v>
      </c>
      <c r="E4643" s="23" t="n">
        <v>6</v>
      </c>
      <c r="F4643" s="28" t="s">
        <v>909</v>
      </c>
      <c r="G4643" s="19" t="n">
        <v>0.038679</v>
      </c>
    </row>
    <row r="4644" customFormat="false" ht="15" hidden="false" customHeight="false" outlineLevel="0" collapsed="false">
      <c r="A4644" s="28" t="s">
        <v>203</v>
      </c>
      <c r="B4644" s="28" t="s">
        <v>204</v>
      </c>
      <c r="C4644" s="28" t="s">
        <v>202</v>
      </c>
      <c r="D4644" s="23" t="n">
        <v>14</v>
      </c>
      <c r="E4644" s="23" t="n">
        <v>6</v>
      </c>
      <c r="F4644" s="28" t="s">
        <v>910</v>
      </c>
      <c r="G4644" s="19" t="n">
        <v>0.037028</v>
      </c>
    </row>
    <row r="4645" customFormat="false" ht="15" hidden="false" customHeight="false" outlineLevel="0" collapsed="false">
      <c r="A4645" s="28" t="s">
        <v>203</v>
      </c>
      <c r="B4645" s="28" t="s">
        <v>204</v>
      </c>
      <c r="C4645" s="28" t="s">
        <v>202</v>
      </c>
      <c r="D4645" s="23" t="n">
        <v>14</v>
      </c>
      <c r="E4645" s="23" t="n">
        <v>6</v>
      </c>
      <c r="F4645" s="28" t="s">
        <v>911</v>
      </c>
      <c r="G4645" s="19" t="n">
        <v>0.036077</v>
      </c>
    </row>
    <row r="4646" customFormat="false" ht="15" hidden="false" customHeight="false" outlineLevel="0" collapsed="false">
      <c r="A4646" s="28" t="s">
        <v>203</v>
      </c>
      <c r="B4646" s="28" t="s">
        <v>204</v>
      </c>
      <c r="C4646" s="28" t="s">
        <v>202</v>
      </c>
      <c r="D4646" s="23" t="n">
        <v>14</v>
      </c>
      <c r="E4646" s="23" t="n">
        <v>6</v>
      </c>
      <c r="F4646" s="28" t="s">
        <v>912</v>
      </c>
      <c r="G4646" s="19" t="n">
        <v>0.0344</v>
      </c>
    </row>
    <row r="4647" customFormat="false" ht="15" hidden="false" customHeight="false" outlineLevel="0" collapsed="false">
      <c r="A4647" s="28" t="s">
        <v>203</v>
      </c>
      <c r="B4647" s="28" t="s">
        <v>204</v>
      </c>
      <c r="C4647" s="28" t="s">
        <v>202</v>
      </c>
      <c r="D4647" s="23" t="n">
        <v>14</v>
      </c>
      <c r="E4647" s="23" t="n">
        <v>6</v>
      </c>
      <c r="F4647" s="28" t="s">
        <v>913</v>
      </c>
      <c r="G4647" s="19" t="n">
        <v>0.0393</v>
      </c>
    </row>
    <row r="4648" customFormat="false" ht="15" hidden="false" customHeight="false" outlineLevel="0" collapsed="false">
      <c r="A4648" s="28" t="s">
        <v>203</v>
      </c>
      <c r="B4648" s="28" t="s">
        <v>204</v>
      </c>
      <c r="C4648" s="28" t="s">
        <v>202</v>
      </c>
      <c r="D4648" s="23" t="n">
        <v>14</v>
      </c>
      <c r="E4648" s="23" t="n">
        <v>6</v>
      </c>
      <c r="F4648" s="28" t="s">
        <v>914</v>
      </c>
      <c r="G4648" s="19" t="n">
        <v>0.0391</v>
      </c>
    </row>
    <row r="4649" customFormat="false" ht="15" hidden="false" customHeight="false" outlineLevel="0" collapsed="false">
      <c r="A4649" s="28" t="s">
        <v>203</v>
      </c>
      <c r="B4649" s="28" t="s">
        <v>204</v>
      </c>
      <c r="C4649" s="28" t="s">
        <v>202</v>
      </c>
      <c r="D4649" s="23" t="n">
        <v>14</v>
      </c>
      <c r="E4649" s="23" t="n">
        <v>6</v>
      </c>
      <c r="F4649" s="28" t="s">
        <v>915</v>
      </c>
      <c r="G4649" s="19" t="n">
        <v>0.0549</v>
      </c>
    </row>
    <row r="4650" customFormat="false" ht="15" hidden="false" customHeight="false" outlineLevel="0" collapsed="false">
      <c r="A4650" s="28" t="s">
        <v>203</v>
      </c>
      <c r="B4650" s="28" t="s">
        <v>204</v>
      </c>
      <c r="C4650" s="28" t="s">
        <v>202</v>
      </c>
      <c r="D4650" s="23" t="n">
        <v>14</v>
      </c>
      <c r="E4650" s="23" t="n">
        <v>7</v>
      </c>
      <c r="F4650" s="28" t="s">
        <v>904</v>
      </c>
      <c r="G4650" s="19" t="n">
        <v>0.0363</v>
      </c>
    </row>
    <row r="4651" customFormat="false" ht="15" hidden="false" customHeight="false" outlineLevel="0" collapsed="false">
      <c r="A4651" s="28" t="s">
        <v>203</v>
      </c>
      <c r="B4651" s="28" t="s">
        <v>204</v>
      </c>
      <c r="C4651" s="28" t="s">
        <v>202</v>
      </c>
      <c r="D4651" s="23" t="n">
        <v>14</v>
      </c>
      <c r="E4651" s="23" t="n">
        <v>7</v>
      </c>
      <c r="F4651" s="28" t="s">
        <v>551</v>
      </c>
      <c r="G4651" s="19" t="n">
        <v>0.0675</v>
      </c>
    </row>
    <row r="4652" customFormat="false" ht="15" hidden="false" customHeight="false" outlineLevel="0" collapsed="false">
      <c r="A4652" s="28" t="s">
        <v>203</v>
      </c>
      <c r="B4652" s="28" t="s">
        <v>204</v>
      </c>
      <c r="C4652" s="28" t="s">
        <v>202</v>
      </c>
      <c r="D4652" s="23" t="n">
        <v>14</v>
      </c>
      <c r="E4652" s="23" t="n">
        <v>7</v>
      </c>
      <c r="F4652" s="28" t="s">
        <v>451</v>
      </c>
      <c r="G4652" s="19" t="n">
        <v>0.0361</v>
      </c>
    </row>
    <row r="4653" customFormat="false" ht="15" hidden="false" customHeight="false" outlineLevel="0" collapsed="false">
      <c r="A4653" s="28" t="s">
        <v>203</v>
      </c>
      <c r="B4653" s="28" t="s">
        <v>204</v>
      </c>
      <c r="C4653" s="28" t="s">
        <v>202</v>
      </c>
      <c r="D4653" s="23" t="n">
        <v>14</v>
      </c>
      <c r="E4653" s="23" t="n">
        <v>7</v>
      </c>
      <c r="F4653" s="28" t="s">
        <v>905</v>
      </c>
      <c r="G4653" s="19" t="n">
        <v>0.0387</v>
      </c>
    </row>
    <row r="4654" customFormat="false" ht="15" hidden="false" customHeight="false" outlineLevel="0" collapsed="false">
      <c r="A4654" s="28" t="s">
        <v>203</v>
      </c>
      <c r="B4654" s="28" t="s">
        <v>204</v>
      </c>
      <c r="C4654" s="28" t="s">
        <v>202</v>
      </c>
      <c r="D4654" s="23" t="n">
        <v>14</v>
      </c>
      <c r="E4654" s="23" t="n">
        <v>7</v>
      </c>
      <c r="F4654" s="28" t="s">
        <v>906</v>
      </c>
      <c r="G4654" s="19" t="n">
        <v>0.039844</v>
      </c>
    </row>
    <row r="4655" customFormat="false" ht="15" hidden="false" customHeight="false" outlineLevel="0" collapsed="false">
      <c r="A4655" s="28" t="s">
        <v>203</v>
      </c>
      <c r="B4655" s="28" t="s">
        <v>204</v>
      </c>
      <c r="C4655" s="28" t="s">
        <v>202</v>
      </c>
      <c r="D4655" s="23" t="n">
        <v>14</v>
      </c>
      <c r="E4655" s="23" t="n">
        <v>7</v>
      </c>
      <c r="F4655" s="28" t="s">
        <v>907</v>
      </c>
      <c r="G4655" s="19" t="n">
        <v>0.039031</v>
      </c>
    </row>
    <row r="4656" customFormat="false" ht="15" hidden="false" customHeight="false" outlineLevel="0" collapsed="false">
      <c r="A4656" s="28" t="s">
        <v>203</v>
      </c>
      <c r="B4656" s="28" t="s">
        <v>204</v>
      </c>
      <c r="C4656" s="28" t="s">
        <v>202</v>
      </c>
      <c r="D4656" s="23" t="n">
        <v>14</v>
      </c>
      <c r="E4656" s="23" t="n">
        <v>7</v>
      </c>
      <c r="F4656" s="28" t="s">
        <v>908</v>
      </c>
      <c r="G4656" s="19" t="n">
        <v>0.039605</v>
      </c>
    </row>
    <row r="4657" customFormat="false" ht="15" hidden="false" customHeight="false" outlineLevel="0" collapsed="false">
      <c r="A4657" s="28" t="s">
        <v>203</v>
      </c>
      <c r="B4657" s="28" t="s">
        <v>204</v>
      </c>
      <c r="C4657" s="28" t="s">
        <v>202</v>
      </c>
      <c r="D4657" s="23" t="n">
        <v>14</v>
      </c>
      <c r="E4657" s="23" t="n">
        <v>7</v>
      </c>
      <c r="F4657" s="28" t="s">
        <v>909</v>
      </c>
      <c r="G4657" s="19" t="n">
        <v>0.038679</v>
      </c>
    </row>
    <row r="4658" customFormat="false" ht="15" hidden="false" customHeight="false" outlineLevel="0" collapsed="false">
      <c r="A4658" s="28" t="s">
        <v>203</v>
      </c>
      <c r="B4658" s="28" t="s">
        <v>204</v>
      </c>
      <c r="C4658" s="28" t="s">
        <v>202</v>
      </c>
      <c r="D4658" s="23" t="n">
        <v>14</v>
      </c>
      <c r="E4658" s="23" t="n">
        <v>7</v>
      </c>
      <c r="F4658" s="28" t="s">
        <v>910</v>
      </c>
      <c r="G4658" s="19" t="n">
        <v>0.037028</v>
      </c>
    </row>
    <row r="4659" customFormat="false" ht="15" hidden="false" customHeight="false" outlineLevel="0" collapsed="false">
      <c r="A4659" s="28" t="s">
        <v>203</v>
      </c>
      <c r="B4659" s="28" t="s">
        <v>204</v>
      </c>
      <c r="C4659" s="28" t="s">
        <v>202</v>
      </c>
      <c r="D4659" s="23" t="n">
        <v>14</v>
      </c>
      <c r="E4659" s="23" t="n">
        <v>7</v>
      </c>
      <c r="F4659" s="28" t="s">
        <v>911</v>
      </c>
      <c r="G4659" s="19" t="n">
        <v>0.036077</v>
      </c>
    </row>
    <row r="4660" customFormat="false" ht="15" hidden="false" customHeight="false" outlineLevel="0" collapsed="false">
      <c r="A4660" s="28" t="s">
        <v>203</v>
      </c>
      <c r="B4660" s="28" t="s">
        <v>204</v>
      </c>
      <c r="C4660" s="28" t="s">
        <v>202</v>
      </c>
      <c r="D4660" s="23" t="n">
        <v>14</v>
      </c>
      <c r="E4660" s="23" t="n">
        <v>7</v>
      </c>
      <c r="F4660" s="28" t="s">
        <v>912</v>
      </c>
      <c r="G4660" s="19" t="n">
        <v>0.0344</v>
      </c>
    </row>
    <row r="4661" customFormat="false" ht="15" hidden="false" customHeight="false" outlineLevel="0" collapsed="false">
      <c r="A4661" s="28" t="s">
        <v>203</v>
      </c>
      <c r="B4661" s="28" t="s">
        <v>204</v>
      </c>
      <c r="C4661" s="28" t="s">
        <v>202</v>
      </c>
      <c r="D4661" s="23" t="n">
        <v>14</v>
      </c>
      <c r="E4661" s="23" t="n">
        <v>7</v>
      </c>
      <c r="F4661" s="28" t="s">
        <v>913</v>
      </c>
      <c r="G4661" s="19" t="n">
        <v>0.0393</v>
      </c>
    </row>
    <row r="4662" customFormat="false" ht="15" hidden="false" customHeight="false" outlineLevel="0" collapsed="false">
      <c r="A4662" s="28" t="s">
        <v>203</v>
      </c>
      <c r="B4662" s="28" t="s">
        <v>204</v>
      </c>
      <c r="C4662" s="28" t="s">
        <v>202</v>
      </c>
      <c r="D4662" s="23" t="n">
        <v>14</v>
      </c>
      <c r="E4662" s="23" t="n">
        <v>7</v>
      </c>
      <c r="F4662" s="28" t="s">
        <v>914</v>
      </c>
      <c r="G4662" s="19" t="n">
        <v>0.0391</v>
      </c>
    </row>
    <row r="4663" customFormat="false" ht="15" hidden="false" customHeight="false" outlineLevel="0" collapsed="false">
      <c r="A4663" s="28" t="s">
        <v>203</v>
      </c>
      <c r="B4663" s="28" t="s">
        <v>204</v>
      </c>
      <c r="C4663" s="28" t="s">
        <v>202</v>
      </c>
      <c r="D4663" s="23" t="n">
        <v>14</v>
      </c>
      <c r="E4663" s="23" t="n">
        <v>7</v>
      </c>
      <c r="F4663" s="28" t="s">
        <v>915</v>
      </c>
      <c r="G4663" s="19" t="n">
        <v>0.0549</v>
      </c>
    </row>
    <row r="4664" customFormat="false" ht="15" hidden="false" customHeight="false" outlineLevel="0" collapsed="false">
      <c r="A4664" s="28" t="s">
        <v>203</v>
      </c>
      <c r="B4664" s="28" t="s">
        <v>204</v>
      </c>
      <c r="C4664" s="28" t="s">
        <v>202</v>
      </c>
      <c r="D4664" s="23" t="n">
        <v>14</v>
      </c>
      <c r="E4664" s="23" t="n">
        <v>8</v>
      </c>
      <c r="F4664" s="28" t="s">
        <v>904</v>
      </c>
      <c r="G4664" s="19" t="n">
        <v>0.0363</v>
      </c>
    </row>
    <row r="4665" customFormat="false" ht="15" hidden="false" customHeight="false" outlineLevel="0" collapsed="false">
      <c r="A4665" s="28" t="s">
        <v>203</v>
      </c>
      <c r="B4665" s="28" t="s">
        <v>204</v>
      </c>
      <c r="C4665" s="28" t="s">
        <v>202</v>
      </c>
      <c r="D4665" s="23" t="n">
        <v>14</v>
      </c>
      <c r="E4665" s="23" t="n">
        <v>8</v>
      </c>
      <c r="F4665" s="28" t="s">
        <v>551</v>
      </c>
      <c r="G4665" s="19" t="n">
        <v>0.0675</v>
      </c>
    </row>
    <row r="4666" customFormat="false" ht="15" hidden="false" customHeight="false" outlineLevel="0" collapsed="false">
      <c r="A4666" s="28" t="s">
        <v>203</v>
      </c>
      <c r="B4666" s="28" t="s">
        <v>204</v>
      </c>
      <c r="C4666" s="28" t="s">
        <v>202</v>
      </c>
      <c r="D4666" s="23" t="n">
        <v>14</v>
      </c>
      <c r="E4666" s="23" t="n">
        <v>8</v>
      </c>
      <c r="F4666" s="28" t="s">
        <v>451</v>
      </c>
      <c r="G4666" s="19" t="n">
        <v>0.0361</v>
      </c>
    </row>
    <row r="4667" customFormat="false" ht="15" hidden="false" customHeight="false" outlineLevel="0" collapsed="false">
      <c r="A4667" s="28" t="s">
        <v>203</v>
      </c>
      <c r="B4667" s="28" t="s">
        <v>204</v>
      </c>
      <c r="C4667" s="28" t="s">
        <v>202</v>
      </c>
      <c r="D4667" s="23" t="n">
        <v>14</v>
      </c>
      <c r="E4667" s="23" t="n">
        <v>8</v>
      </c>
      <c r="F4667" s="28" t="s">
        <v>905</v>
      </c>
      <c r="G4667" s="19" t="n">
        <v>0.0387</v>
      </c>
    </row>
    <row r="4668" customFormat="false" ht="15" hidden="false" customHeight="false" outlineLevel="0" collapsed="false">
      <c r="A4668" s="28" t="s">
        <v>203</v>
      </c>
      <c r="B4668" s="28" t="s">
        <v>204</v>
      </c>
      <c r="C4668" s="28" t="s">
        <v>202</v>
      </c>
      <c r="D4668" s="23" t="n">
        <v>14</v>
      </c>
      <c r="E4668" s="23" t="n">
        <v>8</v>
      </c>
      <c r="F4668" s="28" t="s">
        <v>906</v>
      </c>
      <c r="G4668" s="19" t="n">
        <v>0.039844</v>
      </c>
    </row>
    <row r="4669" customFormat="false" ht="15" hidden="false" customHeight="false" outlineLevel="0" collapsed="false">
      <c r="A4669" s="28" t="s">
        <v>203</v>
      </c>
      <c r="B4669" s="28" t="s">
        <v>204</v>
      </c>
      <c r="C4669" s="28" t="s">
        <v>202</v>
      </c>
      <c r="D4669" s="23" t="n">
        <v>14</v>
      </c>
      <c r="E4669" s="23" t="n">
        <v>8</v>
      </c>
      <c r="F4669" s="28" t="s">
        <v>907</v>
      </c>
      <c r="G4669" s="19" t="n">
        <v>0.039031</v>
      </c>
    </row>
    <row r="4670" customFormat="false" ht="15" hidden="false" customHeight="false" outlineLevel="0" collapsed="false">
      <c r="A4670" s="28" t="s">
        <v>203</v>
      </c>
      <c r="B4670" s="28" t="s">
        <v>204</v>
      </c>
      <c r="C4670" s="28" t="s">
        <v>202</v>
      </c>
      <c r="D4670" s="23" t="n">
        <v>14</v>
      </c>
      <c r="E4670" s="23" t="n">
        <v>8</v>
      </c>
      <c r="F4670" s="28" t="s">
        <v>908</v>
      </c>
      <c r="G4670" s="19" t="n">
        <v>0.039605</v>
      </c>
    </row>
    <row r="4671" customFormat="false" ht="15" hidden="false" customHeight="false" outlineLevel="0" collapsed="false">
      <c r="A4671" s="28" t="s">
        <v>203</v>
      </c>
      <c r="B4671" s="28" t="s">
        <v>204</v>
      </c>
      <c r="C4671" s="28" t="s">
        <v>202</v>
      </c>
      <c r="D4671" s="23" t="n">
        <v>14</v>
      </c>
      <c r="E4671" s="23" t="n">
        <v>8</v>
      </c>
      <c r="F4671" s="28" t="s">
        <v>909</v>
      </c>
      <c r="G4671" s="19" t="n">
        <v>0.038679</v>
      </c>
    </row>
    <row r="4672" customFormat="false" ht="15" hidden="false" customHeight="false" outlineLevel="0" collapsed="false">
      <c r="A4672" s="28" t="s">
        <v>203</v>
      </c>
      <c r="B4672" s="28" t="s">
        <v>204</v>
      </c>
      <c r="C4672" s="28" t="s">
        <v>202</v>
      </c>
      <c r="D4672" s="23" t="n">
        <v>14</v>
      </c>
      <c r="E4672" s="23" t="n">
        <v>8</v>
      </c>
      <c r="F4672" s="28" t="s">
        <v>910</v>
      </c>
      <c r="G4672" s="19" t="n">
        <v>0.037028</v>
      </c>
    </row>
    <row r="4673" customFormat="false" ht="15" hidden="false" customHeight="false" outlineLevel="0" collapsed="false">
      <c r="A4673" s="28" t="s">
        <v>203</v>
      </c>
      <c r="B4673" s="28" t="s">
        <v>204</v>
      </c>
      <c r="C4673" s="28" t="s">
        <v>202</v>
      </c>
      <c r="D4673" s="23" t="n">
        <v>14</v>
      </c>
      <c r="E4673" s="23" t="n">
        <v>8</v>
      </c>
      <c r="F4673" s="28" t="s">
        <v>911</v>
      </c>
      <c r="G4673" s="19" t="n">
        <v>0.036077</v>
      </c>
    </row>
    <row r="4674" customFormat="false" ht="15" hidden="false" customHeight="false" outlineLevel="0" collapsed="false">
      <c r="A4674" s="28" t="s">
        <v>203</v>
      </c>
      <c r="B4674" s="28" t="s">
        <v>204</v>
      </c>
      <c r="C4674" s="28" t="s">
        <v>202</v>
      </c>
      <c r="D4674" s="23" t="n">
        <v>14</v>
      </c>
      <c r="E4674" s="23" t="n">
        <v>8</v>
      </c>
      <c r="F4674" s="28" t="s">
        <v>912</v>
      </c>
      <c r="G4674" s="19" t="n">
        <v>0.0344</v>
      </c>
    </row>
    <row r="4675" customFormat="false" ht="15" hidden="false" customHeight="false" outlineLevel="0" collapsed="false">
      <c r="A4675" s="28" t="s">
        <v>203</v>
      </c>
      <c r="B4675" s="28" t="s">
        <v>204</v>
      </c>
      <c r="C4675" s="28" t="s">
        <v>202</v>
      </c>
      <c r="D4675" s="23" t="n">
        <v>14</v>
      </c>
      <c r="E4675" s="23" t="n">
        <v>8</v>
      </c>
      <c r="F4675" s="28" t="s">
        <v>913</v>
      </c>
      <c r="G4675" s="19" t="n">
        <v>0.0393</v>
      </c>
    </row>
    <row r="4676" customFormat="false" ht="15" hidden="false" customHeight="false" outlineLevel="0" collapsed="false">
      <c r="A4676" s="28" t="s">
        <v>203</v>
      </c>
      <c r="B4676" s="28" t="s">
        <v>204</v>
      </c>
      <c r="C4676" s="28" t="s">
        <v>202</v>
      </c>
      <c r="D4676" s="23" t="n">
        <v>14</v>
      </c>
      <c r="E4676" s="23" t="n">
        <v>8</v>
      </c>
      <c r="F4676" s="28" t="s">
        <v>914</v>
      </c>
      <c r="G4676" s="19" t="n">
        <v>0.0391</v>
      </c>
    </row>
    <row r="4677" customFormat="false" ht="15" hidden="false" customHeight="false" outlineLevel="0" collapsed="false">
      <c r="A4677" s="28" t="s">
        <v>203</v>
      </c>
      <c r="B4677" s="28" t="s">
        <v>204</v>
      </c>
      <c r="C4677" s="28" t="s">
        <v>202</v>
      </c>
      <c r="D4677" s="23" t="n">
        <v>14</v>
      </c>
      <c r="E4677" s="23" t="n">
        <v>8</v>
      </c>
      <c r="F4677" s="28" t="s">
        <v>915</v>
      </c>
      <c r="G4677" s="19" t="n">
        <v>0.0549</v>
      </c>
    </row>
    <row r="4678" customFormat="false" ht="15" hidden="false" customHeight="false" outlineLevel="0" collapsed="false">
      <c r="A4678" s="28" t="s">
        <v>203</v>
      </c>
      <c r="B4678" s="28" t="s">
        <v>204</v>
      </c>
      <c r="C4678" s="28" t="s">
        <v>202</v>
      </c>
      <c r="D4678" s="23" t="n">
        <v>14</v>
      </c>
      <c r="E4678" s="23" t="n">
        <v>9</v>
      </c>
      <c r="F4678" s="28" t="s">
        <v>904</v>
      </c>
      <c r="G4678" s="19" t="n">
        <v>0.0363</v>
      </c>
    </row>
    <row r="4679" customFormat="false" ht="15" hidden="false" customHeight="false" outlineLevel="0" collapsed="false">
      <c r="A4679" s="28" t="s">
        <v>203</v>
      </c>
      <c r="B4679" s="28" t="s">
        <v>204</v>
      </c>
      <c r="C4679" s="28" t="s">
        <v>202</v>
      </c>
      <c r="D4679" s="23" t="n">
        <v>14</v>
      </c>
      <c r="E4679" s="23" t="n">
        <v>9</v>
      </c>
      <c r="F4679" s="28" t="s">
        <v>551</v>
      </c>
      <c r="G4679" s="19" t="n">
        <v>0.0675</v>
      </c>
    </row>
    <row r="4680" customFormat="false" ht="15" hidden="false" customHeight="false" outlineLevel="0" collapsed="false">
      <c r="A4680" s="28" t="s">
        <v>203</v>
      </c>
      <c r="B4680" s="28" t="s">
        <v>204</v>
      </c>
      <c r="C4680" s="28" t="s">
        <v>202</v>
      </c>
      <c r="D4680" s="23" t="n">
        <v>14</v>
      </c>
      <c r="E4680" s="23" t="n">
        <v>9</v>
      </c>
      <c r="F4680" s="28" t="s">
        <v>451</v>
      </c>
      <c r="G4680" s="19" t="n">
        <v>0.0361</v>
      </c>
    </row>
    <row r="4681" customFormat="false" ht="15" hidden="false" customHeight="false" outlineLevel="0" collapsed="false">
      <c r="A4681" s="28" t="s">
        <v>203</v>
      </c>
      <c r="B4681" s="28" t="s">
        <v>204</v>
      </c>
      <c r="C4681" s="28" t="s">
        <v>202</v>
      </c>
      <c r="D4681" s="23" t="n">
        <v>14</v>
      </c>
      <c r="E4681" s="23" t="n">
        <v>9</v>
      </c>
      <c r="F4681" s="28" t="s">
        <v>905</v>
      </c>
      <c r="G4681" s="19" t="n">
        <v>0.0387</v>
      </c>
    </row>
    <row r="4682" customFormat="false" ht="15" hidden="false" customHeight="false" outlineLevel="0" collapsed="false">
      <c r="A4682" s="28" t="s">
        <v>203</v>
      </c>
      <c r="B4682" s="28" t="s">
        <v>204</v>
      </c>
      <c r="C4682" s="28" t="s">
        <v>202</v>
      </c>
      <c r="D4682" s="23" t="n">
        <v>14</v>
      </c>
      <c r="E4682" s="23" t="n">
        <v>9</v>
      </c>
      <c r="F4682" s="28" t="s">
        <v>906</v>
      </c>
      <c r="G4682" s="19" t="n">
        <v>0.039844</v>
      </c>
    </row>
    <row r="4683" customFormat="false" ht="15" hidden="false" customHeight="false" outlineLevel="0" collapsed="false">
      <c r="A4683" s="28" t="s">
        <v>203</v>
      </c>
      <c r="B4683" s="28" t="s">
        <v>204</v>
      </c>
      <c r="C4683" s="28" t="s">
        <v>202</v>
      </c>
      <c r="D4683" s="23" t="n">
        <v>14</v>
      </c>
      <c r="E4683" s="23" t="n">
        <v>9</v>
      </c>
      <c r="F4683" s="28" t="s">
        <v>907</v>
      </c>
      <c r="G4683" s="19" t="n">
        <v>0.039031</v>
      </c>
    </row>
    <row r="4684" customFormat="false" ht="15" hidden="false" customHeight="false" outlineLevel="0" collapsed="false">
      <c r="A4684" s="28" t="s">
        <v>203</v>
      </c>
      <c r="B4684" s="28" t="s">
        <v>204</v>
      </c>
      <c r="C4684" s="28" t="s">
        <v>202</v>
      </c>
      <c r="D4684" s="23" t="n">
        <v>14</v>
      </c>
      <c r="E4684" s="23" t="n">
        <v>9</v>
      </c>
      <c r="F4684" s="28" t="s">
        <v>908</v>
      </c>
      <c r="G4684" s="19" t="n">
        <v>0.039605</v>
      </c>
    </row>
    <row r="4685" customFormat="false" ht="15" hidden="false" customHeight="false" outlineLevel="0" collapsed="false">
      <c r="A4685" s="28" t="s">
        <v>203</v>
      </c>
      <c r="B4685" s="28" t="s">
        <v>204</v>
      </c>
      <c r="C4685" s="28" t="s">
        <v>202</v>
      </c>
      <c r="D4685" s="23" t="n">
        <v>14</v>
      </c>
      <c r="E4685" s="23" t="n">
        <v>9</v>
      </c>
      <c r="F4685" s="28" t="s">
        <v>909</v>
      </c>
      <c r="G4685" s="19" t="n">
        <v>0.038679</v>
      </c>
    </row>
    <row r="4686" customFormat="false" ht="15" hidden="false" customHeight="false" outlineLevel="0" collapsed="false">
      <c r="A4686" s="28" t="s">
        <v>203</v>
      </c>
      <c r="B4686" s="28" t="s">
        <v>204</v>
      </c>
      <c r="C4686" s="28" t="s">
        <v>202</v>
      </c>
      <c r="D4686" s="23" t="n">
        <v>14</v>
      </c>
      <c r="E4686" s="23" t="n">
        <v>9</v>
      </c>
      <c r="F4686" s="28" t="s">
        <v>910</v>
      </c>
      <c r="G4686" s="19" t="n">
        <v>0.037028</v>
      </c>
    </row>
    <row r="4687" customFormat="false" ht="15" hidden="false" customHeight="false" outlineLevel="0" collapsed="false">
      <c r="A4687" s="28" t="s">
        <v>203</v>
      </c>
      <c r="B4687" s="28" t="s">
        <v>204</v>
      </c>
      <c r="C4687" s="28" t="s">
        <v>202</v>
      </c>
      <c r="D4687" s="23" t="n">
        <v>14</v>
      </c>
      <c r="E4687" s="23" t="n">
        <v>9</v>
      </c>
      <c r="F4687" s="28" t="s">
        <v>911</v>
      </c>
      <c r="G4687" s="19" t="n">
        <v>0.036077</v>
      </c>
    </row>
    <row r="4688" customFormat="false" ht="15" hidden="false" customHeight="false" outlineLevel="0" collapsed="false">
      <c r="A4688" s="28" t="s">
        <v>203</v>
      </c>
      <c r="B4688" s="28" t="s">
        <v>204</v>
      </c>
      <c r="C4688" s="28" t="s">
        <v>202</v>
      </c>
      <c r="D4688" s="23" t="n">
        <v>14</v>
      </c>
      <c r="E4688" s="23" t="n">
        <v>9</v>
      </c>
      <c r="F4688" s="28" t="s">
        <v>912</v>
      </c>
      <c r="G4688" s="19" t="n">
        <v>0.0344</v>
      </c>
    </row>
    <row r="4689" customFormat="false" ht="15" hidden="false" customHeight="false" outlineLevel="0" collapsed="false">
      <c r="A4689" s="28" t="s">
        <v>203</v>
      </c>
      <c r="B4689" s="28" t="s">
        <v>204</v>
      </c>
      <c r="C4689" s="28" t="s">
        <v>202</v>
      </c>
      <c r="D4689" s="23" t="n">
        <v>14</v>
      </c>
      <c r="E4689" s="23" t="n">
        <v>9</v>
      </c>
      <c r="F4689" s="28" t="s">
        <v>913</v>
      </c>
      <c r="G4689" s="19" t="n">
        <v>0.0393</v>
      </c>
    </row>
    <row r="4690" customFormat="false" ht="15" hidden="false" customHeight="false" outlineLevel="0" collapsed="false">
      <c r="A4690" s="28" t="s">
        <v>203</v>
      </c>
      <c r="B4690" s="28" t="s">
        <v>204</v>
      </c>
      <c r="C4690" s="28" t="s">
        <v>202</v>
      </c>
      <c r="D4690" s="23" t="n">
        <v>14</v>
      </c>
      <c r="E4690" s="23" t="n">
        <v>9</v>
      </c>
      <c r="F4690" s="28" t="s">
        <v>914</v>
      </c>
      <c r="G4690" s="19" t="n">
        <v>0.0391</v>
      </c>
    </row>
    <row r="4691" customFormat="false" ht="15" hidden="false" customHeight="false" outlineLevel="0" collapsed="false">
      <c r="A4691" s="28" t="s">
        <v>203</v>
      </c>
      <c r="B4691" s="28" t="s">
        <v>204</v>
      </c>
      <c r="C4691" s="28" t="s">
        <v>202</v>
      </c>
      <c r="D4691" s="23" t="n">
        <v>14</v>
      </c>
      <c r="E4691" s="23" t="n">
        <v>9</v>
      </c>
      <c r="F4691" s="28" t="s">
        <v>915</v>
      </c>
      <c r="G4691" s="19" t="n">
        <v>0.0549</v>
      </c>
    </row>
    <row r="4692" customFormat="false" ht="15" hidden="false" customHeight="false" outlineLevel="0" collapsed="false">
      <c r="A4692" s="28" t="s">
        <v>203</v>
      </c>
      <c r="B4692" s="28" t="s">
        <v>204</v>
      </c>
      <c r="C4692" s="28" t="s">
        <v>202</v>
      </c>
      <c r="D4692" s="23" t="n">
        <v>14</v>
      </c>
      <c r="E4692" s="23" t="n">
        <v>10</v>
      </c>
      <c r="F4692" s="28" t="s">
        <v>904</v>
      </c>
      <c r="G4692" s="19" t="n">
        <v>0.0363</v>
      </c>
    </row>
    <row r="4693" customFormat="false" ht="15" hidden="false" customHeight="false" outlineLevel="0" collapsed="false">
      <c r="A4693" s="28" t="s">
        <v>203</v>
      </c>
      <c r="B4693" s="28" t="s">
        <v>204</v>
      </c>
      <c r="C4693" s="28" t="s">
        <v>202</v>
      </c>
      <c r="D4693" s="23" t="n">
        <v>14</v>
      </c>
      <c r="E4693" s="23" t="n">
        <v>10</v>
      </c>
      <c r="F4693" s="28" t="s">
        <v>551</v>
      </c>
      <c r="G4693" s="19" t="n">
        <v>0.0675</v>
      </c>
    </row>
    <row r="4694" customFormat="false" ht="15" hidden="false" customHeight="false" outlineLevel="0" collapsed="false">
      <c r="A4694" s="28" t="s">
        <v>203</v>
      </c>
      <c r="B4694" s="28" t="s">
        <v>204</v>
      </c>
      <c r="C4694" s="28" t="s">
        <v>202</v>
      </c>
      <c r="D4694" s="23" t="n">
        <v>14</v>
      </c>
      <c r="E4694" s="23" t="n">
        <v>10</v>
      </c>
      <c r="F4694" s="28" t="s">
        <v>451</v>
      </c>
      <c r="G4694" s="19" t="n">
        <v>0.0361</v>
      </c>
    </row>
    <row r="4695" customFormat="false" ht="15" hidden="false" customHeight="false" outlineLevel="0" collapsed="false">
      <c r="A4695" s="28" t="s">
        <v>203</v>
      </c>
      <c r="B4695" s="28" t="s">
        <v>204</v>
      </c>
      <c r="C4695" s="28" t="s">
        <v>202</v>
      </c>
      <c r="D4695" s="23" t="n">
        <v>14</v>
      </c>
      <c r="E4695" s="23" t="n">
        <v>10</v>
      </c>
      <c r="F4695" s="28" t="s">
        <v>905</v>
      </c>
      <c r="G4695" s="19" t="n">
        <v>0.0387</v>
      </c>
    </row>
    <row r="4696" customFormat="false" ht="15" hidden="false" customHeight="false" outlineLevel="0" collapsed="false">
      <c r="A4696" s="28" t="s">
        <v>203</v>
      </c>
      <c r="B4696" s="28" t="s">
        <v>204</v>
      </c>
      <c r="C4696" s="28" t="s">
        <v>202</v>
      </c>
      <c r="D4696" s="23" t="n">
        <v>14</v>
      </c>
      <c r="E4696" s="23" t="n">
        <v>10</v>
      </c>
      <c r="F4696" s="28" t="s">
        <v>906</v>
      </c>
      <c r="G4696" s="19" t="n">
        <v>0.039844</v>
      </c>
    </row>
    <row r="4697" customFormat="false" ht="15" hidden="false" customHeight="false" outlineLevel="0" collapsed="false">
      <c r="A4697" s="28" t="s">
        <v>203</v>
      </c>
      <c r="B4697" s="28" t="s">
        <v>204</v>
      </c>
      <c r="C4697" s="28" t="s">
        <v>202</v>
      </c>
      <c r="D4697" s="23" t="n">
        <v>14</v>
      </c>
      <c r="E4697" s="23" t="n">
        <v>10</v>
      </c>
      <c r="F4697" s="28" t="s">
        <v>907</v>
      </c>
      <c r="G4697" s="19" t="n">
        <v>0.039031</v>
      </c>
    </row>
    <row r="4698" customFormat="false" ht="15" hidden="false" customHeight="false" outlineLevel="0" collapsed="false">
      <c r="A4698" s="28" t="s">
        <v>203</v>
      </c>
      <c r="B4698" s="28" t="s">
        <v>204</v>
      </c>
      <c r="C4698" s="28" t="s">
        <v>202</v>
      </c>
      <c r="D4698" s="23" t="n">
        <v>14</v>
      </c>
      <c r="E4698" s="23" t="n">
        <v>10</v>
      </c>
      <c r="F4698" s="28" t="s">
        <v>908</v>
      </c>
      <c r="G4698" s="19" t="n">
        <v>0.039605</v>
      </c>
    </row>
    <row r="4699" customFormat="false" ht="15" hidden="false" customHeight="false" outlineLevel="0" collapsed="false">
      <c r="A4699" s="28" t="s">
        <v>203</v>
      </c>
      <c r="B4699" s="28" t="s">
        <v>204</v>
      </c>
      <c r="C4699" s="28" t="s">
        <v>202</v>
      </c>
      <c r="D4699" s="23" t="n">
        <v>14</v>
      </c>
      <c r="E4699" s="23" t="n">
        <v>10</v>
      </c>
      <c r="F4699" s="28" t="s">
        <v>909</v>
      </c>
      <c r="G4699" s="19" t="n">
        <v>0.038679</v>
      </c>
    </row>
    <row r="4700" customFormat="false" ht="15" hidden="false" customHeight="false" outlineLevel="0" collapsed="false">
      <c r="A4700" s="28" t="s">
        <v>203</v>
      </c>
      <c r="B4700" s="28" t="s">
        <v>204</v>
      </c>
      <c r="C4700" s="28" t="s">
        <v>202</v>
      </c>
      <c r="D4700" s="23" t="n">
        <v>14</v>
      </c>
      <c r="E4700" s="23" t="n">
        <v>10</v>
      </c>
      <c r="F4700" s="28" t="s">
        <v>910</v>
      </c>
      <c r="G4700" s="19" t="n">
        <v>0.037028</v>
      </c>
    </row>
    <row r="4701" customFormat="false" ht="15" hidden="false" customHeight="false" outlineLevel="0" collapsed="false">
      <c r="A4701" s="28" t="s">
        <v>203</v>
      </c>
      <c r="B4701" s="28" t="s">
        <v>204</v>
      </c>
      <c r="C4701" s="28" t="s">
        <v>202</v>
      </c>
      <c r="D4701" s="23" t="n">
        <v>14</v>
      </c>
      <c r="E4701" s="23" t="n">
        <v>10</v>
      </c>
      <c r="F4701" s="28" t="s">
        <v>911</v>
      </c>
      <c r="G4701" s="19" t="n">
        <v>0.036077</v>
      </c>
    </row>
    <row r="4702" customFormat="false" ht="15" hidden="false" customHeight="false" outlineLevel="0" collapsed="false">
      <c r="A4702" s="28" t="s">
        <v>203</v>
      </c>
      <c r="B4702" s="28" t="s">
        <v>204</v>
      </c>
      <c r="C4702" s="28" t="s">
        <v>202</v>
      </c>
      <c r="D4702" s="23" t="n">
        <v>14</v>
      </c>
      <c r="E4702" s="23" t="n">
        <v>10</v>
      </c>
      <c r="F4702" s="28" t="s">
        <v>912</v>
      </c>
      <c r="G4702" s="19" t="n">
        <v>0.0344</v>
      </c>
    </row>
    <row r="4703" customFormat="false" ht="15" hidden="false" customHeight="false" outlineLevel="0" collapsed="false">
      <c r="A4703" s="28" t="s">
        <v>203</v>
      </c>
      <c r="B4703" s="28" t="s">
        <v>204</v>
      </c>
      <c r="C4703" s="28" t="s">
        <v>202</v>
      </c>
      <c r="D4703" s="23" t="n">
        <v>14</v>
      </c>
      <c r="E4703" s="23" t="n">
        <v>10</v>
      </c>
      <c r="F4703" s="28" t="s">
        <v>913</v>
      </c>
      <c r="G4703" s="19" t="n">
        <v>0.0393</v>
      </c>
    </row>
    <row r="4704" customFormat="false" ht="15" hidden="false" customHeight="false" outlineLevel="0" collapsed="false">
      <c r="A4704" s="28" t="s">
        <v>203</v>
      </c>
      <c r="B4704" s="28" t="s">
        <v>204</v>
      </c>
      <c r="C4704" s="28" t="s">
        <v>202</v>
      </c>
      <c r="D4704" s="23" t="n">
        <v>14</v>
      </c>
      <c r="E4704" s="23" t="n">
        <v>10</v>
      </c>
      <c r="F4704" s="28" t="s">
        <v>914</v>
      </c>
      <c r="G4704" s="19" t="n">
        <v>0.0391</v>
      </c>
    </row>
    <row r="4705" customFormat="false" ht="15" hidden="false" customHeight="false" outlineLevel="0" collapsed="false">
      <c r="A4705" s="28" t="s">
        <v>203</v>
      </c>
      <c r="B4705" s="28" t="s">
        <v>204</v>
      </c>
      <c r="C4705" s="28" t="s">
        <v>202</v>
      </c>
      <c r="D4705" s="23" t="n">
        <v>14</v>
      </c>
      <c r="E4705" s="23" t="n">
        <v>10</v>
      </c>
      <c r="F4705" s="28" t="s">
        <v>915</v>
      </c>
      <c r="G4705" s="19" t="n">
        <v>0.0549</v>
      </c>
    </row>
    <row r="4706" customFormat="false" ht="15" hidden="false" customHeight="false" outlineLevel="0" collapsed="false">
      <c r="A4706" s="28" t="s">
        <v>203</v>
      </c>
      <c r="B4706" s="28" t="s">
        <v>204</v>
      </c>
      <c r="C4706" s="28" t="s">
        <v>202</v>
      </c>
      <c r="D4706" s="23" t="n">
        <v>14</v>
      </c>
      <c r="E4706" s="23" t="n">
        <v>11</v>
      </c>
      <c r="F4706" s="28" t="s">
        <v>904</v>
      </c>
      <c r="G4706" s="19" t="n">
        <v>0.0363</v>
      </c>
    </row>
    <row r="4707" customFormat="false" ht="15" hidden="false" customHeight="false" outlineLevel="0" collapsed="false">
      <c r="A4707" s="28" t="s">
        <v>203</v>
      </c>
      <c r="B4707" s="28" t="s">
        <v>204</v>
      </c>
      <c r="C4707" s="28" t="s">
        <v>202</v>
      </c>
      <c r="D4707" s="23" t="n">
        <v>14</v>
      </c>
      <c r="E4707" s="23" t="n">
        <v>11</v>
      </c>
      <c r="F4707" s="28" t="s">
        <v>551</v>
      </c>
      <c r="G4707" s="19" t="n">
        <v>0.0675</v>
      </c>
    </row>
    <row r="4708" customFormat="false" ht="15" hidden="false" customHeight="false" outlineLevel="0" collapsed="false">
      <c r="A4708" s="28" t="s">
        <v>203</v>
      </c>
      <c r="B4708" s="28" t="s">
        <v>204</v>
      </c>
      <c r="C4708" s="28" t="s">
        <v>202</v>
      </c>
      <c r="D4708" s="23" t="n">
        <v>14</v>
      </c>
      <c r="E4708" s="23" t="n">
        <v>11</v>
      </c>
      <c r="F4708" s="28" t="s">
        <v>451</v>
      </c>
      <c r="G4708" s="19" t="n">
        <v>0.0361</v>
      </c>
    </row>
    <row r="4709" customFormat="false" ht="15" hidden="false" customHeight="false" outlineLevel="0" collapsed="false">
      <c r="A4709" s="28" t="s">
        <v>203</v>
      </c>
      <c r="B4709" s="28" t="s">
        <v>204</v>
      </c>
      <c r="C4709" s="28" t="s">
        <v>202</v>
      </c>
      <c r="D4709" s="23" t="n">
        <v>14</v>
      </c>
      <c r="E4709" s="23" t="n">
        <v>11</v>
      </c>
      <c r="F4709" s="28" t="s">
        <v>905</v>
      </c>
      <c r="G4709" s="19" t="n">
        <v>0.0387</v>
      </c>
    </row>
    <row r="4710" customFormat="false" ht="15" hidden="false" customHeight="false" outlineLevel="0" collapsed="false">
      <c r="A4710" s="28" t="s">
        <v>203</v>
      </c>
      <c r="B4710" s="28" t="s">
        <v>204</v>
      </c>
      <c r="C4710" s="28" t="s">
        <v>202</v>
      </c>
      <c r="D4710" s="23" t="n">
        <v>14</v>
      </c>
      <c r="E4710" s="23" t="n">
        <v>11</v>
      </c>
      <c r="F4710" s="28" t="s">
        <v>906</v>
      </c>
      <c r="G4710" s="19" t="n">
        <v>0.039844</v>
      </c>
    </row>
    <row r="4711" customFormat="false" ht="15" hidden="false" customHeight="false" outlineLevel="0" collapsed="false">
      <c r="A4711" s="28" t="s">
        <v>203</v>
      </c>
      <c r="B4711" s="28" t="s">
        <v>204</v>
      </c>
      <c r="C4711" s="28" t="s">
        <v>202</v>
      </c>
      <c r="D4711" s="23" t="n">
        <v>14</v>
      </c>
      <c r="E4711" s="23" t="n">
        <v>11</v>
      </c>
      <c r="F4711" s="28" t="s">
        <v>907</v>
      </c>
      <c r="G4711" s="19" t="n">
        <v>0.039031</v>
      </c>
    </row>
    <row r="4712" customFormat="false" ht="15" hidden="false" customHeight="false" outlineLevel="0" collapsed="false">
      <c r="A4712" s="28" t="s">
        <v>203</v>
      </c>
      <c r="B4712" s="28" t="s">
        <v>204</v>
      </c>
      <c r="C4712" s="28" t="s">
        <v>202</v>
      </c>
      <c r="D4712" s="23" t="n">
        <v>14</v>
      </c>
      <c r="E4712" s="23" t="n">
        <v>11</v>
      </c>
      <c r="F4712" s="28" t="s">
        <v>908</v>
      </c>
      <c r="G4712" s="19" t="n">
        <v>0.039605</v>
      </c>
    </row>
    <row r="4713" customFormat="false" ht="15" hidden="false" customHeight="false" outlineLevel="0" collapsed="false">
      <c r="A4713" s="28" t="s">
        <v>203</v>
      </c>
      <c r="B4713" s="28" t="s">
        <v>204</v>
      </c>
      <c r="C4713" s="28" t="s">
        <v>202</v>
      </c>
      <c r="D4713" s="23" t="n">
        <v>14</v>
      </c>
      <c r="E4713" s="23" t="n">
        <v>11</v>
      </c>
      <c r="F4713" s="28" t="s">
        <v>909</v>
      </c>
      <c r="G4713" s="19" t="n">
        <v>0.038679</v>
      </c>
    </row>
    <row r="4714" customFormat="false" ht="15" hidden="false" customHeight="false" outlineLevel="0" collapsed="false">
      <c r="A4714" s="28" t="s">
        <v>203</v>
      </c>
      <c r="B4714" s="28" t="s">
        <v>204</v>
      </c>
      <c r="C4714" s="28" t="s">
        <v>202</v>
      </c>
      <c r="D4714" s="23" t="n">
        <v>14</v>
      </c>
      <c r="E4714" s="23" t="n">
        <v>11</v>
      </c>
      <c r="F4714" s="28" t="s">
        <v>910</v>
      </c>
      <c r="G4714" s="19" t="n">
        <v>0.037028</v>
      </c>
    </row>
    <row r="4715" customFormat="false" ht="15" hidden="false" customHeight="false" outlineLevel="0" collapsed="false">
      <c r="A4715" s="28" t="s">
        <v>203</v>
      </c>
      <c r="B4715" s="28" t="s">
        <v>204</v>
      </c>
      <c r="C4715" s="28" t="s">
        <v>202</v>
      </c>
      <c r="D4715" s="23" t="n">
        <v>14</v>
      </c>
      <c r="E4715" s="23" t="n">
        <v>11</v>
      </c>
      <c r="F4715" s="28" t="s">
        <v>911</v>
      </c>
      <c r="G4715" s="19" t="n">
        <v>0.036077</v>
      </c>
    </row>
    <row r="4716" customFormat="false" ht="15" hidden="false" customHeight="false" outlineLevel="0" collapsed="false">
      <c r="A4716" s="28" t="s">
        <v>203</v>
      </c>
      <c r="B4716" s="28" t="s">
        <v>204</v>
      </c>
      <c r="C4716" s="28" t="s">
        <v>202</v>
      </c>
      <c r="D4716" s="23" t="n">
        <v>14</v>
      </c>
      <c r="E4716" s="23" t="n">
        <v>11</v>
      </c>
      <c r="F4716" s="28" t="s">
        <v>912</v>
      </c>
      <c r="G4716" s="19" t="n">
        <v>0.0344</v>
      </c>
    </row>
    <row r="4717" customFormat="false" ht="15" hidden="false" customHeight="false" outlineLevel="0" collapsed="false">
      <c r="A4717" s="28" t="s">
        <v>203</v>
      </c>
      <c r="B4717" s="28" t="s">
        <v>204</v>
      </c>
      <c r="C4717" s="28" t="s">
        <v>202</v>
      </c>
      <c r="D4717" s="23" t="n">
        <v>14</v>
      </c>
      <c r="E4717" s="23" t="n">
        <v>11</v>
      </c>
      <c r="F4717" s="28" t="s">
        <v>913</v>
      </c>
      <c r="G4717" s="19" t="n">
        <v>0.0393</v>
      </c>
    </row>
    <row r="4718" customFormat="false" ht="15" hidden="false" customHeight="false" outlineLevel="0" collapsed="false">
      <c r="A4718" s="28" t="s">
        <v>203</v>
      </c>
      <c r="B4718" s="28" t="s">
        <v>204</v>
      </c>
      <c r="C4718" s="28" t="s">
        <v>202</v>
      </c>
      <c r="D4718" s="23" t="n">
        <v>14</v>
      </c>
      <c r="E4718" s="23" t="n">
        <v>11</v>
      </c>
      <c r="F4718" s="28" t="s">
        <v>914</v>
      </c>
      <c r="G4718" s="19" t="n">
        <v>0.0391</v>
      </c>
    </row>
    <row r="4719" customFormat="false" ht="15" hidden="false" customHeight="false" outlineLevel="0" collapsed="false">
      <c r="A4719" s="28" t="s">
        <v>203</v>
      </c>
      <c r="B4719" s="28" t="s">
        <v>204</v>
      </c>
      <c r="C4719" s="28" t="s">
        <v>202</v>
      </c>
      <c r="D4719" s="23" t="n">
        <v>14</v>
      </c>
      <c r="E4719" s="23" t="n">
        <v>11</v>
      </c>
      <c r="F4719" s="28" t="s">
        <v>915</v>
      </c>
      <c r="G4719" s="19" t="n">
        <v>0.0549</v>
      </c>
    </row>
    <row r="4720" customFormat="false" ht="15" hidden="false" customHeight="false" outlineLevel="0" collapsed="false">
      <c r="A4720" s="28" t="s">
        <v>203</v>
      </c>
      <c r="B4720" s="28" t="s">
        <v>204</v>
      </c>
      <c r="C4720" s="28" t="s">
        <v>202</v>
      </c>
      <c r="D4720" s="23" t="n">
        <v>14</v>
      </c>
      <c r="E4720" s="23" t="n">
        <v>12</v>
      </c>
      <c r="F4720" s="28" t="s">
        <v>904</v>
      </c>
      <c r="G4720" s="19" t="n">
        <v>0.0363</v>
      </c>
    </row>
    <row r="4721" customFormat="false" ht="15" hidden="false" customHeight="false" outlineLevel="0" collapsed="false">
      <c r="A4721" s="28" t="s">
        <v>203</v>
      </c>
      <c r="B4721" s="28" t="s">
        <v>204</v>
      </c>
      <c r="C4721" s="28" t="s">
        <v>202</v>
      </c>
      <c r="D4721" s="23" t="n">
        <v>14</v>
      </c>
      <c r="E4721" s="23" t="n">
        <v>12</v>
      </c>
      <c r="F4721" s="28" t="s">
        <v>551</v>
      </c>
      <c r="G4721" s="19" t="n">
        <v>0.0675</v>
      </c>
    </row>
    <row r="4722" customFormat="false" ht="15" hidden="false" customHeight="false" outlineLevel="0" collapsed="false">
      <c r="A4722" s="28" t="s">
        <v>203</v>
      </c>
      <c r="B4722" s="28" t="s">
        <v>204</v>
      </c>
      <c r="C4722" s="28" t="s">
        <v>202</v>
      </c>
      <c r="D4722" s="23" t="n">
        <v>14</v>
      </c>
      <c r="E4722" s="23" t="n">
        <v>12</v>
      </c>
      <c r="F4722" s="28" t="s">
        <v>451</v>
      </c>
      <c r="G4722" s="19" t="n">
        <v>0.0361</v>
      </c>
    </row>
    <row r="4723" customFormat="false" ht="15" hidden="false" customHeight="false" outlineLevel="0" collapsed="false">
      <c r="A4723" s="28" t="s">
        <v>203</v>
      </c>
      <c r="B4723" s="28" t="s">
        <v>204</v>
      </c>
      <c r="C4723" s="28" t="s">
        <v>202</v>
      </c>
      <c r="D4723" s="23" t="n">
        <v>14</v>
      </c>
      <c r="E4723" s="23" t="n">
        <v>12</v>
      </c>
      <c r="F4723" s="28" t="s">
        <v>905</v>
      </c>
      <c r="G4723" s="19" t="n">
        <v>0.0387</v>
      </c>
    </row>
    <row r="4724" customFormat="false" ht="15" hidden="false" customHeight="false" outlineLevel="0" collapsed="false">
      <c r="A4724" s="28" t="s">
        <v>203</v>
      </c>
      <c r="B4724" s="28" t="s">
        <v>204</v>
      </c>
      <c r="C4724" s="28" t="s">
        <v>202</v>
      </c>
      <c r="D4724" s="23" t="n">
        <v>14</v>
      </c>
      <c r="E4724" s="23" t="n">
        <v>12</v>
      </c>
      <c r="F4724" s="28" t="s">
        <v>906</v>
      </c>
      <c r="G4724" s="19" t="n">
        <v>0.039844</v>
      </c>
    </row>
    <row r="4725" customFormat="false" ht="15" hidden="false" customHeight="false" outlineLevel="0" collapsed="false">
      <c r="A4725" s="28" t="s">
        <v>203</v>
      </c>
      <c r="B4725" s="28" t="s">
        <v>204</v>
      </c>
      <c r="C4725" s="28" t="s">
        <v>202</v>
      </c>
      <c r="D4725" s="23" t="n">
        <v>14</v>
      </c>
      <c r="E4725" s="23" t="n">
        <v>12</v>
      </c>
      <c r="F4725" s="28" t="s">
        <v>907</v>
      </c>
      <c r="G4725" s="19" t="n">
        <v>0.039031</v>
      </c>
    </row>
    <row r="4726" customFormat="false" ht="15" hidden="false" customHeight="false" outlineLevel="0" collapsed="false">
      <c r="A4726" s="28" t="s">
        <v>203</v>
      </c>
      <c r="B4726" s="28" t="s">
        <v>204</v>
      </c>
      <c r="C4726" s="28" t="s">
        <v>202</v>
      </c>
      <c r="D4726" s="23" t="n">
        <v>14</v>
      </c>
      <c r="E4726" s="23" t="n">
        <v>12</v>
      </c>
      <c r="F4726" s="28" t="s">
        <v>908</v>
      </c>
      <c r="G4726" s="19" t="n">
        <v>0.039605</v>
      </c>
    </row>
    <row r="4727" customFormat="false" ht="15" hidden="false" customHeight="false" outlineLevel="0" collapsed="false">
      <c r="A4727" s="28" t="s">
        <v>203</v>
      </c>
      <c r="B4727" s="28" t="s">
        <v>204</v>
      </c>
      <c r="C4727" s="28" t="s">
        <v>202</v>
      </c>
      <c r="D4727" s="23" t="n">
        <v>14</v>
      </c>
      <c r="E4727" s="23" t="n">
        <v>12</v>
      </c>
      <c r="F4727" s="28" t="s">
        <v>909</v>
      </c>
      <c r="G4727" s="19" t="n">
        <v>0.038679</v>
      </c>
    </row>
    <row r="4728" customFormat="false" ht="15" hidden="false" customHeight="false" outlineLevel="0" collapsed="false">
      <c r="A4728" s="28" t="s">
        <v>203</v>
      </c>
      <c r="B4728" s="28" t="s">
        <v>204</v>
      </c>
      <c r="C4728" s="28" t="s">
        <v>202</v>
      </c>
      <c r="D4728" s="23" t="n">
        <v>14</v>
      </c>
      <c r="E4728" s="23" t="n">
        <v>12</v>
      </c>
      <c r="F4728" s="28" t="s">
        <v>910</v>
      </c>
      <c r="G4728" s="19" t="n">
        <v>0.037028</v>
      </c>
    </row>
    <row r="4729" customFormat="false" ht="15" hidden="false" customHeight="false" outlineLevel="0" collapsed="false">
      <c r="A4729" s="28" t="s">
        <v>203</v>
      </c>
      <c r="B4729" s="28" t="s">
        <v>204</v>
      </c>
      <c r="C4729" s="28" t="s">
        <v>202</v>
      </c>
      <c r="D4729" s="23" t="n">
        <v>14</v>
      </c>
      <c r="E4729" s="23" t="n">
        <v>12</v>
      </c>
      <c r="F4729" s="28" t="s">
        <v>911</v>
      </c>
      <c r="G4729" s="19" t="n">
        <v>0.036077</v>
      </c>
    </row>
    <row r="4730" customFormat="false" ht="15" hidden="false" customHeight="false" outlineLevel="0" collapsed="false">
      <c r="A4730" s="28" t="s">
        <v>203</v>
      </c>
      <c r="B4730" s="28" t="s">
        <v>204</v>
      </c>
      <c r="C4730" s="28" t="s">
        <v>202</v>
      </c>
      <c r="D4730" s="23" t="n">
        <v>14</v>
      </c>
      <c r="E4730" s="23" t="n">
        <v>12</v>
      </c>
      <c r="F4730" s="28" t="s">
        <v>912</v>
      </c>
      <c r="G4730" s="19" t="n">
        <v>0.0344</v>
      </c>
    </row>
    <row r="4731" customFormat="false" ht="15" hidden="false" customHeight="false" outlineLevel="0" collapsed="false">
      <c r="A4731" s="28" t="s">
        <v>203</v>
      </c>
      <c r="B4731" s="28" t="s">
        <v>204</v>
      </c>
      <c r="C4731" s="28" t="s">
        <v>202</v>
      </c>
      <c r="D4731" s="23" t="n">
        <v>14</v>
      </c>
      <c r="E4731" s="23" t="n">
        <v>12</v>
      </c>
      <c r="F4731" s="28" t="s">
        <v>913</v>
      </c>
      <c r="G4731" s="19" t="n">
        <v>0.0393</v>
      </c>
    </row>
    <row r="4732" customFormat="false" ht="15" hidden="false" customHeight="false" outlineLevel="0" collapsed="false">
      <c r="A4732" s="28" t="s">
        <v>203</v>
      </c>
      <c r="B4732" s="28" t="s">
        <v>204</v>
      </c>
      <c r="C4732" s="28" t="s">
        <v>202</v>
      </c>
      <c r="D4732" s="23" t="n">
        <v>14</v>
      </c>
      <c r="E4732" s="23" t="n">
        <v>12</v>
      </c>
      <c r="F4732" s="28" t="s">
        <v>914</v>
      </c>
      <c r="G4732" s="19" t="n">
        <v>0.0391</v>
      </c>
    </row>
    <row r="4733" customFormat="false" ht="15" hidden="false" customHeight="false" outlineLevel="0" collapsed="false">
      <c r="A4733" s="28" t="s">
        <v>203</v>
      </c>
      <c r="B4733" s="28" t="s">
        <v>204</v>
      </c>
      <c r="C4733" s="28" t="s">
        <v>202</v>
      </c>
      <c r="D4733" s="23" t="n">
        <v>14</v>
      </c>
      <c r="E4733" s="23" t="n">
        <v>12</v>
      </c>
      <c r="F4733" s="28" t="s">
        <v>915</v>
      </c>
      <c r="G4733" s="19" t="n">
        <v>0.0549</v>
      </c>
    </row>
    <row r="4734" customFormat="false" ht="15" hidden="false" customHeight="false" outlineLevel="0" collapsed="false">
      <c r="A4734" s="28" t="s">
        <v>203</v>
      </c>
      <c r="B4734" s="28" t="s">
        <v>204</v>
      </c>
      <c r="C4734" s="28" t="s">
        <v>202</v>
      </c>
      <c r="D4734" s="23" t="n">
        <v>14</v>
      </c>
      <c r="E4734" s="23" t="n">
        <v>13</v>
      </c>
      <c r="F4734" s="28" t="s">
        <v>904</v>
      </c>
      <c r="G4734" s="19" t="n">
        <v>0.0363</v>
      </c>
    </row>
    <row r="4735" customFormat="false" ht="15" hidden="false" customHeight="false" outlineLevel="0" collapsed="false">
      <c r="A4735" s="28" t="s">
        <v>203</v>
      </c>
      <c r="B4735" s="28" t="s">
        <v>204</v>
      </c>
      <c r="C4735" s="28" t="s">
        <v>202</v>
      </c>
      <c r="D4735" s="23" t="n">
        <v>14</v>
      </c>
      <c r="E4735" s="23" t="n">
        <v>13</v>
      </c>
      <c r="F4735" s="28" t="s">
        <v>551</v>
      </c>
      <c r="G4735" s="19" t="n">
        <v>0.0675</v>
      </c>
    </row>
    <row r="4736" customFormat="false" ht="15" hidden="false" customHeight="false" outlineLevel="0" collapsed="false">
      <c r="A4736" s="28" t="s">
        <v>203</v>
      </c>
      <c r="B4736" s="28" t="s">
        <v>204</v>
      </c>
      <c r="C4736" s="28" t="s">
        <v>202</v>
      </c>
      <c r="D4736" s="23" t="n">
        <v>14</v>
      </c>
      <c r="E4736" s="23" t="n">
        <v>13</v>
      </c>
      <c r="F4736" s="28" t="s">
        <v>451</v>
      </c>
      <c r="G4736" s="19" t="n">
        <v>0.0361</v>
      </c>
    </row>
    <row r="4737" customFormat="false" ht="15" hidden="false" customHeight="false" outlineLevel="0" collapsed="false">
      <c r="A4737" s="28" t="s">
        <v>203</v>
      </c>
      <c r="B4737" s="28" t="s">
        <v>204</v>
      </c>
      <c r="C4737" s="28" t="s">
        <v>202</v>
      </c>
      <c r="D4737" s="23" t="n">
        <v>14</v>
      </c>
      <c r="E4737" s="23" t="n">
        <v>13</v>
      </c>
      <c r="F4737" s="28" t="s">
        <v>905</v>
      </c>
      <c r="G4737" s="19" t="n">
        <v>0.0387</v>
      </c>
    </row>
    <row r="4738" customFormat="false" ht="15" hidden="false" customHeight="false" outlineLevel="0" collapsed="false">
      <c r="A4738" s="28" t="s">
        <v>203</v>
      </c>
      <c r="B4738" s="28" t="s">
        <v>204</v>
      </c>
      <c r="C4738" s="28" t="s">
        <v>202</v>
      </c>
      <c r="D4738" s="23" t="n">
        <v>14</v>
      </c>
      <c r="E4738" s="23" t="n">
        <v>13</v>
      </c>
      <c r="F4738" s="28" t="s">
        <v>906</v>
      </c>
      <c r="G4738" s="19" t="n">
        <v>0.039844</v>
      </c>
    </row>
    <row r="4739" customFormat="false" ht="15" hidden="false" customHeight="false" outlineLevel="0" collapsed="false">
      <c r="A4739" s="28" t="s">
        <v>203</v>
      </c>
      <c r="B4739" s="28" t="s">
        <v>204</v>
      </c>
      <c r="C4739" s="28" t="s">
        <v>202</v>
      </c>
      <c r="D4739" s="23" t="n">
        <v>14</v>
      </c>
      <c r="E4739" s="23" t="n">
        <v>13</v>
      </c>
      <c r="F4739" s="28" t="s">
        <v>907</v>
      </c>
      <c r="G4739" s="19" t="n">
        <v>0.039031</v>
      </c>
    </row>
    <row r="4740" customFormat="false" ht="15" hidden="false" customHeight="false" outlineLevel="0" collapsed="false">
      <c r="A4740" s="28" t="s">
        <v>203</v>
      </c>
      <c r="B4740" s="28" t="s">
        <v>204</v>
      </c>
      <c r="C4740" s="28" t="s">
        <v>202</v>
      </c>
      <c r="D4740" s="23" t="n">
        <v>14</v>
      </c>
      <c r="E4740" s="23" t="n">
        <v>13</v>
      </c>
      <c r="F4740" s="28" t="s">
        <v>908</v>
      </c>
      <c r="G4740" s="19" t="n">
        <v>0.039605</v>
      </c>
    </row>
    <row r="4741" customFormat="false" ht="15" hidden="false" customHeight="false" outlineLevel="0" collapsed="false">
      <c r="A4741" s="28" t="s">
        <v>203</v>
      </c>
      <c r="B4741" s="28" t="s">
        <v>204</v>
      </c>
      <c r="C4741" s="28" t="s">
        <v>202</v>
      </c>
      <c r="D4741" s="23" t="n">
        <v>14</v>
      </c>
      <c r="E4741" s="23" t="n">
        <v>13</v>
      </c>
      <c r="F4741" s="28" t="s">
        <v>909</v>
      </c>
      <c r="G4741" s="19" t="n">
        <v>0.038679</v>
      </c>
    </row>
    <row r="4742" customFormat="false" ht="15" hidden="false" customHeight="false" outlineLevel="0" collapsed="false">
      <c r="A4742" s="28" t="s">
        <v>203</v>
      </c>
      <c r="B4742" s="28" t="s">
        <v>204</v>
      </c>
      <c r="C4742" s="28" t="s">
        <v>202</v>
      </c>
      <c r="D4742" s="23" t="n">
        <v>14</v>
      </c>
      <c r="E4742" s="23" t="n">
        <v>13</v>
      </c>
      <c r="F4742" s="28" t="s">
        <v>910</v>
      </c>
      <c r="G4742" s="19" t="n">
        <v>0.037028</v>
      </c>
    </row>
    <row r="4743" customFormat="false" ht="15" hidden="false" customHeight="false" outlineLevel="0" collapsed="false">
      <c r="A4743" s="28" t="s">
        <v>203</v>
      </c>
      <c r="B4743" s="28" t="s">
        <v>204</v>
      </c>
      <c r="C4743" s="28" t="s">
        <v>202</v>
      </c>
      <c r="D4743" s="23" t="n">
        <v>14</v>
      </c>
      <c r="E4743" s="23" t="n">
        <v>13</v>
      </c>
      <c r="F4743" s="28" t="s">
        <v>911</v>
      </c>
      <c r="G4743" s="19" t="n">
        <v>0.036077</v>
      </c>
    </row>
    <row r="4744" customFormat="false" ht="15" hidden="false" customHeight="false" outlineLevel="0" collapsed="false">
      <c r="A4744" s="28" t="s">
        <v>203</v>
      </c>
      <c r="B4744" s="28" t="s">
        <v>204</v>
      </c>
      <c r="C4744" s="28" t="s">
        <v>202</v>
      </c>
      <c r="D4744" s="23" t="n">
        <v>14</v>
      </c>
      <c r="E4744" s="23" t="n">
        <v>13</v>
      </c>
      <c r="F4744" s="28" t="s">
        <v>912</v>
      </c>
      <c r="G4744" s="19" t="n">
        <v>0.0344</v>
      </c>
    </row>
    <row r="4745" customFormat="false" ht="15" hidden="false" customHeight="false" outlineLevel="0" collapsed="false">
      <c r="A4745" s="28" t="s">
        <v>203</v>
      </c>
      <c r="B4745" s="28" t="s">
        <v>204</v>
      </c>
      <c r="C4745" s="28" t="s">
        <v>202</v>
      </c>
      <c r="D4745" s="23" t="n">
        <v>14</v>
      </c>
      <c r="E4745" s="23" t="n">
        <v>13</v>
      </c>
      <c r="F4745" s="28" t="s">
        <v>913</v>
      </c>
      <c r="G4745" s="19" t="n">
        <v>0.0393</v>
      </c>
    </row>
    <row r="4746" customFormat="false" ht="15" hidden="false" customHeight="false" outlineLevel="0" collapsed="false">
      <c r="A4746" s="28" t="s">
        <v>203</v>
      </c>
      <c r="B4746" s="28" t="s">
        <v>204</v>
      </c>
      <c r="C4746" s="28" t="s">
        <v>202</v>
      </c>
      <c r="D4746" s="23" t="n">
        <v>14</v>
      </c>
      <c r="E4746" s="23" t="n">
        <v>13</v>
      </c>
      <c r="F4746" s="28" t="s">
        <v>914</v>
      </c>
      <c r="G4746" s="19" t="n">
        <v>0.0391</v>
      </c>
    </row>
    <row r="4747" customFormat="false" ht="15" hidden="false" customHeight="false" outlineLevel="0" collapsed="false">
      <c r="A4747" s="28" t="s">
        <v>203</v>
      </c>
      <c r="B4747" s="28" t="s">
        <v>204</v>
      </c>
      <c r="C4747" s="28" t="s">
        <v>202</v>
      </c>
      <c r="D4747" s="23" t="n">
        <v>14</v>
      </c>
      <c r="E4747" s="23" t="n">
        <v>13</v>
      </c>
      <c r="F4747" s="28" t="s">
        <v>915</v>
      </c>
      <c r="G4747" s="19" t="n">
        <v>0.0549</v>
      </c>
    </row>
    <row r="4748" customFormat="false" ht="15" hidden="false" customHeight="false" outlineLevel="0" collapsed="false">
      <c r="A4748" s="28" t="s">
        <v>203</v>
      </c>
      <c r="B4748" s="28" t="s">
        <v>204</v>
      </c>
      <c r="C4748" s="28" t="s">
        <v>202</v>
      </c>
      <c r="D4748" s="23" t="n">
        <v>14</v>
      </c>
      <c r="E4748" s="23" t="n">
        <v>14</v>
      </c>
      <c r="F4748" s="28" t="s">
        <v>904</v>
      </c>
      <c r="G4748" s="19" t="n">
        <v>0.0363</v>
      </c>
    </row>
    <row r="4749" customFormat="false" ht="15" hidden="false" customHeight="false" outlineLevel="0" collapsed="false">
      <c r="A4749" s="28" t="s">
        <v>203</v>
      </c>
      <c r="B4749" s="28" t="s">
        <v>204</v>
      </c>
      <c r="C4749" s="28" t="s">
        <v>202</v>
      </c>
      <c r="D4749" s="23" t="n">
        <v>14</v>
      </c>
      <c r="E4749" s="23" t="n">
        <v>14</v>
      </c>
      <c r="F4749" s="28" t="s">
        <v>551</v>
      </c>
      <c r="G4749" s="19" t="n">
        <v>0.0675</v>
      </c>
    </row>
    <row r="4750" customFormat="false" ht="15" hidden="false" customHeight="false" outlineLevel="0" collapsed="false">
      <c r="A4750" s="28" t="s">
        <v>203</v>
      </c>
      <c r="B4750" s="28" t="s">
        <v>204</v>
      </c>
      <c r="C4750" s="28" t="s">
        <v>202</v>
      </c>
      <c r="D4750" s="23" t="n">
        <v>14</v>
      </c>
      <c r="E4750" s="23" t="n">
        <v>14</v>
      </c>
      <c r="F4750" s="28" t="s">
        <v>451</v>
      </c>
      <c r="G4750" s="19" t="n">
        <v>0.0361</v>
      </c>
    </row>
    <row r="4751" customFormat="false" ht="15" hidden="false" customHeight="false" outlineLevel="0" collapsed="false">
      <c r="A4751" s="28" t="s">
        <v>203</v>
      </c>
      <c r="B4751" s="28" t="s">
        <v>204</v>
      </c>
      <c r="C4751" s="28" t="s">
        <v>202</v>
      </c>
      <c r="D4751" s="23" t="n">
        <v>14</v>
      </c>
      <c r="E4751" s="23" t="n">
        <v>14</v>
      </c>
      <c r="F4751" s="28" t="s">
        <v>905</v>
      </c>
      <c r="G4751" s="19" t="n">
        <v>0.0387</v>
      </c>
    </row>
    <row r="4752" customFormat="false" ht="15" hidden="false" customHeight="false" outlineLevel="0" collapsed="false">
      <c r="A4752" s="28" t="s">
        <v>203</v>
      </c>
      <c r="B4752" s="28" t="s">
        <v>204</v>
      </c>
      <c r="C4752" s="28" t="s">
        <v>202</v>
      </c>
      <c r="D4752" s="23" t="n">
        <v>14</v>
      </c>
      <c r="E4752" s="23" t="n">
        <v>14</v>
      </c>
      <c r="F4752" s="28" t="s">
        <v>906</v>
      </c>
      <c r="G4752" s="19" t="n">
        <v>0.039844</v>
      </c>
    </row>
    <row r="4753" customFormat="false" ht="15" hidden="false" customHeight="false" outlineLevel="0" collapsed="false">
      <c r="A4753" s="28" t="s">
        <v>203</v>
      </c>
      <c r="B4753" s="28" t="s">
        <v>204</v>
      </c>
      <c r="C4753" s="28" t="s">
        <v>202</v>
      </c>
      <c r="D4753" s="23" t="n">
        <v>14</v>
      </c>
      <c r="E4753" s="23" t="n">
        <v>14</v>
      </c>
      <c r="F4753" s="28" t="s">
        <v>907</v>
      </c>
      <c r="G4753" s="19" t="n">
        <v>0.039031</v>
      </c>
    </row>
    <row r="4754" customFormat="false" ht="15" hidden="false" customHeight="false" outlineLevel="0" collapsed="false">
      <c r="A4754" s="28" t="s">
        <v>203</v>
      </c>
      <c r="B4754" s="28" t="s">
        <v>204</v>
      </c>
      <c r="C4754" s="28" t="s">
        <v>202</v>
      </c>
      <c r="D4754" s="23" t="n">
        <v>14</v>
      </c>
      <c r="E4754" s="23" t="n">
        <v>14</v>
      </c>
      <c r="F4754" s="28" t="s">
        <v>908</v>
      </c>
      <c r="G4754" s="19" t="n">
        <v>0.039605</v>
      </c>
    </row>
    <row r="4755" customFormat="false" ht="15" hidden="false" customHeight="false" outlineLevel="0" collapsed="false">
      <c r="A4755" s="28" t="s">
        <v>203</v>
      </c>
      <c r="B4755" s="28" t="s">
        <v>204</v>
      </c>
      <c r="C4755" s="28" t="s">
        <v>202</v>
      </c>
      <c r="D4755" s="23" t="n">
        <v>14</v>
      </c>
      <c r="E4755" s="23" t="n">
        <v>14</v>
      </c>
      <c r="F4755" s="28" t="s">
        <v>909</v>
      </c>
      <c r="G4755" s="19" t="n">
        <v>0.038679</v>
      </c>
    </row>
    <row r="4756" customFormat="false" ht="15" hidden="false" customHeight="false" outlineLevel="0" collapsed="false">
      <c r="A4756" s="28" t="s">
        <v>203</v>
      </c>
      <c r="B4756" s="28" t="s">
        <v>204</v>
      </c>
      <c r="C4756" s="28" t="s">
        <v>202</v>
      </c>
      <c r="D4756" s="23" t="n">
        <v>14</v>
      </c>
      <c r="E4756" s="23" t="n">
        <v>14</v>
      </c>
      <c r="F4756" s="28" t="s">
        <v>910</v>
      </c>
      <c r="G4756" s="19" t="n">
        <v>0.037028</v>
      </c>
    </row>
    <row r="4757" customFormat="false" ht="15" hidden="false" customHeight="false" outlineLevel="0" collapsed="false">
      <c r="A4757" s="28" t="s">
        <v>203</v>
      </c>
      <c r="B4757" s="28" t="s">
        <v>204</v>
      </c>
      <c r="C4757" s="28" t="s">
        <v>202</v>
      </c>
      <c r="D4757" s="23" t="n">
        <v>14</v>
      </c>
      <c r="E4757" s="23" t="n">
        <v>14</v>
      </c>
      <c r="F4757" s="28" t="s">
        <v>911</v>
      </c>
      <c r="G4757" s="19" t="n">
        <v>0.036077</v>
      </c>
    </row>
    <row r="4758" customFormat="false" ht="15" hidden="false" customHeight="false" outlineLevel="0" collapsed="false">
      <c r="A4758" s="28" t="s">
        <v>203</v>
      </c>
      <c r="B4758" s="28" t="s">
        <v>204</v>
      </c>
      <c r="C4758" s="28" t="s">
        <v>202</v>
      </c>
      <c r="D4758" s="23" t="n">
        <v>14</v>
      </c>
      <c r="E4758" s="23" t="n">
        <v>14</v>
      </c>
      <c r="F4758" s="28" t="s">
        <v>912</v>
      </c>
      <c r="G4758" s="19" t="n">
        <v>0.0344</v>
      </c>
    </row>
    <row r="4759" customFormat="false" ht="15" hidden="false" customHeight="false" outlineLevel="0" collapsed="false">
      <c r="A4759" s="28" t="s">
        <v>203</v>
      </c>
      <c r="B4759" s="28" t="s">
        <v>204</v>
      </c>
      <c r="C4759" s="28" t="s">
        <v>202</v>
      </c>
      <c r="D4759" s="23" t="n">
        <v>14</v>
      </c>
      <c r="E4759" s="23" t="n">
        <v>14</v>
      </c>
      <c r="F4759" s="28" t="s">
        <v>913</v>
      </c>
      <c r="G4759" s="19" t="n">
        <v>0.0393</v>
      </c>
    </row>
    <row r="4760" customFormat="false" ht="15" hidden="false" customHeight="false" outlineLevel="0" collapsed="false">
      <c r="A4760" s="28" t="s">
        <v>203</v>
      </c>
      <c r="B4760" s="28" t="s">
        <v>204</v>
      </c>
      <c r="C4760" s="28" t="s">
        <v>202</v>
      </c>
      <c r="D4760" s="23" t="n">
        <v>14</v>
      </c>
      <c r="E4760" s="23" t="n">
        <v>14</v>
      </c>
      <c r="F4760" s="28" t="s">
        <v>914</v>
      </c>
      <c r="G4760" s="19" t="n">
        <v>0.0391</v>
      </c>
    </row>
    <row r="4761" customFormat="false" ht="15" hidden="false" customHeight="false" outlineLevel="0" collapsed="false">
      <c r="A4761" s="28" t="s">
        <v>203</v>
      </c>
      <c r="B4761" s="28" t="s">
        <v>204</v>
      </c>
      <c r="C4761" s="28" t="s">
        <v>202</v>
      </c>
      <c r="D4761" s="23" t="n">
        <v>14</v>
      </c>
      <c r="E4761" s="23" t="n">
        <v>14</v>
      </c>
      <c r="F4761" s="28" t="s">
        <v>915</v>
      </c>
      <c r="G4761" s="19" t="n">
        <v>0.0549</v>
      </c>
    </row>
    <row r="4762" customFormat="false" ht="15" hidden="false" customHeight="false" outlineLevel="0" collapsed="false">
      <c r="A4762" s="28" t="s">
        <v>203</v>
      </c>
      <c r="B4762" s="28" t="s">
        <v>204</v>
      </c>
      <c r="C4762" s="28" t="s">
        <v>202</v>
      </c>
      <c r="D4762" s="23" t="n">
        <v>14</v>
      </c>
      <c r="E4762" s="23" t="n">
        <v>15</v>
      </c>
      <c r="F4762" s="28" t="s">
        <v>904</v>
      </c>
      <c r="G4762" s="19" t="n">
        <v>0.0363</v>
      </c>
    </row>
    <row r="4763" customFormat="false" ht="15" hidden="false" customHeight="false" outlineLevel="0" collapsed="false">
      <c r="A4763" s="28" t="s">
        <v>203</v>
      </c>
      <c r="B4763" s="28" t="s">
        <v>204</v>
      </c>
      <c r="C4763" s="28" t="s">
        <v>202</v>
      </c>
      <c r="D4763" s="23" t="n">
        <v>14</v>
      </c>
      <c r="E4763" s="23" t="n">
        <v>15</v>
      </c>
      <c r="F4763" s="28" t="s">
        <v>551</v>
      </c>
      <c r="G4763" s="19" t="n">
        <v>0.0675</v>
      </c>
    </row>
    <row r="4764" customFormat="false" ht="15" hidden="false" customHeight="false" outlineLevel="0" collapsed="false">
      <c r="A4764" s="28" t="s">
        <v>203</v>
      </c>
      <c r="B4764" s="28" t="s">
        <v>204</v>
      </c>
      <c r="C4764" s="28" t="s">
        <v>202</v>
      </c>
      <c r="D4764" s="23" t="n">
        <v>14</v>
      </c>
      <c r="E4764" s="23" t="n">
        <v>15</v>
      </c>
      <c r="F4764" s="28" t="s">
        <v>451</v>
      </c>
      <c r="G4764" s="19" t="n">
        <v>0.0361</v>
      </c>
    </row>
    <row r="4765" customFormat="false" ht="15" hidden="false" customHeight="false" outlineLevel="0" collapsed="false">
      <c r="A4765" s="28" t="s">
        <v>203</v>
      </c>
      <c r="B4765" s="28" t="s">
        <v>204</v>
      </c>
      <c r="C4765" s="28" t="s">
        <v>202</v>
      </c>
      <c r="D4765" s="23" t="n">
        <v>14</v>
      </c>
      <c r="E4765" s="23" t="n">
        <v>15</v>
      </c>
      <c r="F4765" s="28" t="s">
        <v>905</v>
      </c>
      <c r="G4765" s="19" t="n">
        <v>0.0387</v>
      </c>
    </row>
    <row r="4766" customFormat="false" ht="15" hidden="false" customHeight="false" outlineLevel="0" collapsed="false">
      <c r="A4766" s="28" t="s">
        <v>203</v>
      </c>
      <c r="B4766" s="28" t="s">
        <v>204</v>
      </c>
      <c r="C4766" s="28" t="s">
        <v>202</v>
      </c>
      <c r="D4766" s="23" t="n">
        <v>14</v>
      </c>
      <c r="E4766" s="23" t="n">
        <v>15</v>
      </c>
      <c r="F4766" s="28" t="s">
        <v>906</v>
      </c>
      <c r="G4766" s="19" t="n">
        <v>0.039844</v>
      </c>
    </row>
    <row r="4767" customFormat="false" ht="15" hidden="false" customHeight="false" outlineLevel="0" collapsed="false">
      <c r="A4767" s="28" t="s">
        <v>203</v>
      </c>
      <c r="B4767" s="28" t="s">
        <v>204</v>
      </c>
      <c r="C4767" s="28" t="s">
        <v>202</v>
      </c>
      <c r="D4767" s="23" t="n">
        <v>14</v>
      </c>
      <c r="E4767" s="23" t="n">
        <v>15</v>
      </c>
      <c r="F4767" s="28" t="s">
        <v>907</v>
      </c>
      <c r="G4767" s="19" t="n">
        <v>0.039031</v>
      </c>
    </row>
    <row r="4768" customFormat="false" ht="15" hidden="false" customHeight="false" outlineLevel="0" collapsed="false">
      <c r="A4768" s="28" t="s">
        <v>203</v>
      </c>
      <c r="B4768" s="28" t="s">
        <v>204</v>
      </c>
      <c r="C4768" s="28" t="s">
        <v>202</v>
      </c>
      <c r="D4768" s="23" t="n">
        <v>14</v>
      </c>
      <c r="E4768" s="23" t="n">
        <v>15</v>
      </c>
      <c r="F4768" s="28" t="s">
        <v>908</v>
      </c>
      <c r="G4768" s="19" t="n">
        <v>0.039605</v>
      </c>
    </row>
    <row r="4769" customFormat="false" ht="15" hidden="false" customHeight="false" outlineLevel="0" collapsed="false">
      <c r="A4769" s="28" t="s">
        <v>203</v>
      </c>
      <c r="B4769" s="28" t="s">
        <v>204</v>
      </c>
      <c r="C4769" s="28" t="s">
        <v>202</v>
      </c>
      <c r="D4769" s="23" t="n">
        <v>14</v>
      </c>
      <c r="E4769" s="23" t="n">
        <v>15</v>
      </c>
      <c r="F4769" s="28" t="s">
        <v>909</v>
      </c>
      <c r="G4769" s="19" t="n">
        <v>0.038679</v>
      </c>
    </row>
    <row r="4770" customFormat="false" ht="15" hidden="false" customHeight="false" outlineLevel="0" collapsed="false">
      <c r="A4770" s="28" t="s">
        <v>203</v>
      </c>
      <c r="B4770" s="28" t="s">
        <v>204</v>
      </c>
      <c r="C4770" s="28" t="s">
        <v>202</v>
      </c>
      <c r="D4770" s="23" t="n">
        <v>14</v>
      </c>
      <c r="E4770" s="23" t="n">
        <v>15</v>
      </c>
      <c r="F4770" s="28" t="s">
        <v>910</v>
      </c>
      <c r="G4770" s="19" t="n">
        <v>0.037028</v>
      </c>
    </row>
    <row r="4771" customFormat="false" ht="15" hidden="false" customHeight="false" outlineLevel="0" collapsed="false">
      <c r="A4771" s="28" t="s">
        <v>203</v>
      </c>
      <c r="B4771" s="28" t="s">
        <v>204</v>
      </c>
      <c r="C4771" s="28" t="s">
        <v>202</v>
      </c>
      <c r="D4771" s="23" t="n">
        <v>14</v>
      </c>
      <c r="E4771" s="23" t="n">
        <v>15</v>
      </c>
      <c r="F4771" s="28" t="s">
        <v>911</v>
      </c>
      <c r="G4771" s="19" t="n">
        <v>0.036077</v>
      </c>
    </row>
    <row r="4772" customFormat="false" ht="15" hidden="false" customHeight="false" outlineLevel="0" collapsed="false">
      <c r="A4772" s="28" t="s">
        <v>203</v>
      </c>
      <c r="B4772" s="28" t="s">
        <v>204</v>
      </c>
      <c r="C4772" s="28" t="s">
        <v>202</v>
      </c>
      <c r="D4772" s="23" t="n">
        <v>14</v>
      </c>
      <c r="E4772" s="23" t="n">
        <v>15</v>
      </c>
      <c r="F4772" s="28" t="s">
        <v>912</v>
      </c>
      <c r="G4772" s="19" t="n">
        <v>0.0344</v>
      </c>
    </row>
    <row r="4773" customFormat="false" ht="15" hidden="false" customHeight="false" outlineLevel="0" collapsed="false">
      <c r="A4773" s="28" t="s">
        <v>203</v>
      </c>
      <c r="B4773" s="28" t="s">
        <v>204</v>
      </c>
      <c r="C4773" s="28" t="s">
        <v>202</v>
      </c>
      <c r="D4773" s="23" t="n">
        <v>14</v>
      </c>
      <c r="E4773" s="23" t="n">
        <v>15</v>
      </c>
      <c r="F4773" s="28" t="s">
        <v>913</v>
      </c>
      <c r="G4773" s="19" t="n">
        <v>0.0393</v>
      </c>
    </row>
    <row r="4774" customFormat="false" ht="15" hidden="false" customHeight="false" outlineLevel="0" collapsed="false">
      <c r="A4774" s="28" t="s">
        <v>203</v>
      </c>
      <c r="B4774" s="28" t="s">
        <v>204</v>
      </c>
      <c r="C4774" s="28" t="s">
        <v>202</v>
      </c>
      <c r="D4774" s="23" t="n">
        <v>14</v>
      </c>
      <c r="E4774" s="23" t="n">
        <v>15</v>
      </c>
      <c r="F4774" s="28" t="s">
        <v>914</v>
      </c>
      <c r="G4774" s="19" t="n">
        <v>0.0391</v>
      </c>
    </row>
    <row r="4775" customFormat="false" ht="15" hidden="false" customHeight="false" outlineLevel="0" collapsed="false">
      <c r="A4775" s="28" t="s">
        <v>203</v>
      </c>
      <c r="B4775" s="28" t="s">
        <v>204</v>
      </c>
      <c r="C4775" s="28" t="s">
        <v>202</v>
      </c>
      <c r="D4775" s="23" t="n">
        <v>14</v>
      </c>
      <c r="E4775" s="23" t="n">
        <v>15</v>
      </c>
      <c r="F4775" s="28" t="s">
        <v>915</v>
      </c>
      <c r="G4775" s="19" t="n">
        <v>0.0549</v>
      </c>
    </row>
    <row r="4776" customFormat="false" ht="15" hidden="false" customHeight="false" outlineLevel="0" collapsed="false">
      <c r="A4776" s="28" t="s">
        <v>203</v>
      </c>
      <c r="B4776" s="28" t="s">
        <v>204</v>
      </c>
      <c r="C4776" s="28" t="s">
        <v>202</v>
      </c>
      <c r="D4776" s="23" t="n">
        <v>14</v>
      </c>
      <c r="E4776" s="23" t="n">
        <v>16</v>
      </c>
      <c r="F4776" s="28" t="s">
        <v>904</v>
      </c>
      <c r="G4776" s="19" t="n">
        <v>0.0363</v>
      </c>
    </row>
    <row r="4777" customFormat="false" ht="15" hidden="false" customHeight="false" outlineLevel="0" collapsed="false">
      <c r="A4777" s="28" t="s">
        <v>203</v>
      </c>
      <c r="B4777" s="28" t="s">
        <v>204</v>
      </c>
      <c r="C4777" s="28" t="s">
        <v>202</v>
      </c>
      <c r="D4777" s="23" t="n">
        <v>14</v>
      </c>
      <c r="E4777" s="23" t="n">
        <v>16</v>
      </c>
      <c r="F4777" s="28" t="s">
        <v>551</v>
      </c>
      <c r="G4777" s="19" t="n">
        <v>0.0675</v>
      </c>
    </row>
    <row r="4778" customFormat="false" ht="15" hidden="false" customHeight="false" outlineLevel="0" collapsed="false">
      <c r="A4778" s="28" t="s">
        <v>203</v>
      </c>
      <c r="B4778" s="28" t="s">
        <v>204</v>
      </c>
      <c r="C4778" s="28" t="s">
        <v>202</v>
      </c>
      <c r="D4778" s="23" t="n">
        <v>14</v>
      </c>
      <c r="E4778" s="23" t="n">
        <v>16</v>
      </c>
      <c r="F4778" s="28" t="s">
        <v>451</v>
      </c>
      <c r="G4778" s="19" t="n">
        <v>0.0361</v>
      </c>
    </row>
    <row r="4779" customFormat="false" ht="15" hidden="false" customHeight="false" outlineLevel="0" collapsed="false">
      <c r="A4779" s="28" t="s">
        <v>203</v>
      </c>
      <c r="B4779" s="28" t="s">
        <v>204</v>
      </c>
      <c r="C4779" s="28" t="s">
        <v>202</v>
      </c>
      <c r="D4779" s="23" t="n">
        <v>14</v>
      </c>
      <c r="E4779" s="23" t="n">
        <v>16</v>
      </c>
      <c r="F4779" s="28" t="s">
        <v>905</v>
      </c>
      <c r="G4779" s="19" t="n">
        <v>0.0387</v>
      </c>
    </row>
    <row r="4780" customFormat="false" ht="15" hidden="false" customHeight="false" outlineLevel="0" collapsed="false">
      <c r="A4780" s="28" t="s">
        <v>203</v>
      </c>
      <c r="B4780" s="28" t="s">
        <v>204</v>
      </c>
      <c r="C4780" s="28" t="s">
        <v>202</v>
      </c>
      <c r="D4780" s="23" t="n">
        <v>14</v>
      </c>
      <c r="E4780" s="23" t="n">
        <v>16</v>
      </c>
      <c r="F4780" s="28" t="s">
        <v>906</v>
      </c>
      <c r="G4780" s="19" t="n">
        <v>0.039844</v>
      </c>
    </row>
    <row r="4781" customFormat="false" ht="15" hidden="false" customHeight="false" outlineLevel="0" collapsed="false">
      <c r="A4781" s="28" t="s">
        <v>203</v>
      </c>
      <c r="B4781" s="28" t="s">
        <v>204</v>
      </c>
      <c r="C4781" s="28" t="s">
        <v>202</v>
      </c>
      <c r="D4781" s="23" t="n">
        <v>14</v>
      </c>
      <c r="E4781" s="23" t="n">
        <v>16</v>
      </c>
      <c r="F4781" s="28" t="s">
        <v>907</v>
      </c>
      <c r="G4781" s="19" t="n">
        <v>0.039031</v>
      </c>
    </row>
    <row r="4782" customFormat="false" ht="15" hidden="false" customHeight="false" outlineLevel="0" collapsed="false">
      <c r="A4782" s="28" t="s">
        <v>203</v>
      </c>
      <c r="B4782" s="28" t="s">
        <v>204</v>
      </c>
      <c r="C4782" s="28" t="s">
        <v>202</v>
      </c>
      <c r="D4782" s="23" t="n">
        <v>14</v>
      </c>
      <c r="E4782" s="23" t="n">
        <v>16</v>
      </c>
      <c r="F4782" s="28" t="s">
        <v>908</v>
      </c>
      <c r="G4782" s="19" t="n">
        <v>0.039605</v>
      </c>
    </row>
    <row r="4783" customFormat="false" ht="15" hidden="false" customHeight="false" outlineLevel="0" collapsed="false">
      <c r="A4783" s="28" t="s">
        <v>203</v>
      </c>
      <c r="B4783" s="28" t="s">
        <v>204</v>
      </c>
      <c r="C4783" s="28" t="s">
        <v>202</v>
      </c>
      <c r="D4783" s="23" t="n">
        <v>14</v>
      </c>
      <c r="E4783" s="23" t="n">
        <v>16</v>
      </c>
      <c r="F4783" s="28" t="s">
        <v>909</v>
      </c>
      <c r="G4783" s="19" t="n">
        <v>0.038679</v>
      </c>
    </row>
    <row r="4784" customFormat="false" ht="15" hidden="false" customHeight="false" outlineLevel="0" collapsed="false">
      <c r="A4784" s="28" t="s">
        <v>203</v>
      </c>
      <c r="B4784" s="28" t="s">
        <v>204</v>
      </c>
      <c r="C4784" s="28" t="s">
        <v>202</v>
      </c>
      <c r="D4784" s="23" t="n">
        <v>14</v>
      </c>
      <c r="E4784" s="23" t="n">
        <v>16</v>
      </c>
      <c r="F4784" s="28" t="s">
        <v>910</v>
      </c>
      <c r="G4784" s="19" t="n">
        <v>0.037028</v>
      </c>
    </row>
    <row r="4785" customFormat="false" ht="15" hidden="false" customHeight="false" outlineLevel="0" collapsed="false">
      <c r="A4785" s="28" t="s">
        <v>203</v>
      </c>
      <c r="B4785" s="28" t="s">
        <v>204</v>
      </c>
      <c r="C4785" s="28" t="s">
        <v>202</v>
      </c>
      <c r="D4785" s="23" t="n">
        <v>14</v>
      </c>
      <c r="E4785" s="23" t="n">
        <v>16</v>
      </c>
      <c r="F4785" s="28" t="s">
        <v>911</v>
      </c>
      <c r="G4785" s="19" t="n">
        <v>0.036077</v>
      </c>
    </row>
    <row r="4786" customFormat="false" ht="15" hidden="false" customHeight="false" outlineLevel="0" collapsed="false">
      <c r="A4786" s="28" t="s">
        <v>203</v>
      </c>
      <c r="B4786" s="28" t="s">
        <v>204</v>
      </c>
      <c r="C4786" s="28" t="s">
        <v>202</v>
      </c>
      <c r="D4786" s="23" t="n">
        <v>14</v>
      </c>
      <c r="E4786" s="23" t="n">
        <v>16</v>
      </c>
      <c r="F4786" s="28" t="s">
        <v>912</v>
      </c>
      <c r="G4786" s="19" t="n">
        <v>0.0344</v>
      </c>
    </row>
    <row r="4787" customFormat="false" ht="15" hidden="false" customHeight="false" outlineLevel="0" collapsed="false">
      <c r="A4787" s="28" t="s">
        <v>203</v>
      </c>
      <c r="B4787" s="28" t="s">
        <v>204</v>
      </c>
      <c r="C4787" s="28" t="s">
        <v>202</v>
      </c>
      <c r="D4787" s="23" t="n">
        <v>14</v>
      </c>
      <c r="E4787" s="23" t="n">
        <v>16</v>
      </c>
      <c r="F4787" s="28" t="s">
        <v>913</v>
      </c>
      <c r="G4787" s="19" t="n">
        <v>0.0393</v>
      </c>
    </row>
    <row r="4788" customFormat="false" ht="15" hidden="false" customHeight="false" outlineLevel="0" collapsed="false">
      <c r="A4788" s="28" t="s">
        <v>203</v>
      </c>
      <c r="B4788" s="28" t="s">
        <v>204</v>
      </c>
      <c r="C4788" s="28" t="s">
        <v>202</v>
      </c>
      <c r="D4788" s="23" t="n">
        <v>14</v>
      </c>
      <c r="E4788" s="23" t="n">
        <v>16</v>
      </c>
      <c r="F4788" s="28" t="s">
        <v>914</v>
      </c>
      <c r="G4788" s="19" t="n">
        <v>0.0391</v>
      </c>
    </row>
    <row r="4789" customFormat="false" ht="15" hidden="false" customHeight="false" outlineLevel="0" collapsed="false">
      <c r="A4789" s="28" t="s">
        <v>203</v>
      </c>
      <c r="B4789" s="28" t="s">
        <v>204</v>
      </c>
      <c r="C4789" s="28" t="s">
        <v>202</v>
      </c>
      <c r="D4789" s="23" t="n">
        <v>14</v>
      </c>
      <c r="E4789" s="23" t="n">
        <v>16</v>
      </c>
      <c r="F4789" s="28" t="s">
        <v>915</v>
      </c>
      <c r="G4789" s="19" t="n">
        <v>0.0549</v>
      </c>
    </row>
    <row r="4790" customFormat="false" ht="15" hidden="false" customHeight="false" outlineLevel="0" collapsed="false">
      <c r="A4790" s="28" t="s">
        <v>203</v>
      </c>
      <c r="B4790" s="28" t="s">
        <v>204</v>
      </c>
      <c r="C4790" s="28" t="s">
        <v>202</v>
      </c>
      <c r="D4790" s="23" t="n">
        <v>14</v>
      </c>
      <c r="E4790" s="23" t="n">
        <v>17</v>
      </c>
      <c r="F4790" s="28" t="s">
        <v>904</v>
      </c>
      <c r="G4790" s="19" t="n">
        <v>0.0363</v>
      </c>
    </row>
    <row r="4791" customFormat="false" ht="15" hidden="false" customHeight="false" outlineLevel="0" collapsed="false">
      <c r="A4791" s="28" t="s">
        <v>203</v>
      </c>
      <c r="B4791" s="28" t="s">
        <v>204</v>
      </c>
      <c r="C4791" s="28" t="s">
        <v>202</v>
      </c>
      <c r="D4791" s="23" t="n">
        <v>14</v>
      </c>
      <c r="E4791" s="23" t="n">
        <v>17</v>
      </c>
      <c r="F4791" s="28" t="s">
        <v>551</v>
      </c>
      <c r="G4791" s="19" t="n">
        <v>0.0675</v>
      </c>
    </row>
    <row r="4792" customFormat="false" ht="15" hidden="false" customHeight="false" outlineLevel="0" collapsed="false">
      <c r="A4792" s="28" t="s">
        <v>203</v>
      </c>
      <c r="B4792" s="28" t="s">
        <v>204</v>
      </c>
      <c r="C4792" s="28" t="s">
        <v>202</v>
      </c>
      <c r="D4792" s="23" t="n">
        <v>14</v>
      </c>
      <c r="E4792" s="23" t="n">
        <v>17</v>
      </c>
      <c r="F4792" s="28" t="s">
        <v>451</v>
      </c>
      <c r="G4792" s="19" t="n">
        <v>0.0361</v>
      </c>
    </row>
    <row r="4793" customFormat="false" ht="15" hidden="false" customHeight="false" outlineLevel="0" collapsed="false">
      <c r="A4793" s="28" t="s">
        <v>203</v>
      </c>
      <c r="B4793" s="28" t="s">
        <v>204</v>
      </c>
      <c r="C4793" s="28" t="s">
        <v>202</v>
      </c>
      <c r="D4793" s="23" t="n">
        <v>14</v>
      </c>
      <c r="E4793" s="23" t="n">
        <v>17</v>
      </c>
      <c r="F4793" s="28" t="s">
        <v>905</v>
      </c>
      <c r="G4793" s="19" t="n">
        <v>0.0387</v>
      </c>
    </row>
    <row r="4794" customFormat="false" ht="15" hidden="false" customHeight="false" outlineLevel="0" collapsed="false">
      <c r="A4794" s="28" t="s">
        <v>203</v>
      </c>
      <c r="B4794" s="28" t="s">
        <v>204</v>
      </c>
      <c r="C4794" s="28" t="s">
        <v>202</v>
      </c>
      <c r="D4794" s="23" t="n">
        <v>14</v>
      </c>
      <c r="E4794" s="23" t="n">
        <v>17</v>
      </c>
      <c r="F4794" s="28" t="s">
        <v>906</v>
      </c>
      <c r="G4794" s="19" t="n">
        <v>0.039844</v>
      </c>
    </row>
    <row r="4795" customFormat="false" ht="15" hidden="false" customHeight="false" outlineLevel="0" collapsed="false">
      <c r="A4795" s="28" t="s">
        <v>203</v>
      </c>
      <c r="B4795" s="28" t="s">
        <v>204</v>
      </c>
      <c r="C4795" s="28" t="s">
        <v>202</v>
      </c>
      <c r="D4795" s="23" t="n">
        <v>14</v>
      </c>
      <c r="E4795" s="23" t="n">
        <v>17</v>
      </c>
      <c r="F4795" s="28" t="s">
        <v>907</v>
      </c>
      <c r="G4795" s="19" t="n">
        <v>0.039031</v>
      </c>
    </row>
    <row r="4796" customFormat="false" ht="15" hidden="false" customHeight="false" outlineLevel="0" collapsed="false">
      <c r="A4796" s="28" t="s">
        <v>203</v>
      </c>
      <c r="B4796" s="28" t="s">
        <v>204</v>
      </c>
      <c r="C4796" s="28" t="s">
        <v>202</v>
      </c>
      <c r="D4796" s="23" t="n">
        <v>14</v>
      </c>
      <c r="E4796" s="23" t="n">
        <v>17</v>
      </c>
      <c r="F4796" s="28" t="s">
        <v>908</v>
      </c>
      <c r="G4796" s="19" t="n">
        <v>0.039605</v>
      </c>
    </row>
    <row r="4797" customFormat="false" ht="15" hidden="false" customHeight="false" outlineLevel="0" collapsed="false">
      <c r="A4797" s="28" t="s">
        <v>203</v>
      </c>
      <c r="B4797" s="28" t="s">
        <v>204</v>
      </c>
      <c r="C4797" s="28" t="s">
        <v>202</v>
      </c>
      <c r="D4797" s="23" t="n">
        <v>14</v>
      </c>
      <c r="E4797" s="23" t="n">
        <v>17</v>
      </c>
      <c r="F4797" s="28" t="s">
        <v>909</v>
      </c>
      <c r="G4797" s="19" t="n">
        <v>0.038679</v>
      </c>
    </row>
    <row r="4798" customFormat="false" ht="15" hidden="false" customHeight="false" outlineLevel="0" collapsed="false">
      <c r="A4798" s="28" t="s">
        <v>203</v>
      </c>
      <c r="B4798" s="28" t="s">
        <v>204</v>
      </c>
      <c r="C4798" s="28" t="s">
        <v>202</v>
      </c>
      <c r="D4798" s="23" t="n">
        <v>14</v>
      </c>
      <c r="E4798" s="23" t="n">
        <v>17</v>
      </c>
      <c r="F4798" s="28" t="s">
        <v>910</v>
      </c>
      <c r="G4798" s="19" t="n">
        <v>0.037028</v>
      </c>
    </row>
    <row r="4799" customFormat="false" ht="15" hidden="false" customHeight="false" outlineLevel="0" collapsed="false">
      <c r="A4799" s="28" t="s">
        <v>203</v>
      </c>
      <c r="B4799" s="28" t="s">
        <v>204</v>
      </c>
      <c r="C4799" s="28" t="s">
        <v>202</v>
      </c>
      <c r="D4799" s="23" t="n">
        <v>14</v>
      </c>
      <c r="E4799" s="23" t="n">
        <v>17</v>
      </c>
      <c r="F4799" s="28" t="s">
        <v>911</v>
      </c>
      <c r="G4799" s="19" t="n">
        <v>0.036077</v>
      </c>
    </row>
    <row r="4800" customFormat="false" ht="15" hidden="false" customHeight="false" outlineLevel="0" collapsed="false">
      <c r="A4800" s="28" t="s">
        <v>203</v>
      </c>
      <c r="B4800" s="28" t="s">
        <v>204</v>
      </c>
      <c r="C4800" s="28" t="s">
        <v>202</v>
      </c>
      <c r="D4800" s="23" t="n">
        <v>14</v>
      </c>
      <c r="E4800" s="23" t="n">
        <v>17</v>
      </c>
      <c r="F4800" s="28" t="s">
        <v>912</v>
      </c>
      <c r="G4800" s="19" t="n">
        <v>0.0344</v>
      </c>
    </row>
    <row r="4801" customFormat="false" ht="15" hidden="false" customHeight="false" outlineLevel="0" collapsed="false">
      <c r="A4801" s="28" t="s">
        <v>203</v>
      </c>
      <c r="B4801" s="28" t="s">
        <v>204</v>
      </c>
      <c r="C4801" s="28" t="s">
        <v>202</v>
      </c>
      <c r="D4801" s="23" t="n">
        <v>14</v>
      </c>
      <c r="E4801" s="23" t="n">
        <v>17</v>
      </c>
      <c r="F4801" s="28" t="s">
        <v>913</v>
      </c>
      <c r="G4801" s="19" t="n">
        <v>0.0393</v>
      </c>
    </row>
    <row r="4802" customFormat="false" ht="15" hidden="false" customHeight="false" outlineLevel="0" collapsed="false">
      <c r="A4802" s="28" t="s">
        <v>203</v>
      </c>
      <c r="B4802" s="28" t="s">
        <v>204</v>
      </c>
      <c r="C4802" s="28" t="s">
        <v>202</v>
      </c>
      <c r="D4802" s="23" t="n">
        <v>14</v>
      </c>
      <c r="E4802" s="23" t="n">
        <v>17</v>
      </c>
      <c r="F4802" s="28" t="s">
        <v>914</v>
      </c>
      <c r="G4802" s="19" t="n">
        <v>0.0391</v>
      </c>
    </row>
    <row r="4803" customFormat="false" ht="15" hidden="false" customHeight="false" outlineLevel="0" collapsed="false">
      <c r="A4803" s="28" t="s">
        <v>203</v>
      </c>
      <c r="B4803" s="28" t="s">
        <v>204</v>
      </c>
      <c r="C4803" s="28" t="s">
        <v>202</v>
      </c>
      <c r="D4803" s="23" t="n">
        <v>14</v>
      </c>
      <c r="E4803" s="23" t="n">
        <v>17</v>
      </c>
      <c r="F4803" s="28" t="s">
        <v>915</v>
      </c>
      <c r="G4803" s="19" t="n">
        <v>0.0549</v>
      </c>
    </row>
    <row r="4804" customFormat="false" ht="15" hidden="false" customHeight="false" outlineLevel="0" collapsed="false">
      <c r="A4804" s="28" t="s">
        <v>203</v>
      </c>
      <c r="B4804" s="28" t="s">
        <v>204</v>
      </c>
      <c r="C4804" s="28" t="s">
        <v>202</v>
      </c>
      <c r="D4804" s="23" t="n">
        <v>14</v>
      </c>
      <c r="E4804" s="23" t="n">
        <v>18</v>
      </c>
      <c r="F4804" s="28" t="s">
        <v>904</v>
      </c>
      <c r="G4804" s="19" t="n">
        <v>0.0363</v>
      </c>
    </row>
    <row r="4805" customFormat="false" ht="15" hidden="false" customHeight="false" outlineLevel="0" collapsed="false">
      <c r="A4805" s="28" t="s">
        <v>203</v>
      </c>
      <c r="B4805" s="28" t="s">
        <v>204</v>
      </c>
      <c r="C4805" s="28" t="s">
        <v>202</v>
      </c>
      <c r="D4805" s="23" t="n">
        <v>14</v>
      </c>
      <c r="E4805" s="23" t="n">
        <v>18</v>
      </c>
      <c r="F4805" s="28" t="s">
        <v>551</v>
      </c>
      <c r="G4805" s="19" t="n">
        <v>0.0675</v>
      </c>
    </row>
    <row r="4806" customFormat="false" ht="15" hidden="false" customHeight="false" outlineLevel="0" collapsed="false">
      <c r="A4806" s="28" t="s">
        <v>203</v>
      </c>
      <c r="B4806" s="28" t="s">
        <v>204</v>
      </c>
      <c r="C4806" s="28" t="s">
        <v>202</v>
      </c>
      <c r="D4806" s="23" t="n">
        <v>14</v>
      </c>
      <c r="E4806" s="23" t="n">
        <v>18</v>
      </c>
      <c r="F4806" s="28" t="s">
        <v>451</v>
      </c>
      <c r="G4806" s="19" t="n">
        <v>0.0361</v>
      </c>
    </row>
    <row r="4807" customFormat="false" ht="15" hidden="false" customHeight="false" outlineLevel="0" collapsed="false">
      <c r="A4807" s="28" t="s">
        <v>203</v>
      </c>
      <c r="B4807" s="28" t="s">
        <v>204</v>
      </c>
      <c r="C4807" s="28" t="s">
        <v>202</v>
      </c>
      <c r="D4807" s="23" t="n">
        <v>14</v>
      </c>
      <c r="E4807" s="23" t="n">
        <v>18</v>
      </c>
      <c r="F4807" s="28" t="s">
        <v>905</v>
      </c>
      <c r="G4807" s="19" t="n">
        <v>0.0387</v>
      </c>
    </row>
    <row r="4808" customFormat="false" ht="15" hidden="false" customHeight="false" outlineLevel="0" collapsed="false">
      <c r="A4808" s="28" t="s">
        <v>203</v>
      </c>
      <c r="B4808" s="28" t="s">
        <v>204</v>
      </c>
      <c r="C4808" s="28" t="s">
        <v>202</v>
      </c>
      <c r="D4808" s="23" t="n">
        <v>14</v>
      </c>
      <c r="E4808" s="23" t="n">
        <v>18</v>
      </c>
      <c r="F4808" s="28" t="s">
        <v>906</v>
      </c>
      <c r="G4808" s="19" t="n">
        <v>0.039844</v>
      </c>
    </row>
    <row r="4809" customFormat="false" ht="15" hidden="false" customHeight="false" outlineLevel="0" collapsed="false">
      <c r="A4809" s="28" t="s">
        <v>203</v>
      </c>
      <c r="B4809" s="28" t="s">
        <v>204</v>
      </c>
      <c r="C4809" s="28" t="s">
        <v>202</v>
      </c>
      <c r="D4809" s="23" t="n">
        <v>14</v>
      </c>
      <c r="E4809" s="23" t="n">
        <v>18</v>
      </c>
      <c r="F4809" s="28" t="s">
        <v>907</v>
      </c>
      <c r="G4809" s="19" t="n">
        <v>0.039031</v>
      </c>
    </row>
    <row r="4810" customFormat="false" ht="15" hidden="false" customHeight="false" outlineLevel="0" collapsed="false">
      <c r="A4810" s="28" t="s">
        <v>203</v>
      </c>
      <c r="B4810" s="28" t="s">
        <v>204</v>
      </c>
      <c r="C4810" s="28" t="s">
        <v>202</v>
      </c>
      <c r="D4810" s="23" t="n">
        <v>14</v>
      </c>
      <c r="E4810" s="23" t="n">
        <v>18</v>
      </c>
      <c r="F4810" s="28" t="s">
        <v>908</v>
      </c>
      <c r="G4810" s="19" t="n">
        <v>0.039605</v>
      </c>
    </row>
    <row r="4811" customFormat="false" ht="15" hidden="false" customHeight="false" outlineLevel="0" collapsed="false">
      <c r="A4811" s="28" t="s">
        <v>203</v>
      </c>
      <c r="B4811" s="28" t="s">
        <v>204</v>
      </c>
      <c r="C4811" s="28" t="s">
        <v>202</v>
      </c>
      <c r="D4811" s="23" t="n">
        <v>14</v>
      </c>
      <c r="E4811" s="23" t="n">
        <v>18</v>
      </c>
      <c r="F4811" s="28" t="s">
        <v>909</v>
      </c>
      <c r="G4811" s="19" t="n">
        <v>0.038679</v>
      </c>
    </row>
    <row r="4812" customFormat="false" ht="15" hidden="false" customHeight="false" outlineLevel="0" collapsed="false">
      <c r="A4812" s="28" t="s">
        <v>203</v>
      </c>
      <c r="B4812" s="28" t="s">
        <v>204</v>
      </c>
      <c r="C4812" s="28" t="s">
        <v>202</v>
      </c>
      <c r="D4812" s="23" t="n">
        <v>14</v>
      </c>
      <c r="E4812" s="23" t="n">
        <v>18</v>
      </c>
      <c r="F4812" s="28" t="s">
        <v>910</v>
      </c>
      <c r="G4812" s="19" t="n">
        <v>0.037028</v>
      </c>
    </row>
    <row r="4813" customFormat="false" ht="15" hidden="false" customHeight="false" outlineLevel="0" collapsed="false">
      <c r="A4813" s="28" t="s">
        <v>203</v>
      </c>
      <c r="B4813" s="28" t="s">
        <v>204</v>
      </c>
      <c r="C4813" s="28" t="s">
        <v>202</v>
      </c>
      <c r="D4813" s="23" t="n">
        <v>14</v>
      </c>
      <c r="E4813" s="23" t="n">
        <v>18</v>
      </c>
      <c r="F4813" s="28" t="s">
        <v>911</v>
      </c>
      <c r="G4813" s="19" t="n">
        <v>0.036077</v>
      </c>
    </row>
    <row r="4814" customFormat="false" ht="15" hidden="false" customHeight="false" outlineLevel="0" collapsed="false">
      <c r="A4814" s="28" t="s">
        <v>203</v>
      </c>
      <c r="B4814" s="28" t="s">
        <v>204</v>
      </c>
      <c r="C4814" s="28" t="s">
        <v>202</v>
      </c>
      <c r="D4814" s="23" t="n">
        <v>14</v>
      </c>
      <c r="E4814" s="23" t="n">
        <v>18</v>
      </c>
      <c r="F4814" s="28" t="s">
        <v>912</v>
      </c>
      <c r="G4814" s="19" t="n">
        <v>0.0344</v>
      </c>
    </row>
    <row r="4815" customFormat="false" ht="15" hidden="false" customHeight="false" outlineLevel="0" collapsed="false">
      <c r="A4815" s="28" t="s">
        <v>203</v>
      </c>
      <c r="B4815" s="28" t="s">
        <v>204</v>
      </c>
      <c r="C4815" s="28" t="s">
        <v>202</v>
      </c>
      <c r="D4815" s="23" t="n">
        <v>14</v>
      </c>
      <c r="E4815" s="23" t="n">
        <v>18</v>
      </c>
      <c r="F4815" s="28" t="s">
        <v>913</v>
      </c>
      <c r="G4815" s="19" t="n">
        <v>0.0393</v>
      </c>
    </row>
    <row r="4816" customFormat="false" ht="15" hidden="false" customHeight="false" outlineLevel="0" collapsed="false">
      <c r="A4816" s="28" t="s">
        <v>203</v>
      </c>
      <c r="B4816" s="28" t="s">
        <v>204</v>
      </c>
      <c r="C4816" s="28" t="s">
        <v>202</v>
      </c>
      <c r="D4816" s="23" t="n">
        <v>14</v>
      </c>
      <c r="E4816" s="23" t="n">
        <v>18</v>
      </c>
      <c r="F4816" s="28" t="s">
        <v>914</v>
      </c>
      <c r="G4816" s="19" t="n">
        <v>0.0391</v>
      </c>
    </row>
    <row r="4817" customFormat="false" ht="15" hidden="false" customHeight="false" outlineLevel="0" collapsed="false">
      <c r="A4817" s="28" t="s">
        <v>203</v>
      </c>
      <c r="B4817" s="28" t="s">
        <v>204</v>
      </c>
      <c r="C4817" s="28" t="s">
        <v>202</v>
      </c>
      <c r="D4817" s="23" t="n">
        <v>14</v>
      </c>
      <c r="E4817" s="23" t="n">
        <v>18</v>
      </c>
      <c r="F4817" s="28" t="s">
        <v>915</v>
      </c>
      <c r="G4817" s="19" t="n">
        <v>0.0549</v>
      </c>
    </row>
    <row r="4818" customFormat="false" ht="15" hidden="false" customHeight="false" outlineLevel="0" collapsed="false">
      <c r="A4818" s="28" t="s">
        <v>203</v>
      </c>
      <c r="B4818" s="28" t="s">
        <v>204</v>
      </c>
      <c r="C4818" s="28" t="s">
        <v>202</v>
      </c>
      <c r="D4818" s="23" t="n">
        <v>14</v>
      </c>
      <c r="E4818" s="23" t="n">
        <v>19</v>
      </c>
      <c r="F4818" s="28" t="s">
        <v>904</v>
      </c>
      <c r="G4818" s="19" t="n">
        <v>0.0363</v>
      </c>
    </row>
    <row r="4819" customFormat="false" ht="15" hidden="false" customHeight="false" outlineLevel="0" collapsed="false">
      <c r="A4819" s="28" t="s">
        <v>203</v>
      </c>
      <c r="B4819" s="28" t="s">
        <v>204</v>
      </c>
      <c r="C4819" s="28" t="s">
        <v>202</v>
      </c>
      <c r="D4819" s="23" t="n">
        <v>14</v>
      </c>
      <c r="E4819" s="23" t="n">
        <v>19</v>
      </c>
      <c r="F4819" s="28" t="s">
        <v>551</v>
      </c>
      <c r="G4819" s="19" t="n">
        <v>0.0675</v>
      </c>
    </row>
    <row r="4820" customFormat="false" ht="15" hidden="false" customHeight="false" outlineLevel="0" collapsed="false">
      <c r="A4820" s="28" t="s">
        <v>203</v>
      </c>
      <c r="B4820" s="28" t="s">
        <v>204</v>
      </c>
      <c r="C4820" s="28" t="s">
        <v>202</v>
      </c>
      <c r="D4820" s="23" t="n">
        <v>14</v>
      </c>
      <c r="E4820" s="23" t="n">
        <v>19</v>
      </c>
      <c r="F4820" s="28" t="s">
        <v>451</v>
      </c>
      <c r="G4820" s="19" t="n">
        <v>0.0361</v>
      </c>
    </row>
    <row r="4821" customFormat="false" ht="15" hidden="false" customHeight="false" outlineLevel="0" collapsed="false">
      <c r="A4821" s="28" t="s">
        <v>203</v>
      </c>
      <c r="B4821" s="28" t="s">
        <v>204</v>
      </c>
      <c r="C4821" s="28" t="s">
        <v>202</v>
      </c>
      <c r="D4821" s="23" t="n">
        <v>14</v>
      </c>
      <c r="E4821" s="23" t="n">
        <v>19</v>
      </c>
      <c r="F4821" s="28" t="s">
        <v>905</v>
      </c>
      <c r="G4821" s="19" t="n">
        <v>0.0387</v>
      </c>
    </row>
    <row r="4822" customFormat="false" ht="15" hidden="false" customHeight="false" outlineLevel="0" collapsed="false">
      <c r="A4822" s="28" t="s">
        <v>203</v>
      </c>
      <c r="B4822" s="28" t="s">
        <v>204</v>
      </c>
      <c r="C4822" s="28" t="s">
        <v>202</v>
      </c>
      <c r="D4822" s="23" t="n">
        <v>14</v>
      </c>
      <c r="E4822" s="23" t="n">
        <v>19</v>
      </c>
      <c r="F4822" s="28" t="s">
        <v>906</v>
      </c>
      <c r="G4822" s="19" t="n">
        <v>0.039844</v>
      </c>
    </row>
    <row r="4823" customFormat="false" ht="15" hidden="false" customHeight="false" outlineLevel="0" collapsed="false">
      <c r="A4823" s="28" t="s">
        <v>203</v>
      </c>
      <c r="B4823" s="28" t="s">
        <v>204</v>
      </c>
      <c r="C4823" s="28" t="s">
        <v>202</v>
      </c>
      <c r="D4823" s="23" t="n">
        <v>14</v>
      </c>
      <c r="E4823" s="23" t="n">
        <v>19</v>
      </c>
      <c r="F4823" s="28" t="s">
        <v>907</v>
      </c>
      <c r="G4823" s="19" t="n">
        <v>0.039031</v>
      </c>
    </row>
    <row r="4824" customFormat="false" ht="15" hidden="false" customHeight="false" outlineLevel="0" collapsed="false">
      <c r="A4824" s="28" t="s">
        <v>203</v>
      </c>
      <c r="B4824" s="28" t="s">
        <v>204</v>
      </c>
      <c r="C4824" s="28" t="s">
        <v>202</v>
      </c>
      <c r="D4824" s="23" t="n">
        <v>14</v>
      </c>
      <c r="E4824" s="23" t="n">
        <v>19</v>
      </c>
      <c r="F4824" s="28" t="s">
        <v>908</v>
      </c>
      <c r="G4824" s="19" t="n">
        <v>0.039605</v>
      </c>
    </row>
    <row r="4825" customFormat="false" ht="15" hidden="false" customHeight="false" outlineLevel="0" collapsed="false">
      <c r="A4825" s="28" t="s">
        <v>203</v>
      </c>
      <c r="B4825" s="28" t="s">
        <v>204</v>
      </c>
      <c r="C4825" s="28" t="s">
        <v>202</v>
      </c>
      <c r="D4825" s="23" t="n">
        <v>14</v>
      </c>
      <c r="E4825" s="23" t="n">
        <v>19</v>
      </c>
      <c r="F4825" s="28" t="s">
        <v>909</v>
      </c>
      <c r="G4825" s="19" t="n">
        <v>0.038679</v>
      </c>
    </row>
    <row r="4826" customFormat="false" ht="15" hidden="false" customHeight="false" outlineLevel="0" collapsed="false">
      <c r="A4826" s="28" t="s">
        <v>203</v>
      </c>
      <c r="B4826" s="28" t="s">
        <v>204</v>
      </c>
      <c r="C4826" s="28" t="s">
        <v>202</v>
      </c>
      <c r="D4826" s="23" t="n">
        <v>14</v>
      </c>
      <c r="E4826" s="23" t="n">
        <v>19</v>
      </c>
      <c r="F4826" s="28" t="s">
        <v>910</v>
      </c>
      <c r="G4826" s="19" t="n">
        <v>0.037028</v>
      </c>
    </row>
    <row r="4827" customFormat="false" ht="15" hidden="false" customHeight="false" outlineLevel="0" collapsed="false">
      <c r="A4827" s="28" t="s">
        <v>203</v>
      </c>
      <c r="B4827" s="28" t="s">
        <v>204</v>
      </c>
      <c r="C4827" s="28" t="s">
        <v>202</v>
      </c>
      <c r="D4827" s="23" t="n">
        <v>14</v>
      </c>
      <c r="E4827" s="23" t="n">
        <v>19</v>
      </c>
      <c r="F4827" s="28" t="s">
        <v>911</v>
      </c>
      <c r="G4827" s="19" t="n">
        <v>0.036077</v>
      </c>
    </row>
    <row r="4828" customFormat="false" ht="15" hidden="false" customHeight="false" outlineLevel="0" collapsed="false">
      <c r="A4828" s="28" t="s">
        <v>203</v>
      </c>
      <c r="B4828" s="28" t="s">
        <v>204</v>
      </c>
      <c r="C4828" s="28" t="s">
        <v>202</v>
      </c>
      <c r="D4828" s="23" t="n">
        <v>14</v>
      </c>
      <c r="E4828" s="23" t="n">
        <v>19</v>
      </c>
      <c r="F4828" s="28" t="s">
        <v>912</v>
      </c>
      <c r="G4828" s="19" t="n">
        <v>0.0344</v>
      </c>
    </row>
    <row r="4829" customFormat="false" ht="15" hidden="false" customHeight="false" outlineLevel="0" collapsed="false">
      <c r="A4829" s="28" t="s">
        <v>203</v>
      </c>
      <c r="B4829" s="28" t="s">
        <v>204</v>
      </c>
      <c r="C4829" s="28" t="s">
        <v>202</v>
      </c>
      <c r="D4829" s="23" t="n">
        <v>14</v>
      </c>
      <c r="E4829" s="23" t="n">
        <v>19</v>
      </c>
      <c r="F4829" s="28" t="s">
        <v>913</v>
      </c>
      <c r="G4829" s="19" t="n">
        <v>0.0393</v>
      </c>
    </row>
    <row r="4830" customFormat="false" ht="15" hidden="false" customHeight="false" outlineLevel="0" collapsed="false">
      <c r="A4830" s="28" t="s">
        <v>203</v>
      </c>
      <c r="B4830" s="28" t="s">
        <v>204</v>
      </c>
      <c r="C4830" s="28" t="s">
        <v>202</v>
      </c>
      <c r="D4830" s="23" t="n">
        <v>14</v>
      </c>
      <c r="E4830" s="23" t="n">
        <v>19</v>
      </c>
      <c r="F4830" s="28" t="s">
        <v>914</v>
      </c>
      <c r="G4830" s="19" t="n">
        <v>0.0391</v>
      </c>
    </row>
    <row r="4831" customFormat="false" ht="15" hidden="false" customHeight="false" outlineLevel="0" collapsed="false">
      <c r="A4831" s="28" t="s">
        <v>203</v>
      </c>
      <c r="B4831" s="28" t="s">
        <v>204</v>
      </c>
      <c r="C4831" s="28" t="s">
        <v>202</v>
      </c>
      <c r="D4831" s="23" t="n">
        <v>14</v>
      </c>
      <c r="E4831" s="23" t="n">
        <v>19</v>
      </c>
      <c r="F4831" s="28" t="s">
        <v>915</v>
      </c>
      <c r="G4831" s="19" t="n">
        <v>0.0549</v>
      </c>
    </row>
    <row r="4832" customFormat="false" ht="15" hidden="false" customHeight="false" outlineLevel="0" collapsed="false">
      <c r="A4832" s="28" t="s">
        <v>203</v>
      </c>
      <c r="B4832" s="28" t="s">
        <v>204</v>
      </c>
      <c r="C4832" s="28" t="s">
        <v>202</v>
      </c>
      <c r="D4832" s="23" t="n">
        <v>14</v>
      </c>
      <c r="E4832" s="23" t="n">
        <v>20</v>
      </c>
      <c r="F4832" s="28" t="s">
        <v>904</v>
      </c>
      <c r="G4832" s="19" t="n">
        <v>0.0363</v>
      </c>
    </row>
    <row r="4833" customFormat="false" ht="15" hidden="false" customHeight="false" outlineLevel="0" collapsed="false">
      <c r="A4833" s="28" t="s">
        <v>203</v>
      </c>
      <c r="B4833" s="28" t="s">
        <v>204</v>
      </c>
      <c r="C4833" s="28" t="s">
        <v>202</v>
      </c>
      <c r="D4833" s="23" t="n">
        <v>14</v>
      </c>
      <c r="E4833" s="23" t="n">
        <v>20</v>
      </c>
      <c r="F4833" s="28" t="s">
        <v>551</v>
      </c>
      <c r="G4833" s="19" t="n">
        <v>0.0675</v>
      </c>
    </row>
    <row r="4834" customFormat="false" ht="15" hidden="false" customHeight="false" outlineLevel="0" collapsed="false">
      <c r="A4834" s="28" t="s">
        <v>203</v>
      </c>
      <c r="B4834" s="28" t="s">
        <v>204</v>
      </c>
      <c r="C4834" s="28" t="s">
        <v>202</v>
      </c>
      <c r="D4834" s="23" t="n">
        <v>14</v>
      </c>
      <c r="E4834" s="23" t="n">
        <v>20</v>
      </c>
      <c r="F4834" s="28" t="s">
        <v>451</v>
      </c>
      <c r="G4834" s="19" t="n">
        <v>0.0361</v>
      </c>
    </row>
    <row r="4835" customFormat="false" ht="15" hidden="false" customHeight="false" outlineLevel="0" collapsed="false">
      <c r="A4835" s="28" t="s">
        <v>203</v>
      </c>
      <c r="B4835" s="28" t="s">
        <v>204</v>
      </c>
      <c r="C4835" s="28" t="s">
        <v>202</v>
      </c>
      <c r="D4835" s="23" t="n">
        <v>14</v>
      </c>
      <c r="E4835" s="23" t="n">
        <v>20</v>
      </c>
      <c r="F4835" s="28" t="s">
        <v>905</v>
      </c>
      <c r="G4835" s="19" t="n">
        <v>0.0387</v>
      </c>
    </row>
    <row r="4836" customFormat="false" ht="15" hidden="false" customHeight="false" outlineLevel="0" collapsed="false">
      <c r="A4836" s="28" t="s">
        <v>203</v>
      </c>
      <c r="B4836" s="28" t="s">
        <v>204</v>
      </c>
      <c r="C4836" s="28" t="s">
        <v>202</v>
      </c>
      <c r="D4836" s="23" t="n">
        <v>14</v>
      </c>
      <c r="E4836" s="23" t="n">
        <v>20</v>
      </c>
      <c r="F4836" s="28" t="s">
        <v>906</v>
      </c>
      <c r="G4836" s="19" t="n">
        <v>0.039844</v>
      </c>
    </row>
    <row r="4837" customFormat="false" ht="15" hidden="false" customHeight="false" outlineLevel="0" collapsed="false">
      <c r="A4837" s="28" t="s">
        <v>203</v>
      </c>
      <c r="B4837" s="28" t="s">
        <v>204</v>
      </c>
      <c r="C4837" s="28" t="s">
        <v>202</v>
      </c>
      <c r="D4837" s="23" t="n">
        <v>14</v>
      </c>
      <c r="E4837" s="23" t="n">
        <v>20</v>
      </c>
      <c r="F4837" s="28" t="s">
        <v>907</v>
      </c>
      <c r="G4837" s="19" t="n">
        <v>0.039031</v>
      </c>
    </row>
    <row r="4838" customFormat="false" ht="15" hidden="false" customHeight="false" outlineLevel="0" collapsed="false">
      <c r="A4838" s="28" t="s">
        <v>203</v>
      </c>
      <c r="B4838" s="28" t="s">
        <v>204</v>
      </c>
      <c r="C4838" s="28" t="s">
        <v>202</v>
      </c>
      <c r="D4838" s="23" t="n">
        <v>14</v>
      </c>
      <c r="E4838" s="23" t="n">
        <v>20</v>
      </c>
      <c r="F4838" s="28" t="s">
        <v>908</v>
      </c>
      <c r="G4838" s="19" t="n">
        <v>0.039605</v>
      </c>
    </row>
    <row r="4839" customFormat="false" ht="15" hidden="false" customHeight="false" outlineLevel="0" collapsed="false">
      <c r="A4839" s="28" t="s">
        <v>203</v>
      </c>
      <c r="B4839" s="28" t="s">
        <v>204</v>
      </c>
      <c r="C4839" s="28" t="s">
        <v>202</v>
      </c>
      <c r="D4839" s="23" t="n">
        <v>14</v>
      </c>
      <c r="E4839" s="23" t="n">
        <v>20</v>
      </c>
      <c r="F4839" s="28" t="s">
        <v>909</v>
      </c>
      <c r="G4839" s="19" t="n">
        <v>0.038679</v>
      </c>
    </row>
    <row r="4840" customFormat="false" ht="15" hidden="false" customHeight="false" outlineLevel="0" collapsed="false">
      <c r="A4840" s="28" t="s">
        <v>203</v>
      </c>
      <c r="B4840" s="28" t="s">
        <v>204</v>
      </c>
      <c r="C4840" s="28" t="s">
        <v>202</v>
      </c>
      <c r="D4840" s="23" t="n">
        <v>14</v>
      </c>
      <c r="E4840" s="23" t="n">
        <v>20</v>
      </c>
      <c r="F4840" s="28" t="s">
        <v>910</v>
      </c>
      <c r="G4840" s="19" t="n">
        <v>0.037028</v>
      </c>
    </row>
    <row r="4841" customFormat="false" ht="15" hidden="false" customHeight="false" outlineLevel="0" collapsed="false">
      <c r="A4841" s="28" t="s">
        <v>203</v>
      </c>
      <c r="B4841" s="28" t="s">
        <v>204</v>
      </c>
      <c r="C4841" s="28" t="s">
        <v>202</v>
      </c>
      <c r="D4841" s="23" t="n">
        <v>14</v>
      </c>
      <c r="E4841" s="23" t="n">
        <v>20</v>
      </c>
      <c r="F4841" s="28" t="s">
        <v>911</v>
      </c>
      <c r="G4841" s="19" t="n">
        <v>0.036077</v>
      </c>
    </row>
    <row r="4842" customFormat="false" ht="15" hidden="false" customHeight="false" outlineLevel="0" collapsed="false">
      <c r="A4842" s="28" t="s">
        <v>203</v>
      </c>
      <c r="B4842" s="28" t="s">
        <v>204</v>
      </c>
      <c r="C4842" s="28" t="s">
        <v>202</v>
      </c>
      <c r="D4842" s="23" t="n">
        <v>14</v>
      </c>
      <c r="E4842" s="23" t="n">
        <v>20</v>
      </c>
      <c r="F4842" s="28" t="s">
        <v>912</v>
      </c>
      <c r="G4842" s="19" t="n">
        <v>0.0344</v>
      </c>
    </row>
    <row r="4843" customFormat="false" ht="15" hidden="false" customHeight="false" outlineLevel="0" collapsed="false">
      <c r="A4843" s="28" t="s">
        <v>203</v>
      </c>
      <c r="B4843" s="28" t="s">
        <v>204</v>
      </c>
      <c r="C4843" s="28" t="s">
        <v>202</v>
      </c>
      <c r="D4843" s="23" t="n">
        <v>14</v>
      </c>
      <c r="E4843" s="23" t="n">
        <v>20</v>
      </c>
      <c r="F4843" s="28" t="s">
        <v>913</v>
      </c>
      <c r="G4843" s="19" t="n">
        <v>0.0393</v>
      </c>
    </row>
    <row r="4844" customFormat="false" ht="15" hidden="false" customHeight="false" outlineLevel="0" collapsed="false">
      <c r="A4844" s="28" t="s">
        <v>203</v>
      </c>
      <c r="B4844" s="28" t="s">
        <v>204</v>
      </c>
      <c r="C4844" s="28" t="s">
        <v>202</v>
      </c>
      <c r="D4844" s="23" t="n">
        <v>14</v>
      </c>
      <c r="E4844" s="23" t="n">
        <v>20</v>
      </c>
      <c r="F4844" s="28" t="s">
        <v>914</v>
      </c>
      <c r="G4844" s="19" t="n">
        <v>0.0391</v>
      </c>
    </row>
    <row r="4845" customFormat="false" ht="15" hidden="false" customHeight="false" outlineLevel="0" collapsed="false">
      <c r="A4845" s="28" t="s">
        <v>203</v>
      </c>
      <c r="B4845" s="28" t="s">
        <v>204</v>
      </c>
      <c r="C4845" s="28" t="s">
        <v>202</v>
      </c>
      <c r="D4845" s="23" t="n">
        <v>14</v>
      </c>
      <c r="E4845" s="23" t="n">
        <v>20</v>
      </c>
      <c r="F4845" s="28" t="s">
        <v>915</v>
      </c>
      <c r="G4845" s="19" t="n">
        <v>0.0549</v>
      </c>
    </row>
    <row r="4846" customFormat="false" ht="15" hidden="false" customHeight="false" outlineLevel="0" collapsed="false">
      <c r="A4846" s="28" t="s">
        <v>203</v>
      </c>
      <c r="B4846" s="28" t="s">
        <v>204</v>
      </c>
      <c r="C4846" s="28" t="s">
        <v>202</v>
      </c>
      <c r="D4846" s="23" t="n">
        <v>14</v>
      </c>
      <c r="E4846" s="23" t="n">
        <v>21</v>
      </c>
      <c r="F4846" s="28" t="s">
        <v>904</v>
      </c>
      <c r="G4846" s="19" t="n">
        <v>0.0363</v>
      </c>
    </row>
    <row r="4847" customFormat="false" ht="15" hidden="false" customHeight="false" outlineLevel="0" collapsed="false">
      <c r="A4847" s="28" t="s">
        <v>203</v>
      </c>
      <c r="B4847" s="28" t="s">
        <v>204</v>
      </c>
      <c r="C4847" s="28" t="s">
        <v>202</v>
      </c>
      <c r="D4847" s="23" t="n">
        <v>14</v>
      </c>
      <c r="E4847" s="23" t="n">
        <v>21</v>
      </c>
      <c r="F4847" s="28" t="s">
        <v>551</v>
      </c>
      <c r="G4847" s="19" t="n">
        <v>0.0675</v>
      </c>
    </row>
    <row r="4848" customFormat="false" ht="15" hidden="false" customHeight="false" outlineLevel="0" collapsed="false">
      <c r="A4848" s="28" t="s">
        <v>203</v>
      </c>
      <c r="B4848" s="28" t="s">
        <v>204</v>
      </c>
      <c r="C4848" s="28" t="s">
        <v>202</v>
      </c>
      <c r="D4848" s="23" t="n">
        <v>14</v>
      </c>
      <c r="E4848" s="23" t="n">
        <v>21</v>
      </c>
      <c r="F4848" s="28" t="s">
        <v>451</v>
      </c>
      <c r="G4848" s="19" t="n">
        <v>0.0361</v>
      </c>
    </row>
    <row r="4849" customFormat="false" ht="15" hidden="false" customHeight="false" outlineLevel="0" collapsed="false">
      <c r="A4849" s="28" t="s">
        <v>203</v>
      </c>
      <c r="B4849" s="28" t="s">
        <v>204</v>
      </c>
      <c r="C4849" s="28" t="s">
        <v>202</v>
      </c>
      <c r="D4849" s="23" t="n">
        <v>14</v>
      </c>
      <c r="E4849" s="23" t="n">
        <v>21</v>
      </c>
      <c r="F4849" s="28" t="s">
        <v>905</v>
      </c>
      <c r="G4849" s="19" t="n">
        <v>0.0387</v>
      </c>
    </row>
    <row r="4850" customFormat="false" ht="15" hidden="false" customHeight="false" outlineLevel="0" collapsed="false">
      <c r="A4850" s="28" t="s">
        <v>203</v>
      </c>
      <c r="B4850" s="28" t="s">
        <v>204</v>
      </c>
      <c r="C4850" s="28" t="s">
        <v>202</v>
      </c>
      <c r="D4850" s="23" t="n">
        <v>14</v>
      </c>
      <c r="E4850" s="23" t="n">
        <v>21</v>
      </c>
      <c r="F4850" s="28" t="s">
        <v>906</v>
      </c>
      <c r="G4850" s="19" t="n">
        <v>0.039844</v>
      </c>
    </row>
    <row r="4851" customFormat="false" ht="15" hidden="false" customHeight="false" outlineLevel="0" collapsed="false">
      <c r="A4851" s="28" t="s">
        <v>203</v>
      </c>
      <c r="B4851" s="28" t="s">
        <v>204</v>
      </c>
      <c r="C4851" s="28" t="s">
        <v>202</v>
      </c>
      <c r="D4851" s="23" t="n">
        <v>14</v>
      </c>
      <c r="E4851" s="23" t="n">
        <v>21</v>
      </c>
      <c r="F4851" s="28" t="s">
        <v>907</v>
      </c>
      <c r="G4851" s="19" t="n">
        <v>0.039031</v>
      </c>
    </row>
    <row r="4852" customFormat="false" ht="15" hidden="false" customHeight="false" outlineLevel="0" collapsed="false">
      <c r="A4852" s="28" t="s">
        <v>203</v>
      </c>
      <c r="B4852" s="28" t="s">
        <v>204</v>
      </c>
      <c r="C4852" s="28" t="s">
        <v>202</v>
      </c>
      <c r="D4852" s="23" t="n">
        <v>14</v>
      </c>
      <c r="E4852" s="23" t="n">
        <v>21</v>
      </c>
      <c r="F4852" s="28" t="s">
        <v>908</v>
      </c>
      <c r="G4852" s="19" t="n">
        <v>0.039605</v>
      </c>
    </row>
    <row r="4853" customFormat="false" ht="15" hidden="false" customHeight="false" outlineLevel="0" collapsed="false">
      <c r="A4853" s="28" t="s">
        <v>203</v>
      </c>
      <c r="B4853" s="28" t="s">
        <v>204</v>
      </c>
      <c r="C4853" s="28" t="s">
        <v>202</v>
      </c>
      <c r="D4853" s="23" t="n">
        <v>14</v>
      </c>
      <c r="E4853" s="23" t="n">
        <v>21</v>
      </c>
      <c r="F4853" s="28" t="s">
        <v>909</v>
      </c>
      <c r="G4853" s="19" t="n">
        <v>0.038679</v>
      </c>
    </row>
    <row r="4854" customFormat="false" ht="15" hidden="false" customHeight="false" outlineLevel="0" collapsed="false">
      <c r="A4854" s="28" t="s">
        <v>203</v>
      </c>
      <c r="B4854" s="28" t="s">
        <v>204</v>
      </c>
      <c r="C4854" s="28" t="s">
        <v>202</v>
      </c>
      <c r="D4854" s="23" t="n">
        <v>14</v>
      </c>
      <c r="E4854" s="23" t="n">
        <v>21</v>
      </c>
      <c r="F4854" s="28" t="s">
        <v>910</v>
      </c>
      <c r="G4854" s="19" t="n">
        <v>0.037028</v>
      </c>
    </row>
    <row r="4855" customFormat="false" ht="15" hidden="false" customHeight="false" outlineLevel="0" collapsed="false">
      <c r="A4855" s="28" t="s">
        <v>203</v>
      </c>
      <c r="B4855" s="28" t="s">
        <v>204</v>
      </c>
      <c r="C4855" s="28" t="s">
        <v>202</v>
      </c>
      <c r="D4855" s="23" t="n">
        <v>14</v>
      </c>
      <c r="E4855" s="23" t="n">
        <v>21</v>
      </c>
      <c r="F4855" s="28" t="s">
        <v>911</v>
      </c>
      <c r="G4855" s="19" t="n">
        <v>0.036077</v>
      </c>
    </row>
    <row r="4856" customFormat="false" ht="15" hidden="false" customHeight="false" outlineLevel="0" collapsed="false">
      <c r="A4856" s="28" t="s">
        <v>203</v>
      </c>
      <c r="B4856" s="28" t="s">
        <v>204</v>
      </c>
      <c r="C4856" s="28" t="s">
        <v>202</v>
      </c>
      <c r="D4856" s="23" t="n">
        <v>14</v>
      </c>
      <c r="E4856" s="23" t="n">
        <v>21</v>
      </c>
      <c r="F4856" s="28" t="s">
        <v>912</v>
      </c>
      <c r="G4856" s="19" t="n">
        <v>0.0344</v>
      </c>
    </row>
    <row r="4857" customFormat="false" ht="15" hidden="false" customHeight="false" outlineLevel="0" collapsed="false">
      <c r="A4857" s="28" t="s">
        <v>203</v>
      </c>
      <c r="B4857" s="28" t="s">
        <v>204</v>
      </c>
      <c r="C4857" s="28" t="s">
        <v>202</v>
      </c>
      <c r="D4857" s="23" t="n">
        <v>14</v>
      </c>
      <c r="E4857" s="23" t="n">
        <v>21</v>
      </c>
      <c r="F4857" s="28" t="s">
        <v>913</v>
      </c>
      <c r="G4857" s="19" t="n">
        <v>0.0393</v>
      </c>
    </row>
    <row r="4858" customFormat="false" ht="15" hidden="false" customHeight="false" outlineLevel="0" collapsed="false">
      <c r="A4858" s="28" t="s">
        <v>203</v>
      </c>
      <c r="B4858" s="28" t="s">
        <v>204</v>
      </c>
      <c r="C4858" s="28" t="s">
        <v>202</v>
      </c>
      <c r="D4858" s="23" t="n">
        <v>14</v>
      </c>
      <c r="E4858" s="23" t="n">
        <v>21</v>
      </c>
      <c r="F4858" s="28" t="s">
        <v>914</v>
      </c>
      <c r="G4858" s="19" t="n">
        <v>0.0391</v>
      </c>
    </row>
    <row r="4859" customFormat="false" ht="15" hidden="false" customHeight="false" outlineLevel="0" collapsed="false">
      <c r="A4859" s="28" t="s">
        <v>203</v>
      </c>
      <c r="B4859" s="28" t="s">
        <v>204</v>
      </c>
      <c r="C4859" s="28" t="s">
        <v>202</v>
      </c>
      <c r="D4859" s="23" t="n">
        <v>14</v>
      </c>
      <c r="E4859" s="23" t="n">
        <v>21</v>
      </c>
      <c r="F4859" s="28" t="s">
        <v>915</v>
      </c>
      <c r="G4859" s="19" t="n">
        <v>0.0549</v>
      </c>
    </row>
    <row r="4860" customFormat="false" ht="15" hidden="false" customHeight="false" outlineLevel="0" collapsed="false">
      <c r="A4860" s="28" t="s">
        <v>203</v>
      </c>
      <c r="B4860" s="28" t="s">
        <v>204</v>
      </c>
      <c r="C4860" s="28" t="s">
        <v>202</v>
      </c>
      <c r="D4860" s="23" t="n">
        <v>14</v>
      </c>
      <c r="E4860" s="23" t="n">
        <v>22</v>
      </c>
      <c r="F4860" s="28" t="s">
        <v>904</v>
      </c>
      <c r="G4860" s="19" t="n">
        <v>0.0363</v>
      </c>
    </row>
    <row r="4861" customFormat="false" ht="15" hidden="false" customHeight="false" outlineLevel="0" collapsed="false">
      <c r="A4861" s="28" t="s">
        <v>203</v>
      </c>
      <c r="B4861" s="28" t="s">
        <v>204</v>
      </c>
      <c r="C4861" s="28" t="s">
        <v>202</v>
      </c>
      <c r="D4861" s="23" t="n">
        <v>14</v>
      </c>
      <c r="E4861" s="23" t="n">
        <v>22</v>
      </c>
      <c r="F4861" s="28" t="s">
        <v>551</v>
      </c>
      <c r="G4861" s="19" t="n">
        <v>0.0675</v>
      </c>
    </row>
    <row r="4862" customFormat="false" ht="15" hidden="false" customHeight="false" outlineLevel="0" collapsed="false">
      <c r="A4862" s="28" t="s">
        <v>203</v>
      </c>
      <c r="B4862" s="28" t="s">
        <v>204</v>
      </c>
      <c r="C4862" s="28" t="s">
        <v>202</v>
      </c>
      <c r="D4862" s="23" t="n">
        <v>14</v>
      </c>
      <c r="E4862" s="23" t="n">
        <v>22</v>
      </c>
      <c r="F4862" s="28" t="s">
        <v>451</v>
      </c>
      <c r="G4862" s="19" t="n">
        <v>0.0361</v>
      </c>
    </row>
    <row r="4863" customFormat="false" ht="15" hidden="false" customHeight="false" outlineLevel="0" collapsed="false">
      <c r="A4863" s="28" t="s">
        <v>203</v>
      </c>
      <c r="B4863" s="28" t="s">
        <v>204</v>
      </c>
      <c r="C4863" s="28" t="s">
        <v>202</v>
      </c>
      <c r="D4863" s="23" t="n">
        <v>14</v>
      </c>
      <c r="E4863" s="23" t="n">
        <v>22</v>
      </c>
      <c r="F4863" s="28" t="s">
        <v>905</v>
      </c>
      <c r="G4863" s="19" t="n">
        <v>0.0387</v>
      </c>
    </row>
    <row r="4864" customFormat="false" ht="15" hidden="false" customHeight="false" outlineLevel="0" collapsed="false">
      <c r="A4864" s="28" t="s">
        <v>203</v>
      </c>
      <c r="B4864" s="28" t="s">
        <v>204</v>
      </c>
      <c r="C4864" s="28" t="s">
        <v>202</v>
      </c>
      <c r="D4864" s="23" t="n">
        <v>14</v>
      </c>
      <c r="E4864" s="23" t="n">
        <v>22</v>
      </c>
      <c r="F4864" s="28" t="s">
        <v>906</v>
      </c>
      <c r="G4864" s="19" t="n">
        <v>0.039844</v>
      </c>
    </row>
    <row r="4865" customFormat="false" ht="15" hidden="false" customHeight="false" outlineLevel="0" collapsed="false">
      <c r="A4865" s="28" t="s">
        <v>203</v>
      </c>
      <c r="B4865" s="28" t="s">
        <v>204</v>
      </c>
      <c r="C4865" s="28" t="s">
        <v>202</v>
      </c>
      <c r="D4865" s="23" t="n">
        <v>14</v>
      </c>
      <c r="E4865" s="23" t="n">
        <v>22</v>
      </c>
      <c r="F4865" s="28" t="s">
        <v>907</v>
      </c>
      <c r="G4865" s="19" t="n">
        <v>0.039031</v>
      </c>
    </row>
    <row r="4866" customFormat="false" ht="15" hidden="false" customHeight="false" outlineLevel="0" collapsed="false">
      <c r="A4866" s="28" t="s">
        <v>203</v>
      </c>
      <c r="B4866" s="28" t="s">
        <v>204</v>
      </c>
      <c r="C4866" s="28" t="s">
        <v>202</v>
      </c>
      <c r="D4866" s="23" t="n">
        <v>14</v>
      </c>
      <c r="E4866" s="23" t="n">
        <v>22</v>
      </c>
      <c r="F4866" s="28" t="s">
        <v>908</v>
      </c>
      <c r="G4866" s="19" t="n">
        <v>0.039605</v>
      </c>
    </row>
    <row r="4867" customFormat="false" ht="15" hidden="false" customHeight="false" outlineLevel="0" collapsed="false">
      <c r="A4867" s="28" t="s">
        <v>203</v>
      </c>
      <c r="B4867" s="28" t="s">
        <v>204</v>
      </c>
      <c r="C4867" s="28" t="s">
        <v>202</v>
      </c>
      <c r="D4867" s="23" t="n">
        <v>14</v>
      </c>
      <c r="E4867" s="23" t="n">
        <v>22</v>
      </c>
      <c r="F4867" s="28" t="s">
        <v>909</v>
      </c>
      <c r="G4867" s="19" t="n">
        <v>0.038679</v>
      </c>
    </row>
    <row r="4868" customFormat="false" ht="15" hidden="false" customHeight="false" outlineLevel="0" collapsed="false">
      <c r="A4868" s="28" t="s">
        <v>203</v>
      </c>
      <c r="B4868" s="28" t="s">
        <v>204</v>
      </c>
      <c r="C4868" s="28" t="s">
        <v>202</v>
      </c>
      <c r="D4868" s="23" t="n">
        <v>14</v>
      </c>
      <c r="E4868" s="23" t="n">
        <v>22</v>
      </c>
      <c r="F4868" s="28" t="s">
        <v>910</v>
      </c>
      <c r="G4868" s="19" t="n">
        <v>0.037028</v>
      </c>
    </row>
    <row r="4869" customFormat="false" ht="15" hidden="false" customHeight="false" outlineLevel="0" collapsed="false">
      <c r="A4869" s="28" t="s">
        <v>203</v>
      </c>
      <c r="B4869" s="28" t="s">
        <v>204</v>
      </c>
      <c r="C4869" s="28" t="s">
        <v>202</v>
      </c>
      <c r="D4869" s="23" t="n">
        <v>14</v>
      </c>
      <c r="E4869" s="23" t="n">
        <v>22</v>
      </c>
      <c r="F4869" s="28" t="s">
        <v>911</v>
      </c>
      <c r="G4869" s="19" t="n">
        <v>0.036077</v>
      </c>
    </row>
    <row r="4870" customFormat="false" ht="15" hidden="false" customHeight="false" outlineLevel="0" collapsed="false">
      <c r="A4870" s="28" t="s">
        <v>203</v>
      </c>
      <c r="B4870" s="28" t="s">
        <v>204</v>
      </c>
      <c r="C4870" s="28" t="s">
        <v>202</v>
      </c>
      <c r="D4870" s="23" t="n">
        <v>14</v>
      </c>
      <c r="E4870" s="23" t="n">
        <v>22</v>
      </c>
      <c r="F4870" s="28" t="s">
        <v>912</v>
      </c>
      <c r="G4870" s="19" t="n">
        <v>0.0344</v>
      </c>
    </row>
    <row r="4871" customFormat="false" ht="15" hidden="false" customHeight="false" outlineLevel="0" collapsed="false">
      <c r="A4871" s="28" t="s">
        <v>203</v>
      </c>
      <c r="B4871" s="28" t="s">
        <v>204</v>
      </c>
      <c r="C4871" s="28" t="s">
        <v>202</v>
      </c>
      <c r="D4871" s="23" t="n">
        <v>14</v>
      </c>
      <c r="E4871" s="23" t="n">
        <v>22</v>
      </c>
      <c r="F4871" s="28" t="s">
        <v>913</v>
      </c>
      <c r="G4871" s="19" t="n">
        <v>0.0393</v>
      </c>
    </row>
    <row r="4872" customFormat="false" ht="15" hidden="false" customHeight="false" outlineLevel="0" collapsed="false">
      <c r="A4872" s="28" t="s">
        <v>203</v>
      </c>
      <c r="B4872" s="28" t="s">
        <v>204</v>
      </c>
      <c r="C4872" s="28" t="s">
        <v>202</v>
      </c>
      <c r="D4872" s="23" t="n">
        <v>14</v>
      </c>
      <c r="E4872" s="23" t="n">
        <v>22</v>
      </c>
      <c r="F4872" s="28" t="s">
        <v>914</v>
      </c>
      <c r="G4872" s="19" t="n">
        <v>0.0391</v>
      </c>
    </row>
    <row r="4873" customFormat="false" ht="15" hidden="false" customHeight="false" outlineLevel="0" collapsed="false">
      <c r="A4873" s="28" t="s">
        <v>203</v>
      </c>
      <c r="B4873" s="28" t="s">
        <v>204</v>
      </c>
      <c r="C4873" s="28" t="s">
        <v>202</v>
      </c>
      <c r="D4873" s="23" t="n">
        <v>14</v>
      </c>
      <c r="E4873" s="23" t="n">
        <v>22</v>
      </c>
      <c r="F4873" s="28" t="s">
        <v>915</v>
      </c>
      <c r="G4873" s="19" t="n">
        <v>0.0549</v>
      </c>
    </row>
    <row r="4874" customFormat="false" ht="15" hidden="false" customHeight="false" outlineLevel="0" collapsed="false">
      <c r="A4874" s="28" t="s">
        <v>203</v>
      </c>
      <c r="B4874" s="28" t="s">
        <v>204</v>
      </c>
      <c r="C4874" s="28" t="s">
        <v>202</v>
      </c>
      <c r="D4874" s="23" t="n">
        <v>14</v>
      </c>
      <c r="E4874" s="23" t="n">
        <v>23</v>
      </c>
      <c r="F4874" s="28" t="s">
        <v>904</v>
      </c>
      <c r="G4874" s="19" t="n">
        <v>0.0363</v>
      </c>
    </row>
    <row r="4875" customFormat="false" ht="15" hidden="false" customHeight="false" outlineLevel="0" collapsed="false">
      <c r="A4875" s="28" t="s">
        <v>203</v>
      </c>
      <c r="B4875" s="28" t="s">
        <v>204</v>
      </c>
      <c r="C4875" s="28" t="s">
        <v>202</v>
      </c>
      <c r="D4875" s="23" t="n">
        <v>14</v>
      </c>
      <c r="E4875" s="23" t="n">
        <v>23</v>
      </c>
      <c r="F4875" s="28" t="s">
        <v>551</v>
      </c>
      <c r="G4875" s="19" t="n">
        <v>0.0675</v>
      </c>
    </row>
    <row r="4876" customFormat="false" ht="15" hidden="false" customHeight="false" outlineLevel="0" collapsed="false">
      <c r="A4876" s="28" t="s">
        <v>203</v>
      </c>
      <c r="B4876" s="28" t="s">
        <v>204</v>
      </c>
      <c r="C4876" s="28" t="s">
        <v>202</v>
      </c>
      <c r="D4876" s="23" t="n">
        <v>14</v>
      </c>
      <c r="E4876" s="23" t="n">
        <v>23</v>
      </c>
      <c r="F4876" s="28" t="s">
        <v>451</v>
      </c>
      <c r="G4876" s="19" t="n">
        <v>0.0361</v>
      </c>
    </row>
    <row r="4877" customFormat="false" ht="15" hidden="false" customHeight="false" outlineLevel="0" collapsed="false">
      <c r="A4877" s="28" t="s">
        <v>203</v>
      </c>
      <c r="B4877" s="28" t="s">
        <v>204</v>
      </c>
      <c r="C4877" s="28" t="s">
        <v>202</v>
      </c>
      <c r="D4877" s="23" t="n">
        <v>14</v>
      </c>
      <c r="E4877" s="23" t="n">
        <v>23</v>
      </c>
      <c r="F4877" s="28" t="s">
        <v>905</v>
      </c>
      <c r="G4877" s="19" t="n">
        <v>0.0387</v>
      </c>
    </row>
    <row r="4878" customFormat="false" ht="15" hidden="false" customHeight="false" outlineLevel="0" collapsed="false">
      <c r="A4878" s="28" t="s">
        <v>203</v>
      </c>
      <c r="B4878" s="28" t="s">
        <v>204</v>
      </c>
      <c r="C4878" s="28" t="s">
        <v>202</v>
      </c>
      <c r="D4878" s="23" t="n">
        <v>14</v>
      </c>
      <c r="E4878" s="23" t="n">
        <v>23</v>
      </c>
      <c r="F4878" s="28" t="s">
        <v>906</v>
      </c>
      <c r="G4878" s="19" t="n">
        <v>0.039844</v>
      </c>
    </row>
    <row r="4879" customFormat="false" ht="15" hidden="false" customHeight="false" outlineLevel="0" collapsed="false">
      <c r="A4879" s="28" t="s">
        <v>203</v>
      </c>
      <c r="B4879" s="28" t="s">
        <v>204</v>
      </c>
      <c r="C4879" s="28" t="s">
        <v>202</v>
      </c>
      <c r="D4879" s="23" t="n">
        <v>14</v>
      </c>
      <c r="E4879" s="23" t="n">
        <v>23</v>
      </c>
      <c r="F4879" s="28" t="s">
        <v>907</v>
      </c>
      <c r="G4879" s="19" t="n">
        <v>0.039031</v>
      </c>
    </row>
    <row r="4880" customFormat="false" ht="15" hidden="false" customHeight="false" outlineLevel="0" collapsed="false">
      <c r="A4880" s="28" t="s">
        <v>203</v>
      </c>
      <c r="B4880" s="28" t="s">
        <v>204</v>
      </c>
      <c r="C4880" s="28" t="s">
        <v>202</v>
      </c>
      <c r="D4880" s="23" t="n">
        <v>14</v>
      </c>
      <c r="E4880" s="23" t="n">
        <v>23</v>
      </c>
      <c r="F4880" s="28" t="s">
        <v>908</v>
      </c>
      <c r="G4880" s="19" t="n">
        <v>0.039605</v>
      </c>
    </row>
    <row r="4881" customFormat="false" ht="15" hidden="false" customHeight="false" outlineLevel="0" collapsed="false">
      <c r="A4881" s="28" t="s">
        <v>203</v>
      </c>
      <c r="B4881" s="28" t="s">
        <v>204</v>
      </c>
      <c r="C4881" s="28" t="s">
        <v>202</v>
      </c>
      <c r="D4881" s="23" t="n">
        <v>14</v>
      </c>
      <c r="E4881" s="23" t="n">
        <v>23</v>
      </c>
      <c r="F4881" s="28" t="s">
        <v>909</v>
      </c>
      <c r="G4881" s="19" t="n">
        <v>0.038679</v>
      </c>
    </row>
    <row r="4882" customFormat="false" ht="15" hidden="false" customHeight="false" outlineLevel="0" collapsed="false">
      <c r="A4882" s="28" t="s">
        <v>203</v>
      </c>
      <c r="B4882" s="28" t="s">
        <v>204</v>
      </c>
      <c r="C4882" s="28" t="s">
        <v>202</v>
      </c>
      <c r="D4882" s="23" t="n">
        <v>14</v>
      </c>
      <c r="E4882" s="23" t="n">
        <v>23</v>
      </c>
      <c r="F4882" s="28" t="s">
        <v>910</v>
      </c>
      <c r="G4882" s="19" t="n">
        <v>0.037028</v>
      </c>
    </row>
    <row r="4883" customFormat="false" ht="15" hidden="false" customHeight="false" outlineLevel="0" collapsed="false">
      <c r="A4883" s="28" t="s">
        <v>203</v>
      </c>
      <c r="B4883" s="28" t="s">
        <v>204</v>
      </c>
      <c r="C4883" s="28" t="s">
        <v>202</v>
      </c>
      <c r="D4883" s="23" t="n">
        <v>14</v>
      </c>
      <c r="E4883" s="23" t="n">
        <v>23</v>
      </c>
      <c r="F4883" s="28" t="s">
        <v>911</v>
      </c>
      <c r="G4883" s="19" t="n">
        <v>0.036077</v>
      </c>
    </row>
    <row r="4884" customFormat="false" ht="15" hidden="false" customHeight="false" outlineLevel="0" collapsed="false">
      <c r="A4884" s="28" t="s">
        <v>203</v>
      </c>
      <c r="B4884" s="28" t="s">
        <v>204</v>
      </c>
      <c r="C4884" s="28" t="s">
        <v>202</v>
      </c>
      <c r="D4884" s="23" t="n">
        <v>14</v>
      </c>
      <c r="E4884" s="23" t="n">
        <v>23</v>
      </c>
      <c r="F4884" s="28" t="s">
        <v>912</v>
      </c>
      <c r="G4884" s="19" t="n">
        <v>0.0344</v>
      </c>
    </row>
    <row r="4885" customFormat="false" ht="15" hidden="false" customHeight="false" outlineLevel="0" collapsed="false">
      <c r="A4885" s="28" t="s">
        <v>203</v>
      </c>
      <c r="B4885" s="28" t="s">
        <v>204</v>
      </c>
      <c r="C4885" s="28" t="s">
        <v>202</v>
      </c>
      <c r="D4885" s="23" t="n">
        <v>14</v>
      </c>
      <c r="E4885" s="23" t="n">
        <v>23</v>
      </c>
      <c r="F4885" s="28" t="s">
        <v>913</v>
      </c>
      <c r="G4885" s="19" t="n">
        <v>0.0393</v>
      </c>
    </row>
    <row r="4886" customFormat="false" ht="15" hidden="false" customHeight="false" outlineLevel="0" collapsed="false">
      <c r="A4886" s="28" t="s">
        <v>203</v>
      </c>
      <c r="B4886" s="28" t="s">
        <v>204</v>
      </c>
      <c r="C4886" s="28" t="s">
        <v>202</v>
      </c>
      <c r="D4886" s="23" t="n">
        <v>14</v>
      </c>
      <c r="E4886" s="23" t="n">
        <v>23</v>
      </c>
      <c r="F4886" s="28" t="s">
        <v>914</v>
      </c>
      <c r="G4886" s="19" t="n">
        <v>0.0391</v>
      </c>
    </row>
    <row r="4887" customFormat="false" ht="15" hidden="false" customHeight="false" outlineLevel="0" collapsed="false">
      <c r="A4887" s="28" t="s">
        <v>203</v>
      </c>
      <c r="B4887" s="28" t="s">
        <v>204</v>
      </c>
      <c r="C4887" s="28" t="s">
        <v>202</v>
      </c>
      <c r="D4887" s="23" t="n">
        <v>14</v>
      </c>
      <c r="E4887" s="23" t="n">
        <v>23</v>
      </c>
      <c r="F4887" s="28" t="s">
        <v>915</v>
      </c>
      <c r="G4887" s="19" t="n">
        <v>0.0549</v>
      </c>
    </row>
    <row r="4888" customFormat="false" ht="15" hidden="false" customHeight="false" outlineLevel="0" collapsed="false">
      <c r="A4888" s="28" t="s">
        <v>203</v>
      </c>
      <c r="B4888" s="28" t="s">
        <v>204</v>
      </c>
      <c r="C4888" s="28" t="s">
        <v>202</v>
      </c>
      <c r="D4888" s="23" t="n">
        <v>14</v>
      </c>
      <c r="E4888" s="23" t="n">
        <v>24</v>
      </c>
      <c r="F4888" s="28" t="s">
        <v>904</v>
      </c>
      <c r="G4888" s="19" t="n">
        <v>0.0363</v>
      </c>
    </row>
    <row r="4889" customFormat="false" ht="15" hidden="false" customHeight="false" outlineLevel="0" collapsed="false">
      <c r="A4889" s="28" t="s">
        <v>203</v>
      </c>
      <c r="B4889" s="28" t="s">
        <v>204</v>
      </c>
      <c r="C4889" s="28" t="s">
        <v>202</v>
      </c>
      <c r="D4889" s="23" t="n">
        <v>14</v>
      </c>
      <c r="E4889" s="23" t="n">
        <v>24</v>
      </c>
      <c r="F4889" s="28" t="s">
        <v>551</v>
      </c>
      <c r="G4889" s="19" t="n">
        <v>0.0675</v>
      </c>
    </row>
    <row r="4890" customFormat="false" ht="15" hidden="false" customHeight="false" outlineLevel="0" collapsed="false">
      <c r="A4890" s="28" t="s">
        <v>203</v>
      </c>
      <c r="B4890" s="28" t="s">
        <v>204</v>
      </c>
      <c r="C4890" s="28" t="s">
        <v>202</v>
      </c>
      <c r="D4890" s="23" t="n">
        <v>14</v>
      </c>
      <c r="E4890" s="23" t="n">
        <v>24</v>
      </c>
      <c r="F4890" s="28" t="s">
        <v>451</v>
      </c>
      <c r="G4890" s="19" t="n">
        <v>0.0361</v>
      </c>
    </row>
    <row r="4891" customFormat="false" ht="15" hidden="false" customHeight="false" outlineLevel="0" collapsed="false">
      <c r="A4891" s="28" t="s">
        <v>203</v>
      </c>
      <c r="B4891" s="28" t="s">
        <v>204</v>
      </c>
      <c r="C4891" s="28" t="s">
        <v>202</v>
      </c>
      <c r="D4891" s="23" t="n">
        <v>14</v>
      </c>
      <c r="E4891" s="23" t="n">
        <v>24</v>
      </c>
      <c r="F4891" s="28" t="s">
        <v>905</v>
      </c>
      <c r="G4891" s="19" t="n">
        <v>0.0387</v>
      </c>
    </row>
    <row r="4892" customFormat="false" ht="15" hidden="false" customHeight="false" outlineLevel="0" collapsed="false">
      <c r="A4892" s="28" t="s">
        <v>203</v>
      </c>
      <c r="B4892" s="28" t="s">
        <v>204</v>
      </c>
      <c r="C4892" s="28" t="s">
        <v>202</v>
      </c>
      <c r="D4892" s="23" t="n">
        <v>14</v>
      </c>
      <c r="E4892" s="23" t="n">
        <v>24</v>
      </c>
      <c r="F4892" s="28" t="s">
        <v>906</v>
      </c>
      <c r="G4892" s="19" t="n">
        <v>0.039844</v>
      </c>
    </row>
    <row r="4893" customFormat="false" ht="15" hidden="false" customHeight="false" outlineLevel="0" collapsed="false">
      <c r="A4893" s="28" t="s">
        <v>203</v>
      </c>
      <c r="B4893" s="28" t="s">
        <v>204</v>
      </c>
      <c r="C4893" s="28" t="s">
        <v>202</v>
      </c>
      <c r="D4893" s="23" t="n">
        <v>14</v>
      </c>
      <c r="E4893" s="23" t="n">
        <v>24</v>
      </c>
      <c r="F4893" s="28" t="s">
        <v>907</v>
      </c>
      <c r="G4893" s="19" t="n">
        <v>0.039031</v>
      </c>
    </row>
    <row r="4894" customFormat="false" ht="15" hidden="false" customHeight="false" outlineLevel="0" collapsed="false">
      <c r="A4894" s="28" t="s">
        <v>203</v>
      </c>
      <c r="B4894" s="28" t="s">
        <v>204</v>
      </c>
      <c r="C4894" s="28" t="s">
        <v>202</v>
      </c>
      <c r="D4894" s="23" t="n">
        <v>14</v>
      </c>
      <c r="E4894" s="23" t="n">
        <v>24</v>
      </c>
      <c r="F4894" s="28" t="s">
        <v>908</v>
      </c>
      <c r="G4894" s="19" t="n">
        <v>0.039605</v>
      </c>
    </row>
    <row r="4895" customFormat="false" ht="15" hidden="false" customHeight="false" outlineLevel="0" collapsed="false">
      <c r="A4895" s="28" t="s">
        <v>203</v>
      </c>
      <c r="B4895" s="28" t="s">
        <v>204</v>
      </c>
      <c r="C4895" s="28" t="s">
        <v>202</v>
      </c>
      <c r="D4895" s="23" t="n">
        <v>14</v>
      </c>
      <c r="E4895" s="23" t="n">
        <v>24</v>
      </c>
      <c r="F4895" s="28" t="s">
        <v>909</v>
      </c>
      <c r="G4895" s="19" t="n">
        <v>0.038679</v>
      </c>
    </row>
    <row r="4896" customFormat="false" ht="15" hidden="false" customHeight="false" outlineLevel="0" collapsed="false">
      <c r="A4896" s="28" t="s">
        <v>203</v>
      </c>
      <c r="B4896" s="28" t="s">
        <v>204</v>
      </c>
      <c r="C4896" s="28" t="s">
        <v>202</v>
      </c>
      <c r="D4896" s="23" t="n">
        <v>14</v>
      </c>
      <c r="E4896" s="23" t="n">
        <v>24</v>
      </c>
      <c r="F4896" s="28" t="s">
        <v>910</v>
      </c>
      <c r="G4896" s="19" t="n">
        <v>0.037028</v>
      </c>
    </row>
    <row r="4897" customFormat="false" ht="15" hidden="false" customHeight="false" outlineLevel="0" collapsed="false">
      <c r="A4897" s="28" t="s">
        <v>203</v>
      </c>
      <c r="B4897" s="28" t="s">
        <v>204</v>
      </c>
      <c r="C4897" s="28" t="s">
        <v>202</v>
      </c>
      <c r="D4897" s="23" t="n">
        <v>14</v>
      </c>
      <c r="E4897" s="23" t="n">
        <v>24</v>
      </c>
      <c r="F4897" s="28" t="s">
        <v>911</v>
      </c>
      <c r="G4897" s="19" t="n">
        <v>0.036077</v>
      </c>
    </row>
    <row r="4898" customFormat="false" ht="15" hidden="false" customHeight="false" outlineLevel="0" collapsed="false">
      <c r="A4898" s="28" t="s">
        <v>203</v>
      </c>
      <c r="B4898" s="28" t="s">
        <v>204</v>
      </c>
      <c r="C4898" s="28" t="s">
        <v>202</v>
      </c>
      <c r="D4898" s="23" t="n">
        <v>14</v>
      </c>
      <c r="E4898" s="23" t="n">
        <v>24</v>
      </c>
      <c r="F4898" s="28" t="s">
        <v>912</v>
      </c>
      <c r="G4898" s="19" t="n">
        <v>0.0344</v>
      </c>
    </row>
    <row r="4899" customFormat="false" ht="15" hidden="false" customHeight="false" outlineLevel="0" collapsed="false">
      <c r="A4899" s="28" t="s">
        <v>203</v>
      </c>
      <c r="B4899" s="28" t="s">
        <v>204</v>
      </c>
      <c r="C4899" s="28" t="s">
        <v>202</v>
      </c>
      <c r="D4899" s="23" t="n">
        <v>14</v>
      </c>
      <c r="E4899" s="23" t="n">
        <v>24</v>
      </c>
      <c r="F4899" s="28" t="s">
        <v>913</v>
      </c>
      <c r="G4899" s="19" t="n">
        <v>0.0393</v>
      </c>
    </row>
    <row r="4900" customFormat="false" ht="15" hidden="false" customHeight="false" outlineLevel="0" collapsed="false">
      <c r="A4900" s="28" t="s">
        <v>203</v>
      </c>
      <c r="B4900" s="28" t="s">
        <v>204</v>
      </c>
      <c r="C4900" s="28" t="s">
        <v>202</v>
      </c>
      <c r="D4900" s="23" t="n">
        <v>14</v>
      </c>
      <c r="E4900" s="23" t="n">
        <v>24</v>
      </c>
      <c r="F4900" s="28" t="s">
        <v>914</v>
      </c>
      <c r="G4900" s="19" t="n">
        <v>0.0391</v>
      </c>
    </row>
    <row r="4901" customFormat="false" ht="15" hidden="false" customHeight="false" outlineLevel="0" collapsed="false">
      <c r="A4901" s="28" t="s">
        <v>203</v>
      </c>
      <c r="B4901" s="28" t="s">
        <v>204</v>
      </c>
      <c r="C4901" s="28" t="s">
        <v>202</v>
      </c>
      <c r="D4901" s="23" t="n">
        <v>14</v>
      </c>
      <c r="E4901" s="23" t="n">
        <v>24</v>
      </c>
      <c r="F4901" s="28" t="s">
        <v>915</v>
      </c>
      <c r="G4901" s="19" t="n">
        <v>0.0549</v>
      </c>
    </row>
    <row r="4902" customFormat="false" ht="15" hidden="false" customHeight="false" outlineLevel="0" collapsed="false">
      <c r="A4902" s="28" t="s">
        <v>205</v>
      </c>
      <c r="B4902" s="28" t="s">
        <v>206</v>
      </c>
      <c r="C4902" s="28" t="s">
        <v>202</v>
      </c>
      <c r="D4902" s="23" t="n">
        <v>15</v>
      </c>
      <c r="E4902" s="23" t="n">
        <v>0</v>
      </c>
      <c r="F4902" s="28" t="s">
        <v>904</v>
      </c>
      <c r="G4902" s="19" t="n">
        <v>0.0563</v>
      </c>
    </row>
    <row r="4903" customFormat="false" ht="15" hidden="false" customHeight="false" outlineLevel="0" collapsed="false">
      <c r="A4903" s="28" t="s">
        <v>205</v>
      </c>
      <c r="B4903" s="28" t="s">
        <v>206</v>
      </c>
      <c r="C4903" s="28" t="s">
        <v>202</v>
      </c>
      <c r="D4903" s="23" t="n">
        <v>15</v>
      </c>
      <c r="E4903" s="23" t="n">
        <v>0</v>
      </c>
      <c r="F4903" s="28" t="s">
        <v>551</v>
      </c>
      <c r="G4903" s="19" t="n">
        <v>0.0875</v>
      </c>
    </row>
    <row r="4904" customFormat="false" ht="15" hidden="false" customHeight="false" outlineLevel="0" collapsed="false">
      <c r="A4904" s="28" t="s">
        <v>205</v>
      </c>
      <c r="B4904" s="28" t="s">
        <v>206</v>
      </c>
      <c r="C4904" s="28" t="s">
        <v>202</v>
      </c>
      <c r="D4904" s="23" t="n">
        <v>15</v>
      </c>
      <c r="E4904" s="23" t="n">
        <v>0</v>
      </c>
      <c r="F4904" s="28" t="s">
        <v>451</v>
      </c>
      <c r="G4904" s="19" t="n">
        <v>0.0561</v>
      </c>
    </row>
    <row r="4905" customFormat="false" ht="15" hidden="false" customHeight="false" outlineLevel="0" collapsed="false">
      <c r="A4905" s="28" t="s">
        <v>205</v>
      </c>
      <c r="B4905" s="28" t="s">
        <v>206</v>
      </c>
      <c r="C4905" s="28" t="s">
        <v>202</v>
      </c>
      <c r="D4905" s="23" t="n">
        <v>15</v>
      </c>
      <c r="E4905" s="23" t="n">
        <v>0</v>
      </c>
      <c r="F4905" s="28" t="s">
        <v>905</v>
      </c>
      <c r="G4905" s="19" t="n">
        <v>0.0587</v>
      </c>
    </row>
    <row r="4906" customFormat="false" ht="15" hidden="false" customHeight="false" outlineLevel="0" collapsed="false">
      <c r="A4906" s="28" t="s">
        <v>205</v>
      </c>
      <c r="B4906" s="28" t="s">
        <v>206</v>
      </c>
      <c r="C4906" s="28" t="s">
        <v>202</v>
      </c>
      <c r="D4906" s="23" t="n">
        <v>15</v>
      </c>
      <c r="E4906" s="23" t="n">
        <v>0</v>
      </c>
      <c r="F4906" s="28" t="s">
        <v>906</v>
      </c>
      <c r="G4906" s="19" t="n">
        <v>0.0601</v>
      </c>
    </row>
    <row r="4907" customFormat="false" ht="15" hidden="false" customHeight="false" outlineLevel="0" collapsed="false">
      <c r="A4907" s="28" t="s">
        <v>205</v>
      </c>
      <c r="B4907" s="28" t="s">
        <v>206</v>
      </c>
      <c r="C4907" s="28" t="s">
        <v>202</v>
      </c>
      <c r="D4907" s="23" t="n">
        <v>15</v>
      </c>
      <c r="E4907" s="23" t="n">
        <v>0</v>
      </c>
      <c r="F4907" s="28" t="s">
        <v>907</v>
      </c>
      <c r="G4907" s="19" t="n">
        <v>0.0598</v>
      </c>
    </row>
    <row r="4908" customFormat="false" ht="15" hidden="false" customHeight="false" outlineLevel="0" collapsed="false">
      <c r="A4908" s="28" t="s">
        <v>205</v>
      </c>
      <c r="B4908" s="28" t="s">
        <v>206</v>
      </c>
      <c r="C4908" s="28" t="s">
        <v>202</v>
      </c>
      <c r="D4908" s="23" t="n">
        <v>15</v>
      </c>
      <c r="E4908" s="23" t="n">
        <v>0</v>
      </c>
      <c r="F4908" s="28" t="s">
        <v>908</v>
      </c>
      <c r="G4908" s="19" t="n">
        <v>0.059733</v>
      </c>
    </row>
    <row r="4909" customFormat="false" ht="15" hidden="false" customHeight="false" outlineLevel="0" collapsed="false">
      <c r="A4909" s="28" t="s">
        <v>205</v>
      </c>
      <c r="B4909" s="28" t="s">
        <v>206</v>
      </c>
      <c r="C4909" s="28" t="s">
        <v>202</v>
      </c>
      <c r="D4909" s="23" t="n">
        <v>15</v>
      </c>
      <c r="E4909" s="23" t="n">
        <v>0</v>
      </c>
      <c r="F4909" s="28" t="s">
        <v>909</v>
      </c>
      <c r="G4909" s="19" t="n">
        <v>0.058167</v>
      </c>
    </row>
    <row r="4910" customFormat="false" ht="15" hidden="false" customHeight="false" outlineLevel="0" collapsed="false">
      <c r="A4910" s="28" t="s">
        <v>205</v>
      </c>
      <c r="B4910" s="28" t="s">
        <v>206</v>
      </c>
      <c r="C4910" s="28" t="s">
        <v>202</v>
      </c>
      <c r="D4910" s="23" t="n">
        <v>15</v>
      </c>
      <c r="E4910" s="23" t="n">
        <v>0</v>
      </c>
      <c r="F4910" s="28" t="s">
        <v>910</v>
      </c>
      <c r="G4910" s="19" t="n">
        <v>0.055233</v>
      </c>
    </row>
    <row r="4911" customFormat="false" ht="15" hidden="false" customHeight="false" outlineLevel="0" collapsed="false">
      <c r="A4911" s="28" t="s">
        <v>205</v>
      </c>
      <c r="B4911" s="28" t="s">
        <v>206</v>
      </c>
      <c r="C4911" s="28" t="s">
        <v>202</v>
      </c>
      <c r="D4911" s="23" t="n">
        <v>15</v>
      </c>
      <c r="E4911" s="23" t="n">
        <v>0</v>
      </c>
      <c r="F4911" s="28" t="s">
        <v>911</v>
      </c>
      <c r="G4911" s="19" t="n">
        <v>0.053</v>
      </c>
    </row>
    <row r="4912" customFormat="false" ht="15" hidden="false" customHeight="false" outlineLevel="0" collapsed="false">
      <c r="A4912" s="28" t="s">
        <v>205</v>
      </c>
      <c r="B4912" s="28" t="s">
        <v>206</v>
      </c>
      <c r="C4912" s="28" t="s">
        <v>202</v>
      </c>
      <c r="D4912" s="23" t="n">
        <v>15</v>
      </c>
      <c r="E4912" s="23" t="n">
        <v>0</v>
      </c>
      <c r="F4912" s="28" t="s">
        <v>912</v>
      </c>
      <c r="G4912" s="19" t="n">
        <v>0.0494</v>
      </c>
    </row>
    <row r="4913" customFormat="false" ht="15" hidden="false" customHeight="false" outlineLevel="0" collapsed="false">
      <c r="A4913" s="28" t="s">
        <v>205</v>
      </c>
      <c r="B4913" s="28" t="s">
        <v>206</v>
      </c>
      <c r="C4913" s="28" t="s">
        <v>202</v>
      </c>
      <c r="D4913" s="23" t="n">
        <v>15</v>
      </c>
      <c r="E4913" s="23" t="n">
        <v>0</v>
      </c>
      <c r="F4913" s="28" t="s">
        <v>913</v>
      </c>
      <c r="G4913" s="19" t="n">
        <v>0.0543</v>
      </c>
    </row>
    <row r="4914" customFormat="false" ht="15" hidden="false" customHeight="false" outlineLevel="0" collapsed="false">
      <c r="A4914" s="28" t="s">
        <v>205</v>
      </c>
      <c r="B4914" s="28" t="s">
        <v>206</v>
      </c>
      <c r="C4914" s="28" t="s">
        <v>202</v>
      </c>
      <c r="D4914" s="23" t="n">
        <v>15</v>
      </c>
      <c r="E4914" s="23" t="n">
        <v>0</v>
      </c>
      <c r="F4914" s="28" t="s">
        <v>914</v>
      </c>
      <c r="G4914" s="19" t="n">
        <v>0.0541</v>
      </c>
    </row>
    <row r="4915" customFormat="false" ht="15" hidden="false" customHeight="false" outlineLevel="0" collapsed="false">
      <c r="A4915" s="28" t="s">
        <v>205</v>
      </c>
      <c r="B4915" s="28" t="s">
        <v>206</v>
      </c>
      <c r="C4915" s="28" t="s">
        <v>202</v>
      </c>
      <c r="D4915" s="23" t="n">
        <v>15</v>
      </c>
      <c r="E4915" s="23" t="n">
        <v>0</v>
      </c>
      <c r="F4915" s="28" t="s">
        <v>915</v>
      </c>
      <c r="G4915" s="19" t="n">
        <v>0.0699</v>
      </c>
    </row>
    <row r="4916" customFormat="false" ht="15" hidden="false" customHeight="false" outlineLevel="0" collapsed="false">
      <c r="A4916" s="28" t="s">
        <v>205</v>
      </c>
      <c r="B4916" s="28" t="s">
        <v>206</v>
      </c>
      <c r="C4916" s="28" t="s">
        <v>202</v>
      </c>
      <c r="D4916" s="23" t="n">
        <v>15</v>
      </c>
      <c r="E4916" s="23" t="n">
        <v>1</v>
      </c>
      <c r="F4916" s="28" t="s">
        <v>904</v>
      </c>
      <c r="G4916" s="19" t="n">
        <v>0.0563</v>
      </c>
    </row>
    <row r="4917" customFormat="false" ht="15" hidden="false" customHeight="false" outlineLevel="0" collapsed="false">
      <c r="A4917" s="28" t="s">
        <v>205</v>
      </c>
      <c r="B4917" s="28" t="s">
        <v>206</v>
      </c>
      <c r="C4917" s="28" t="s">
        <v>202</v>
      </c>
      <c r="D4917" s="23" t="n">
        <v>15</v>
      </c>
      <c r="E4917" s="23" t="n">
        <v>1</v>
      </c>
      <c r="F4917" s="28" t="s">
        <v>551</v>
      </c>
      <c r="G4917" s="19" t="n">
        <v>0.0875</v>
      </c>
    </row>
    <row r="4918" customFormat="false" ht="15" hidden="false" customHeight="false" outlineLevel="0" collapsed="false">
      <c r="A4918" s="28" t="s">
        <v>205</v>
      </c>
      <c r="B4918" s="28" t="s">
        <v>206</v>
      </c>
      <c r="C4918" s="28" t="s">
        <v>202</v>
      </c>
      <c r="D4918" s="23" t="n">
        <v>15</v>
      </c>
      <c r="E4918" s="23" t="n">
        <v>1</v>
      </c>
      <c r="F4918" s="28" t="s">
        <v>451</v>
      </c>
      <c r="G4918" s="19" t="n">
        <v>0.0561</v>
      </c>
    </row>
    <row r="4919" customFormat="false" ht="15" hidden="false" customHeight="false" outlineLevel="0" collapsed="false">
      <c r="A4919" s="28" t="s">
        <v>205</v>
      </c>
      <c r="B4919" s="28" t="s">
        <v>206</v>
      </c>
      <c r="C4919" s="28" t="s">
        <v>202</v>
      </c>
      <c r="D4919" s="23" t="n">
        <v>15</v>
      </c>
      <c r="E4919" s="23" t="n">
        <v>1</v>
      </c>
      <c r="F4919" s="28" t="s">
        <v>905</v>
      </c>
      <c r="G4919" s="19" t="n">
        <v>0.0587</v>
      </c>
    </row>
    <row r="4920" customFormat="false" ht="15" hidden="false" customHeight="false" outlineLevel="0" collapsed="false">
      <c r="A4920" s="28" t="s">
        <v>205</v>
      </c>
      <c r="B4920" s="28" t="s">
        <v>206</v>
      </c>
      <c r="C4920" s="28" t="s">
        <v>202</v>
      </c>
      <c r="D4920" s="23" t="n">
        <v>15</v>
      </c>
      <c r="E4920" s="23" t="n">
        <v>1</v>
      </c>
      <c r="F4920" s="28" t="s">
        <v>906</v>
      </c>
      <c r="G4920" s="19" t="n">
        <v>0.0601</v>
      </c>
    </row>
    <row r="4921" customFormat="false" ht="15" hidden="false" customHeight="false" outlineLevel="0" collapsed="false">
      <c r="A4921" s="28" t="s">
        <v>205</v>
      </c>
      <c r="B4921" s="28" t="s">
        <v>206</v>
      </c>
      <c r="C4921" s="28" t="s">
        <v>202</v>
      </c>
      <c r="D4921" s="23" t="n">
        <v>15</v>
      </c>
      <c r="E4921" s="23" t="n">
        <v>1</v>
      </c>
      <c r="F4921" s="28" t="s">
        <v>907</v>
      </c>
      <c r="G4921" s="19" t="n">
        <v>0.0598</v>
      </c>
    </row>
    <row r="4922" customFormat="false" ht="15" hidden="false" customHeight="false" outlineLevel="0" collapsed="false">
      <c r="A4922" s="28" t="s">
        <v>205</v>
      </c>
      <c r="B4922" s="28" t="s">
        <v>206</v>
      </c>
      <c r="C4922" s="28" t="s">
        <v>202</v>
      </c>
      <c r="D4922" s="23" t="n">
        <v>15</v>
      </c>
      <c r="E4922" s="23" t="n">
        <v>1</v>
      </c>
      <c r="F4922" s="28" t="s">
        <v>908</v>
      </c>
      <c r="G4922" s="19" t="n">
        <v>0.059733</v>
      </c>
    </row>
    <row r="4923" customFormat="false" ht="15" hidden="false" customHeight="false" outlineLevel="0" collapsed="false">
      <c r="A4923" s="28" t="s">
        <v>205</v>
      </c>
      <c r="B4923" s="28" t="s">
        <v>206</v>
      </c>
      <c r="C4923" s="28" t="s">
        <v>202</v>
      </c>
      <c r="D4923" s="23" t="n">
        <v>15</v>
      </c>
      <c r="E4923" s="23" t="n">
        <v>1</v>
      </c>
      <c r="F4923" s="28" t="s">
        <v>909</v>
      </c>
      <c r="G4923" s="19" t="n">
        <v>0.058167</v>
      </c>
    </row>
    <row r="4924" customFormat="false" ht="15" hidden="false" customHeight="false" outlineLevel="0" collapsed="false">
      <c r="A4924" s="28" t="s">
        <v>205</v>
      </c>
      <c r="B4924" s="28" t="s">
        <v>206</v>
      </c>
      <c r="C4924" s="28" t="s">
        <v>202</v>
      </c>
      <c r="D4924" s="23" t="n">
        <v>15</v>
      </c>
      <c r="E4924" s="23" t="n">
        <v>1</v>
      </c>
      <c r="F4924" s="28" t="s">
        <v>910</v>
      </c>
      <c r="G4924" s="19" t="n">
        <v>0.055233</v>
      </c>
    </row>
    <row r="4925" customFormat="false" ht="15" hidden="false" customHeight="false" outlineLevel="0" collapsed="false">
      <c r="A4925" s="28" t="s">
        <v>205</v>
      </c>
      <c r="B4925" s="28" t="s">
        <v>206</v>
      </c>
      <c r="C4925" s="28" t="s">
        <v>202</v>
      </c>
      <c r="D4925" s="23" t="n">
        <v>15</v>
      </c>
      <c r="E4925" s="23" t="n">
        <v>1</v>
      </c>
      <c r="F4925" s="28" t="s">
        <v>911</v>
      </c>
      <c r="G4925" s="19" t="n">
        <v>0.053</v>
      </c>
    </row>
    <row r="4926" customFormat="false" ht="15" hidden="false" customHeight="false" outlineLevel="0" collapsed="false">
      <c r="A4926" s="28" t="s">
        <v>205</v>
      </c>
      <c r="B4926" s="28" t="s">
        <v>206</v>
      </c>
      <c r="C4926" s="28" t="s">
        <v>202</v>
      </c>
      <c r="D4926" s="23" t="n">
        <v>15</v>
      </c>
      <c r="E4926" s="23" t="n">
        <v>1</v>
      </c>
      <c r="F4926" s="28" t="s">
        <v>912</v>
      </c>
      <c r="G4926" s="19" t="n">
        <v>0.0494</v>
      </c>
    </row>
    <row r="4927" customFormat="false" ht="15" hidden="false" customHeight="false" outlineLevel="0" collapsed="false">
      <c r="A4927" s="28" t="s">
        <v>205</v>
      </c>
      <c r="B4927" s="28" t="s">
        <v>206</v>
      </c>
      <c r="C4927" s="28" t="s">
        <v>202</v>
      </c>
      <c r="D4927" s="23" t="n">
        <v>15</v>
      </c>
      <c r="E4927" s="23" t="n">
        <v>1</v>
      </c>
      <c r="F4927" s="28" t="s">
        <v>913</v>
      </c>
      <c r="G4927" s="19" t="n">
        <v>0.0543</v>
      </c>
    </row>
    <row r="4928" customFormat="false" ht="15" hidden="false" customHeight="false" outlineLevel="0" collapsed="false">
      <c r="A4928" s="28" t="s">
        <v>205</v>
      </c>
      <c r="B4928" s="28" t="s">
        <v>206</v>
      </c>
      <c r="C4928" s="28" t="s">
        <v>202</v>
      </c>
      <c r="D4928" s="23" t="n">
        <v>15</v>
      </c>
      <c r="E4928" s="23" t="n">
        <v>1</v>
      </c>
      <c r="F4928" s="28" t="s">
        <v>914</v>
      </c>
      <c r="G4928" s="19" t="n">
        <v>0.0541</v>
      </c>
    </row>
    <row r="4929" customFormat="false" ht="15" hidden="false" customHeight="false" outlineLevel="0" collapsed="false">
      <c r="A4929" s="28" t="s">
        <v>205</v>
      </c>
      <c r="B4929" s="28" t="s">
        <v>206</v>
      </c>
      <c r="C4929" s="28" t="s">
        <v>202</v>
      </c>
      <c r="D4929" s="23" t="n">
        <v>15</v>
      </c>
      <c r="E4929" s="23" t="n">
        <v>1</v>
      </c>
      <c r="F4929" s="28" t="s">
        <v>915</v>
      </c>
      <c r="G4929" s="19" t="n">
        <v>0.0699</v>
      </c>
    </row>
    <row r="4930" customFormat="false" ht="15" hidden="false" customHeight="false" outlineLevel="0" collapsed="false">
      <c r="A4930" s="28" t="s">
        <v>205</v>
      </c>
      <c r="B4930" s="28" t="s">
        <v>206</v>
      </c>
      <c r="C4930" s="28" t="s">
        <v>202</v>
      </c>
      <c r="D4930" s="23" t="n">
        <v>15</v>
      </c>
      <c r="E4930" s="23" t="n">
        <v>2</v>
      </c>
      <c r="F4930" s="28" t="s">
        <v>904</v>
      </c>
      <c r="G4930" s="19" t="n">
        <v>0.0563</v>
      </c>
    </row>
    <row r="4931" customFormat="false" ht="15" hidden="false" customHeight="false" outlineLevel="0" collapsed="false">
      <c r="A4931" s="28" t="s">
        <v>205</v>
      </c>
      <c r="B4931" s="28" t="s">
        <v>206</v>
      </c>
      <c r="C4931" s="28" t="s">
        <v>202</v>
      </c>
      <c r="D4931" s="23" t="n">
        <v>15</v>
      </c>
      <c r="E4931" s="23" t="n">
        <v>2</v>
      </c>
      <c r="F4931" s="28" t="s">
        <v>551</v>
      </c>
      <c r="G4931" s="19" t="n">
        <v>0.0875</v>
      </c>
    </row>
    <row r="4932" customFormat="false" ht="15" hidden="false" customHeight="false" outlineLevel="0" collapsed="false">
      <c r="A4932" s="28" t="s">
        <v>205</v>
      </c>
      <c r="B4932" s="28" t="s">
        <v>206</v>
      </c>
      <c r="C4932" s="28" t="s">
        <v>202</v>
      </c>
      <c r="D4932" s="23" t="n">
        <v>15</v>
      </c>
      <c r="E4932" s="23" t="n">
        <v>2</v>
      </c>
      <c r="F4932" s="28" t="s">
        <v>451</v>
      </c>
      <c r="G4932" s="19" t="n">
        <v>0.0561</v>
      </c>
    </row>
    <row r="4933" customFormat="false" ht="15" hidden="false" customHeight="false" outlineLevel="0" collapsed="false">
      <c r="A4933" s="28" t="s">
        <v>205</v>
      </c>
      <c r="B4933" s="28" t="s">
        <v>206</v>
      </c>
      <c r="C4933" s="28" t="s">
        <v>202</v>
      </c>
      <c r="D4933" s="23" t="n">
        <v>15</v>
      </c>
      <c r="E4933" s="23" t="n">
        <v>2</v>
      </c>
      <c r="F4933" s="28" t="s">
        <v>905</v>
      </c>
      <c r="G4933" s="19" t="n">
        <v>0.0587</v>
      </c>
    </row>
    <row r="4934" customFormat="false" ht="15" hidden="false" customHeight="false" outlineLevel="0" collapsed="false">
      <c r="A4934" s="28" t="s">
        <v>205</v>
      </c>
      <c r="B4934" s="28" t="s">
        <v>206</v>
      </c>
      <c r="C4934" s="28" t="s">
        <v>202</v>
      </c>
      <c r="D4934" s="23" t="n">
        <v>15</v>
      </c>
      <c r="E4934" s="23" t="n">
        <v>2</v>
      </c>
      <c r="F4934" s="28" t="s">
        <v>906</v>
      </c>
      <c r="G4934" s="19" t="n">
        <v>0.0601</v>
      </c>
    </row>
    <row r="4935" customFormat="false" ht="15" hidden="false" customHeight="false" outlineLevel="0" collapsed="false">
      <c r="A4935" s="28" t="s">
        <v>205</v>
      </c>
      <c r="B4935" s="28" t="s">
        <v>206</v>
      </c>
      <c r="C4935" s="28" t="s">
        <v>202</v>
      </c>
      <c r="D4935" s="23" t="n">
        <v>15</v>
      </c>
      <c r="E4935" s="23" t="n">
        <v>2</v>
      </c>
      <c r="F4935" s="28" t="s">
        <v>907</v>
      </c>
      <c r="G4935" s="19" t="n">
        <v>0.0598</v>
      </c>
    </row>
    <row r="4936" customFormat="false" ht="15" hidden="false" customHeight="false" outlineLevel="0" collapsed="false">
      <c r="A4936" s="28" t="s">
        <v>205</v>
      </c>
      <c r="B4936" s="28" t="s">
        <v>206</v>
      </c>
      <c r="C4936" s="28" t="s">
        <v>202</v>
      </c>
      <c r="D4936" s="23" t="n">
        <v>15</v>
      </c>
      <c r="E4936" s="23" t="n">
        <v>2</v>
      </c>
      <c r="F4936" s="28" t="s">
        <v>908</v>
      </c>
      <c r="G4936" s="19" t="n">
        <v>0.059733</v>
      </c>
    </row>
    <row r="4937" customFormat="false" ht="15" hidden="false" customHeight="false" outlineLevel="0" collapsed="false">
      <c r="A4937" s="28" t="s">
        <v>205</v>
      </c>
      <c r="B4937" s="28" t="s">
        <v>206</v>
      </c>
      <c r="C4937" s="28" t="s">
        <v>202</v>
      </c>
      <c r="D4937" s="23" t="n">
        <v>15</v>
      </c>
      <c r="E4937" s="23" t="n">
        <v>2</v>
      </c>
      <c r="F4937" s="28" t="s">
        <v>909</v>
      </c>
      <c r="G4937" s="19" t="n">
        <v>0.058167</v>
      </c>
    </row>
    <row r="4938" customFormat="false" ht="15" hidden="false" customHeight="false" outlineLevel="0" collapsed="false">
      <c r="A4938" s="28" t="s">
        <v>205</v>
      </c>
      <c r="B4938" s="28" t="s">
        <v>206</v>
      </c>
      <c r="C4938" s="28" t="s">
        <v>202</v>
      </c>
      <c r="D4938" s="23" t="n">
        <v>15</v>
      </c>
      <c r="E4938" s="23" t="n">
        <v>2</v>
      </c>
      <c r="F4938" s="28" t="s">
        <v>910</v>
      </c>
      <c r="G4938" s="19" t="n">
        <v>0.055233</v>
      </c>
    </row>
    <row r="4939" customFormat="false" ht="15" hidden="false" customHeight="false" outlineLevel="0" collapsed="false">
      <c r="A4939" s="28" t="s">
        <v>205</v>
      </c>
      <c r="B4939" s="28" t="s">
        <v>206</v>
      </c>
      <c r="C4939" s="28" t="s">
        <v>202</v>
      </c>
      <c r="D4939" s="23" t="n">
        <v>15</v>
      </c>
      <c r="E4939" s="23" t="n">
        <v>2</v>
      </c>
      <c r="F4939" s="28" t="s">
        <v>911</v>
      </c>
      <c r="G4939" s="19" t="n">
        <v>0.053</v>
      </c>
    </row>
    <row r="4940" customFormat="false" ht="15" hidden="false" customHeight="false" outlineLevel="0" collapsed="false">
      <c r="A4940" s="28" t="s">
        <v>205</v>
      </c>
      <c r="B4940" s="28" t="s">
        <v>206</v>
      </c>
      <c r="C4940" s="28" t="s">
        <v>202</v>
      </c>
      <c r="D4940" s="23" t="n">
        <v>15</v>
      </c>
      <c r="E4940" s="23" t="n">
        <v>2</v>
      </c>
      <c r="F4940" s="28" t="s">
        <v>912</v>
      </c>
      <c r="G4940" s="19" t="n">
        <v>0.0494</v>
      </c>
    </row>
    <row r="4941" customFormat="false" ht="15" hidden="false" customHeight="false" outlineLevel="0" collapsed="false">
      <c r="A4941" s="28" t="s">
        <v>205</v>
      </c>
      <c r="B4941" s="28" t="s">
        <v>206</v>
      </c>
      <c r="C4941" s="28" t="s">
        <v>202</v>
      </c>
      <c r="D4941" s="23" t="n">
        <v>15</v>
      </c>
      <c r="E4941" s="23" t="n">
        <v>2</v>
      </c>
      <c r="F4941" s="28" t="s">
        <v>913</v>
      </c>
      <c r="G4941" s="19" t="n">
        <v>0.0543</v>
      </c>
    </row>
    <row r="4942" customFormat="false" ht="15" hidden="false" customHeight="false" outlineLevel="0" collapsed="false">
      <c r="A4942" s="28" t="s">
        <v>205</v>
      </c>
      <c r="B4942" s="28" t="s">
        <v>206</v>
      </c>
      <c r="C4942" s="28" t="s">
        <v>202</v>
      </c>
      <c r="D4942" s="23" t="n">
        <v>15</v>
      </c>
      <c r="E4942" s="23" t="n">
        <v>2</v>
      </c>
      <c r="F4942" s="28" t="s">
        <v>914</v>
      </c>
      <c r="G4942" s="19" t="n">
        <v>0.0541</v>
      </c>
    </row>
    <row r="4943" customFormat="false" ht="15" hidden="false" customHeight="false" outlineLevel="0" collapsed="false">
      <c r="A4943" s="28" t="s">
        <v>205</v>
      </c>
      <c r="B4943" s="28" t="s">
        <v>206</v>
      </c>
      <c r="C4943" s="28" t="s">
        <v>202</v>
      </c>
      <c r="D4943" s="23" t="n">
        <v>15</v>
      </c>
      <c r="E4943" s="23" t="n">
        <v>2</v>
      </c>
      <c r="F4943" s="28" t="s">
        <v>915</v>
      </c>
      <c r="G4943" s="19" t="n">
        <v>0.0699</v>
      </c>
    </row>
    <row r="4944" customFormat="false" ht="15" hidden="false" customHeight="false" outlineLevel="0" collapsed="false">
      <c r="A4944" s="28" t="s">
        <v>205</v>
      </c>
      <c r="B4944" s="28" t="s">
        <v>206</v>
      </c>
      <c r="C4944" s="28" t="s">
        <v>202</v>
      </c>
      <c r="D4944" s="23" t="n">
        <v>15</v>
      </c>
      <c r="E4944" s="23" t="n">
        <v>3</v>
      </c>
      <c r="F4944" s="28" t="s">
        <v>904</v>
      </c>
      <c r="G4944" s="19" t="n">
        <v>0.0563</v>
      </c>
    </row>
    <row r="4945" customFormat="false" ht="15" hidden="false" customHeight="false" outlineLevel="0" collapsed="false">
      <c r="A4945" s="28" t="s">
        <v>205</v>
      </c>
      <c r="B4945" s="28" t="s">
        <v>206</v>
      </c>
      <c r="C4945" s="28" t="s">
        <v>202</v>
      </c>
      <c r="D4945" s="23" t="n">
        <v>15</v>
      </c>
      <c r="E4945" s="23" t="n">
        <v>3</v>
      </c>
      <c r="F4945" s="28" t="s">
        <v>551</v>
      </c>
      <c r="G4945" s="19" t="n">
        <v>0.0875</v>
      </c>
    </row>
    <row r="4946" customFormat="false" ht="15" hidden="false" customHeight="false" outlineLevel="0" collapsed="false">
      <c r="A4946" s="28" t="s">
        <v>205</v>
      </c>
      <c r="B4946" s="28" t="s">
        <v>206</v>
      </c>
      <c r="C4946" s="28" t="s">
        <v>202</v>
      </c>
      <c r="D4946" s="23" t="n">
        <v>15</v>
      </c>
      <c r="E4946" s="23" t="n">
        <v>3</v>
      </c>
      <c r="F4946" s="28" t="s">
        <v>451</v>
      </c>
      <c r="G4946" s="19" t="n">
        <v>0.0561</v>
      </c>
    </row>
    <row r="4947" customFormat="false" ht="15" hidden="false" customHeight="false" outlineLevel="0" collapsed="false">
      <c r="A4947" s="28" t="s">
        <v>205</v>
      </c>
      <c r="B4947" s="28" t="s">
        <v>206</v>
      </c>
      <c r="C4947" s="28" t="s">
        <v>202</v>
      </c>
      <c r="D4947" s="23" t="n">
        <v>15</v>
      </c>
      <c r="E4947" s="23" t="n">
        <v>3</v>
      </c>
      <c r="F4947" s="28" t="s">
        <v>905</v>
      </c>
      <c r="G4947" s="19" t="n">
        <v>0.0587</v>
      </c>
    </row>
    <row r="4948" customFormat="false" ht="15" hidden="false" customHeight="false" outlineLevel="0" collapsed="false">
      <c r="A4948" s="28" t="s">
        <v>205</v>
      </c>
      <c r="B4948" s="28" t="s">
        <v>206</v>
      </c>
      <c r="C4948" s="28" t="s">
        <v>202</v>
      </c>
      <c r="D4948" s="23" t="n">
        <v>15</v>
      </c>
      <c r="E4948" s="23" t="n">
        <v>3</v>
      </c>
      <c r="F4948" s="28" t="s">
        <v>906</v>
      </c>
      <c r="G4948" s="19" t="n">
        <v>0.0601</v>
      </c>
    </row>
    <row r="4949" customFormat="false" ht="15" hidden="false" customHeight="false" outlineLevel="0" collapsed="false">
      <c r="A4949" s="28" t="s">
        <v>205</v>
      </c>
      <c r="B4949" s="28" t="s">
        <v>206</v>
      </c>
      <c r="C4949" s="28" t="s">
        <v>202</v>
      </c>
      <c r="D4949" s="23" t="n">
        <v>15</v>
      </c>
      <c r="E4949" s="23" t="n">
        <v>3</v>
      </c>
      <c r="F4949" s="28" t="s">
        <v>907</v>
      </c>
      <c r="G4949" s="19" t="n">
        <v>0.0598</v>
      </c>
    </row>
    <row r="4950" customFormat="false" ht="15" hidden="false" customHeight="false" outlineLevel="0" collapsed="false">
      <c r="A4950" s="28" t="s">
        <v>205</v>
      </c>
      <c r="B4950" s="28" t="s">
        <v>206</v>
      </c>
      <c r="C4950" s="28" t="s">
        <v>202</v>
      </c>
      <c r="D4950" s="23" t="n">
        <v>15</v>
      </c>
      <c r="E4950" s="23" t="n">
        <v>3</v>
      </c>
      <c r="F4950" s="28" t="s">
        <v>908</v>
      </c>
      <c r="G4950" s="19" t="n">
        <v>0.059733</v>
      </c>
    </row>
    <row r="4951" customFormat="false" ht="15" hidden="false" customHeight="false" outlineLevel="0" collapsed="false">
      <c r="A4951" s="28" t="s">
        <v>205</v>
      </c>
      <c r="B4951" s="28" t="s">
        <v>206</v>
      </c>
      <c r="C4951" s="28" t="s">
        <v>202</v>
      </c>
      <c r="D4951" s="23" t="n">
        <v>15</v>
      </c>
      <c r="E4951" s="23" t="n">
        <v>3</v>
      </c>
      <c r="F4951" s="28" t="s">
        <v>909</v>
      </c>
      <c r="G4951" s="19" t="n">
        <v>0.058167</v>
      </c>
    </row>
    <row r="4952" customFormat="false" ht="15" hidden="false" customHeight="false" outlineLevel="0" collapsed="false">
      <c r="A4952" s="28" t="s">
        <v>205</v>
      </c>
      <c r="B4952" s="28" t="s">
        <v>206</v>
      </c>
      <c r="C4952" s="28" t="s">
        <v>202</v>
      </c>
      <c r="D4952" s="23" t="n">
        <v>15</v>
      </c>
      <c r="E4952" s="23" t="n">
        <v>3</v>
      </c>
      <c r="F4952" s="28" t="s">
        <v>910</v>
      </c>
      <c r="G4952" s="19" t="n">
        <v>0.055233</v>
      </c>
    </row>
    <row r="4953" customFormat="false" ht="15" hidden="false" customHeight="false" outlineLevel="0" collapsed="false">
      <c r="A4953" s="28" t="s">
        <v>205</v>
      </c>
      <c r="B4953" s="28" t="s">
        <v>206</v>
      </c>
      <c r="C4953" s="28" t="s">
        <v>202</v>
      </c>
      <c r="D4953" s="23" t="n">
        <v>15</v>
      </c>
      <c r="E4953" s="23" t="n">
        <v>3</v>
      </c>
      <c r="F4953" s="28" t="s">
        <v>911</v>
      </c>
      <c r="G4953" s="19" t="n">
        <v>0.053</v>
      </c>
    </row>
    <row r="4954" customFormat="false" ht="15" hidden="false" customHeight="false" outlineLevel="0" collapsed="false">
      <c r="A4954" s="28" t="s">
        <v>205</v>
      </c>
      <c r="B4954" s="28" t="s">
        <v>206</v>
      </c>
      <c r="C4954" s="28" t="s">
        <v>202</v>
      </c>
      <c r="D4954" s="23" t="n">
        <v>15</v>
      </c>
      <c r="E4954" s="23" t="n">
        <v>3</v>
      </c>
      <c r="F4954" s="28" t="s">
        <v>912</v>
      </c>
      <c r="G4954" s="19" t="n">
        <v>0.0494</v>
      </c>
    </row>
    <row r="4955" customFormat="false" ht="15" hidden="false" customHeight="false" outlineLevel="0" collapsed="false">
      <c r="A4955" s="28" t="s">
        <v>205</v>
      </c>
      <c r="B4955" s="28" t="s">
        <v>206</v>
      </c>
      <c r="C4955" s="28" t="s">
        <v>202</v>
      </c>
      <c r="D4955" s="23" t="n">
        <v>15</v>
      </c>
      <c r="E4955" s="23" t="n">
        <v>3</v>
      </c>
      <c r="F4955" s="28" t="s">
        <v>913</v>
      </c>
      <c r="G4955" s="19" t="n">
        <v>0.0543</v>
      </c>
    </row>
    <row r="4956" customFormat="false" ht="15" hidden="false" customHeight="false" outlineLevel="0" collapsed="false">
      <c r="A4956" s="28" t="s">
        <v>205</v>
      </c>
      <c r="B4956" s="28" t="s">
        <v>206</v>
      </c>
      <c r="C4956" s="28" t="s">
        <v>202</v>
      </c>
      <c r="D4956" s="23" t="n">
        <v>15</v>
      </c>
      <c r="E4956" s="23" t="n">
        <v>3</v>
      </c>
      <c r="F4956" s="28" t="s">
        <v>914</v>
      </c>
      <c r="G4956" s="19" t="n">
        <v>0.0541</v>
      </c>
    </row>
    <row r="4957" customFormat="false" ht="15" hidden="false" customHeight="false" outlineLevel="0" collapsed="false">
      <c r="A4957" s="28" t="s">
        <v>205</v>
      </c>
      <c r="B4957" s="28" t="s">
        <v>206</v>
      </c>
      <c r="C4957" s="28" t="s">
        <v>202</v>
      </c>
      <c r="D4957" s="23" t="n">
        <v>15</v>
      </c>
      <c r="E4957" s="23" t="n">
        <v>3</v>
      </c>
      <c r="F4957" s="28" t="s">
        <v>915</v>
      </c>
      <c r="G4957" s="19" t="n">
        <v>0.0699</v>
      </c>
    </row>
    <row r="4958" customFormat="false" ht="15" hidden="false" customHeight="false" outlineLevel="0" collapsed="false">
      <c r="A4958" s="28" t="s">
        <v>205</v>
      </c>
      <c r="B4958" s="28" t="s">
        <v>206</v>
      </c>
      <c r="C4958" s="28" t="s">
        <v>202</v>
      </c>
      <c r="D4958" s="23" t="n">
        <v>15</v>
      </c>
      <c r="E4958" s="23" t="n">
        <v>4</v>
      </c>
      <c r="F4958" s="28" t="s">
        <v>904</v>
      </c>
      <c r="G4958" s="19" t="n">
        <v>0.0563</v>
      </c>
    </row>
    <row r="4959" customFormat="false" ht="15" hidden="false" customHeight="false" outlineLevel="0" collapsed="false">
      <c r="A4959" s="28" t="s">
        <v>205</v>
      </c>
      <c r="B4959" s="28" t="s">
        <v>206</v>
      </c>
      <c r="C4959" s="28" t="s">
        <v>202</v>
      </c>
      <c r="D4959" s="23" t="n">
        <v>15</v>
      </c>
      <c r="E4959" s="23" t="n">
        <v>4</v>
      </c>
      <c r="F4959" s="28" t="s">
        <v>551</v>
      </c>
      <c r="G4959" s="19" t="n">
        <v>0.0875</v>
      </c>
    </row>
    <row r="4960" customFormat="false" ht="15" hidden="false" customHeight="false" outlineLevel="0" collapsed="false">
      <c r="A4960" s="28" t="s">
        <v>205</v>
      </c>
      <c r="B4960" s="28" t="s">
        <v>206</v>
      </c>
      <c r="C4960" s="28" t="s">
        <v>202</v>
      </c>
      <c r="D4960" s="23" t="n">
        <v>15</v>
      </c>
      <c r="E4960" s="23" t="n">
        <v>4</v>
      </c>
      <c r="F4960" s="28" t="s">
        <v>451</v>
      </c>
      <c r="G4960" s="19" t="n">
        <v>0.0561</v>
      </c>
    </row>
    <row r="4961" customFormat="false" ht="15" hidden="false" customHeight="false" outlineLevel="0" collapsed="false">
      <c r="A4961" s="28" t="s">
        <v>205</v>
      </c>
      <c r="B4961" s="28" t="s">
        <v>206</v>
      </c>
      <c r="C4961" s="28" t="s">
        <v>202</v>
      </c>
      <c r="D4961" s="23" t="n">
        <v>15</v>
      </c>
      <c r="E4961" s="23" t="n">
        <v>4</v>
      </c>
      <c r="F4961" s="28" t="s">
        <v>905</v>
      </c>
      <c r="G4961" s="19" t="n">
        <v>0.0587</v>
      </c>
    </row>
    <row r="4962" customFormat="false" ht="15" hidden="false" customHeight="false" outlineLevel="0" collapsed="false">
      <c r="A4962" s="28" t="s">
        <v>205</v>
      </c>
      <c r="B4962" s="28" t="s">
        <v>206</v>
      </c>
      <c r="C4962" s="28" t="s">
        <v>202</v>
      </c>
      <c r="D4962" s="23" t="n">
        <v>15</v>
      </c>
      <c r="E4962" s="23" t="n">
        <v>4</v>
      </c>
      <c r="F4962" s="28" t="s">
        <v>906</v>
      </c>
      <c r="G4962" s="19" t="n">
        <v>0.0601</v>
      </c>
    </row>
    <row r="4963" customFormat="false" ht="15" hidden="false" customHeight="false" outlineLevel="0" collapsed="false">
      <c r="A4963" s="28" t="s">
        <v>205</v>
      </c>
      <c r="B4963" s="28" t="s">
        <v>206</v>
      </c>
      <c r="C4963" s="28" t="s">
        <v>202</v>
      </c>
      <c r="D4963" s="23" t="n">
        <v>15</v>
      </c>
      <c r="E4963" s="23" t="n">
        <v>4</v>
      </c>
      <c r="F4963" s="28" t="s">
        <v>907</v>
      </c>
      <c r="G4963" s="19" t="n">
        <v>0.0598</v>
      </c>
    </row>
    <row r="4964" customFormat="false" ht="15" hidden="false" customHeight="false" outlineLevel="0" collapsed="false">
      <c r="A4964" s="28" t="s">
        <v>205</v>
      </c>
      <c r="B4964" s="28" t="s">
        <v>206</v>
      </c>
      <c r="C4964" s="28" t="s">
        <v>202</v>
      </c>
      <c r="D4964" s="23" t="n">
        <v>15</v>
      </c>
      <c r="E4964" s="23" t="n">
        <v>4</v>
      </c>
      <c r="F4964" s="28" t="s">
        <v>908</v>
      </c>
      <c r="G4964" s="19" t="n">
        <v>0.059733</v>
      </c>
    </row>
    <row r="4965" customFormat="false" ht="15" hidden="false" customHeight="false" outlineLevel="0" collapsed="false">
      <c r="A4965" s="28" t="s">
        <v>205</v>
      </c>
      <c r="B4965" s="28" t="s">
        <v>206</v>
      </c>
      <c r="C4965" s="28" t="s">
        <v>202</v>
      </c>
      <c r="D4965" s="23" t="n">
        <v>15</v>
      </c>
      <c r="E4965" s="23" t="n">
        <v>4</v>
      </c>
      <c r="F4965" s="28" t="s">
        <v>909</v>
      </c>
      <c r="G4965" s="19" t="n">
        <v>0.058167</v>
      </c>
    </row>
    <row r="4966" customFormat="false" ht="15" hidden="false" customHeight="false" outlineLevel="0" collapsed="false">
      <c r="A4966" s="28" t="s">
        <v>205</v>
      </c>
      <c r="B4966" s="28" t="s">
        <v>206</v>
      </c>
      <c r="C4966" s="28" t="s">
        <v>202</v>
      </c>
      <c r="D4966" s="23" t="n">
        <v>15</v>
      </c>
      <c r="E4966" s="23" t="n">
        <v>4</v>
      </c>
      <c r="F4966" s="28" t="s">
        <v>910</v>
      </c>
      <c r="G4966" s="19" t="n">
        <v>0.055233</v>
      </c>
    </row>
    <row r="4967" customFormat="false" ht="15" hidden="false" customHeight="false" outlineLevel="0" collapsed="false">
      <c r="A4967" s="28" t="s">
        <v>205</v>
      </c>
      <c r="B4967" s="28" t="s">
        <v>206</v>
      </c>
      <c r="C4967" s="28" t="s">
        <v>202</v>
      </c>
      <c r="D4967" s="23" t="n">
        <v>15</v>
      </c>
      <c r="E4967" s="23" t="n">
        <v>4</v>
      </c>
      <c r="F4967" s="28" t="s">
        <v>911</v>
      </c>
      <c r="G4967" s="19" t="n">
        <v>0.053</v>
      </c>
    </row>
    <row r="4968" customFormat="false" ht="15" hidden="false" customHeight="false" outlineLevel="0" collapsed="false">
      <c r="A4968" s="28" t="s">
        <v>205</v>
      </c>
      <c r="B4968" s="28" t="s">
        <v>206</v>
      </c>
      <c r="C4968" s="28" t="s">
        <v>202</v>
      </c>
      <c r="D4968" s="23" t="n">
        <v>15</v>
      </c>
      <c r="E4968" s="23" t="n">
        <v>4</v>
      </c>
      <c r="F4968" s="28" t="s">
        <v>912</v>
      </c>
      <c r="G4968" s="19" t="n">
        <v>0.0494</v>
      </c>
    </row>
    <row r="4969" customFormat="false" ht="15" hidden="false" customHeight="false" outlineLevel="0" collapsed="false">
      <c r="A4969" s="28" t="s">
        <v>205</v>
      </c>
      <c r="B4969" s="28" t="s">
        <v>206</v>
      </c>
      <c r="C4969" s="28" t="s">
        <v>202</v>
      </c>
      <c r="D4969" s="23" t="n">
        <v>15</v>
      </c>
      <c r="E4969" s="23" t="n">
        <v>4</v>
      </c>
      <c r="F4969" s="28" t="s">
        <v>913</v>
      </c>
      <c r="G4969" s="19" t="n">
        <v>0.0543</v>
      </c>
    </row>
    <row r="4970" customFormat="false" ht="15" hidden="false" customHeight="false" outlineLevel="0" collapsed="false">
      <c r="A4970" s="28" t="s">
        <v>205</v>
      </c>
      <c r="B4970" s="28" t="s">
        <v>206</v>
      </c>
      <c r="C4970" s="28" t="s">
        <v>202</v>
      </c>
      <c r="D4970" s="23" t="n">
        <v>15</v>
      </c>
      <c r="E4970" s="23" t="n">
        <v>4</v>
      </c>
      <c r="F4970" s="28" t="s">
        <v>914</v>
      </c>
      <c r="G4970" s="19" t="n">
        <v>0.0541</v>
      </c>
    </row>
    <row r="4971" customFormat="false" ht="15" hidden="false" customHeight="false" outlineLevel="0" collapsed="false">
      <c r="A4971" s="28" t="s">
        <v>205</v>
      </c>
      <c r="B4971" s="28" t="s">
        <v>206</v>
      </c>
      <c r="C4971" s="28" t="s">
        <v>202</v>
      </c>
      <c r="D4971" s="23" t="n">
        <v>15</v>
      </c>
      <c r="E4971" s="23" t="n">
        <v>4</v>
      </c>
      <c r="F4971" s="28" t="s">
        <v>915</v>
      </c>
      <c r="G4971" s="19" t="n">
        <v>0.0699</v>
      </c>
    </row>
    <row r="4972" customFormat="false" ht="15" hidden="false" customHeight="false" outlineLevel="0" collapsed="false">
      <c r="A4972" s="28" t="s">
        <v>205</v>
      </c>
      <c r="B4972" s="28" t="s">
        <v>206</v>
      </c>
      <c r="C4972" s="28" t="s">
        <v>202</v>
      </c>
      <c r="D4972" s="23" t="n">
        <v>15</v>
      </c>
      <c r="E4972" s="23" t="n">
        <v>5</v>
      </c>
      <c r="F4972" s="28" t="s">
        <v>904</v>
      </c>
      <c r="G4972" s="19" t="n">
        <v>0.0563</v>
      </c>
    </row>
    <row r="4973" customFormat="false" ht="15" hidden="false" customHeight="false" outlineLevel="0" collapsed="false">
      <c r="A4973" s="28" t="s">
        <v>205</v>
      </c>
      <c r="B4973" s="28" t="s">
        <v>206</v>
      </c>
      <c r="C4973" s="28" t="s">
        <v>202</v>
      </c>
      <c r="D4973" s="23" t="n">
        <v>15</v>
      </c>
      <c r="E4973" s="23" t="n">
        <v>5</v>
      </c>
      <c r="F4973" s="28" t="s">
        <v>551</v>
      </c>
      <c r="G4973" s="19" t="n">
        <v>0.0875</v>
      </c>
    </row>
    <row r="4974" customFormat="false" ht="15" hidden="false" customHeight="false" outlineLevel="0" collapsed="false">
      <c r="A4974" s="28" t="s">
        <v>205</v>
      </c>
      <c r="B4974" s="28" t="s">
        <v>206</v>
      </c>
      <c r="C4974" s="28" t="s">
        <v>202</v>
      </c>
      <c r="D4974" s="23" t="n">
        <v>15</v>
      </c>
      <c r="E4974" s="23" t="n">
        <v>5</v>
      </c>
      <c r="F4974" s="28" t="s">
        <v>451</v>
      </c>
      <c r="G4974" s="19" t="n">
        <v>0.0561</v>
      </c>
    </row>
    <row r="4975" customFormat="false" ht="15" hidden="false" customHeight="false" outlineLevel="0" collapsed="false">
      <c r="A4975" s="28" t="s">
        <v>205</v>
      </c>
      <c r="B4975" s="28" t="s">
        <v>206</v>
      </c>
      <c r="C4975" s="28" t="s">
        <v>202</v>
      </c>
      <c r="D4975" s="23" t="n">
        <v>15</v>
      </c>
      <c r="E4975" s="23" t="n">
        <v>5</v>
      </c>
      <c r="F4975" s="28" t="s">
        <v>905</v>
      </c>
      <c r="G4975" s="19" t="n">
        <v>0.0587</v>
      </c>
    </row>
    <row r="4976" customFormat="false" ht="15" hidden="false" customHeight="false" outlineLevel="0" collapsed="false">
      <c r="A4976" s="28" t="s">
        <v>205</v>
      </c>
      <c r="B4976" s="28" t="s">
        <v>206</v>
      </c>
      <c r="C4976" s="28" t="s">
        <v>202</v>
      </c>
      <c r="D4976" s="23" t="n">
        <v>15</v>
      </c>
      <c r="E4976" s="23" t="n">
        <v>5</v>
      </c>
      <c r="F4976" s="28" t="s">
        <v>906</v>
      </c>
      <c r="G4976" s="19" t="n">
        <v>0.0601</v>
      </c>
    </row>
    <row r="4977" customFormat="false" ht="15" hidden="false" customHeight="false" outlineLevel="0" collapsed="false">
      <c r="A4977" s="28" t="s">
        <v>205</v>
      </c>
      <c r="B4977" s="28" t="s">
        <v>206</v>
      </c>
      <c r="C4977" s="28" t="s">
        <v>202</v>
      </c>
      <c r="D4977" s="23" t="n">
        <v>15</v>
      </c>
      <c r="E4977" s="23" t="n">
        <v>5</v>
      </c>
      <c r="F4977" s="28" t="s">
        <v>907</v>
      </c>
      <c r="G4977" s="19" t="n">
        <v>0.0598</v>
      </c>
    </row>
    <row r="4978" customFormat="false" ht="15" hidden="false" customHeight="false" outlineLevel="0" collapsed="false">
      <c r="A4978" s="28" t="s">
        <v>205</v>
      </c>
      <c r="B4978" s="28" t="s">
        <v>206</v>
      </c>
      <c r="C4978" s="28" t="s">
        <v>202</v>
      </c>
      <c r="D4978" s="23" t="n">
        <v>15</v>
      </c>
      <c r="E4978" s="23" t="n">
        <v>5</v>
      </c>
      <c r="F4978" s="28" t="s">
        <v>908</v>
      </c>
      <c r="G4978" s="19" t="n">
        <v>0.059733</v>
      </c>
    </row>
    <row r="4979" customFormat="false" ht="15" hidden="false" customHeight="false" outlineLevel="0" collapsed="false">
      <c r="A4979" s="28" t="s">
        <v>205</v>
      </c>
      <c r="B4979" s="28" t="s">
        <v>206</v>
      </c>
      <c r="C4979" s="28" t="s">
        <v>202</v>
      </c>
      <c r="D4979" s="23" t="n">
        <v>15</v>
      </c>
      <c r="E4979" s="23" t="n">
        <v>5</v>
      </c>
      <c r="F4979" s="28" t="s">
        <v>909</v>
      </c>
      <c r="G4979" s="19" t="n">
        <v>0.058167</v>
      </c>
    </row>
    <row r="4980" customFormat="false" ht="15" hidden="false" customHeight="false" outlineLevel="0" collapsed="false">
      <c r="A4980" s="28" t="s">
        <v>205</v>
      </c>
      <c r="B4980" s="28" t="s">
        <v>206</v>
      </c>
      <c r="C4980" s="28" t="s">
        <v>202</v>
      </c>
      <c r="D4980" s="23" t="n">
        <v>15</v>
      </c>
      <c r="E4980" s="23" t="n">
        <v>5</v>
      </c>
      <c r="F4980" s="28" t="s">
        <v>910</v>
      </c>
      <c r="G4980" s="19" t="n">
        <v>0.055233</v>
      </c>
    </row>
    <row r="4981" customFormat="false" ht="15" hidden="false" customHeight="false" outlineLevel="0" collapsed="false">
      <c r="A4981" s="28" t="s">
        <v>205</v>
      </c>
      <c r="B4981" s="28" t="s">
        <v>206</v>
      </c>
      <c r="C4981" s="28" t="s">
        <v>202</v>
      </c>
      <c r="D4981" s="23" t="n">
        <v>15</v>
      </c>
      <c r="E4981" s="23" t="n">
        <v>5</v>
      </c>
      <c r="F4981" s="28" t="s">
        <v>911</v>
      </c>
      <c r="G4981" s="19" t="n">
        <v>0.053</v>
      </c>
    </row>
    <row r="4982" customFormat="false" ht="15" hidden="false" customHeight="false" outlineLevel="0" collapsed="false">
      <c r="A4982" s="28" t="s">
        <v>205</v>
      </c>
      <c r="B4982" s="28" t="s">
        <v>206</v>
      </c>
      <c r="C4982" s="28" t="s">
        <v>202</v>
      </c>
      <c r="D4982" s="23" t="n">
        <v>15</v>
      </c>
      <c r="E4982" s="23" t="n">
        <v>5</v>
      </c>
      <c r="F4982" s="28" t="s">
        <v>912</v>
      </c>
      <c r="G4982" s="19" t="n">
        <v>0.0494</v>
      </c>
    </row>
    <row r="4983" customFormat="false" ht="15" hidden="false" customHeight="false" outlineLevel="0" collapsed="false">
      <c r="A4983" s="28" t="s">
        <v>205</v>
      </c>
      <c r="B4983" s="28" t="s">
        <v>206</v>
      </c>
      <c r="C4983" s="28" t="s">
        <v>202</v>
      </c>
      <c r="D4983" s="23" t="n">
        <v>15</v>
      </c>
      <c r="E4983" s="23" t="n">
        <v>5</v>
      </c>
      <c r="F4983" s="28" t="s">
        <v>913</v>
      </c>
      <c r="G4983" s="19" t="n">
        <v>0.0543</v>
      </c>
    </row>
    <row r="4984" customFormat="false" ht="15" hidden="false" customHeight="false" outlineLevel="0" collapsed="false">
      <c r="A4984" s="28" t="s">
        <v>205</v>
      </c>
      <c r="B4984" s="28" t="s">
        <v>206</v>
      </c>
      <c r="C4984" s="28" t="s">
        <v>202</v>
      </c>
      <c r="D4984" s="23" t="n">
        <v>15</v>
      </c>
      <c r="E4984" s="23" t="n">
        <v>5</v>
      </c>
      <c r="F4984" s="28" t="s">
        <v>914</v>
      </c>
      <c r="G4984" s="19" t="n">
        <v>0.0541</v>
      </c>
    </row>
    <row r="4985" customFormat="false" ht="15" hidden="false" customHeight="false" outlineLevel="0" collapsed="false">
      <c r="A4985" s="28" t="s">
        <v>205</v>
      </c>
      <c r="B4985" s="28" t="s">
        <v>206</v>
      </c>
      <c r="C4985" s="28" t="s">
        <v>202</v>
      </c>
      <c r="D4985" s="23" t="n">
        <v>15</v>
      </c>
      <c r="E4985" s="23" t="n">
        <v>5</v>
      </c>
      <c r="F4985" s="28" t="s">
        <v>915</v>
      </c>
      <c r="G4985" s="19" t="n">
        <v>0.0699</v>
      </c>
    </row>
    <row r="4986" customFormat="false" ht="15" hidden="false" customHeight="false" outlineLevel="0" collapsed="false">
      <c r="A4986" s="28" t="s">
        <v>205</v>
      </c>
      <c r="B4986" s="28" t="s">
        <v>206</v>
      </c>
      <c r="C4986" s="28" t="s">
        <v>202</v>
      </c>
      <c r="D4986" s="23" t="n">
        <v>15</v>
      </c>
      <c r="E4986" s="23" t="n">
        <v>6</v>
      </c>
      <c r="F4986" s="28" t="s">
        <v>904</v>
      </c>
      <c r="G4986" s="19" t="n">
        <v>0.0563</v>
      </c>
    </row>
    <row r="4987" customFormat="false" ht="15" hidden="false" customHeight="false" outlineLevel="0" collapsed="false">
      <c r="A4987" s="28" t="s">
        <v>205</v>
      </c>
      <c r="B4987" s="28" t="s">
        <v>206</v>
      </c>
      <c r="C4987" s="28" t="s">
        <v>202</v>
      </c>
      <c r="D4987" s="23" t="n">
        <v>15</v>
      </c>
      <c r="E4987" s="23" t="n">
        <v>6</v>
      </c>
      <c r="F4987" s="28" t="s">
        <v>551</v>
      </c>
      <c r="G4987" s="19" t="n">
        <v>0.0875</v>
      </c>
    </row>
    <row r="4988" customFormat="false" ht="15" hidden="false" customHeight="false" outlineLevel="0" collapsed="false">
      <c r="A4988" s="28" t="s">
        <v>205</v>
      </c>
      <c r="B4988" s="28" t="s">
        <v>206</v>
      </c>
      <c r="C4988" s="28" t="s">
        <v>202</v>
      </c>
      <c r="D4988" s="23" t="n">
        <v>15</v>
      </c>
      <c r="E4988" s="23" t="n">
        <v>6</v>
      </c>
      <c r="F4988" s="28" t="s">
        <v>451</v>
      </c>
      <c r="G4988" s="19" t="n">
        <v>0.0561</v>
      </c>
    </row>
    <row r="4989" customFormat="false" ht="15" hidden="false" customHeight="false" outlineLevel="0" collapsed="false">
      <c r="A4989" s="28" t="s">
        <v>205</v>
      </c>
      <c r="B4989" s="28" t="s">
        <v>206</v>
      </c>
      <c r="C4989" s="28" t="s">
        <v>202</v>
      </c>
      <c r="D4989" s="23" t="n">
        <v>15</v>
      </c>
      <c r="E4989" s="23" t="n">
        <v>6</v>
      </c>
      <c r="F4989" s="28" t="s">
        <v>905</v>
      </c>
      <c r="G4989" s="19" t="n">
        <v>0.0587</v>
      </c>
    </row>
    <row r="4990" customFormat="false" ht="15" hidden="false" customHeight="false" outlineLevel="0" collapsed="false">
      <c r="A4990" s="28" t="s">
        <v>205</v>
      </c>
      <c r="B4990" s="28" t="s">
        <v>206</v>
      </c>
      <c r="C4990" s="28" t="s">
        <v>202</v>
      </c>
      <c r="D4990" s="23" t="n">
        <v>15</v>
      </c>
      <c r="E4990" s="23" t="n">
        <v>6</v>
      </c>
      <c r="F4990" s="28" t="s">
        <v>906</v>
      </c>
      <c r="G4990" s="19" t="n">
        <v>0.0601</v>
      </c>
    </row>
    <row r="4991" customFormat="false" ht="15" hidden="false" customHeight="false" outlineLevel="0" collapsed="false">
      <c r="A4991" s="28" t="s">
        <v>205</v>
      </c>
      <c r="B4991" s="28" t="s">
        <v>206</v>
      </c>
      <c r="C4991" s="28" t="s">
        <v>202</v>
      </c>
      <c r="D4991" s="23" t="n">
        <v>15</v>
      </c>
      <c r="E4991" s="23" t="n">
        <v>6</v>
      </c>
      <c r="F4991" s="28" t="s">
        <v>907</v>
      </c>
      <c r="G4991" s="19" t="n">
        <v>0.0598</v>
      </c>
    </row>
    <row r="4992" customFormat="false" ht="15" hidden="false" customHeight="false" outlineLevel="0" collapsed="false">
      <c r="A4992" s="28" t="s">
        <v>205</v>
      </c>
      <c r="B4992" s="28" t="s">
        <v>206</v>
      </c>
      <c r="C4992" s="28" t="s">
        <v>202</v>
      </c>
      <c r="D4992" s="23" t="n">
        <v>15</v>
      </c>
      <c r="E4992" s="23" t="n">
        <v>6</v>
      </c>
      <c r="F4992" s="28" t="s">
        <v>908</v>
      </c>
      <c r="G4992" s="19" t="n">
        <v>0.059733</v>
      </c>
    </row>
    <row r="4993" customFormat="false" ht="15" hidden="false" customHeight="false" outlineLevel="0" collapsed="false">
      <c r="A4993" s="28" t="s">
        <v>205</v>
      </c>
      <c r="B4993" s="28" t="s">
        <v>206</v>
      </c>
      <c r="C4993" s="28" t="s">
        <v>202</v>
      </c>
      <c r="D4993" s="23" t="n">
        <v>15</v>
      </c>
      <c r="E4993" s="23" t="n">
        <v>6</v>
      </c>
      <c r="F4993" s="28" t="s">
        <v>909</v>
      </c>
      <c r="G4993" s="19" t="n">
        <v>0.058167</v>
      </c>
    </row>
    <row r="4994" customFormat="false" ht="15" hidden="false" customHeight="false" outlineLevel="0" collapsed="false">
      <c r="A4994" s="28" t="s">
        <v>205</v>
      </c>
      <c r="B4994" s="28" t="s">
        <v>206</v>
      </c>
      <c r="C4994" s="28" t="s">
        <v>202</v>
      </c>
      <c r="D4994" s="23" t="n">
        <v>15</v>
      </c>
      <c r="E4994" s="23" t="n">
        <v>6</v>
      </c>
      <c r="F4994" s="28" t="s">
        <v>910</v>
      </c>
      <c r="G4994" s="19" t="n">
        <v>0.055233</v>
      </c>
    </row>
    <row r="4995" customFormat="false" ht="15" hidden="false" customHeight="false" outlineLevel="0" collapsed="false">
      <c r="A4995" s="28" t="s">
        <v>205</v>
      </c>
      <c r="B4995" s="28" t="s">
        <v>206</v>
      </c>
      <c r="C4995" s="28" t="s">
        <v>202</v>
      </c>
      <c r="D4995" s="23" t="n">
        <v>15</v>
      </c>
      <c r="E4995" s="23" t="n">
        <v>6</v>
      </c>
      <c r="F4995" s="28" t="s">
        <v>911</v>
      </c>
      <c r="G4995" s="19" t="n">
        <v>0.053</v>
      </c>
    </row>
    <row r="4996" customFormat="false" ht="15" hidden="false" customHeight="false" outlineLevel="0" collapsed="false">
      <c r="A4996" s="28" t="s">
        <v>205</v>
      </c>
      <c r="B4996" s="28" t="s">
        <v>206</v>
      </c>
      <c r="C4996" s="28" t="s">
        <v>202</v>
      </c>
      <c r="D4996" s="23" t="n">
        <v>15</v>
      </c>
      <c r="E4996" s="23" t="n">
        <v>6</v>
      </c>
      <c r="F4996" s="28" t="s">
        <v>912</v>
      </c>
      <c r="G4996" s="19" t="n">
        <v>0.0494</v>
      </c>
    </row>
    <row r="4997" customFormat="false" ht="15" hidden="false" customHeight="false" outlineLevel="0" collapsed="false">
      <c r="A4997" s="28" t="s">
        <v>205</v>
      </c>
      <c r="B4997" s="28" t="s">
        <v>206</v>
      </c>
      <c r="C4997" s="28" t="s">
        <v>202</v>
      </c>
      <c r="D4997" s="23" t="n">
        <v>15</v>
      </c>
      <c r="E4997" s="23" t="n">
        <v>6</v>
      </c>
      <c r="F4997" s="28" t="s">
        <v>913</v>
      </c>
      <c r="G4997" s="19" t="n">
        <v>0.0543</v>
      </c>
    </row>
    <row r="4998" customFormat="false" ht="15" hidden="false" customHeight="false" outlineLevel="0" collapsed="false">
      <c r="A4998" s="28" t="s">
        <v>205</v>
      </c>
      <c r="B4998" s="28" t="s">
        <v>206</v>
      </c>
      <c r="C4998" s="28" t="s">
        <v>202</v>
      </c>
      <c r="D4998" s="23" t="n">
        <v>15</v>
      </c>
      <c r="E4998" s="23" t="n">
        <v>6</v>
      </c>
      <c r="F4998" s="28" t="s">
        <v>914</v>
      </c>
      <c r="G4998" s="19" t="n">
        <v>0.0541</v>
      </c>
    </row>
    <row r="4999" customFormat="false" ht="15" hidden="false" customHeight="false" outlineLevel="0" collapsed="false">
      <c r="A4999" s="28" t="s">
        <v>205</v>
      </c>
      <c r="B4999" s="28" t="s">
        <v>206</v>
      </c>
      <c r="C4999" s="28" t="s">
        <v>202</v>
      </c>
      <c r="D4999" s="23" t="n">
        <v>15</v>
      </c>
      <c r="E4999" s="23" t="n">
        <v>6</v>
      </c>
      <c r="F4999" s="28" t="s">
        <v>915</v>
      </c>
      <c r="G4999" s="19" t="n">
        <v>0.0699</v>
      </c>
    </row>
    <row r="5000" customFormat="false" ht="15" hidden="false" customHeight="false" outlineLevel="0" collapsed="false">
      <c r="A5000" s="28" t="s">
        <v>205</v>
      </c>
      <c r="B5000" s="28" t="s">
        <v>206</v>
      </c>
      <c r="C5000" s="28" t="s">
        <v>202</v>
      </c>
      <c r="D5000" s="23" t="n">
        <v>15</v>
      </c>
      <c r="E5000" s="23" t="n">
        <v>7</v>
      </c>
      <c r="F5000" s="28" t="s">
        <v>904</v>
      </c>
      <c r="G5000" s="19" t="n">
        <v>0.0563</v>
      </c>
    </row>
    <row r="5001" customFormat="false" ht="15" hidden="false" customHeight="false" outlineLevel="0" collapsed="false">
      <c r="A5001" s="28" t="s">
        <v>205</v>
      </c>
      <c r="B5001" s="28" t="s">
        <v>206</v>
      </c>
      <c r="C5001" s="28" t="s">
        <v>202</v>
      </c>
      <c r="D5001" s="23" t="n">
        <v>15</v>
      </c>
      <c r="E5001" s="23" t="n">
        <v>7</v>
      </c>
      <c r="F5001" s="28" t="s">
        <v>551</v>
      </c>
      <c r="G5001" s="19" t="n">
        <v>0.0875</v>
      </c>
    </row>
    <row r="5002" customFormat="false" ht="15" hidden="false" customHeight="false" outlineLevel="0" collapsed="false">
      <c r="A5002" s="28" t="s">
        <v>205</v>
      </c>
      <c r="B5002" s="28" t="s">
        <v>206</v>
      </c>
      <c r="C5002" s="28" t="s">
        <v>202</v>
      </c>
      <c r="D5002" s="23" t="n">
        <v>15</v>
      </c>
      <c r="E5002" s="23" t="n">
        <v>7</v>
      </c>
      <c r="F5002" s="28" t="s">
        <v>451</v>
      </c>
      <c r="G5002" s="19" t="n">
        <v>0.0561</v>
      </c>
    </row>
    <row r="5003" customFormat="false" ht="15" hidden="false" customHeight="false" outlineLevel="0" collapsed="false">
      <c r="A5003" s="28" t="s">
        <v>205</v>
      </c>
      <c r="B5003" s="28" t="s">
        <v>206</v>
      </c>
      <c r="C5003" s="28" t="s">
        <v>202</v>
      </c>
      <c r="D5003" s="23" t="n">
        <v>15</v>
      </c>
      <c r="E5003" s="23" t="n">
        <v>7</v>
      </c>
      <c r="F5003" s="28" t="s">
        <v>905</v>
      </c>
      <c r="G5003" s="19" t="n">
        <v>0.0587</v>
      </c>
    </row>
    <row r="5004" customFormat="false" ht="15" hidden="false" customHeight="false" outlineLevel="0" collapsed="false">
      <c r="A5004" s="28" t="s">
        <v>205</v>
      </c>
      <c r="B5004" s="28" t="s">
        <v>206</v>
      </c>
      <c r="C5004" s="28" t="s">
        <v>202</v>
      </c>
      <c r="D5004" s="23" t="n">
        <v>15</v>
      </c>
      <c r="E5004" s="23" t="n">
        <v>7</v>
      </c>
      <c r="F5004" s="28" t="s">
        <v>906</v>
      </c>
      <c r="G5004" s="19" t="n">
        <v>0.0601</v>
      </c>
    </row>
    <row r="5005" customFormat="false" ht="15" hidden="false" customHeight="false" outlineLevel="0" collapsed="false">
      <c r="A5005" s="28" t="s">
        <v>205</v>
      </c>
      <c r="B5005" s="28" t="s">
        <v>206</v>
      </c>
      <c r="C5005" s="28" t="s">
        <v>202</v>
      </c>
      <c r="D5005" s="23" t="n">
        <v>15</v>
      </c>
      <c r="E5005" s="23" t="n">
        <v>7</v>
      </c>
      <c r="F5005" s="28" t="s">
        <v>907</v>
      </c>
      <c r="G5005" s="19" t="n">
        <v>0.0598</v>
      </c>
    </row>
    <row r="5006" customFormat="false" ht="15" hidden="false" customHeight="false" outlineLevel="0" collapsed="false">
      <c r="A5006" s="28" t="s">
        <v>205</v>
      </c>
      <c r="B5006" s="28" t="s">
        <v>206</v>
      </c>
      <c r="C5006" s="28" t="s">
        <v>202</v>
      </c>
      <c r="D5006" s="23" t="n">
        <v>15</v>
      </c>
      <c r="E5006" s="23" t="n">
        <v>7</v>
      </c>
      <c r="F5006" s="28" t="s">
        <v>908</v>
      </c>
      <c r="G5006" s="19" t="n">
        <v>0.059733</v>
      </c>
    </row>
    <row r="5007" customFormat="false" ht="15" hidden="false" customHeight="false" outlineLevel="0" collapsed="false">
      <c r="A5007" s="28" t="s">
        <v>205</v>
      </c>
      <c r="B5007" s="28" t="s">
        <v>206</v>
      </c>
      <c r="C5007" s="28" t="s">
        <v>202</v>
      </c>
      <c r="D5007" s="23" t="n">
        <v>15</v>
      </c>
      <c r="E5007" s="23" t="n">
        <v>7</v>
      </c>
      <c r="F5007" s="28" t="s">
        <v>909</v>
      </c>
      <c r="G5007" s="19" t="n">
        <v>0.058167</v>
      </c>
    </row>
    <row r="5008" customFormat="false" ht="15" hidden="false" customHeight="false" outlineLevel="0" collapsed="false">
      <c r="A5008" s="28" t="s">
        <v>205</v>
      </c>
      <c r="B5008" s="28" t="s">
        <v>206</v>
      </c>
      <c r="C5008" s="28" t="s">
        <v>202</v>
      </c>
      <c r="D5008" s="23" t="n">
        <v>15</v>
      </c>
      <c r="E5008" s="23" t="n">
        <v>7</v>
      </c>
      <c r="F5008" s="28" t="s">
        <v>910</v>
      </c>
      <c r="G5008" s="19" t="n">
        <v>0.055233</v>
      </c>
    </row>
    <row r="5009" customFormat="false" ht="15" hidden="false" customHeight="false" outlineLevel="0" collapsed="false">
      <c r="A5009" s="28" t="s">
        <v>205</v>
      </c>
      <c r="B5009" s="28" t="s">
        <v>206</v>
      </c>
      <c r="C5009" s="28" t="s">
        <v>202</v>
      </c>
      <c r="D5009" s="23" t="n">
        <v>15</v>
      </c>
      <c r="E5009" s="23" t="n">
        <v>7</v>
      </c>
      <c r="F5009" s="28" t="s">
        <v>911</v>
      </c>
      <c r="G5009" s="19" t="n">
        <v>0.053</v>
      </c>
    </row>
    <row r="5010" customFormat="false" ht="15" hidden="false" customHeight="false" outlineLevel="0" collapsed="false">
      <c r="A5010" s="28" t="s">
        <v>205</v>
      </c>
      <c r="B5010" s="28" t="s">
        <v>206</v>
      </c>
      <c r="C5010" s="28" t="s">
        <v>202</v>
      </c>
      <c r="D5010" s="23" t="n">
        <v>15</v>
      </c>
      <c r="E5010" s="23" t="n">
        <v>7</v>
      </c>
      <c r="F5010" s="28" t="s">
        <v>912</v>
      </c>
      <c r="G5010" s="19" t="n">
        <v>0.0494</v>
      </c>
    </row>
    <row r="5011" customFormat="false" ht="15" hidden="false" customHeight="false" outlineLevel="0" collapsed="false">
      <c r="A5011" s="28" t="s">
        <v>205</v>
      </c>
      <c r="B5011" s="28" t="s">
        <v>206</v>
      </c>
      <c r="C5011" s="28" t="s">
        <v>202</v>
      </c>
      <c r="D5011" s="23" t="n">
        <v>15</v>
      </c>
      <c r="E5011" s="23" t="n">
        <v>7</v>
      </c>
      <c r="F5011" s="28" t="s">
        <v>913</v>
      </c>
      <c r="G5011" s="19" t="n">
        <v>0.0543</v>
      </c>
    </row>
    <row r="5012" customFormat="false" ht="15" hidden="false" customHeight="false" outlineLevel="0" collapsed="false">
      <c r="A5012" s="28" t="s">
        <v>205</v>
      </c>
      <c r="B5012" s="28" t="s">
        <v>206</v>
      </c>
      <c r="C5012" s="28" t="s">
        <v>202</v>
      </c>
      <c r="D5012" s="23" t="n">
        <v>15</v>
      </c>
      <c r="E5012" s="23" t="n">
        <v>7</v>
      </c>
      <c r="F5012" s="28" t="s">
        <v>914</v>
      </c>
      <c r="G5012" s="19" t="n">
        <v>0.0541</v>
      </c>
    </row>
    <row r="5013" customFormat="false" ht="15" hidden="false" customHeight="false" outlineLevel="0" collapsed="false">
      <c r="A5013" s="28" t="s">
        <v>205</v>
      </c>
      <c r="B5013" s="28" t="s">
        <v>206</v>
      </c>
      <c r="C5013" s="28" t="s">
        <v>202</v>
      </c>
      <c r="D5013" s="23" t="n">
        <v>15</v>
      </c>
      <c r="E5013" s="23" t="n">
        <v>7</v>
      </c>
      <c r="F5013" s="28" t="s">
        <v>915</v>
      </c>
      <c r="G5013" s="19" t="n">
        <v>0.0699</v>
      </c>
    </row>
    <row r="5014" customFormat="false" ht="15" hidden="false" customHeight="false" outlineLevel="0" collapsed="false">
      <c r="A5014" s="28" t="s">
        <v>205</v>
      </c>
      <c r="B5014" s="28" t="s">
        <v>206</v>
      </c>
      <c r="C5014" s="28" t="s">
        <v>202</v>
      </c>
      <c r="D5014" s="23" t="n">
        <v>15</v>
      </c>
      <c r="E5014" s="23" t="n">
        <v>8</v>
      </c>
      <c r="F5014" s="28" t="s">
        <v>904</v>
      </c>
      <c r="G5014" s="19" t="n">
        <v>0.0563</v>
      </c>
    </row>
    <row r="5015" customFormat="false" ht="15" hidden="false" customHeight="false" outlineLevel="0" collapsed="false">
      <c r="A5015" s="28" t="s">
        <v>205</v>
      </c>
      <c r="B5015" s="28" t="s">
        <v>206</v>
      </c>
      <c r="C5015" s="28" t="s">
        <v>202</v>
      </c>
      <c r="D5015" s="23" t="n">
        <v>15</v>
      </c>
      <c r="E5015" s="23" t="n">
        <v>8</v>
      </c>
      <c r="F5015" s="28" t="s">
        <v>551</v>
      </c>
      <c r="G5015" s="19" t="n">
        <v>0.0875</v>
      </c>
    </row>
    <row r="5016" customFormat="false" ht="15" hidden="false" customHeight="false" outlineLevel="0" collapsed="false">
      <c r="A5016" s="28" t="s">
        <v>205</v>
      </c>
      <c r="B5016" s="28" t="s">
        <v>206</v>
      </c>
      <c r="C5016" s="28" t="s">
        <v>202</v>
      </c>
      <c r="D5016" s="23" t="n">
        <v>15</v>
      </c>
      <c r="E5016" s="23" t="n">
        <v>8</v>
      </c>
      <c r="F5016" s="28" t="s">
        <v>451</v>
      </c>
      <c r="G5016" s="19" t="n">
        <v>0.0561</v>
      </c>
    </row>
    <row r="5017" customFormat="false" ht="15" hidden="false" customHeight="false" outlineLevel="0" collapsed="false">
      <c r="A5017" s="28" t="s">
        <v>205</v>
      </c>
      <c r="B5017" s="28" t="s">
        <v>206</v>
      </c>
      <c r="C5017" s="28" t="s">
        <v>202</v>
      </c>
      <c r="D5017" s="23" t="n">
        <v>15</v>
      </c>
      <c r="E5017" s="23" t="n">
        <v>8</v>
      </c>
      <c r="F5017" s="28" t="s">
        <v>905</v>
      </c>
      <c r="G5017" s="19" t="n">
        <v>0.0587</v>
      </c>
    </row>
    <row r="5018" customFormat="false" ht="15" hidden="false" customHeight="false" outlineLevel="0" collapsed="false">
      <c r="A5018" s="28" t="s">
        <v>205</v>
      </c>
      <c r="B5018" s="28" t="s">
        <v>206</v>
      </c>
      <c r="C5018" s="28" t="s">
        <v>202</v>
      </c>
      <c r="D5018" s="23" t="n">
        <v>15</v>
      </c>
      <c r="E5018" s="23" t="n">
        <v>8</v>
      </c>
      <c r="F5018" s="28" t="s">
        <v>906</v>
      </c>
      <c r="G5018" s="19" t="n">
        <v>0.0601</v>
      </c>
    </row>
    <row r="5019" customFormat="false" ht="15" hidden="false" customHeight="false" outlineLevel="0" collapsed="false">
      <c r="A5019" s="28" t="s">
        <v>205</v>
      </c>
      <c r="B5019" s="28" t="s">
        <v>206</v>
      </c>
      <c r="C5019" s="28" t="s">
        <v>202</v>
      </c>
      <c r="D5019" s="23" t="n">
        <v>15</v>
      </c>
      <c r="E5019" s="23" t="n">
        <v>8</v>
      </c>
      <c r="F5019" s="28" t="s">
        <v>907</v>
      </c>
      <c r="G5019" s="19" t="n">
        <v>0.0598</v>
      </c>
    </row>
    <row r="5020" customFormat="false" ht="15" hidden="false" customHeight="false" outlineLevel="0" collapsed="false">
      <c r="A5020" s="28" t="s">
        <v>205</v>
      </c>
      <c r="B5020" s="28" t="s">
        <v>206</v>
      </c>
      <c r="C5020" s="28" t="s">
        <v>202</v>
      </c>
      <c r="D5020" s="23" t="n">
        <v>15</v>
      </c>
      <c r="E5020" s="23" t="n">
        <v>8</v>
      </c>
      <c r="F5020" s="28" t="s">
        <v>908</v>
      </c>
      <c r="G5020" s="19" t="n">
        <v>0.059733</v>
      </c>
    </row>
    <row r="5021" customFormat="false" ht="15" hidden="false" customHeight="false" outlineLevel="0" collapsed="false">
      <c r="A5021" s="28" t="s">
        <v>205</v>
      </c>
      <c r="B5021" s="28" t="s">
        <v>206</v>
      </c>
      <c r="C5021" s="28" t="s">
        <v>202</v>
      </c>
      <c r="D5021" s="23" t="n">
        <v>15</v>
      </c>
      <c r="E5021" s="23" t="n">
        <v>8</v>
      </c>
      <c r="F5021" s="28" t="s">
        <v>909</v>
      </c>
      <c r="G5021" s="19" t="n">
        <v>0.058167</v>
      </c>
    </row>
    <row r="5022" customFormat="false" ht="15" hidden="false" customHeight="false" outlineLevel="0" collapsed="false">
      <c r="A5022" s="28" t="s">
        <v>205</v>
      </c>
      <c r="B5022" s="28" t="s">
        <v>206</v>
      </c>
      <c r="C5022" s="28" t="s">
        <v>202</v>
      </c>
      <c r="D5022" s="23" t="n">
        <v>15</v>
      </c>
      <c r="E5022" s="23" t="n">
        <v>8</v>
      </c>
      <c r="F5022" s="28" t="s">
        <v>910</v>
      </c>
      <c r="G5022" s="19" t="n">
        <v>0.055233</v>
      </c>
    </row>
    <row r="5023" customFormat="false" ht="15" hidden="false" customHeight="false" outlineLevel="0" collapsed="false">
      <c r="A5023" s="28" t="s">
        <v>205</v>
      </c>
      <c r="B5023" s="28" t="s">
        <v>206</v>
      </c>
      <c r="C5023" s="28" t="s">
        <v>202</v>
      </c>
      <c r="D5023" s="23" t="n">
        <v>15</v>
      </c>
      <c r="E5023" s="23" t="n">
        <v>8</v>
      </c>
      <c r="F5023" s="28" t="s">
        <v>911</v>
      </c>
      <c r="G5023" s="19" t="n">
        <v>0.053</v>
      </c>
    </row>
    <row r="5024" customFormat="false" ht="15" hidden="false" customHeight="false" outlineLevel="0" collapsed="false">
      <c r="A5024" s="28" t="s">
        <v>205</v>
      </c>
      <c r="B5024" s="28" t="s">
        <v>206</v>
      </c>
      <c r="C5024" s="28" t="s">
        <v>202</v>
      </c>
      <c r="D5024" s="23" t="n">
        <v>15</v>
      </c>
      <c r="E5024" s="23" t="n">
        <v>8</v>
      </c>
      <c r="F5024" s="28" t="s">
        <v>912</v>
      </c>
      <c r="G5024" s="19" t="n">
        <v>0.0494</v>
      </c>
    </row>
    <row r="5025" customFormat="false" ht="15" hidden="false" customHeight="false" outlineLevel="0" collapsed="false">
      <c r="A5025" s="28" t="s">
        <v>205</v>
      </c>
      <c r="B5025" s="28" t="s">
        <v>206</v>
      </c>
      <c r="C5025" s="28" t="s">
        <v>202</v>
      </c>
      <c r="D5025" s="23" t="n">
        <v>15</v>
      </c>
      <c r="E5025" s="23" t="n">
        <v>8</v>
      </c>
      <c r="F5025" s="28" t="s">
        <v>913</v>
      </c>
      <c r="G5025" s="19" t="n">
        <v>0.0543</v>
      </c>
    </row>
    <row r="5026" customFormat="false" ht="15" hidden="false" customHeight="false" outlineLevel="0" collapsed="false">
      <c r="A5026" s="28" t="s">
        <v>205</v>
      </c>
      <c r="B5026" s="28" t="s">
        <v>206</v>
      </c>
      <c r="C5026" s="28" t="s">
        <v>202</v>
      </c>
      <c r="D5026" s="23" t="n">
        <v>15</v>
      </c>
      <c r="E5026" s="23" t="n">
        <v>8</v>
      </c>
      <c r="F5026" s="28" t="s">
        <v>914</v>
      </c>
      <c r="G5026" s="19" t="n">
        <v>0.0541</v>
      </c>
    </row>
    <row r="5027" customFormat="false" ht="15" hidden="false" customHeight="false" outlineLevel="0" collapsed="false">
      <c r="A5027" s="28" t="s">
        <v>205</v>
      </c>
      <c r="B5027" s="28" t="s">
        <v>206</v>
      </c>
      <c r="C5027" s="28" t="s">
        <v>202</v>
      </c>
      <c r="D5027" s="23" t="n">
        <v>15</v>
      </c>
      <c r="E5027" s="23" t="n">
        <v>8</v>
      </c>
      <c r="F5027" s="28" t="s">
        <v>915</v>
      </c>
      <c r="G5027" s="19" t="n">
        <v>0.0699</v>
      </c>
    </row>
    <row r="5028" customFormat="false" ht="15" hidden="false" customHeight="false" outlineLevel="0" collapsed="false">
      <c r="A5028" s="28" t="s">
        <v>205</v>
      </c>
      <c r="B5028" s="28" t="s">
        <v>206</v>
      </c>
      <c r="C5028" s="28" t="s">
        <v>202</v>
      </c>
      <c r="D5028" s="23" t="n">
        <v>15</v>
      </c>
      <c r="E5028" s="23" t="n">
        <v>9</v>
      </c>
      <c r="F5028" s="28" t="s">
        <v>904</v>
      </c>
      <c r="G5028" s="19" t="n">
        <v>0.0563</v>
      </c>
    </row>
    <row r="5029" customFormat="false" ht="15" hidden="false" customHeight="false" outlineLevel="0" collapsed="false">
      <c r="A5029" s="28" t="s">
        <v>205</v>
      </c>
      <c r="B5029" s="28" t="s">
        <v>206</v>
      </c>
      <c r="C5029" s="28" t="s">
        <v>202</v>
      </c>
      <c r="D5029" s="23" t="n">
        <v>15</v>
      </c>
      <c r="E5029" s="23" t="n">
        <v>9</v>
      </c>
      <c r="F5029" s="28" t="s">
        <v>551</v>
      </c>
      <c r="G5029" s="19" t="n">
        <v>0.0875</v>
      </c>
    </row>
    <row r="5030" customFormat="false" ht="15" hidden="false" customHeight="false" outlineLevel="0" collapsed="false">
      <c r="A5030" s="28" t="s">
        <v>205</v>
      </c>
      <c r="B5030" s="28" t="s">
        <v>206</v>
      </c>
      <c r="C5030" s="28" t="s">
        <v>202</v>
      </c>
      <c r="D5030" s="23" t="n">
        <v>15</v>
      </c>
      <c r="E5030" s="23" t="n">
        <v>9</v>
      </c>
      <c r="F5030" s="28" t="s">
        <v>451</v>
      </c>
      <c r="G5030" s="19" t="n">
        <v>0.0561</v>
      </c>
    </row>
    <row r="5031" customFormat="false" ht="15" hidden="false" customHeight="false" outlineLevel="0" collapsed="false">
      <c r="A5031" s="28" t="s">
        <v>205</v>
      </c>
      <c r="B5031" s="28" t="s">
        <v>206</v>
      </c>
      <c r="C5031" s="28" t="s">
        <v>202</v>
      </c>
      <c r="D5031" s="23" t="n">
        <v>15</v>
      </c>
      <c r="E5031" s="23" t="n">
        <v>9</v>
      </c>
      <c r="F5031" s="28" t="s">
        <v>905</v>
      </c>
      <c r="G5031" s="19" t="n">
        <v>0.0587</v>
      </c>
    </row>
    <row r="5032" customFormat="false" ht="15" hidden="false" customHeight="false" outlineLevel="0" collapsed="false">
      <c r="A5032" s="28" t="s">
        <v>205</v>
      </c>
      <c r="B5032" s="28" t="s">
        <v>206</v>
      </c>
      <c r="C5032" s="28" t="s">
        <v>202</v>
      </c>
      <c r="D5032" s="23" t="n">
        <v>15</v>
      </c>
      <c r="E5032" s="23" t="n">
        <v>9</v>
      </c>
      <c r="F5032" s="28" t="s">
        <v>906</v>
      </c>
      <c r="G5032" s="19" t="n">
        <v>0.0601</v>
      </c>
    </row>
    <row r="5033" customFormat="false" ht="15" hidden="false" customHeight="false" outlineLevel="0" collapsed="false">
      <c r="A5033" s="28" t="s">
        <v>205</v>
      </c>
      <c r="B5033" s="28" t="s">
        <v>206</v>
      </c>
      <c r="C5033" s="28" t="s">
        <v>202</v>
      </c>
      <c r="D5033" s="23" t="n">
        <v>15</v>
      </c>
      <c r="E5033" s="23" t="n">
        <v>9</v>
      </c>
      <c r="F5033" s="28" t="s">
        <v>907</v>
      </c>
      <c r="G5033" s="19" t="n">
        <v>0.0598</v>
      </c>
    </row>
    <row r="5034" customFormat="false" ht="15" hidden="false" customHeight="false" outlineLevel="0" collapsed="false">
      <c r="A5034" s="28" t="s">
        <v>205</v>
      </c>
      <c r="B5034" s="28" t="s">
        <v>206</v>
      </c>
      <c r="C5034" s="28" t="s">
        <v>202</v>
      </c>
      <c r="D5034" s="23" t="n">
        <v>15</v>
      </c>
      <c r="E5034" s="23" t="n">
        <v>9</v>
      </c>
      <c r="F5034" s="28" t="s">
        <v>908</v>
      </c>
      <c r="G5034" s="19" t="n">
        <v>0.059733</v>
      </c>
    </row>
    <row r="5035" customFormat="false" ht="15" hidden="false" customHeight="false" outlineLevel="0" collapsed="false">
      <c r="A5035" s="28" t="s">
        <v>205</v>
      </c>
      <c r="B5035" s="28" t="s">
        <v>206</v>
      </c>
      <c r="C5035" s="28" t="s">
        <v>202</v>
      </c>
      <c r="D5035" s="23" t="n">
        <v>15</v>
      </c>
      <c r="E5035" s="23" t="n">
        <v>9</v>
      </c>
      <c r="F5035" s="28" t="s">
        <v>909</v>
      </c>
      <c r="G5035" s="19" t="n">
        <v>0.058167</v>
      </c>
    </row>
    <row r="5036" customFormat="false" ht="15" hidden="false" customHeight="false" outlineLevel="0" collapsed="false">
      <c r="A5036" s="28" t="s">
        <v>205</v>
      </c>
      <c r="B5036" s="28" t="s">
        <v>206</v>
      </c>
      <c r="C5036" s="28" t="s">
        <v>202</v>
      </c>
      <c r="D5036" s="23" t="n">
        <v>15</v>
      </c>
      <c r="E5036" s="23" t="n">
        <v>9</v>
      </c>
      <c r="F5036" s="28" t="s">
        <v>910</v>
      </c>
      <c r="G5036" s="19" t="n">
        <v>0.055233</v>
      </c>
    </row>
    <row r="5037" customFormat="false" ht="15" hidden="false" customHeight="false" outlineLevel="0" collapsed="false">
      <c r="A5037" s="28" t="s">
        <v>205</v>
      </c>
      <c r="B5037" s="28" t="s">
        <v>206</v>
      </c>
      <c r="C5037" s="28" t="s">
        <v>202</v>
      </c>
      <c r="D5037" s="23" t="n">
        <v>15</v>
      </c>
      <c r="E5037" s="23" t="n">
        <v>9</v>
      </c>
      <c r="F5037" s="28" t="s">
        <v>911</v>
      </c>
      <c r="G5037" s="19" t="n">
        <v>0.053</v>
      </c>
    </row>
    <row r="5038" customFormat="false" ht="15" hidden="false" customHeight="false" outlineLevel="0" collapsed="false">
      <c r="A5038" s="28" t="s">
        <v>205</v>
      </c>
      <c r="B5038" s="28" t="s">
        <v>206</v>
      </c>
      <c r="C5038" s="28" t="s">
        <v>202</v>
      </c>
      <c r="D5038" s="23" t="n">
        <v>15</v>
      </c>
      <c r="E5038" s="23" t="n">
        <v>9</v>
      </c>
      <c r="F5038" s="28" t="s">
        <v>912</v>
      </c>
      <c r="G5038" s="19" t="n">
        <v>0.0494</v>
      </c>
    </row>
    <row r="5039" customFormat="false" ht="15" hidden="false" customHeight="false" outlineLevel="0" collapsed="false">
      <c r="A5039" s="28" t="s">
        <v>205</v>
      </c>
      <c r="B5039" s="28" t="s">
        <v>206</v>
      </c>
      <c r="C5039" s="28" t="s">
        <v>202</v>
      </c>
      <c r="D5039" s="23" t="n">
        <v>15</v>
      </c>
      <c r="E5039" s="23" t="n">
        <v>9</v>
      </c>
      <c r="F5039" s="28" t="s">
        <v>913</v>
      </c>
      <c r="G5039" s="19" t="n">
        <v>0.0543</v>
      </c>
    </row>
    <row r="5040" customFormat="false" ht="15" hidden="false" customHeight="false" outlineLevel="0" collapsed="false">
      <c r="A5040" s="28" t="s">
        <v>205</v>
      </c>
      <c r="B5040" s="28" t="s">
        <v>206</v>
      </c>
      <c r="C5040" s="28" t="s">
        <v>202</v>
      </c>
      <c r="D5040" s="23" t="n">
        <v>15</v>
      </c>
      <c r="E5040" s="23" t="n">
        <v>9</v>
      </c>
      <c r="F5040" s="28" t="s">
        <v>914</v>
      </c>
      <c r="G5040" s="19" t="n">
        <v>0.0541</v>
      </c>
    </row>
    <row r="5041" customFormat="false" ht="15" hidden="false" customHeight="false" outlineLevel="0" collapsed="false">
      <c r="A5041" s="28" t="s">
        <v>205</v>
      </c>
      <c r="B5041" s="28" t="s">
        <v>206</v>
      </c>
      <c r="C5041" s="28" t="s">
        <v>202</v>
      </c>
      <c r="D5041" s="23" t="n">
        <v>15</v>
      </c>
      <c r="E5041" s="23" t="n">
        <v>9</v>
      </c>
      <c r="F5041" s="28" t="s">
        <v>915</v>
      </c>
      <c r="G5041" s="19" t="n">
        <v>0.0699</v>
      </c>
    </row>
    <row r="5042" customFormat="false" ht="15" hidden="false" customHeight="false" outlineLevel="0" collapsed="false">
      <c r="A5042" s="28" t="s">
        <v>205</v>
      </c>
      <c r="B5042" s="28" t="s">
        <v>206</v>
      </c>
      <c r="C5042" s="28" t="s">
        <v>202</v>
      </c>
      <c r="D5042" s="23" t="n">
        <v>15</v>
      </c>
      <c r="E5042" s="23" t="n">
        <v>10</v>
      </c>
      <c r="F5042" s="28" t="s">
        <v>904</v>
      </c>
      <c r="G5042" s="19" t="n">
        <v>0.0563</v>
      </c>
    </row>
    <row r="5043" customFormat="false" ht="15" hidden="false" customHeight="false" outlineLevel="0" collapsed="false">
      <c r="A5043" s="28" t="s">
        <v>205</v>
      </c>
      <c r="B5043" s="28" t="s">
        <v>206</v>
      </c>
      <c r="C5043" s="28" t="s">
        <v>202</v>
      </c>
      <c r="D5043" s="23" t="n">
        <v>15</v>
      </c>
      <c r="E5043" s="23" t="n">
        <v>10</v>
      </c>
      <c r="F5043" s="28" t="s">
        <v>551</v>
      </c>
      <c r="G5043" s="19" t="n">
        <v>0.0875</v>
      </c>
    </row>
    <row r="5044" customFormat="false" ht="15" hidden="false" customHeight="false" outlineLevel="0" collapsed="false">
      <c r="A5044" s="28" t="s">
        <v>205</v>
      </c>
      <c r="B5044" s="28" t="s">
        <v>206</v>
      </c>
      <c r="C5044" s="28" t="s">
        <v>202</v>
      </c>
      <c r="D5044" s="23" t="n">
        <v>15</v>
      </c>
      <c r="E5044" s="23" t="n">
        <v>10</v>
      </c>
      <c r="F5044" s="28" t="s">
        <v>451</v>
      </c>
      <c r="G5044" s="19" t="n">
        <v>0.0561</v>
      </c>
    </row>
    <row r="5045" customFormat="false" ht="15" hidden="false" customHeight="false" outlineLevel="0" collapsed="false">
      <c r="A5045" s="28" t="s">
        <v>205</v>
      </c>
      <c r="B5045" s="28" t="s">
        <v>206</v>
      </c>
      <c r="C5045" s="28" t="s">
        <v>202</v>
      </c>
      <c r="D5045" s="23" t="n">
        <v>15</v>
      </c>
      <c r="E5045" s="23" t="n">
        <v>10</v>
      </c>
      <c r="F5045" s="28" t="s">
        <v>905</v>
      </c>
      <c r="G5045" s="19" t="n">
        <v>0.0587</v>
      </c>
    </row>
    <row r="5046" customFormat="false" ht="15" hidden="false" customHeight="false" outlineLevel="0" collapsed="false">
      <c r="A5046" s="28" t="s">
        <v>205</v>
      </c>
      <c r="B5046" s="28" t="s">
        <v>206</v>
      </c>
      <c r="C5046" s="28" t="s">
        <v>202</v>
      </c>
      <c r="D5046" s="23" t="n">
        <v>15</v>
      </c>
      <c r="E5046" s="23" t="n">
        <v>10</v>
      </c>
      <c r="F5046" s="28" t="s">
        <v>906</v>
      </c>
      <c r="G5046" s="19" t="n">
        <v>0.0601</v>
      </c>
    </row>
    <row r="5047" customFormat="false" ht="15" hidden="false" customHeight="false" outlineLevel="0" collapsed="false">
      <c r="A5047" s="28" t="s">
        <v>205</v>
      </c>
      <c r="B5047" s="28" t="s">
        <v>206</v>
      </c>
      <c r="C5047" s="28" t="s">
        <v>202</v>
      </c>
      <c r="D5047" s="23" t="n">
        <v>15</v>
      </c>
      <c r="E5047" s="23" t="n">
        <v>10</v>
      </c>
      <c r="F5047" s="28" t="s">
        <v>907</v>
      </c>
      <c r="G5047" s="19" t="n">
        <v>0.0598</v>
      </c>
    </row>
    <row r="5048" customFormat="false" ht="15" hidden="false" customHeight="false" outlineLevel="0" collapsed="false">
      <c r="A5048" s="28" t="s">
        <v>205</v>
      </c>
      <c r="B5048" s="28" t="s">
        <v>206</v>
      </c>
      <c r="C5048" s="28" t="s">
        <v>202</v>
      </c>
      <c r="D5048" s="23" t="n">
        <v>15</v>
      </c>
      <c r="E5048" s="23" t="n">
        <v>10</v>
      </c>
      <c r="F5048" s="28" t="s">
        <v>908</v>
      </c>
      <c r="G5048" s="19" t="n">
        <v>0.059733</v>
      </c>
    </row>
    <row r="5049" customFormat="false" ht="15" hidden="false" customHeight="false" outlineLevel="0" collapsed="false">
      <c r="A5049" s="28" t="s">
        <v>205</v>
      </c>
      <c r="B5049" s="28" t="s">
        <v>206</v>
      </c>
      <c r="C5049" s="28" t="s">
        <v>202</v>
      </c>
      <c r="D5049" s="23" t="n">
        <v>15</v>
      </c>
      <c r="E5049" s="23" t="n">
        <v>10</v>
      </c>
      <c r="F5049" s="28" t="s">
        <v>909</v>
      </c>
      <c r="G5049" s="19" t="n">
        <v>0.058167</v>
      </c>
    </row>
    <row r="5050" customFormat="false" ht="15" hidden="false" customHeight="false" outlineLevel="0" collapsed="false">
      <c r="A5050" s="28" t="s">
        <v>205</v>
      </c>
      <c r="B5050" s="28" t="s">
        <v>206</v>
      </c>
      <c r="C5050" s="28" t="s">
        <v>202</v>
      </c>
      <c r="D5050" s="23" t="n">
        <v>15</v>
      </c>
      <c r="E5050" s="23" t="n">
        <v>10</v>
      </c>
      <c r="F5050" s="28" t="s">
        <v>910</v>
      </c>
      <c r="G5050" s="19" t="n">
        <v>0.055233</v>
      </c>
    </row>
    <row r="5051" customFormat="false" ht="15" hidden="false" customHeight="false" outlineLevel="0" collapsed="false">
      <c r="A5051" s="28" t="s">
        <v>205</v>
      </c>
      <c r="B5051" s="28" t="s">
        <v>206</v>
      </c>
      <c r="C5051" s="28" t="s">
        <v>202</v>
      </c>
      <c r="D5051" s="23" t="n">
        <v>15</v>
      </c>
      <c r="E5051" s="23" t="n">
        <v>10</v>
      </c>
      <c r="F5051" s="28" t="s">
        <v>911</v>
      </c>
      <c r="G5051" s="19" t="n">
        <v>0.053</v>
      </c>
    </row>
    <row r="5052" customFormat="false" ht="15" hidden="false" customHeight="false" outlineLevel="0" collapsed="false">
      <c r="A5052" s="28" t="s">
        <v>205</v>
      </c>
      <c r="B5052" s="28" t="s">
        <v>206</v>
      </c>
      <c r="C5052" s="28" t="s">
        <v>202</v>
      </c>
      <c r="D5052" s="23" t="n">
        <v>15</v>
      </c>
      <c r="E5052" s="23" t="n">
        <v>10</v>
      </c>
      <c r="F5052" s="28" t="s">
        <v>912</v>
      </c>
      <c r="G5052" s="19" t="n">
        <v>0.0494</v>
      </c>
    </row>
    <row r="5053" customFormat="false" ht="15" hidden="false" customHeight="false" outlineLevel="0" collapsed="false">
      <c r="A5053" s="28" t="s">
        <v>205</v>
      </c>
      <c r="B5053" s="28" t="s">
        <v>206</v>
      </c>
      <c r="C5053" s="28" t="s">
        <v>202</v>
      </c>
      <c r="D5053" s="23" t="n">
        <v>15</v>
      </c>
      <c r="E5053" s="23" t="n">
        <v>10</v>
      </c>
      <c r="F5053" s="28" t="s">
        <v>913</v>
      </c>
      <c r="G5053" s="19" t="n">
        <v>0.0543</v>
      </c>
    </row>
    <row r="5054" customFormat="false" ht="15" hidden="false" customHeight="false" outlineLevel="0" collapsed="false">
      <c r="A5054" s="28" t="s">
        <v>205</v>
      </c>
      <c r="B5054" s="28" t="s">
        <v>206</v>
      </c>
      <c r="C5054" s="28" t="s">
        <v>202</v>
      </c>
      <c r="D5054" s="23" t="n">
        <v>15</v>
      </c>
      <c r="E5054" s="23" t="n">
        <v>10</v>
      </c>
      <c r="F5054" s="28" t="s">
        <v>914</v>
      </c>
      <c r="G5054" s="19" t="n">
        <v>0.0541</v>
      </c>
    </row>
    <row r="5055" customFormat="false" ht="15" hidden="false" customHeight="false" outlineLevel="0" collapsed="false">
      <c r="A5055" s="28" t="s">
        <v>205</v>
      </c>
      <c r="B5055" s="28" t="s">
        <v>206</v>
      </c>
      <c r="C5055" s="28" t="s">
        <v>202</v>
      </c>
      <c r="D5055" s="23" t="n">
        <v>15</v>
      </c>
      <c r="E5055" s="23" t="n">
        <v>10</v>
      </c>
      <c r="F5055" s="28" t="s">
        <v>915</v>
      </c>
      <c r="G5055" s="19" t="n">
        <v>0.0699</v>
      </c>
    </row>
    <row r="5056" customFormat="false" ht="15" hidden="false" customHeight="false" outlineLevel="0" collapsed="false">
      <c r="A5056" s="28" t="s">
        <v>205</v>
      </c>
      <c r="B5056" s="28" t="s">
        <v>206</v>
      </c>
      <c r="C5056" s="28" t="s">
        <v>202</v>
      </c>
      <c r="D5056" s="23" t="n">
        <v>15</v>
      </c>
      <c r="E5056" s="23" t="n">
        <v>11</v>
      </c>
      <c r="F5056" s="28" t="s">
        <v>904</v>
      </c>
      <c r="G5056" s="19" t="n">
        <v>0.0563</v>
      </c>
    </row>
    <row r="5057" customFormat="false" ht="15" hidden="false" customHeight="false" outlineLevel="0" collapsed="false">
      <c r="A5057" s="28" t="s">
        <v>205</v>
      </c>
      <c r="B5057" s="28" t="s">
        <v>206</v>
      </c>
      <c r="C5057" s="28" t="s">
        <v>202</v>
      </c>
      <c r="D5057" s="23" t="n">
        <v>15</v>
      </c>
      <c r="E5057" s="23" t="n">
        <v>11</v>
      </c>
      <c r="F5057" s="28" t="s">
        <v>551</v>
      </c>
      <c r="G5057" s="19" t="n">
        <v>0.0875</v>
      </c>
    </row>
    <row r="5058" customFormat="false" ht="15" hidden="false" customHeight="false" outlineLevel="0" collapsed="false">
      <c r="A5058" s="28" t="s">
        <v>205</v>
      </c>
      <c r="B5058" s="28" t="s">
        <v>206</v>
      </c>
      <c r="C5058" s="28" t="s">
        <v>202</v>
      </c>
      <c r="D5058" s="23" t="n">
        <v>15</v>
      </c>
      <c r="E5058" s="23" t="n">
        <v>11</v>
      </c>
      <c r="F5058" s="28" t="s">
        <v>451</v>
      </c>
      <c r="G5058" s="19" t="n">
        <v>0.0561</v>
      </c>
    </row>
    <row r="5059" customFormat="false" ht="15" hidden="false" customHeight="false" outlineLevel="0" collapsed="false">
      <c r="A5059" s="28" t="s">
        <v>205</v>
      </c>
      <c r="B5059" s="28" t="s">
        <v>206</v>
      </c>
      <c r="C5059" s="28" t="s">
        <v>202</v>
      </c>
      <c r="D5059" s="23" t="n">
        <v>15</v>
      </c>
      <c r="E5059" s="23" t="n">
        <v>11</v>
      </c>
      <c r="F5059" s="28" t="s">
        <v>905</v>
      </c>
      <c r="G5059" s="19" t="n">
        <v>0.0587</v>
      </c>
    </row>
    <row r="5060" customFormat="false" ht="15" hidden="false" customHeight="false" outlineLevel="0" collapsed="false">
      <c r="A5060" s="28" t="s">
        <v>205</v>
      </c>
      <c r="B5060" s="28" t="s">
        <v>206</v>
      </c>
      <c r="C5060" s="28" t="s">
        <v>202</v>
      </c>
      <c r="D5060" s="23" t="n">
        <v>15</v>
      </c>
      <c r="E5060" s="23" t="n">
        <v>11</v>
      </c>
      <c r="F5060" s="28" t="s">
        <v>906</v>
      </c>
      <c r="G5060" s="19" t="n">
        <v>0.0601</v>
      </c>
    </row>
    <row r="5061" customFormat="false" ht="15" hidden="false" customHeight="false" outlineLevel="0" collapsed="false">
      <c r="A5061" s="28" t="s">
        <v>205</v>
      </c>
      <c r="B5061" s="28" t="s">
        <v>206</v>
      </c>
      <c r="C5061" s="28" t="s">
        <v>202</v>
      </c>
      <c r="D5061" s="23" t="n">
        <v>15</v>
      </c>
      <c r="E5061" s="23" t="n">
        <v>11</v>
      </c>
      <c r="F5061" s="28" t="s">
        <v>907</v>
      </c>
      <c r="G5061" s="19" t="n">
        <v>0.0598</v>
      </c>
    </row>
    <row r="5062" customFormat="false" ht="15" hidden="false" customHeight="false" outlineLevel="0" collapsed="false">
      <c r="A5062" s="28" t="s">
        <v>205</v>
      </c>
      <c r="B5062" s="28" t="s">
        <v>206</v>
      </c>
      <c r="C5062" s="28" t="s">
        <v>202</v>
      </c>
      <c r="D5062" s="23" t="n">
        <v>15</v>
      </c>
      <c r="E5062" s="23" t="n">
        <v>11</v>
      </c>
      <c r="F5062" s="28" t="s">
        <v>908</v>
      </c>
      <c r="G5062" s="19" t="n">
        <v>0.059733</v>
      </c>
    </row>
    <row r="5063" customFormat="false" ht="15" hidden="false" customHeight="false" outlineLevel="0" collapsed="false">
      <c r="A5063" s="28" t="s">
        <v>205</v>
      </c>
      <c r="B5063" s="28" t="s">
        <v>206</v>
      </c>
      <c r="C5063" s="28" t="s">
        <v>202</v>
      </c>
      <c r="D5063" s="23" t="n">
        <v>15</v>
      </c>
      <c r="E5063" s="23" t="n">
        <v>11</v>
      </c>
      <c r="F5063" s="28" t="s">
        <v>909</v>
      </c>
      <c r="G5063" s="19" t="n">
        <v>0.058167</v>
      </c>
    </row>
    <row r="5064" customFormat="false" ht="15" hidden="false" customHeight="false" outlineLevel="0" collapsed="false">
      <c r="A5064" s="28" t="s">
        <v>205</v>
      </c>
      <c r="B5064" s="28" t="s">
        <v>206</v>
      </c>
      <c r="C5064" s="28" t="s">
        <v>202</v>
      </c>
      <c r="D5064" s="23" t="n">
        <v>15</v>
      </c>
      <c r="E5064" s="23" t="n">
        <v>11</v>
      </c>
      <c r="F5064" s="28" t="s">
        <v>910</v>
      </c>
      <c r="G5064" s="19" t="n">
        <v>0.055233</v>
      </c>
    </row>
    <row r="5065" customFormat="false" ht="15" hidden="false" customHeight="false" outlineLevel="0" collapsed="false">
      <c r="A5065" s="28" t="s">
        <v>205</v>
      </c>
      <c r="B5065" s="28" t="s">
        <v>206</v>
      </c>
      <c r="C5065" s="28" t="s">
        <v>202</v>
      </c>
      <c r="D5065" s="23" t="n">
        <v>15</v>
      </c>
      <c r="E5065" s="23" t="n">
        <v>11</v>
      </c>
      <c r="F5065" s="28" t="s">
        <v>911</v>
      </c>
      <c r="G5065" s="19" t="n">
        <v>0.053</v>
      </c>
    </row>
    <row r="5066" customFormat="false" ht="15" hidden="false" customHeight="false" outlineLevel="0" collapsed="false">
      <c r="A5066" s="28" t="s">
        <v>205</v>
      </c>
      <c r="B5066" s="28" t="s">
        <v>206</v>
      </c>
      <c r="C5066" s="28" t="s">
        <v>202</v>
      </c>
      <c r="D5066" s="23" t="n">
        <v>15</v>
      </c>
      <c r="E5066" s="23" t="n">
        <v>11</v>
      </c>
      <c r="F5066" s="28" t="s">
        <v>912</v>
      </c>
      <c r="G5066" s="19" t="n">
        <v>0.0494</v>
      </c>
    </row>
    <row r="5067" customFormat="false" ht="15" hidden="false" customHeight="false" outlineLevel="0" collapsed="false">
      <c r="A5067" s="28" t="s">
        <v>205</v>
      </c>
      <c r="B5067" s="28" t="s">
        <v>206</v>
      </c>
      <c r="C5067" s="28" t="s">
        <v>202</v>
      </c>
      <c r="D5067" s="23" t="n">
        <v>15</v>
      </c>
      <c r="E5067" s="23" t="n">
        <v>11</v>
      </c>
      <c r="F5067" s="28" t="s">
        <v>913</v>
      </c>
      <c r="G5067" s="19" t="n">
        <v>0.0543</v>
      </c>
    </row>
    <row r="5068" customFormat="false" ht="15" hidden="false" customHeight="false" outlineLevel="0" collapsed="false">
      <c r="A5068" s="28" t="s">
        <v>205</v>
      </c>
      <c r="B5068" s="28" t="s">
        <v>206</v>
      </c>
      <c r="C5068" s="28" t="s">
        <v>202</v>
      </c>
      <c r="D5068" s="23" t="n">
        <v>15</v>
      </c>
      <c r="E5068" s="23" t="n">
        <v>11</v>
      </c>
      <c r="F5068" s="28" t="s">
        <v>914</v>
      </c>
      <c r="G5068" s="19" t="n">
        <v>0.0541</v>
      </c>
    </row>
    <row r="5069" customFormat="false" ht="15" hidden="false" customHeight="false" outlineLevel="0" collapsed="false">
      <c r="A5069" s="28" t="s">
        <v>205</v>
      </c>
      <c r="B5069" s="28" t="s">
        <v>206</v>
      </c>
      <c r="C5069" s="28" t="s">
        <v>202</v>
      </c>
      <c r="D5069" s="23" t="n">
        <v>15</v>
      </c>
      <c r="E5069" s="23" t="n">
        <v>11</v>
      </c>
      <c r="F5069" s="28" t="s">
        <v>915</v>
      </c>
      <c r="G5069" s="19" t="n">
        <v>0.0699</v>
      </c>
    </row>
    <row r="5070" customFormat="false" ht="15" hidden="false" customHeight="false" outlineLevel="0" collapsed="false">
      <c r="A5070" s="28" t="s">
        <v>205</v>
      </c>
      <c r="B5070" s="28" t="s">
        <v>206</v>
      </c>
      <c r="C5070" s="28" t="s">
        <v>202</v>
      </c>
      <c r="D5070" s="23" t="n">
        <v>15</v>
      </c>
      <c r="E5070" s="23" t="n">
        <v>12</v>
      </c>
      <c r="F5070" s="28" t="s">
        <v>904</v>
      </c>
      <c r="G5070" s="19" t="n">
        <v>0.0563</v>
      </c>
    </row>
    <row r="5071" customFormat="false" ht="15" hidden="false" customHeight="false" outlineLevel="0" collapsed="false">
      <c r="A5071" s="28" t="s">
        <v>205</v>
      </c>
      <c r="B5071" s="28" t="s">
        <v>206</v>
      </c>
      <c r="C5071" s="28" t="s">
        <v>202</v>
      </c>
      <c r="D5071" s="23" t="n">
        <v>15</v>
      </c>
      <c r="E5071" s="23" t="n">
        <v>12</v>
      </c>
      <c r="F5071" s="28" t="s">
        <v>551</v>
      </c>
      <c r="G5071" s="19" t="n">
        <v>0.0875</v>
      </c>
    </row>
    <row r="5072" customFormat="false" ht="15" hidden="false" customHeight="false" outlineLevel="0" collapsed="false">
      <c r="A5072" s="28" t="s">
        <v>205</v>
      </c>
      <c r="B5072" s="28" t="s">
        <v>206</v>
      </c>
      <c r="C5072" s="28" t="s">
        <v>202</v>
      </c>
      <c r="D5072" s="23" t="n">
        <v>15</v>
      </c>
      <c r="E5072" s="23" t="n">
        <v>12</v>
      </c>
      <c r="F5072" s="28" t="s">
        <v>451</v>
      </c>
      <c r="G5072" s="19" t="n">
        <v>0.0561</v>
      </c>
    </row>
    <row r="5073" customFormat="false" ht="15" hidden="false" customHeight="false" outlineLevel="0" collapsed="false">
      <c r="A5073" s="28" t="s">
        <v>205</v>
      </c>
      <c r="B5073" s="28" t="s">
        <v>206</v>
      </c>
      <c r="C5073" s="28" t="s">
        <v>202</v>
      </c>
      <c r="D5073" s="23" t="n">
        <v>15</v>
      </c>
      <c r="E5073" s="23" t="n">
        <v>12</v>
      </c>
      <c r="F5073" s="28" t="s">
        <v>905</v>
      </c>
      <c r="G5073" s="19" t="n">
        <v>0.0587</v>
      </c>
    </row>
    <row r="5074" customFormat="false" ht="15" hidden="false" customHeight="false" outlineLevel="0" collapsed="false">
      <c r="A5074" s="28" t="s">
        <v>205</v>
      </c>
      <c r="B5074" s="28" t="s">
        <v>206</v>
      </c>
      <c r="C5074" s="28" t="s">
        <v>202</v>
      </c>
      <c r="D5074" s="23" t="n">
        <v>15</v>
      </c>
      <c r="E5074" s="23" t="n">
        <v>12</v>
      </c>
      <c r="F5074" s="28" t="s">
        <v>906</v>
      </c>
      <c r="G5074" s="19" t="n">
        <v>0.0601</v>
      </c>
    </row>
    <row r="5075" customFormat="false" ht="15" hidden="false" customHeight="false" outlineLevel="0" collapsed="false">
      <c r="A5075" s="28" t="s">
        <v>205</v>
      </c>
      <c r="B5075" s="28" t="s">
        <v>206</v>
      </c>
      <c r="C5075" s="28" t="s">
        <v>202</v>
      </c>
      <c r="D5075" s="23" t="n">
        <v>15</v>
      </c>
      <c r="E5075" s="23" t="n">
        <v>12</v>
      </c>
      <c r="F5075" s="28" t="s">
        <v>907</v>
      </c>
      <c r="G5075" s="19" t="n">
        <v>0.0598</v>
      </c>
    </row>
    <row r="5076" customFormat="false" ht="15" hidden="false" customHeight="false" outlineLevel="0" collapsed="false">
      <c r="A5076" s="28" t="s">
        <v>205</v>
      </c>
      <c r="B5076" s="28" t="s">
        <v>206</v>
      </c>
      <c r="C5076" s="28" t="s">
        <v>202</v>
      </c>
      <c r="D5076" s="23" t="n">
        <v>15</v>
      </c>
      <c r="E5076" s="23" t="n">
        <v>12</v>
      </c>
      <c r="F5076" s="28" t="s">
        <v>908</v>
      </c>
      <c r="G5076" s="19" t="n">
        <v>0.059733</v>
      </c>
    </row>
    <row r="5077" customFormat="false" ht="15" hidden="false" customHeight="false" outlineLevel="0" collapsed="false">
      <c r="A5077" s="28" t="s">
        <v>205</v>
      </c>
      <c r="B5077" s="28" t="s">
        <v>206</v>
      </c>
      <c r="C5077" s="28" t="s">
        <v>202</v>
      </c>
      <c r="D5077" s="23" t="n">
        <v>15</v>
      </c>
      <c r="E5077" s="23" t="n">
        <v>12</v>
      </c>
      <c r="F5077" s="28" t="s">
        <v>909</v>
      </c>
      <c r="G5077" s="19" t="n">
        <v>0.058167</v>
      </c>
    </row>
    <row r="5078" customFormat="false" ht="15" hidden="false" customHeight="false" outlineLevel="0" collapsed="false">
      <c r="A5078" s="28" t="s">
        <v>205</v>
      </c>
      <c r="B5078" s="28" t="s">
        <v>206</v>
      </c>
      <c r="C5078" s="28" t="s">
        <v>202</v>
      </c>
      <c r="D5078" s="23" t="n">
        <v>15</v>
      </c>
      <c r="E5078" s="23" t="n">
        <v>12</v>
      </c>
      <c r="F5078" s="28" t="s">
        <v>910</v>
      </c>
      <c r="G5078" s="19" t="n">
        <v>0.055233</v>
      </c>
    </row>
    <row r="5079" customFormat="false" ht="15" hidden="false" customHeight="false" outlineLevel="0" collapsed="false">
      <c r="A5079" s="28" t="s">
        <v>205</v>
      </c>
      <c r="B5079" s="28" t="s">
        <v>206</v>
      </c>
      <c r="C5079" s="28" t="s">
        <v>202</v>
      </c>
      <c r="D5079" s="23" t="n">
        <v>15</v>
      </c>
      <c r="E5079" s="23" t="n">
        <v>12</v>
      </c>
      <c r="F5079" s="28" t="s">
        <v>911</v>
      </c>
      <c r="G5079" s="19" t="n">
        <v>0.053</v>
      </c>
    </row>
    <row r="5080" customFormat="false" ht="15" hidden="false" customHeight="false" outlineLevel="0" collapsed="false">
      <c r="A5080" s="28" t="s">
        <v>205</v>
      </c>
      <c r="B5080" s="28" t="s">
        <v>206</v>
      </c>
      <c r="C5080" s="28" t="s">
        <v>202</v>
      </c>
      <c r="D5080" s="23" t="n">
        <v>15</v>
      </c>
      <c r="E5080" s="23" t="n">
        <v>12</v>
      </c>
      <c r="F5080" s="28" t="s">
        <v>912</v>
      </c>
      <c r="G5080" s="19" t="n">
        <v>0.0494</v>
      </c>
    </row>
    <row r="5081" customFormat="false" ht="15" hidden="false" customHeight="false" outlineLevel="0" collapsed="false">
      <c r="A5081" s="28" t="s">
        <v>205</v>
      </c>
      <c r="B5081" s="28" t="s">
        <v>206</v>
      </c>
      <c r="C5081" s="28" t="s">
        <v>202</v>
      </c>
      <c r="D5081" s="23" t="n">
        <v>15</v>
      </c>
      <c r="E5081" s="23" t="n">
        <v>12</v>
      </c>
      <c r="F5081" s="28" t="s">
        <v>913</v>
      </c>
      <c r="G5081" s="19" t="n">
        <v>0.0543</v>
      </c>
    </row>
    <row r="5082" customFormat="false" ht="15" hidden="false" customHeight="false" outlineLevel="0" collapsed="false">
      <c r="A5082" s="28" t="s">
        <v>205</v>
      </c>
      <c r="B5082" s="28" t="s">
        <v>206</v>
      </c>
      <c r="C5082" s="28" t="s">
        <v>202</v>
      </c>
      <c r="D5082" s="23" t="n">
        <v>15</v>
      </c>
      <c r="E5082" s="23" t="n">
        <v>12</v>
      </c>
      <c r="F5082" s="28" t="s">
        <v>914</v>
      </c>
      <c r="G5082" s="19" t="n">
        <v>0.0541</v>
      </c>
    </row>
    <row r="5083" customFormat="false" ht="15" hidden="false" customHeight="false" outlineLevel="0" collapsed="false">
      <c r="A5083" s="28" t="s">
        <v>205</v>
      </c>
      <c r="B5083" s="28" t="s">
        <v>206</v>
      </c>
      <c r="C5083" s="28" t="s">
        <v>202</v>
      </c>
      <c r="D5083" s="23" t="n">
        <v>15</v>
      </c>
      <c r="E5083" s="23" t="n">
        <v>12</v>
      </c>
      <c r="F5083" s="28" t="s">
        <v>915</v>
      </c>
      <c r="G5083" s="19" t="n">
        <v>0.0699</v>
      </c>
    </row>
    <row r="5084" customFormat="false" ht="15" hidden="false" customHeight="false" outlineLevel="0" collapsed="false">
      <c r="A5084" s="28" t="s">
        <v>205</v>
      </c>
      <c r="B5084" s="28" t="s">
        <v>206</v>
      </c>
      <c r="C5084" s="28" t="s">
        <v>202</v>
      </c>
      <c r="D5084" s="23" t="n">
        <v>15</v>
      </c>
      <c r="E5084" s="23" t="n">
        <v>13</v>
      </c>
      <c r="F5084" s="28" t="s">
        <v>904</v>
      </c>
      <c r="G5084" s="19" t="n">
        <v>0.0563</v>
      </c>
    </row>
    <row r="5085" customFormat="false" ht="15" hidden="false" customHeight="false" outlineLevel="0" collapsed="false">
      <c r="A5085" s="28" t="s">
        <v>205</v>
      </c>
      <c r="B5085" s="28" t="s">
        <v>206</v>
      </c>
      <c r="C5085" s="28" t="s">
        <v>202</v>
      </c>
      <c r="D5085" s="23" t="n">
        <v>15</v>
      </c>
      <c r="E5085" s="23" t="n">
        <v>13</v>
      </c>
      <c r="F5085" s="28" t="s">
        <v>551</v>
      </c>
      <c r="G5085" s="19" t="n">
        <v>0.0875</v>
      </c>
    </row>
    <row r="5086" customFormat="false" ht="15" hidden="false" customHeight="false" outlineLevel="0" collapsed="false">
      <c r="A5086" s="28" t="s">
        <v>205</v>
      </c>
      <c r="B5086" s="28" t="s">
        <v>206</v>
      </c>
      <c r="C5086" s="28" t="s">
        <v>202</v>
      </c>
      <c r="D5086" s="23" t="n">
        <v>15</v>
      </c>
      <c r="E5086" s="23" t="n">
        <v>13</v>
      </c>
      <c r="F5086" s="28" t="s">
        <v>451</v>
      </c>
      <c r="G5086" s="19" t="n">
        <v>0.0561</v>
      </c>
    </row>
    <row r="5087" customFormat="false" ht="15" hidden="false" customHeight="false" outlineLevel="0" collapsed="false">
      <c r="A5087" s="28" t="s">
        <v>205</v>
      </c>
      <c r="B5087" s="28" t="s">
        <v>206</v>
      </c>
      <c r="C5087" s="28" t="s">
        <v>202</v>
      </c>
      <c r="D5087" s="23" t="n">
        <v>15</v>
      </c>
      <c r="E5087" s="23" t="n">
        <v>13</v>
      </c>
      <c r="F5087" s="28" t="s">
        <v>905</v>
      </c>
      <c r="G5087" s="19" t="n">
        <v>0.0587</v>
      </c>
    </row>
    <row r="5088" customFormat="false" ht="15" hidden="false" customHeight="false" outlineLevel="0" collapsed="false">
      <c r="A5088" s="28" t="s">
        <v>205</v>
      </c>
      <c r="B5088" s="28" t="s">
        <v>206</v>
      </c>
      <c r="C5088" s="28" t="s">
        <v>202</v>
      </c>
      <c r="D5088" s="23" t="n">
        <v>15</v>
      </c>
      <c r="E5088" s="23" t="n">
        <v>13</v>
      </c>
      <c r="F5088" s="28" t="s">
        <v>906</v>
      </c>
      <c r="G5088" s="19" t="n">
        <v>0.0601</v>
      </c>
    </row>
    <row r="5089" customFormat="false" ht="15" hidden="false" customHeight="false" outlineLevel="0" collapsed="false">
      <c r="A5089" s="28" t="s">
        <v>205</v>
      </c>
      <c r="B5089" s="28" t="s">
        <v>206</v>
      </c>
      <c r="C5089" s="28" t="s">
        <v>202</v>
      </c>
      <c r="D5089" s="23" t="n">
        <v>15</v>
      </c>
      <c r="E5089" s="23" t="n">
        <v>13</v>
      </c>
      <c r="F5089" s="28" t="s">
        <v>907</v>
      </c>
      <c r="G5089" s="19" t="n">
        <v>0.0598</v>
      </c>
    </row>
    <row r="5090" customFormat="false" ht="15" hidden="false" customHeight="false" outlineLevel="0" collapsed="false">
      <c r="A5090" s="28" t="s">
        <v>205</v>
      </c>
      <c r="B5090" s="28" t="s">
        <v>206</v>
      </c>
      <c r="C5090" s="28" t="s">
        <v>202</v>
      </c>
      <c r="D5090" s="23" t="n">
        <v>15</v>
      </c>
      <c r="E5090" s="23" t="n">
        <v>13</v>
      </c>
      <c r="F5090" s="28" t="s">
        <v>908</v>
      </c>
      <c r="G5090" s="19" t="n">
        <v>0.059733</v>
      </c>
    </row>
    <row r="5091" customFormat="false" ht="15" hidden="false" customHeight="false" outlineLevel="0" collapsed="false">
      <c r="A5091" s="28" t="s">
        <v>205</v>
      </c>
      <c r="B5091" s="28" t="s">
        <v>206</v>
      </c>
      <c r="C5091" s="28" t="s">
        <v>202</v>
      </c>
      <c r="D5091" s="23" t="n">
        <v>15</v>
      </c>
      <c r="E5091" s="23" t="n">
        <v>13</v>
      </c>
      <c r="F5091" s="28" t="s">
        <v>909</v>
      </c>
      <c r="G5091" s="19" t="n">
        <v>0.058167</v>
      </c>
    </row>
    <row r="5092" customFormat="false" ht="15" hidden="false" customHeight="false" outlineLevel="0" collapsed="false">
      <c r="A5092" s="28" t="s">
        <v>205</v>
      </c>
      <c r="B5092" s="28" t="s">
        <v>206</v>
      </c>
      <c r="C5092" s="28" t="s">
        <v>202</v>
      </c>
      <c r="D5092" s="23" t="n">
        <v>15</v>
      </c>
      <c r="E5092" s="23" t="n">
        <v>13</v>
      </c>
      <c r="F5092" s="28" t="s">
        <v>910</v>
      </c>
      <c r="G5092" s="19" t="n">
        <v>0.055233</v>
      </c>
    </row>
    <row r="5093" customFormat="false" ht="15" hidden="false" customHeight="false" outlineLevel="0" collapsed="false">
      <c r="A5093" s="28" t="s">
        <v>205</v>
      </c>
      <c r="B5093" s="28" t="s">
        <v>206</v>
      </c>
      <c r="C5093" s="28" t="s">
        <v>202</v>
      </c>
      <c r="D5093" s="23" t="n">
        <v>15</v>
      </c>
      <c r="E5093" s="23" t="n">
        <v>13</v>
      </c>
      <c r="F5093" s="28" t="s">
        <v>911</v>
      </c>
      <c r="G5093" s="19" t="n">
        <v>0.053</v>
      </c>
    </row>
    <row r="5094" customFormat="false" ht="15" hidden="false" customHeight="false" outlineLevel="0" collapsed="false">
      <c r="A5094" s="28" t="s">
        <v>205</v>
      </c>
      <c r="B5094" s="28" t="s">
        <v>206</v>
      </c>
      <c r="C5094" s="28" t="s">
        <v>202</v>
      </c>
      <c r="D5094" s="23" t="n">
        <v>15</v>
      </c>
      <c r="E5094" s="23" t="n">
        <v>13</v>
      </c>
      <c r="F5094" s="28" t="s">
        <v>912</v>
      </c>
      <c r="G5094" s="19" t="n">
        <v>0.0494</v>
      </c>
    </row>
    <row r="5095" customFormat="false" ht="15" hidden="false" customHeight="false" outlineLevel="0" collapsed="false">
      <c r="A5095" s="28" t="s">
        <v>205</v>
      </c>
      <c r="B5095" s="28" t="s">
        <v>206</v>
      </c>
      <c r="C5095" s="28" t="s">
        <v>202</v>
      </c>
      <c r="D5095" s="23" t="n">
        <v>15</v>
      </c>
      <c r="E5095" s="23" t="n">
        <v>13</v>
      </c>
      <c r="F5095" s="28" t="s">
        <v>913</v>
      </c>
      <c r="G5095" s="19" t="n">
        <v>0.0543</v>
      </c>
    </row>
    <row r="5096" customFormat="false" ht="15" hidden="false" customHeight="false" outlineLevel="0" collapsed="false">
      <c r="A5096" s="28" t="s">
        <v>205</v>
      </c>
      <c r="B5096" s="28" t="s">
        <v>206</v>
      </c>
      <c r="C5096" s="28" t="s">
        <v>202</v>
      </c>
      <c r="D5096" s="23" t="n">
        <v>15</v>
      </c>
      <c r="E5096" s="23" t="n">
        <v>13</v>
      </c>
      <c r="F5096" s="28" t="s">
        <v>914</v>
      </c>
      <c r="G5096" s="19" t="n">
        <v>0.0541</v>
      </c>
    </row>
    <row r="5097" customFormat="false" ht="15" hidden="false" customHeight="false" outlineLevel="0" collapsed="false">
      <c r="A5097" s="28" t="s">
        <v>205</v>
      </c>
      <c r="B5097" s="28" t="s">
        <v>206</v>
      </c>
      <c r="C5097" s="28" t="s">
        <v>202</v>
      </c>
      <c r="D5097" s="23" t="n">
        <v>15</v>
      </c>
      <c r="E5097" s="23" t="n">
        <v>13</v>
      </c>
      <c r="F5097" s="28" t="s">
        <v>915</v>
      </c>
      <c r="G5097" s="19" t="n">
        <v>0.0699</v>
      </c>
    </row>
    <row r="5098" customFormat="false" ht="15" hidden="false" customHeight="false" outlineLevel="0" collapsed="false">
      <c r="A5098" s="28" t="s">
        <v>205</v>
      </c>
      <c r="B5098" s="28" t="s">
        <v>206</v>
      </c>
      <c r="C5098" s="28" t="s">
        <v>202</v>
      </c>
      <c r="D5098" s="23" t="n">
        <v>15</v>
      </c>
      <c r="E5098" s="23" t="n">
        <v>14</v>
      </c>
      <c r="F5098" s="28" t="s">
        <v>904</v>
      </c>
      <c r="G5098" s="19" t="n">
        <v>0.0563</v>
      </c>
    </row>
    <row r="5099" customFormat="false" ht="15" hidden="false" customHeight="false" outlineLevel="0" collapsed="false">
      <c r="A5099" s="28" t="s">
        <v>205</v>
      </c>
      <c r="B5099" s="28" t="s">
        <v>206</v>
      </c>
      <c r="C5099" s="28" t="s">
        <v>202</v>
      </c>
      <c r="D5099" s="23" t="n">
        <v>15</v>
      </c>
      <c r="E5099" s="23" t="n">
        <v>14</v>
      </c>
      <c r="F5099" s="28" t="s">
        <v>551</v>
      </c>
      <c r="G5099" s="19" t="n">
        <v>0.0875</v>
      </c>
    </row>
    <row r="5100" customFormat="false" ht="15" hidden="false" customHeight="false" outlineLevel="0" collapsed="false">
      <c r="A5100" s="28" t="s">
        <v>205</v>
      </c>
      <c r="B5100" s="28" t="s">
        <v>206</v>
      </c>
      <c r="C5100" s="28" t="s">
        <v>202</v>
      </c>
      <c r="D5100" s="23" t="n">
        <v>15</v>
      </c>
      <c r="E5100" s="23" t="n">
        <v>14</v>
      </c>
      <c r="F5100" s="28" t="s">
        <v>451</v>
      </c>
      <c r="G5100" s="19" t="n">
        <v>0.0561</v>
      </c>
    </row>
    <row r="5101" customFormat="false" ht="15" hidden="false" customHeight="false" outlineLevel="0" collapsed="false">
      <c r="A5101" s="28" t="s">
        <v>205</v>
      </c>
      <c r="B5101" s="28" t="s">
        <v>206</v>
      </c>
      <c r="C5101" s="28" t="s">
        <v>202</v>
      </c>
      <c r="D5101" s="23" t="n">
        <v>15</v>
      </c>
      <c r="E5101" s="23" t="n">
        <v>14</v>
      </c>
      <c r="F5101" s="28" t="s">
        <v>905</v>
      </c>
      <c r="G5101" s="19" t="n">
        <v>0.0587</v>
      </c>
    </row>
    <row r="5102" customFormat="false" ht="15" hidden="false" customHeight="false" outlineLevel="0" collapsed="false">
      <c r="A5102" s="28" t="s">
        <v>205</v>
      </c>
      <c r="B5102" s="28" t="s">
        <v>206</v>
      </c>
      <c r="C5102" s="28" t="s">
        <v>202</v>
      </c>
      <c r="D5102" s="23" t="n">
        <v>15</v>
      </c>
      <c r="E5102" s="23" t="n">
        <v>14</v>
      </c>
      <c r="F5102" s="28" t="s">
        <v>906</v>
      </c>
      <c r="G5102" s="19" t="n">
        <v>0.0601</v>
      </c>
    </row>
    <row r="5103" customFormat="false" ht="15" hidden="false" customHeight="false" outlineLevel="0" collapsed="false">
      <c r="A5103" s="28" t="s">
        <v>205</v>
      </c>
      <c r="B5103" s="28" t="s">
        <v>206</v>
      </c>
      <c r="C5103" s="28" t="s">
        <v>202</v>
      </c>
      <c r="D5103" s="23" t="n">
        <v>15</v>
      </c>
      <c r="E5103" s="23" t="n">
        <v>14</v>
      </c>
      <c r="F5103" s="28" t="s">
        <v>907</v>
      </c>
      <c r="G5103" s="19" t="n">
        <v>0.0598</v>
      </c>
    </row>
    <row r="5104" customFormat="false" ht="15" hidden="false" customHeight="false" outlineLevel="0" collapsed="false">
      <c r="A5104" s="28" t="s">
        <v>205</v>
      </c>
      <c r="B5104" s="28" t="s">
        <v>206</v>
      </c>
      <c r="C5104" s="28" t="s">
        <v>202</v>
      </c>
      <c r="D5104" s="23" t="n">
        <v>15</v>
      </c>
      <c r="E5104" s="23" t="n">
        <v>14</v>
      </c>
      <c r="F5104" s="28" t="s">
        <v>908</v>
      </c>
      <c r="G5104" s="19" t="n">
        <v>0.059733</v>
      </c>
    </row>
    <row r="5105" customFormat="false" ht="15" hidden="false" customHeight="false" outlineLevel="0" collapsed="false">
      <c r="A5105" s="28" t="s">
        <v>205</v>
      </c>
      <c r="B5105" s="28" t="s">
        <v>206</v>
      </c>
      <c r="C5105" s="28" t="s">
        <v>202</v>
      </c>
      <c r="D5105" s="23" t="n">
        <v>15</v>
      </c>
      <c r="E5105" s="23" t="n">
        <v>14</v>
      </c>
      <c r="F5105" s="28" t="s">
        <v>909</v>
      </c>
      <c r="G5105" s="19" t="n">
        <v>0.058167</v>
      </c>
    </row>
    <row r="5106" customFormat="false" ht="15" hidden="false" customHeight="false" outlineLevel="0" collapsed="false">
      <c r="A5106" s="28" t="s">
        <v>205</v>
      </c>
      <c r="B5106" s="28" t="s">
        <v>206</v>
      </c>
      <c r="C5106" s="28" t="s">
        <v>202</v>
      </c>
      <c r="D5106" s="23" t="n">
        <v>15</v>
      </c>
      <c r="E5106" s="23" t="n">
        <v>14</v>
      </c>
      <c r="F5106" s="28" t="s">
        <v>910</v>
      </c>
      <c r="G5106" s="19" t="n">
        <v>0.055233</v>
      </c>
    </row>
    <row r="5107" customFormat="false" ht="15" hidden="false" customHeight="false" outlineLevel="0" collapsed="false">
      <c r="A5107" s="28" t="s">
        <v>205</v>
      </c>
      <c r="B5107" s="28" t="s">
        <v>206</v>
      </c>
      <c r="C5107" s="28" t="s">
        <v>202</v>
      </c>
      <c r="D5107" s="23" t="n">
        <v>15</v>
      </c>
      <c r="E5107" s="23" t="n">
        <v>14</v>
      </c>
      <c r="F5107" s="28" t="s">
        <v>911</v>
      </c>
      <c r="G5107" s="19" t="n">
        <v>0.053</v>
      </c>
    </row>
    <row r="5108" customFormat="false" ht="15" hidden="false" customHeight="false" outlineLevel="0" collapsed="false">
      <c r="A5108" s="28" t="s">
        <v>205</v>
      </c>
      <c r="B5108" s="28" t="s">
        <v>206</v>
      </c>
      <c r="C5108" s="28" t="s">
        <v>202</v>
      </c>
      <c r="D5108" s="23" t="n">
        <v>15</v>
      </c>
      <c r="E5108" s="23" t="n">
        <v>14</v>
      </c>
      <c r="F5108" s="28" t="s">
        <v>912</v>
      </c>
      <c r="G5108" s="19" t="n">
        <v>0.0494</v>
      </c>
    </row>
    <row r="5109" customFormat="false" ht="15" hidden="false" customHeight="false" outlineLevel="0" collapsed="false">
      <c r="A5109" s="28" t="s">
        <v>205</v>
      </c>
      <c r="B5109" s="28" t="s">
        <v>206</v>
      </c>
      <c r="C5109" s="28" t="s">
        <v>202</v>
      </c>
      <c r="D5109" s="23" t="n">
        <v>15</v>
      </c>
      <c r="E5109" s="23" t="n">
        <v>14</v>
      </c>
      <c r="F5109" s="28" t="s">
        <v>913</v>
      </c>
      <c r="G5109" s="19" t="n">
        <v>0.0543</v>
      </c>
    </row>
    <row r="5110" customFormat="false" ht="15" hidden="false" customHeight="false" outlineLevel="0" collapsed="false">
      <c r="A5110" s="28" t="s">
        <v>205</v>
      </c>
      <c r="B5110" s="28" t="s">
        <v>206</v>
      </c>
      <c r="C5110" s="28" t="s">
        <v>202</v>
      </c>
      <c r="D5110" s="23" t="n">
        <v>15</v>
      </c>
      <c r="E5110" s="23" t="n">
        <v>14</v>
      </c>
      <c r="F5110" s="28" t="s">
        <v>914</v>
      </c>
      <c r="G5110" s="19" t="n">
        <v>0.0541</v>
      </c>
    </row>
    <row r="5111" customFormat="false" ht="15" hidden="false" customHeight="false" outlineLevel="0" collapsed="false">
      <c r="A5111" s="28" t="s">
        <v>205</v>
      </c>
      <c r="B5111" s="28" t="s">
        <v>206</v>
      </c>
      <c r="C5111" s="28" t="s">
        <v>202</v>
      </c>
      <c r="D5111" s="23" t="n">
        <v>15</v>
      </c>
      <c r="E5111" s="23" t="n">
        <v>14</v>
      </c>
      <c r="F5111" s="28" t="s">
        <v>915</v>
      </c>
      <c r="G5111" s="19" t="n">
        <v>0.0699</v>
      </c>
    </row>
    <row r="5112" customFormat="false" ht="15" hidden="false" customHeight="false" outlineLevel="0" collapsed="false">
      <c r="A5112" s="28" t="s">
        <v>205</v>
      </c>
      <c r="B5112" s="28" t="s">
        <v>206</v>
      </c>
      <c r="C5112" s="28" t="s">
        <v>202</v>
      </c>
      <c r="D5112" s="23" t="n">
        <v>15</v>
      </c>
      <c r="E5112" s="23" t="n">
        <v>15</v>
      </c>
      <c r="F5112" s="28" t="s">
        <v>904</v>
      </c>
      <c r="G5112" s="19" t="n">
        <v>0.0563</v>
      </c>
    </row>
    <row r="5113" customFormat="false" ht="15" hidden="false" customHeight="false" outlineLevel="0" collapsed="false">
      <c r="A5113" s="28" t="s">
        <v>205</v>
      </c>
      <c r="B5113" s="28" t="s">
        <v>206</v>
      </c>
      <c r="C5113" s="28" t="s">
        <v>202</v>
      </c>
      <c r="D5113" s="23" t="n">
        <v>15</v>
      </c>
      <c r="E5113" s="23" t="n">
        <v>15</v>
      </c>
      <c r="F5113" s="28" t="s">
        <v>551</v>
      </c>
      <c r="G5113" s="19" t="n">
        <v>0.0875</v>
      </c>
    </row>
    <row r="5114" customFormat="false" ht="15" hidden="false" customHeight="false" outlineLevel="0" collapsed="false">
      <c r="A5114" s="28" t="s">
        <v>205</v>
      </c>
      <c r="B5114" s="28" t="s">
        <v>206</v>
      </c>
      <c r="C5114" s="28" t="s">
        <v>202</v>
      </c>
      <c r="D5114" s="23" t="n">
        <v>15</v>
      </c>
      <c r="E5114" s="23" t="n">
        <v>15</v>
      </c>
      <c r="F5114" s="28" t="s">
        <v>451</v>
      </c>
      <c r="G5114" s="19" t="n">
        <v>0.0561</v>
      </c>
    </row>
    <row r="5115" customFormat="false" ht="15" hidden="false" customHeight="false" outlineLevel="0" collapsed="false">
      <c r="A5115" s="28" t="s">
        <v>205</v>
      </c>
      <c r="B5115" s="28" t="s">
        <v>206</v>
      </c>
      <c r="C5115" s="28" t="s">
        <v>202</v>
      </c>
      <c r="D5115" s="23" t="n">
        <v>15</v>
      </c>
      <c r="E5115" s="23" t="n">
        <v>15</v>
      </c>
      <c r="F5115" s="28" t="s">
        <v>905</v>
      </c>
      <c r="G5115" s="19" t="n">
        <v>0.0587</v>
      </c>
    </row>
    <row r="5116" customFormat="false" ht="15" hidden="false" customHeight="false" outlineLevel="0" collapsed="false">
      <c r="A5116" s="28" t="s">
        <v>205</v>
      </c>
      <c r="B5116" s="28" t="s">
        <v>206</v>
      </c>
      <c r="C5116" s="28" t="s">
        <v>202</v>
      </c>
      <c r="D5116" s="23" t="n">
        <v>15</v>
      </c>
      <c r="E5116" s="23" t="n">
        <v>15</v>
      </c>
      <c r="F5116" s="28" t="s">
        <v>906</v>
      </c>
      <c r="G5116" s="19" t="n">
        <v>0.0601</v>
      </c>
    </row>
    <row r="5117" customFormat="false" ht="15" hidden="false" customHeight="false" outlineLevel="0" collapsed="false">
      <c r="A5117" s="28" t="s">
        <v>205</v>
      </c>
      <c r="B5117" s="28" t="s">
        <v>206</v>
      </c>
      <c r="C5117" s="28" t="s">
        <v>202</v>
      </c>
      <c r="D5117" s="23" t="n">
        <v>15</v>
      </c>
      <c r="E5117" s="23" t="n">
        <v>15</v>
      </c>
      <c r="F5117" s="28" t="s">
        <v>907</v>
      </c>
      <c r="G5117" s="19" t="n">
        <v>0.0598</v>
      </c>
    </row>
    <row r="5118" customFormat="false" ht="15" hidden="false" customHeight="false" outlineLevel="0" collapsed="false">
      <c r="A5118" s="28" t="s">
        <v>205</v>
      </c>
      <c r="B5118" s="28" t="s">
        <v>206</v>
      </c>
      <c r="C5118" s="28" t="s">
        <v>202</v>
      </c>
      <c r="D5118" s="23" t="n">
        <v>15</v>
      </c>
      <c r="E5118" s="23" t="n">
        <v>15</v>
      </c>
      <c r="F5118" s="28" t="s">
        <v>908</v>
      </c>
      <c r="G5118" s="19" t="n">
        <v>0.059733</v>
      </c>
    </row>
    <row r="5119" customFormat="false" ht="15" hidden="false" customHeight="false" outlineLevel="0" collapsed="false">
      <c r="A5119" s="28" t="s">
        <v>205</v>
      </c>
      <c r="B5119" s="28" t="s">
        <v>206</v>
      </c>
      <c r="C5119" s="28" t="s">
        <v>202</v>
      </c>
      <c r="D5119" s="23" t="n">
        <v>15</v>
      </c>
      <c r="E5119" s="23" t="n">
        <v>15</v>
      </c>
      <c r="F5119" s="28" t="s">
        <v>909</v>
      </c>
      <c r="G5119" s="19" t="n">
        <v>0.058167</v>
      </c>
    </row>
    <row r="5120" customFormat="false" ht="15" hidden="false" customHeight="false" outlineLevel="0" collapsed="false">
      <c r="A5120" s="28" t="s">
        <v>205</v>
      </c>
      <c r="B5120" s="28" t="s">
        <v>206</v>
      </c>
      <c r="C5120" s="28" t="s">
        <v>202</v>
      </c>
      <c r="D5120" s="23" t="n">
        <v>15</v>
      </c>
      <c r="E5120" s="23" t="n">
        <v>15</v>
      </c>
      <c r="F5120" s="28" t="s">
        <v>910</v>
      </c>
      <c r="G5120" s="19" t="n">
        <v>0.055233</v>
      </c>
    </row>
    <row r="5121" customFormat="false" ht="15" hidden="false" customHeight="false" outlineLevel="0" collapsed="false">
      <c r="A5121" s="28" t="s">
        <v>205</v>
      </c>
      <c r="B5121" s="28" t="s">
        <v>206</v>
      </c>
      <c r="C5121" s="28" t="s">
        <v>202</v>
      </c>
      <c r="D5121" s="23" t="n">
        <v>15</v>
      </c>
      <c r="E5121" s="23" t="n">
        <v>15</v>
      </c>
      <c r="F5121" s="28" t="s">
        <v>911</v>
      </c>
      <c r="G5121" s="19" t="n">
        <v>0.053</v>
      </c>
    </row>
    <row r="5122" customFormat="false" ht="15" hidden="false" customHeight="false" outlineLevel="0" collapsed="false">
      <c r="A5122" s="28" t="s">
        <v>205</v>
      </c>
      <c r="B5122" s="28" t="s">
        <v>206</v>
      </c>
      <c r="C5122" s="28" t="s">
        <v>202</v>
      </c>
      <c r="D5122" s="23" t="n">
        <v>15</v>
      </c>
      <c r="E5122" s="23" t="n">
        <v>15</v>
      </c>
      <c r="F5122" s="28" t="s">
        <v>912</v>
      </c>
      <c r="G5122" s="19" t="n">
        <v>0.0494</v>
      </c>
    </row>
    <row r="5123" customFormat="false" ht="15" hidden="false" customHeight="false" outlineLevel="0" collapsed="false">
      <c r="A5123" s="28" t="s">
        <v>205</v>
      </c>
      <c r="B5123" s="28" t="s">
        <v>206</v>
      </c>
      <c r="C5123" s="28" t="s">
        <v>202</v>
      </c>
      <c r="D5123" s="23" t="n">
        <v>15</v>
      </c>
      <c r="E5123" s="23" t="n">
        <v>15</v>
      </c>
      <c r="F5123" s="28" t="s">
        <v>913</v>
      </c>
      <c r="G5123" s="19" t="n">
        <v>0.0543</v>
      </c>
    </row>
    <row r="5124" customFormat="false" ht="15" hidden="false" customHeight="false" outlineLevel="0" collapsed="false">
      <c r="A5124" s="28" t="s">
        <v>205</v>
      </c>
      <c r="B5124" s="28" t="s">
        <v>206</v>
      </c>
      <c r="C5124" s="28" t="s">
        <v>202</v>
      </c>
      <c r="D5124" s="23" t="n">
        <v>15</v>
      </c>
      <c r="E5124" s="23" t="n">
        <v>15</v>
      </c>
      <c r="F5124" s="28" t="s">
        <v>914</v>
      </c>
      <c r="G5124" s="19" t="n">
        <v>0.0541</v>
      </c>
    </row>
    <row r="5125" customFormat="false" ht="15" hidden="false" customHeight="false" outlineLevel="0" collapsed="false">
      <c r="A5125" s="28" t="s">
        <v>205</v>
      </c>
      <c r="B5125" s="28" t="s">
        <v>206</v>
      </c>
      <c r="C5125" s="28" t="s">
        <v>202</v>
      </c>
      <c r="D5125" s="23" t="n">
        <v>15</v>
      </c>
      <c r="E5125" s="23" t="n">
        <v>15</v>
      </c>
      <c r="F5125" s="28" t="s">
        <v>915</v>
      </c>
      <c r="G5125" s="19" t="n">
        <v>0.0699</v>
      </c>
    </row>
    <row r="5126" customFormat="false" ht="15" hidden="false" customHeight="false" outlineLevel="0" collapsed="false">
      <c r="A5126" s="28" t="s">
        <v>205</v>
      </c>
      <c r="B5126" s="28" t="s">
        <v>206</v>
      </c>
      <c r="C5126" s="28" t="s">
        <v>202</v>
      </c>
      <c r="D5126" s="23" t="n">
        <v>15</v>
      </c>
      <c r="E5126" s="23" t="n">
        <v>16</v>
      </c>
      <c r="F5126" s="28" t="s">
        <v>904</v>
      </c>
      <c r="G5126" s="19" t="n">
        <v>0.0563</v>
      </c>
    </row>
    <row r="5127" customFormat="false" ht="15" hidden="false" customHeight="false" outlineLevel="0" collapsed="false">
      <c r="A5127" s="28" t="s">
        <v>205</v>
      </c>
      <c r="B5127" s="28" t="s">
        <v>206</v>
      </c>
      <c r="C5127" s="28" t="s">
        <v>202</v>
      </c>
      <c r="D5127" s="23" t="n">
        <v>15</v>
      </c>
      <c r="E5127" s="23" t="n">
        <v>16</v>
      </c>
      <c r="F5127" s="28" t="s">
        <v>551</v>
      </c>
      <c r="G5127" s="19" t="n">
        <v>0.0875</v>
      </c>
    </row>
    <row r="5128" customFormat="false" ht="15" hidden="false" customHeight="false" outlineLevel="0" collapsed="false">
      <c r="A5128" s="28" t="s">
        <v>205</v>
      </c>
      <c r="B5128" s="28" t="s">
        <v>206</v>
      </c>
      <c r="C5128" s="28" t="s">
        <v>202</v>
      </c>
      <c r="D5128" s="23" t="n">
        <v>15</v>
      </c>
      <c r="E5128" s="23" t="n">
        <v>16</v>
      </c>
      <c r="F5128" s="28" t="s">
        <v>451</v>
      </c>
      <c r="G5128" s="19" t="n">
        <v>0.0561</v>
      </c>
    </row>
    <row r="5129" customFormat="false" ht="15" hidden="false" customHeight="false" outlineLevel="0" collapsed="false">
      <c r="A5129" s="28" t="s">
        <v>205</v>
      </c>
      <c r="B5129" s="28" t="s">
        <v>206</v>
      </c>
      <c r="C5129" s="28" t="s">
        <v>202</v>
      </c>
      <c r="D5129" s="23" t="n">
        <v>15</v>
      </c>
      <c r="E5129" s="23" t="n">
        <v>16</v>
      </c>
      <c r="F5129" s="28" t="s">
        <v>905</v>
      </c>
      <c r="G5129" s="19" t="n">
        <v>0.0587</v>
      </c>
    </row>
    <row r="5130" customFormat="false" ht="15" hidden="false" customHeight="false" outlineLevel="0" collapsed="false">
      <c r="A5130" s="28" t="s">
        <v>205</v>
      </c>
      <c r="B5130" s="28" t="s">
        <v>206</v>
      </c>
      <c r="C5130" s="28" t="s">
        <v>202</v>
      </c>
      <c r="D5130" s="23" t="n">
        <v>15</v>
      </c>
      <c r="E5130" s="23" t="n">
        <v>16</v>
      </c>
      <c r="F5130" s="28" t="s">
        <v>906</v>
      </c>
      <c r="G5130" s="19" t="n">
        <v>0.0601</v>
      </c>
    </row>
    <row r="5131" customFormat="false" ht="15" hidden="false" customHeight="false" outlineLevel="0" collapsed="false">
      <c r="A5131" s="28" t="s">
        <v>205</v>
      </c>
      <c r="B5131" s="28" t="s">
        <v>206</v>
      </c>
      <c r="C5131" s="28" t="s">
        <v>202</v>
      </c>
      <c r="D5131" s="23" t="n">
        <v>15</v>
      </c>
      <c r="E5131" s="23" t="n">
        <v>16</v>
      </c>
      <c r="F5131" s="28" t="s">
        <v>907</v>
      </c>
      <c r="G5131" s="19" t="n">
        <v>0.0598</v>
      </c>
    </row>
    <row r="5132" customFormat="false" ht="15" hidden="false" customHeight="false" outlineLevel="0" collapsed="false">
      <c r="A5132" s="28" t="s">
        <v>205</v>
      </c>
      <c r="B5132" s="28" t="s">
        <v>206</v>
      </c>
      <c r="C5132" s="28" t="s">
        <v>202</v>
      </c>
      <c r="D5132" s="23" t="n">
        <v>15</v>
      </c>
      <c r="E5132" s="23" t="n">
        <v>16</v>
      </c>
      <c r="F5132" s="28" t="s">
        <v>908</v>
      </c>
      <c r="G5132" s="19" t="n">
        <v>0.059733</v>
      </c>
    </row>
    <row r="5133" customFormat="false" ht="15" hidden="false" customHeight="false" outlineLevel="0" collapsed="false">
      <c r="A5133" s="28" t="s">
        <v>205</v>
      </c>
      <c r="B5133" s="28" t="s">
        <v>206</v>
      </c>
      <c r="C5133" s="28" t="s">
        <v>202</v>
      </c>
      <c r="D5133" s="23" t="n">
        <v>15</v>
      </c>
      <c r="E5133" s="23" t="n">
        <v>16</v>
      </c>
      <c r="F5133" s="28" t="s">
        <v>909</v>
      </c>
      <c r="G5133" s="19" t="n">
        <v>0.058167</v>
      </c>
    </row>
    <row r="5134" customFormat="false" ht="15" hidden="false" customHeight="false" outlineLevel="0" collapsed="false">
      <c r="A5134" s="28" t="s">
        <v>205</v>
      </c>
      <c r="B5134" s="28" t="s">
        <v>206</v>
      </c>
      <c r="C5134" s="28" t="s">
        <v>202</v>
      </c>
      <c r="D5134" s="23" t="n">
        <v>15</v>
      </c>
      <c r="E5134" s="23" t="n">
        <v>16</v>
      </c>
      <c r="F5134" s="28" t="s">
        <v>910</v>
      </c>
      <c r="G5134" s="19" t="n">
        <v>0.055233</v>
      </c>
    </row>
    <row r="5135" customFormat="false" ht="15" hidden="false" customHeight="false" outlineLevel="0" collapsed="false">
      <c r="A5135" s="28" t="s">
        <v>205</v>
      </c>
      <c r="B5135" s="28" t="s">
        <v>206</v>
      </c>
      <c r="C5135" s="28" t="s">
        <v>202</v>
      </c>
      <c r="D5135" s="23" t="n">
        <v>15</v>
      </c>
      <c r="E5135" s="23" t="n">
        <v>16</v>
      </c>
      <c r="F5135" s="28" t="s">
        <v>911</v>
      </c>
      <c r="G5135" s="19" t="n">
        <v>0.053</v>
      </c>
    </row>
    <row r="5136" customFormat="false" ht="15" hidden="false" customHeight="false" outlineLevel="0" collapsed="false">
      <c r="A5136" s="28" t="s">
        <v>205</v>
      </c>
      <c r="B5136" s="28" t="s">
        <v>206</v>
      </c>
      <c r="C5136" s="28" t="s">
        <v>202</v>
      </c>
      <c r="D5136" s="23" t="n">
        <v>15</v>
      </c>
      <c r="E5136" s="23" t="n">
        <v>16</v>
      </c>
      <c r="F5136" s="28" t="s">
        <v>912</v>
      </c>
      <c r="G5136" s="19" t="n">
        <v>0.0494</v>
      </c>
    </row>
    <row r="5137" customFormat="false" ht="15" hidden="false" customHeight="false" outlineLevel="0" collapsed="false">
      <c r="A5137" s="28" t="s">
        <v>205</v>
      </c>
      <c r="B5137" s="28" t="s">
        <v>206</v>
      </c>
      <c r="C5137" s="28" t="s">
        <v>202</v>
      </c>
      <c r="D5137" s="23" t="n">
        <v>15</v>
      </c>
      <c r="E5137" s="23" t="n">
        <v>16</v>
      </c>
      <c r="F5137" s="28" t="s">
        <v>913</v>
      </c>
      <c r="G5137" s="19" t="n">
        <v>0.0543</v>
      </c>
    </row>
    <row r="5138" customFormat="false" ht="15" hidden="false" customHeight="false" outlineLevel="0" collapsed="false">
      <c r="A5138" s="28" t="s">
        <v>205</v>
      </c>
      <c r="B5138" s="28" t="s">
        <v>206</v>
      </c>
      <c r="C5138" s="28" t="s">
        <v>202</v>
      </c>
      <c r="D5138" s="23" t="n">
        <v>15</v>
      </c>
      <c r="E5138" s="23" t="n">
        <v>16</v>
      </c>
      <c r="F5138" s="28" t="s">
        <v>914</v>
      </c>
      <c r="G5138" s="19" t="n">
        <v>0.0541</v>
      </c>
    </row>
    <row r="5139" customFormat="false" ht="15" hidden="false" customHeight="false" outlineLevel="0" collapsed="false">
      <c r="A5139" s="28" t="s">
        <v>205</v>
      </c>
      <c r="B5139" s="28" t="s">
        <v>206</v>
      </c>
      <c r="C5139" s="28" t="s">
        <v>202</v>
      </c>
      <c r="D5139" s="23" t="n">
        <v>15</v>
      </c>
      <c r="E5139" s="23" t="n">
        <v>16</v>
      </c>
      <c r="F5139" s="28" t="s">
        <v>915</v>
      </c>
      <c r="G5139" s="19" t="n">
        <v>0.0699</v>
      </c>
    </row>
    <row r="5140" customFormat="false" ht="15" hidden="false" customHeight="false" outlineLevel="0" collapsed="false">
      <c r="A5140" s="28" t="s">
        <v>205</v>
      </c>
      <c r="B5140" s="28" t="s">
        <v>206</v>
      </c>
      <c r="C5140" s="28" t="s">
        <v>202</v>
      </c>
      <c r="D5140" s="23" t="n">
        <v>15</v>
      </c>
      <c r="E5140" s="23" t="n">
        <v>17</v>
      </c>
      <c r="F5140" s="28" t="s">
        <v>904</v>
      </c>
      <c r="G5140" s="19" t="n">
        <v>0.0563</v>
      </c>
    </row>
    <row r="5141" customFormat="false" ht="15" hidden="false" customHeight="false" outlineLevel="0" collapsed="false">
      <c r="A5141" s="28" t="s">
        <v>205</v>
      </c>
      <c r="B5141" s="28" t="s">
        <v>206</v>
      </c>
      <c r="C5141" s="28" t="s">
        <v>202</v>
      </c>
      <c r="D5141" s="23" t="n">
        <v>15</v>
      </c>
      <c r="E5141" s="23" t="n">
        <v>17</v>
      </c>
      <c r="F5141" s="28" t="s">
        <v>551</v>
      </c>
      <c r="G5141" s="19" t="n">
        <v>0.0875</v>
      </c>
    </row>
    <row r="5142" customFormat="false" ht="15" hidden="false" customHeight="false" outlineLevel="0" collapsed="false">
      <c r="A5142" s="28" t="s">
        <v>205</v>
      </c>
      <c r="B5142" s="28" t="s">
        <v>206</v>
      </c>
      <c r="C5142" s="28" t="s">
        <v>202</v>
      </c>
      <c r="D5142" s="23" t="n">
        <v>15</v>
      </c>
      <c r="E5142" s="23" t="n">
        <v>17</v>
      </c>
      <c r="F5142" s="28" t="s">
        <v>451</v>
      </c>
      <c r="G5142" s="19" t="n">
        <v>0.0561</v>
      </c>
    </row>
    <row r="5143" customFormat="false" ht="15" hidden="false" customHeight="false" outlineLevel="0" collapsed="false">
      <c r="A5143" s="28" t="s">
        <v>205</v>
      </c>
      <c r="B5143" s="28" t="s">
        <v>206</v>
      </c>
      <c r="C5143" s="28" t="s">
        <v>202</v>
      </c>
      <c r="D5143" s="23" t="n">
        <v>15</v>
      </c>
      <c r="E5143" s="23" t="n">
        <v>17</v>
      </c>
      <c r="F5143" s="28" t="s">
        <v>905</v>
      </c>
      <c r="G5143" s="19" t="n">
        <v>0.0587</v>
      </c>
    </row>
    <row r="5144" customFormat="false" ht="15" hidden="false" customHeight="false" outlineLevel="0" collapsed="false">
      <c r="A5144" s="28" t="s">
        <v>205</v>
      </c>
      <c r="B5144" s="28" t="s">
        <v>206</v>
      </c>
      <c r="C5144" s="28" t="s">
        <v>202</v>
      </c>
      <c r="D5144" s="23" t="n">
        <v>15</v>
      </c>
      <c r="E5144" s="23" t="n">
        <v>17</v>
      </c>
      <c r="F5144" s="28" t="s">
        <v>906</v>
      </c>
      <c r="G5144" s="19" t="n">
        <v>0.0601</v>
      </c>
    </row>
    <row r="5145" customFormat="false" ht="15" hidden="false" customHeight="false" outlineLevel="0" collapsed="false">
      <c r="A5145" s="28" t="s">
        <v>205</v>
      </c>
      <c r="B5145" s="28" t="s">
        <v>206</v>
      </c>
      <c r="C5145" s="28" t="s">
        <v>202</v>
      </c>
      <c r="D5145" s="23" t="n">
        <v>15</v>
      </c>
      <c r="E5145" s="23" t="n">
        <v>17</v>
      </c>
      <c r="F5145" s="28" t="s">
        <v>907</v>
      </c>
      <c r="G5145" s="19" t="n">
        <v>0.0598</v>
      </c>
    </row>
    <row r="5146" customFormat="false" ht="15" hidden="false" customHeight="false" outlineLevel="0" collapsed="false">
      <c r="A5146" s="28" t="s">
        <v>205</v>
      </c>
      <c r="B5146" s="28" t="s">
        <v>206</v>
      </c>
      <c r="C5146" s="28" t="s">
        <v>202</v>
      </c>
      <c r="D5146" s="23" t="n">
        <v>15</v>
      </c>
      <c r="E5146" s="23" t="n">
        <v>17</v>
      </c>
      <c r="F5146" s="28" t="s">
        <v>908</v>
      </c>
      <c r="G5146" s="19" t="n">
        <v>0.059733</v>
      </c>
    </row>
    <row r="5147" customFormat="false" ht="15" hidden="false" customHeight="false" outlineLevel="0" collapsed="false">
      <c r="A5147" s="28" t="s">
        <v>205</v>
      </c>
      <c r="B5147" s="28" t="s">
        <v>206</v>
      </c>
      <c r="C5147" s="28" t="s">
        <v>202</v>
      </c>
      <c r="D5147" s="23" t="n">
        <v>15</v>
      </c>
      <c r="E5147" s="23" t="n">
        <v>17</v>
      </c>
      <c r="F5147" s="28" t="s">
        <v>909</v>
      </c>
      <c r="G5147" s="19" t="n">
        <v>0.058167</v>
      </c>
    </row>
    <row r="5148" customFormat="false" ht="15" hidden="false" customHeight="false" outlineLevel="0" collapsed="false">
      <c r="A5148" s="28" t="s">
        <v>205</v>
      </c>
      <c r="B5148" s="28" t="s">
        <v>206</v>
      </c>
      <c r="C5148" s="28" t="s">
        <v>202</v>
      </c>
      <c r="D5148" s="23" t="n">
        <v>15</v>
      </c>
      <c r="E5148" s="23" t="n">
        <v>17</v>
      </c>
      <c r="F5148" s="28" t="s">
        <v>910</v>
      </c>
      <c r="G5148" s="19" t="n">
        <v>0.055233</v>
      </c>
    </row>
    <row r="5149" customFormat="false" ht="15" hidden="false" customHeight="false" outlineLevel="0" collapsed="false">
      <c r="A5149" s="28" t="s">
        <v>205</v>
      </c>
      <c r="B5149" s="28" t="s">
        <v>206</v>
      </c>
      <c r="C5149" s="28" t="s">
        <v>202</v>
      </c>
      <c r="D5149" s="23" t="n">
        <v>15</v>
      </c>
      <c r="E5149" s="23" t="n">
        <v>17</v>
      </c>
      <c r="F5149" s="28" t="s">
        <v>911</v>
      </c>
      <c r="G5149" s="19" t="n">
        <v>0.053</v>
      </c>
    </row>
    <row r="5150" customFormat="false" ht="15" hidden="false" customHeight="false" outlineLevel="0" collapsed="false">
      <c r="A5150" s="28" t="s">
        <v>205</v>
      </c>
      <c r="B5150" s="28" t="s">
        <v>206</v>
      </c>
      <c r="C5150" s="28" t="s">
        <v>202</v>
      </c>
      <c r="D5150" s="23" t="n">
        <v>15</v>
      </c>
      <c r="E5150" s="23" t="n">
        <v>17</v>
      </c>
      <c r="F5150" s="28" t="s">
        <v>912</v>
      </c>
      <c r="G5150" s="19" t="n">
        <v>0.0494</v>
      </c>
    </row>
    <row r="5151" customFormat="false" ht="15" hidden="false" customHeight="false" outlineLevel="0" collapsed="false">
      <c r="A5151" s="28" t="s">
        <v>205</v>
      </c>
      <c r="B5151" s="28" t="s">
        <v>206</v>
      </c>
      <c r="C5151" s="28" t="s">
        <v>202</v>
      </c>
      <c r="D5151" s="23" t="n">
        <v>15</v>
      </c>
      <c r="E5151" s="23" t="n">
        <v>17</v>
      </c>
      <c r="F5151" s="28" t="s">
        <v>913</v>
      </c>
      <c r="G5151" s="19" t="n">
        <v>0.0543</v>
      </c>
    </row>
    <row r="5152" customFormat="false" ht="15" hidden="false" customHeight="false" outlineLevel="0" collapsed="false">
      <c r="A5152" s="28" t="s">
        <v>205</v>
      </c>
      <c r="B5152" s="28" t="s">
        <v>206</v>
      </c>
      <c r="C5152" s="28" t="s">
        <v>202</v>
      </c>
      <c r="D5152" s="23" t="n">
        <v>15</v>
      </c>
      <c r="E5152" s="23" t="n">
        <v>17</v>
      </c>
      <c r="F5152" s="28" t="s">
        <v>914</v>
      </c>
      <c r="G5152" s="19" t="n">
        <v>0.0541</v>
      </c>
    </row>
    <row r="5153" customFormat="false" ht="15" hidden="false" customHeight="false" outlineLevel="0" collapsed="false">
      <c r="A5153" s="28" t="s">
        <v>205</v>
      </c>
      <c r="B5153" s="28" t="s">
        <v>206</v>
      </c>
      <c r="C5153" s="28" t="s">
        <v>202</v>
      </c>
      <c r="D5153" s="23" t="n">
        <v>15</v>
      </c>
      <c r="E5153" s="23" t="n">
        <v>17</v>
      </c>
      <c r="F5153" s="28" t="s">
        <v>915</v>
      </c>
      <c r="G5153" s="19" t="n">
        <v>0.0699</v>
      </c>
    </row>
    <row r="5154" customFormat="false" ht="15" hidden="false" customHeight="false" outlineLevel="0" collapsed="false">
      <c r="A5154" s="28" t="s">
        <v>205</v>
      </c>
      <c r="B5154" s="28" t="s">
        <v>206</v>
      </c>
      <c r="C5154" s="28" t="s">
        <v>202</v>
      </c>
      <c r="D5154" s="23" t="n">
        <v>15</v>
      </c>
      <c r="E5154" s="23" t="n">
        <v>18</v>
      </c>
      <c r="F5154" s="28" t="s">
        <v>904</v>
      </c>
      <c r="G5154" s="19" t="n">
        <v>0.0563</v>
      </c>
    </row>
    <row r="5155" customFormat="false" ht="15" hidden="false" customHeight="false" outlineLevel="0" collapsed="false">
      <c r="A5155" s="28" t="s">
        <v>205</v>
      </c>
      <c r="B5155" s="28" t="s">
        <v>206</v>
      </c>
      <c r="C5155" s="28" t="s">
        <v>202</v>
      </c>
      <c r="D5155" s="23" t="n">
        <v>15</v>
      </c>
      <c r="E5155" s="23" t="n">
        <v>18</v>
      </c>
      <c r="F5155" s="28" t="s">
        <v>551</v>
      </c>
      <c r="G5155" s="19" t="n">
        <v>0.0875</v>
      </c>
    </row>
    <row r="5156" customFormat="false" ht="15" hidden="false" customHeight="false" outlineLevel="0" collapsed="false">
      <c r="A5156" s="28" t="s">
        <v>205</v>
      </c>
      <c r="B5156" s="28" t="s">
        <v>206</v>
      </c>
      <c r="C5156" s="28" t="s">
        <v>202</v>
      </c>
      <c r="D5156" s="23" t="n">
        <v>15</v>
      </c>
      <c r="E5156" s="23" t="n">
        <v>18</v>
      </c>
      <c r="F5156" s="28" t="s">
        <v>451</v>
      </c>
      <c r="G5156" s="19" t="n">
        <v>0.0561</v>
      </c>
    </row>
    <row r="5157" customFormat="false" ht="15" hidden="false" customHeight="false" outlineLevel="0" collapsed="false">
      <c r="A5157" s="28" t="s">
        <v>205</v>
      </c>
      <c r="B5157" s="28" t="s">
        <v>206</v>
      </c>
      <c r="C5157" s="28" t="s">
        <v>202</v>
      </c>
      <c r="D5157" s="23" t="n">
        <v>15</v>
      </c>
      <c r="E5157" s="23" t="n">
        <v>18</v>
      </c>
      <c r="F5157" s="28" t="s">
        <v>905</v>
      </c>
      <c r="G5157" s="19" t="n">
        <v>0.0587</v>
      </c>
    </row>
    <row r="5158" customFormat="false" ht="15" hidden="false" customHeight="false" outlineLevel="0" collapsed="false">
      <c r="A5158" s="28" t="s">
        <v>205</v>
      </c>
      <c r="B5158" s="28" t="s">
        <v>206</v>
      </c>
      <c r="C5158" s="28" t="s">
        <v>202</v>
      </c>
      <c r="D5158" s="23" t="n">
        <v>15</v>
      </c>
      <c r="E5158" s="23" t="n">
        <v>18</v>
      </c>
      <c r="F5158" s="28" t="s">
        <v>906</v>
      </c>
      <c r="G5158" s="19" t="n">
        <v>0.0601</v>
      </c>
    </row>
    <row r="5159" customFormat="false" ht="15" hidden="false" customHeight="false" outlineLevel="0" collapsed="false">
      <c r="A5159" s="28" t="s">
        <v>205</v>
      </c>
      <c r="B5159" s="28" t="s">
        <v>206</v>
      </c>
      <c r="C5159" s="28" t="s">
        <v>202</v>
      </c>
      <c r="D5159" s="23" t="n">
        <v>15</v>
      </c>
      <c r="E5159" s="23" t="n">
        <v>18</v>
      </c>
      <c r="F5159" s="28" t="s">
        <v>907</v>
      </c>
      <c r="G5159" s="19" t="n">
        <v>0.0598</v>
      </c>
    </row>
    <row r="5160" customFormat="false" ht="15" hidden="false" customHeight="false" outlineLevel="0" collapsed="false">
      <c r="A5160" s="28" t="s">
        <v>205</v>
      </c>
      <c r="B5160" s="28" t="s">
        <v>206</v>
      </c>
      <c r="C5160" s="28" t="s">
        <v>202</v>
      </c>
      <c r="D5160" s="23" t="n">
        <v>15</v>
      </c>
      <c r="E5160" s="23" t="n">
        <v>18</v>
      </c>
      <c r="F5160" s="28" t="s">
        <v>908</v>
      </c>
      <c r="G5160" s="19" t="n">
        <v>0.059733</v>
      </c>
    </row>
    <row r="5161" customFormat="false" ht="15" hidden="false" customHeight="false" outlineLevel="0" collapsed="false">
      <c r="A5161" s="28" t="s">
        <v>205</v>
      </c>
      <c r="B5161" s="28" t="s">
        <v>206</v>
      </c>
      <c r="C5161" s="28" t="s">
        <v>202</v>
      </c>
      <c r="D5161" s="23" t="n">
        <v>15</v>
      </c>
      <c r="E5161" s="23" t="n">
        <v>18</v>
      </c>
      <c r="F5161" s="28" t="s">
        <v>909</v>
      </c>
      <c r="G5161" s="19" t="n">
        <v>0.058167</v>
      </c>
    </row>
    <row r="5162" customFormat="false" ht="15" hidden="false" customHeight="false" outlineLevel="0" collapsed="false">
      <c r="A5162" s="28" t="s">
        <v>205</v>
      </c>
      <c r="B5162" s="28" t="s">
        <v>206</v>
      </c>
      <c r="C5162" s="28" t="s">
        <v>202</v>
      </c>
      <c r="D5162" s="23" t="n">
        <v>15</v>
      </c>
      <c r="E5162" s="23" t="n">
        <v>18</v>
      </c>
      <c r="F5162" s="28" t="s">
        <v>910</v>
      </c>
      <c r="G5162" s="19" t="n">
        <v>0.055233</v>
      </c>
    </row>
    <row r="5163" customFormat="false" ht="15" hidden="false" customHeight="false" outlineLevel="0" collapsed="false">
      <c r="A5163" s="28" t="s">
        <v>205</v>
      </c>
      <c r="B5163" s="28" t="s">
        <v>206</v>
      </c>
      <c r="C5163" s="28" t="s">
        <v>202</v>
      </c>
      <c r="D5163" s="23" t="n">
        <v>15</v>
      </c>
      <c r="E5163" s="23" t="n">
        <v>18</v>
      </c>
      <c r="F5163" s="28" t="s">
        <v>911</v>
      </c>
      <c r="G5163" s="19" t="n">
        <v>0.053</v>
      </c>
    </row>
    <row r="5164" customFormat="false" ht="15" hidden="false" customHeight="false" outlineLevel="0" collapsed="false">
      <c r="A5164" s="28" t="s">
        <v>205</v>
      </c>
      <c r="B5164" s="28" t="s">
        <v>206</v>
      </c>
      <c r="C5164" s="28" t="s">
        <v>202</v>
      </c>
      <c r="D5164" s="23" t="n">
        <v>15</v>
      </c>
      <c r="E5164" s="23" t="n">
        <v>18</v>
      </c>
      <c r="F5164" s="28" t="s">
        <v>912</v>
      </c>
      <c r="G5164" s="19" t="n">
        <v>0.0494</v>
      </c>
    </row>
    <row r="5165" customFormat="false" ht="15" hidden="false" customHeight="false" outlineLevel="0" collapsed="false">
      <c r="A5165" s="28" t="s">
        <v>205</v>
      </c>
      <c r="B5165" s="28" t="s">
        <v>206</v>
      </c>
      <c r="C5165" s="28" t="s">
        <v>202</v>
      </c>
      <c r="D5165" s="23" t="n">
        <v>15</v>
      </c>
      <c r="E5165" s="23" t="n">
        <v>18</v>
      </c>
      <c r="F5165" s="28" t="s">
        <v>913</v>
      </c>
      <c r="G5165" s="19" t="n">
        <v>0.0543</v>
      </c>
    </row>
    <row r="5166" customFormat="false" ht="15" hidden="false" customHeight="false" outlineLevel="0" collapsed="false">
      <c r="A5166" s="28" t="s">
        <v>205</v>
      </c>
      <c r="B5166" s="28" t="s">
        <v>206</v>
      </c>
      <c r="C5166" s="28" t="s">
        <v>202</v>
      </c>
      <c r="D5166" s="23" t="n">
        <v>15</v>
      </c>
      <c r="E5166" s="23" t="n">
        <v>18</v>
      </c>
      <c r="F5166" s="28" t="s">
        <v>914</v>
      </c>
      <c r="G5166" s="19" t="n">
        <v>0.0541</v>
      </c>
    </row>
    <row r="5167" customFormat="false" ht="15" hidden="false" customHeight="false" outlineLevel="0" collapsed="false">
      <c r="A5167" s="28" t="s">
        <v>205</v>
      </c>
      <c r="B5167" s="28" t="s">
        <v>206</v>
      </c>
      <c r="C5167" s="28" t="s">
        <v>202</v>
      </c>
      <c r="D5167" s="23" t="n">
        <v>15</v>
      </c>
      <c r="E5167" s="23" t="n">
        <v>18</v>
      </c>
      <c r="F5167" s="28" t="s">
        <v>915</v>
      </c>
      <c r="G5167" s="19" t="n">
        <v>0.0699</v>
      </c>
    </row>
    <row r="5168" customFormat="false" ht="15" hidden="false" customHeight="false" outlineLevel="0" collapsed="false">
      <c r="A5168" s="28" t="s">
        <v>205</v>
      </c>
      <c r="B5168" s="28" t="s">
        <v>206</v>
      </c>
      <c r="C5168" s="28" t="s">
        <v>202</v>
      </c>
      <c r="D5168" s="23" t="n">
        <v>15</v>
      </c>
      <c r="E5168" s="23" t="n">
        <v>19</v>
      </c>
      <c r="F5168" s="28" t="s">
        <v>904</v>
      </c>
      <c r="G5168" s="19" t="n">
        <v>0.0563</v>
      </c>
    </row>
    <row r="5169" customFormat="false" ht="15" hidden="false" customHeight="false" outlineLevel="0" collapsed="false">
      <c r="A5169" s="28" t="s">
        <v>205</v>
      </c>
      <c r="B5169" s="28" t="s">
        <v>206</v>
      </c>
      <c r="C5169" s="28" t="s">
        <v>202</v>
      </c>
      <c r="D5169" s="23" t="n">
        <v>15</v>
      </c>
      <c r="E5169" s="23" t="n">
        <v>19</v>
      </c>
      <c r="F5169" s="28" t="s">
        <v>551</v>
      </c>
      <c r="G5169" s="19" t="n">
        <v>0.0875</v>
      </c>
    </row>
    <row r="5170" customFormat="false" ht="15" hidden="false" customHeight="false" outlineLevel="0" collapsed="false">
      <c r="A5170" s="28" t="s">
        <v>205</v>
      </c>
      <c r="B5170" s="28" t="s">
        <v>206</v>
      </c>
      <c r="C5170" s="28" t="s">
        <v>202</v>
      </c>
      <c r="D5170" s="23" t="n">
        <v>15</v>
      </c>
      <c r="E5170" s="23" t="n">
        <v>19</v>
      </c>
      <c r="F5170" s="28" t="s">
        <v>451</v>
      </c>
      <c r="G5170" s="19" t="n">
        <v>0.0561</v>
      </c>
    </row>
    <row r="5171" customFormat="false" ht="15" hidden="false" customHeight="false" outlineLevel="0" collapsed="false">
      <c r="A5171" s="28" t="s">
        <v>205</v>
      </c>
      <c r="B5171" s="28" t="s">
        <v>206</v>
      </c>
      <c r="C5171" s="28" t="s">
        <v>202</v>
      </c>
      <c r="D5171" s="23" t="n">
        <v>15</v>
      </c>
      <c r="E5171" s="23" t="n">
        <v>19</v>
      </c>
      <c r="F5171" s="28" t="s">
        <v>905</v>
      </c>
      <c r="G5171" s="19" t="n">
        <v>0.0587</v>
      </c>
    </row>
    <row r="5172" customFormat="false" ht="15" hidden="false" customHeight="false" outlineLevel="0" collapsed="false">
      <c r="A5172" s="28" t="s">
        <v>205</v>
      </c>
      <c r="B5172" s="28" t="s">
        <v>206</v>
      </c>
      <c r="C5172" s="28" t="s">
        <v>202</v>
      </c>
      <c r="D5172" s="23" t="n">
        <v>15</v>
      </c>
      <c r="E5172" s="23" t="n">
        <v>19</v>
      </c>
      <c r="F5172" s="28" t="s">
        <v>906</v>
      </c>
      <c r="G5172" s="19" t="n">
        <v>0.0601</v>
      </c>
    </row>
    <row r="5173" customFormat="false" ht="15" hidden="false" customHeight="false" outlineLevel="0" collapsed="false">
      <c r="A5173" s="28" t="s">
        <v>205</v>
      </c>
      <c r="B5173" s="28" t="s">
        <v>206</v>
      </c>
      <c r="C5173" s="28" t="s">
        <v>202</v>
      </c>
      <c r="D5173" s="23" t="n">
        <v>15</v>
      </c>
      <c r="E5173" s="23" t="n">
        <v>19</v>
      </c>
      <c r="F5173" s="28" t="s">
        <v>907</v>
      </c>
      <c r="G5173" s="19" t="n">
        <v>0.0598</v>
      </c>
    </row>
    <row r="5174" customFormat="false" ht="15" hidden="false" customHeight="false" outlineLevel="0" collapsed="false">
      <c r="A5174" s="28" t="s">
        <v>205</v>
      </c>
      <c r="B5174" s="28" t="s">
        <v>206</v>
      </c>
      <c r="C5174" s="28" t="s">
        <v>202</v>
      </c>
      <c r="D5174" s="23" t="n">
        <v>15</v>
      </c>
      <c r="E5174" s="23" t="n">
        <v>19</v>
      </c>
      <c r="F5174" s="28" t="s">
        <v>908</v>
      </c>
      <c r="G5174" s="19" t="n">
        <v>0.059733</v>
      </c>
    </row>
    <row r="5175" customFormat="false" ht="15" hidden="false" customHeight="false" outlineLevel="0" collapsed="false">
      <c r="A5175" s="28" t="s">
        <v>205</v>
      </c>
      <c r="B5175" s="28" t="s">
        <v>206</v>
      </c>
      <c r="C5175" s="28" t="s">
        <v>202</v>
      </c>
      <c r="D5175" s="23" t="n">
        <v>15</v>
      </c>
      <c r="E5175" s="23" t="n">
        <v>19</v>
      </c>
      <c r="F5175" s="28" t="s">
        <v>909</v>
      </c>
      <c r="G5175" s="19" t="n">
        <v>0.058167</v>
      </c>
    </row>
    <row r="5176" customFormat="false" ht="15" hidden="false" customHeight="false" outlineLevel="0" collapsed="false">
      <c r="A5176" s="28" t="s">
        <v>205</v>
      </c>
      <c r="B5176" s="28" t="s">
        <v>206</v>
      </c>
      <c r="C5176" s="28" t="s">
        <v>202</v>
      </c>
      <c r="D5176" s="23" t="n">
        <v>15</v>
      </c>
      <c r="E5176" s="23" t="n">
        <v>19</v>
      </c>
      <c r="F5176" s="28" t="s">
        <v>910</v>
      </c>
      <c r="G5176" s="19" t="n">
        <v>0.055233</v>
      </c>
    </row>
    <row r="5177" customFormat="false" ht="15" hidden="false" customHeight="false" outlineLevel="0" collapsed="false">
      <c r="A5177" s="28" t="s">
        <v>205</v>
      </c>
      <c r="B5177" s="28" t="s">
        <v>206</v>
      </c>
      <c r="C5177" s="28" t="s">
        <v>202</v>
      </c>
      <c r="D5177" s="23" t="n">
        <v>15</v>
      </c>
      <c r="E5177" s="23" t="n">
        <v>19</v>
      </c>
      <c r="F5177" s="28" t="s">
        <v>911</v>
      </c>
      <c r="G5177" s="19" t="n">
        <v>0.053</v>
      </c>
    </row>
    <row r="5178" customFormat="false" ht="15" hidden="false" customHeight="false" outlineLevel="0" collapsed="false">
      <c r="A5178" s="28" t="s">
        <v>205</v>
      </c>
      <c r="B5178" s="28" t="s">
        <v>206</v>
      </c>
      <c r="C5178" s="28" t="s">
        <v>202</v>
      </c>
      <c r="D5178" s="23" t="n">
        <v>15</v>
      </c>
      <c r="E5178" s="23" t="n">
        <v>19</v>
      </c>
      <c r="F5178" s="28" t="s">
        <v>912</v>
      </c>
      <c r="G5178" s="19" t="n">
        <v>0.0494</v>
      </c>
    </row>
    <row r="5179" customFormat="false" ht="15" hidden="false" customHeight="false" outlineLevel="0" collapsed="false">
      <c r="A5179" s="28" t="s">
        <v>205</v>
      </c>
      <c r="B5179" s="28" t="s">
        <v>206</v>
      </c>
      <c r="C5179" s="28" t="s">
        <v>202</v>
      </c>
      <c r="D5179" s="23" t="n">
        <v>15</v>
      </c>
      <c r="E5179" s="23" t="n">
        <v>19</v>
      </c>
      <c r="F5179" s="28" t="s">
        <v>913</v>
      </c>
      <c r="G5179" s="19" t="n">
        <v>0.0543</v>
      </c>
    </row>
    <row r="5180" customFormat="false" ht="15" hidden="false" customHeight="false" outlineLevel="0" collapsed="false">
      <c r="A5180" s="28" t="s">
        <v>205</v>
      </c>
      <c r="B5180" s="28" t="s">
        <v>206</v>
      </c>
      <c r="C5180" s="28" t="s">
        <v>202</v>
      </c>
      <c r="D5180" s="23" t="n">
        <v>15</v>
      </c>
      <c r="E5180" s="23" t="n">
        <v>19</v>
      </c>
      <c r="F5180" s="28" t="s">
        <v>914</v>
      </c>
      <c r="G5180" s="19" t="n">
        <v>0.0541</v>
      </c>
    </row>
    <row r="5181" customFormat="false" ht="15" hidden="false" customHeight="false" outlineLevel="0" collapsed="false">
      <c r="A5181" s="28" t="s">
        <v>205</v>
      </c>
      <c r="B5181" s="28" t="s">
        <v>206</v>
      </c>
      <c r="C5181" s="28" t="s">
        <v>202</v>
      </c>
      <c r="D5181" s="23" t="n">
        <v>15</v>
      </c>
      <c r="E5181" s="23" t="n">
        <v>19</v>
      </c>
      <c r="F5181" s="28" t="s">
        <v>915</v>
      </c>
      <c r="G5181" s="19" t="n">
        <v>0.0699</v>
      </c>
    </row>
    <row r="5182" customFormat="false" ht="15" hidden="false" customHeight="false" outlineLevel="0" collapsed="false">
      <c r="A5182" s="28" t="s">
        <v>205</v>
      </c>
      <c r="B5182" s="28" t="s">
        <v>206</v>
      </c>
      <c r="C5182" s="28" t="s">
        <v>202</v>
      </c>
      <c r="D5182" s="23" t="n">
        <v>15</v>
      </c>
      <c r="E5182" s="23" t="n">
        <v>20</v>
      </c>
      <c r="F5182" s="28" t="s">
        <v>904</v>
      </c>
      <c r="G5182" s="19" t="n">
        <v>0.0563</v>
      </c>
    </row>
    <row r="5183" customFormat="false" ht="15" hidden="false" customHeight="false" outlineLevel="0" collapsed="false">
      <c r="A5183" s="28" t="s">
        <v>205</v>
      </c>
      <c r="B5183" s="28" t="s">
        <v>206</v>
      </c>
      <c r="C5183" s="28" t="s">
        <v>202</v>
      </c>
      <c r="D5183" s="23" t="n">
        <v>15</v>
      </c>
      <c r="E5183" s="23" t="n">
        <v>20</v>
      </c>
      <c r="F5183" s="28" t="s">
        <v>551</v>
      </c>
      <c r="G5183" s="19" t="n">
        <v>0.0875</v>
      </c>
    </row>
    <row r="5184" customFormat="false" ht="15" hidden="false" customHeight="false" outlineLevel="0" collapsed="false">
      <c r="A5184" s="28" t="s">
        <v>205</v>
      </c>
      <c r="B5184" s="28" t="s">
        <v>206</v>
      </c>
      <c r="C5184" s="28" t="s">
        <v>202</v>
      </c>
      <c r="D5184" s="23" t="n">
        <v>15</v>
      </c>
      <c r="E5184" s="23" t="n">
        <v>20</v>
      </c>
      <c r="F5184" s="28" t="s">
        <v>451</v>
      </c>
      <c r="G5184" s="19" t="n">
        <v>0.0561</v>
      </c>
    </row>
    <row r="5185" customFormat="false" ht="15" hidden="false" customHeight="false" outlineLevel="0" collapsed="false">
      <c r="A5185" s="28" t="s">
        <v>205</v>
      </c>
      <c r="B5185" s="28" t="s">
        <v>206</v>
      </c>
      <c r="C5185" s="28" t="s">
        <v>202</v>
      </c>
      <c r="D5185" s="23" t="n">
        <v>15</v>
      </c>
      <c r="E5185" s="23" t="n">
        <v>20</v>
      </c>
      <c r="F5185" s="28" t="s">
        <v>905</v>
      </c>
      <c r="G5185" s="19" t="n">
        <v>0.0587</v>
      </c>
    </row>
    <row r="5186" customFormat="false" ht="15" hidden="false" customHeight="false" outlineLevel="0" collapsed="false">
      <c r="A5186" s="28" t="s">
        <v>205</v>
      </c>
      <c r="B5186" s="28" t="s">
        <v>206</v>
      </c>
      <c r="C5186" s="28" t="s">
        <v>202</v>
      </c>
      <c r="D5186" s="23" t="n">
        <v>15</v>
      </c>
      <c r="E5186" s="23" t="n">
        <v>20</v>
      </c>
      <c r="F5186" s="28" t="s">
        <v>906</v>
      </c>
      <c r="G5186" s="19" t="n">
        <v>0.0601</v>
      </c>
    </row>
    <row r="5187" customFormat="false" ht="15" hidden="false" customHeight="false" outlineLevel="0" collapsed="false">
      <c r="A5187" s="28" t="s">
        <v>205</v>
      </c>
      <c r="B5187" s="28" t="s">
        <v>206</v>
      </c>
      <c r="C5187" s="28" t="s">
        <v>202</v>
      </c>
      <c r="D5187" s="23" t="n">
        <v>15</v>
      </c>
      <c r="E5187" s="23" t="n">
        <v>20</v>
      </c>
      <c r="F5187" s="28" t="s">
        <v>907</v>
      </c>
      <c r="G5187" s="19" t="n">
        <v>0.0598</v>
      </c>
    </row>
    <row r="5188" customFormat="false" ht="15" hidden="false" customHeight="false" outlineLevel="0" collapsed="false">
      <c r="A5188" s="28" t="s">
        <v>205</v>
      </c>
      <c r="B5188" s="28" t="s">
        <v>206</v>
      </c>
      <c r="C5188" s="28" t="s">
        <v>202</v>
      </c>
      <c r="D5188" s="23" t="n">
        <v>15</v>
      </c>
      <c r="E5188" s="23" t="n">
        <v>20</v>
      </c>
      <c r="F5188" s="28" t="s">
        <v>908</v>
      </c>
      <c r="G5188" s="19" t="n">
        <v>0.059733</v>
      </c>
    </row>
    <row r="5189" customFormat="false" ht="15" hidden="false" customHeight="false" outlineLevel="0" collapsed="false">
      <c r="A5189" s="28" t="s">
        <v>205</v>
      </c>
      <c r="B5189" s="28" t="s">
        <v>206</v>
      </c>
      <c r="C5189" s="28" t="s">
        <v>202</v>
      </c>
      <c r="D5189" s="23" t="n">
        <v>15</v>
      </c>
      <c r="E5189" s="23" t="n">
        <v>20</v>
      </c>
      <c r="F5189" s="28" t="s">
        <v>909</v>
      </c>
      <c r="G5189" s="19" t="n">
        <v>0.058167</v>
      </c>
    </row>
    <row r="5190" customFormat="false" ht="15" hidden="false" customHeight="false" outlineLevel="0" collapsed="false">
      <c r="A5190" s="28" t="s">
        <v>205</v>
      </c>
      <c r="B5190" s="28" t="s">
        <v>206</v>
      </c>
      <c r="C5190" s="28" t="s">
        <v>202</v>
      </c>
      <c r="D5190" s="23" t="n">
        <v>15</v>
      </c>
      <c r="E5190" s="23" t="n">
        <v>20</v>
      </c>
      <c r="F5190" s="28" t="s">
        <v>910</v>
      </c>
      <c r="G5190" s="19" t="n">
        <v>0.055233</v>
      </c>
    </row>
    <row r="5191" customFormat="false" ht="15" hidden="false" customHeight="false" outlineLevel="0" collapsed="false">
      <c r="A5191" s="28" t="s">
        <v>205</v>
      </c>
      <c r="B5191" s="28" t="s">
        <v>206</v>
      </c>
      <c r="C5191" s="28" t="s">
        <v>202</v>
      </c>
      <c r="D5191" s="23" t="n">
        <v>15</v>
      </c>
      <c r="E5191" s="23" t="n">
        <v>20</v>
      </c>
      <c r="F5191" s="28" t="s">
        <v>911</v>
      </c>
      <c r="G5191" s="19" t="n">
        <v>0.053</v>
      </c>
    </row>
    <row r="5192" customFormat="false" ht="15" hidden="false" customHeight="false" outlineLevel="0" collapsed="false">
      <c r="A5192" s="28" t="s">
        <v>205</v>
      </c>
      <c r="B5192" s="28" t="s">
        <v>206</v>
      </c>
      <c r="C5192" s="28" t="s">
        <v>202</v>
      </c>
      <c r="D5192" s="23" t="n">
        <v>15</v>
      </c>
      <c r="E5192" s="23" t="n">
        <v>20</v>
      </c>
      <c r="F5192" s="28" t="s">
        <v>912</v>
      </c>
      <c r="G5192" s="19" t="n">
        <v>0.0494</v>
      </c>
    </row>
    <row r="5193" customFormat="false" ht="15" hidden="false" customHeight="false" outlineLevel="0" collapsed="false">
      <c r="A5193" s="28" t="s">
        <v>205</v>
      </c>
      <c r="B5193" s="28" t="s">
        <v>206</v>
      </c>
      <c r="C5193" s="28" t="s">
        <v>202</v>
      </c>
      <c r="D5193" s="23" t="n">
        <v>15</v>
      </c>
      <c r="E5193" s="23" t="n">
        <v>20</v>
      </c>
      <c r="F5193" s="28" t="s">
        <v>913</v>
      </c>
      <c r="G5193" s="19" t="n">
        <v>0.0543</v>
      </c>
    </row>
    <row r="5194" customFormat="false" ht="15" hidden="false" customHeight="false" outlineLevel="0" collapsed="false">
      <c r="A5194" s="28" t="s">
        <v>205</v>
      </c>
      <c r="B5194" s="28" t="s">
        <v>206</v>
      </c>
      <c r="C5194" s="28" t="s">
        <v>202</v>
      </c>
      <c r="D5194" s="23" t="n">
        <v>15</v>
      </c>
      <c r="E5194" s="23" t="n">
        <v>20</v>
      </c>
      <c r="F5194" s="28" t="s">
        <v>914</v>
      </c>
      <c r="G5194" s="19" t="n">
        <v>0.0541</v>
      </c>
    </row>
    <row r="5195" customFormat="false" ht="15" hidden="false" customHeight="false" outlineLevel="0" collapsed="false">
      <c r="A5195" s="28" t="s">
        <v>205</v>
      </c>
      <c r="B5195" s="28" t="s">
        <v>206</v>
      </c>
      <c r="C5195" s="28" t="s">
        <v>202</v>
      </c>
      <c r="D5195" s="23" t="n">
        <v>15</v>
      </c>
      <c r="E5195" s="23" t="n">
        <v>20</v>
      </c>
      <c r="F5195" s="28" t="s">
        <v>915</v>
      </c>
      <c r="G5195" s="19" t="n">
        <v>0.0699</v>
      </c>
    </row>
    <row r="5196" customFormat="false" ht="15" hidden="false" customHeight="false" outlineLevel="0" collapsed="false">
      <c r="A5196" s="28" t="s">
        <v>205</v>
      </c>
      <c r="B5196" s="28" t="s">
        <v>206</v>
      </c>
      <c r="C5196" s="28" t="s">
        <v>202</v>
      </c>
      <c r="D5196" s="23" t="n">
        <v>15</v>
      </c>
      <c r="E5196" s="23" t="n">
        <v>21</v>
      </c>
      <c r="F5196" s="28" t="s">
        <v>904</v>
      </c>
      <c r="G5196" s="19" t="n">
        <v>0.0563</v>
      </c>
    </row>
    <row r="5197" customFormat="false" ht="15" hidden="false" customHeight="false" outlineLevel="0" collapsed="false">
      <c r="A5197" s="28" t="s">
        <v>205</v>
      </c>
      <c r="B5197" s="28" t="s">
        <v>206</v>
      </c>
      <c r="C5197" s="28" t="s">
        <v>202</v>
      </c>
      <c r="D5197" s="23" t="n">
        <v>15</v>
      </c>
      <c r="E5197" s="23" t="n">
        <v>21</v>
      </c>
      <c r="F5197" s="28" t="s">
        <v>551</v>
      </c>
      <c r="G5197" s="19" t="n">
        <v>0.0875</v>
      </c>
    </row>
    <row r="5198" customFormat="false" ht="15" hidden="false" customHeight="false" outlineLevel="0" collapsed="false">
      <c r="A5198" s="28" t="s">
        <v>205</v>
      </c>
      <c r="B5198" s="28" t="s">
        <v>206</v>
      </c>
      <c r="C5198" s="28" t="s">
        <v>202</v>
      </c>
      <c r="D5198" s="23" t="n">
        <v>15</v>
      </c>
      <c r="E5198" s="23" t="n">
        <v>21</v>
      </c>
      <c r="F5198" s="28" t="s">
        <v>451</v>
      </c>
      <c r="G5198" s="19" t="n">
        <v>0.0561</v>
      </c>
    </row>
    <row r="5199" customFormat="false" ht="15" hidden="false" customHeight="false" outlineLevel="0" collapsed="false">
      <c r="A5199" s="28" t="s">
        <v>205</v>
      </c>
      <c r="B5199" s="28" t="s">
        <v>206</v>
      </c>
      <c r="C5199" s="28" t="s">
        <v>202</v>
      </c>
      <c r="D5199" s="23" t="n">
        <v>15</v>
      </c>
      <c r="E5199" s="23" t="n">
        <v>21</v>
      </c>
      <c r="F5199" s="28" t="s">
        <v>905</v>
      </c>
      <c r="G5199" s="19" t="n">
        <v>0.0587</v>
      </c>
    </row>
    <row r="5200" customFormat="false" ht="15" hidden="false" customHeight="false" outlineLevel="0" collapsed="false">
      <c r="A5200" s="28" t="s">
        <v>205</v>
      </c>
      <c r="B5200" s="28" t="s">
        <v>206</v>
      </c>
      <c r="C5200" s="28" t="s">
        <v>202</v>
      </c>
      <c r="D5200" s="23" t="n">
        <v>15</v>
      </c>
      <c r="E5200" s="23" t="n">
        <v>21</v>
      </c>
      <c r="F5200" s="28" t="s">
        <v>906</v>
      </c>
      <c r="G5200" s="19" t="n">
        <v>0.0601</v>
      </c>
    </row>
    <row r="5201" customFormat="false" ht="15" hidden="false" customHeight="false" outlineLevel="0" collapsed="false">
      <c r="A5201" s="28" t="s">
        <v>205</v>
      </c>
      <c r="B5201" s="28" t="s">
        <v>206</v>
      </c>
      <c r="C5201" s="28" t="s">
        <v>202</v>
      </c>
      <c r="D5201" s="23" t="n">
        <v>15</v>
      </c>
      <c r="E5201" s="23" t="n">
        <v>21</v>
      </c>
      <c r="F5201" s="28" t="s">
        <v>907</v>
      </c>
      <c r="G5201" s="19" t="n">
        <v>0.0598</v>
      </c>
    </row>
    <row r="5202" customFormat="false" ht="15" hidden="false" customHeight="false" outlineLevel="0" collapsed="false">
      <c r="A5202" s="28" t="s">
        <v>205</v>
      </c>
      <c r="B5202" s="28" t="s">
        <v>206</v>
      </c>
      <c r="C5202" s="28" t="s">
        <v>202</v>
      </c>
      <c r="D5202" s="23" t="n">
        <v>15</v>
      </c>
      <c r="E5202" s="23" t="n">
        <v>21</v>
      </c>
      <c r="F5202" s="28" t="s">
        <v>908</v>
      </c>
      <c r="G5202" s="19" t="n">
        <v>0.059733</v>
      </c>
    </row>
    <row r="5203" customFormat="false" ht="15" hidden="false" customHeight="false" outlineLevel="0" collapsed="false">
      <c r="A5203" s="28" t="s">
        <v>205</v>
      </c>
      <c r="B5203" s="28" t="s">
        <v>206</v>
      </c>
      <c r="C5203" s="28" t="s">
        <v>202</v>
      </c>
      <c r="D5203" s="23" t="n">
        <v>15</v>
      </c>
      <c r="E5203" s="23" t="n">
        <v>21</v>
      </c>
      <c r="F5203" s="28" t="s">
        <v>909</v>
      </c>
      <c r="G5203" s="19" t="n">
        <v>0.058167</v>
      </c>
    </row>
    <row r="5204" customFormat="false" ht="15" hidden="false" customHeight="false" outlineLevel="0" collapsed="false">
      <c r="A5204" s="28" t="s">
        <v>205</v>
      </c>
      <c r="B5204" s="28" t="s">
        <v>206</v>
      </c>
      <c r="C5204" s="28" t="s">
        <v>202</v>
      </c>
      <c r="D5204" s="23" t="n">
        <v>15</v>
      </c>
      <c r="E5204" s="23" t="n">
        <v>21</v>
      </c>
      <c r="F5204" s="28" t="s">
        <v>910</v>
      </c>
      <c r="G5204" s="19" t="n">
        <v>0.055233</v>
      </c>
    </row>
    <row r="5205" customFormat="false" ht="15" hidden="false" customHeight="false" outlineLevel="0" collapsed="false">
      <c r="A5205" s="28" t="s">
        <v>205</v>
      </c>
      <c r="B5205" s="28" t="s">
        <v>206</v>
      </c>
      <c r="C5205" s="28" t="s">
        <v>202</v>
      </c>
      <c r="D5205" s="23" t="n">
        <v>15</v>
      </c>
      <c r="E5205" s="23" t="n">
        <v>21</v>
      </c>
      <c r="F5205" s="28" t="s">
        <v>911</v>
      </c>
      <c r="G5205" s="19" t="n">
        <v>0.053</v>
      </c>
    </row>
    <row r="5206" customFormat="false" ht="15" hidden="false" customHeight="false" outlineLevel="0" collapsed="false">
      <c r="A5206" s="28" t="s">
        <v>205</v>
      </c>
      <c r="B5206" s="28" t="s">
        <v>206</v>
      </c>
      <c r="C5206" s="28" t="s">
        <v>202</v>
      </c>
      <c r="D5206" s="23" t="n">
        <v>15</v>
      </c>
      <c r="E5206" s="23" t="n">
        <v>21</v>
      </c>
      <c r="F5206" s="28" t="s">
        <v>912</v>
      </c>
      <c r="G5206" s="19" t="n">
        <v>0.0494</v>
      </c>
    </row>
    <row r="5207" customFormat="false" ht="15" hidden="false" customHeight="false" outlineLevel="0" collapsed="false">
      <c r="A5207" s="28" t="s">
        <v>205</v>
      </c>
      <c r="B5207" s="28" t="s">
        <v>206</v>
      </c>
      <c r="C5207" s="28" t="s">
        <v>202</v>
      </c>
      <c r="D5207" s="23" t="n">
        <v>15</v>
      </c>
      <c r="E5207" s="23" t="n">
        <v>21</v>
      </c>
      <c r="F5207" s="28" t="s">
        <v>913</v>
      </c>
      <c r="G5207" s="19" t="n">
        <v>0.0543</v>
      </c>
    </row>
    <row r="5208" customFormat="false" ht="15" hidden="false" customHeight="false" outlineLevel="0" collapsed="false">
      <c r="A5208" s="28" t="s">
        <v>205</v>
      </c>
      <c r="B5208" s="28" t="s">
        <v>206</v>
      </c>
      <c r="C5208" s="28" t="s">
        <v>202</v>
      </c>
      <c r="D5208" s="23" t="n">
        <v>15</v>
      </c>
      <c r="E5208" s="23" t="n">
        <v>21</v>
      </c>
      <c r="F5208" s="28" t="s">
        <v>914</v>
      </c>
      <c r="G5208" s="19" t="n">
        <v>0.0541</v>
      </c>
    </row>
    <row r="5209" customFormat="false" ht="15" hidden="false" customHeight="false" outlineLevel="0" collapsed="false">
      <c r="A5209" s="28" t="s">
        <v>205</v>
      </c>
      <c r="B5209" s="28" t="s">
        <v>206</v>
      </c>
      <c r="C5209" s="28" t="s">
        <v>202</v>
      </c>
      <c r="D5209" s="23" t="n">
        <v>15</v>
      </c>
      <c r="E5209" s="23" t="n">
        <v>21</v>
      </c>
      <c r="F5209" s="28" t="s">
        <v>915</v>
      </c>
      <c r="G5209" s="19" t="n">
        <v>0.0699</v>
      </c>
    </row>
    <row r="5210" customFormat="false" ht="15" hidden="false" customHeight="false" outlineLevel="0" collapsed="false">
      <c r="A5210" s="28" t="s">
        <v>205</v>
      </c>
      <c r="B5210" s="28" t="s">
        <v>206</v>
      </c>
      <c r="C5210" s="28" t="s">
        <v>202</v>
      </c>
      <c r="D5210" s="23" t="n">
        <v>15</v>
      </c>
      <c r="E5210" s="23" t="n">
        <v>22</v>
      </c>
      <c r="F5210" s="28" t="s">
        <v>904</v>
      </c>
      <c r="G5210" s="19" t="n">
        <v>0.0563</v>
      </c>
    </row>
    <row r="5211" customFormat="false" ht="15" hidden="false" customHeight="false" outlineLevel="0" collapsed="false">
      <c r="A5211" s="28" t="s">
        <v>205</v>
      </c>
      <c r="B5211" s="28" t="s">
        <v>206</v>
      </c>
      <c r="C5211" s="28" t="s">
        <v>202</v>
      </c>
      <c r="D5211" s="23" t="n">
        <v>15</v>
      </c>
      <c r="E5211" s="23" t="n">
        <v>22</v>
      </c>
      <c r="F5211" s="28" t="s">
        <v>551</v>
      </c>
      <c r="G5211" s="19" t="n">
        <v>0.0875</v>
      </c>
    </row>
    <row r="5212" customFormat="false" ht="15" hidden="false" customHeight="false" outlineLevel="0" collapsed="false">
      <c r="A5212" s="28" t="s">
        <v>205</v>
      </c>
      <c r="B5212" s="28" t="s">
        <v>206</v>
      </c>
      <c r="C5212" s="28" t="s">
        <v>202</v>
      </c>
      <c r="D5212" s="23" t="n">
        <v>15</v>
      </c>
      <c r="E5212" s="23" t="n">
        <v>22</v>
      </c>
      <c r="F5212" s="28" t="s">
        <v>451</v>
      </c>
      <c r="G5212" s="19" t="n">
        <v>0.0561</v>
      </c>
    </row>
    <row r="5213" customFormat="false" ht="15" hidden="false" customHeight="false" outlineLevel="0" collapsed="false">
      <c r="A5213" s="28" t="s">
        <v>205</v>
      </c>
      <c r="B5213" s="28" t="s">
        <v>206</v>
      </c>
      <c r="C5213" s="28" t="s">
        <v>202</v>
      </c>
      <c r="D5213" s="23" t="n">
        <v>15</v>
      </c>
      <c r="E5213" s="23" t="n">
        <v>22</v>
      </c>
      <c r="F5213" s="28" t="s">
        <v>905</v>
      </c>
      <c r="G5213" s="19" t="n">
        <v>0.0587</v>
      </c>
    </row>
    <row r="5214" customFormat="false" ht="15" hidden="false" customHeight="false" outlineLevel="0" collapsed="false">
      <c r="A5214" s="28" t="s">
        <v>205</v>
      </c>
      <c r="B5214" s="28" t="s">
        <v>206</v>
      </c>
      <c r="C5214" s="28" t="s">
        <v>202</v>
      </c>
      <c r="D5214" s="23" t="n">
        <v>15</v>
      </c>
      <c r="E5214" s="23" t="n">
        <v>22</v>
      </c>
      <c r="F5214" s="28" t="s">
        <v>906</v>
      </c>
      <c r="G5214" s="19" t="n">
        <v>0.0601</v>
      </c>
    </row>
    <row r="5215" customFormat="false" ht="15" hidden="false" customHeight="false" outlineLevel="0" collapsed="false">
      <c r="A5215" s="28" t="s">
        <v>205</v>
      </c>
      <c r="B5215" s="28" t="s">
        <v>206</v>
      </c>
      <c r="C5215" s="28" t="s">
        <v>202</v>
      </c>
      <c r="D5215" s="23" t="n">
        <v>15</v>
      </c>
      <c r="E5215" s="23" t="n">
        <v>22</v>
      </c>
      <c r="F5215" s="28" t="s">
        <v>907</v>
      </c>
      <c r="G5215" s="19" t="n">
        <v>0.0598</v>
      </c>
    </row>
    <row r="5216" customFormat="false" ht="15" hidden="false" customHeight="false" outlineLevel="0" collapsed="false">
      <c r="A5216" s="28" t="s">
        <v>205</v>
      </c>
      <c r="B5216" s="28" t="s">
        <v>206</v>
      </c>
      <c r="C5216" s="28" t="s">
        <v>202</v>
      </c>
      <c r="D5216" s="23" t="n">
        <v>15</v>
      </c>
      <c r="E5216" s="23" t="n">
        <v>22</v>
      </c>
      <c r="F5216" s="28" t="s">
        <v>908</v>
      </c>
      <c r="G5216" s="19" t="n">
        <v>0.059733</v>
      </c>
    </row>
    <row r="5217" customFormat="false" ht="15" hidden="false" customHeight="false" outlineLevel="0" collapsed="false">
      <c r="A5217" s="28" t="s">
        <v>205</v>
      </c>
      <c r="B5217" s="28" t="s">
        <v>206</v>
      </c>
      <c r="C5217" s="28" t="s">
        <v>202</v>
      </c>
      <c r="D5217" s="23" t="n">
        <v>15</v>
      </c>
      <c r="E5217" s="23" t="n">
        <v>22</v>
      </c>
      <c r="F5217" s="28" t="s">
        <v>909</v>
      </c>
      <c r="G5217" s="19" t="n">
        <v>0.058167</v>
      </c>
    </row>
    <row r="5218" customFormat="false" ht="15" hidden="false" customHeight="false" outlineLevel="0" collapsed="false">
      <c r="A5218" s="28" t="s">
        <v>205</v>
      </c>
      <c r="B5218" s="28" t="s">
        <v>206</v>
      </c>
      <c r="C5218" s="28" t="s">
        <v>202</v>
      </c>
      <c r="D5218" s="23" t="n">
        <v>15</v>
      </c>
      <c r="E5218" s="23" t="n">
        <v>22</v>
      </c>
      <c r="F5218" s="28" t="s">
        <v>910</v>
      </c>
      <c r="G5218" s="19" t="n">
        <v>0.055233</v>
      </c>
    </row>
    <row r="5219" customFormat="false" ht="15" hidden="false" customHeight="false" outlineLevel="0" collapsed="false">
      <c r="A5219" s="28" t="s">
        <v>205</v>
      </c>
      <c r="B5219" s="28" t="s">
        <v>206</v>
      </c>
      <c r="C5219" s="28" t="s">
        <v>202</v>
      </c>
      <c r="D5219" s="23" t="n">
        <v>15</v>
      </c>
      <c r="E5219" s="23" t="n">
        <v>22</v>
      </c>
      <c r="F5219" s="28" t="s">
        <v>911</v>
      </c>
      <c r="G5219" s="19" t="n">
        <v>0.053</v>
      </c>
    </row>
    <row r="5220" customFormat="false" ht="15" hidden="false" customHeight="false" outlineLevel="0" collapsed="false">
      <c r="A5220" s="28" t="s">
        <v>205</v>
      </c>
      <c r="B5220" s="28" t="s">
        <v>206</v>
      </c>
      <c r="C5220" s="28" t="s">
        <v>202</v>
      </c>
      <c r="D5220" s="23" t="n">
        <v>15</v>
      </c>
      <c r="E5220" s="23" t="n">
        <v>22</v>
      </c>
      <c r="F5220" s="28" t="s">
        <v>912</v>
      </c>
      <c r="G5220" s="19" t="n">
        <v>0.0494</v>
      </c>
    </row>
    <row r="5221" customFormat="false" ht="15" hidden="false" customHeight="false" outlineLevel="0" collapsed="false">
      <c r="A5221" s="28" t="s">
        <v>205</v>
      </c>
      <c r="B5221" s="28" t="s">
        <v>206</v>
      </c>
      <c r="C5221" s="28" t="s">
        <v>202</v>
      </c>
      <c r="D5221" s="23" t="n">
        <v>15</v>
      </c>
      <c r="E5221" s="23" t="n">
        <v>22</v>
      </c>
      <c r="F5221" s="28" t="s">
        <v>913</v>
      </c>
      <c r="G5221" s="19" t="n">
        <v>0.0543</v>
      </c>
    </row>
    <row r="5222" customFormat="false" ht="15" hidden="false" customHeight="false" outlineLevel="0" collapsed="false">
      <c r="A5222" s="28" t="s">
        <v>205</v>
      </c>
      <c r="B5222" s="28" t="s">
        <v>206</v>
      </c>
      <c r="C5222" s="28" t="s">
        <v>202</v>
      </c>
      <c r="D5222" s="23" t="n">
        <v>15</v>
      </c>
      <c r="E5222" s="23" t="n">
        <v>22</v>
      </c>
      <c r="F5222" s="28" t="s">
        <v>914</v>
      </c>
      <c r="G5222" s="19" t="n">
        <v>0.0541</v>
      </c>
    </row>
    <row r="5223" customFormat="false" ht="15" hidden="false" customHeight="false" outlineLevel="0" collapsed="false">
      <c r="A5223" s="28" t="s">
        <v>205</v>
      </c>
      <c r="B5223" s="28" t="s">
        <v>206</v>
      </c>
      <c r="C5223" s="28" t="s">
        <v>202</v>
      </c>
      <c r="D5223" s="23" t="n">
        <v>15</v>
      </c>
      <c r="E5223" s="23" t="n">
        <v>22</v>
      </c>
      <c r="F5223" s="28" t="s">
        <v>915</v>
      </c>
      <c r="G5223" s="19" t="n">
        <v>0.0699</v>
      </c>
    </row>
    <row r="5224" customFormat="false" ht="15" hidden="false" customHeight="false" outlineLevel="0" collapsed="false">
      <c r="A5224" s="28" t="s">
        <v>205</v>
      </c>
      <c r="B5224" s="28" t="s">
        <v>206</v>
      </c>
      <c r="C5224" s="28" t="s">
        <v>202</v>
      </c>
      <c r="D5224" s="23" t="n">
        <v>15</v>
      </c>
      <c r="E5224" s="23" t="n">
        <v>23</v>
      </c>
      <c r="F5224" s="28" t="s">
        <v>904</v>
      </c>
      <c r="G5224" s="19" t="n">
        <v>0.0563</v>
      </c>
    </row>
    <row r="5225" customFormat="false" ht="15" hidden="false" customHeight="false" outlineLevel="0" collapsed="false">
      <c r="A5225" s="28" t="s">
        <v>205</v>
      </c>
      <c r="B5225" s="28" t="s">
        <v>206</v>
      </c>
      <c r="C5225" s="28" t="s">
        <v>202</v>
      </c>
      <c r="D5225" s="23" t="n">
        <v>15</v>
      </c>
      <c r="E5225" s="23" t="n">
        <v>23</v>
      </c>
      <c r="F5225" s="28" t="s">
        <v>551</v>
      </c>
      <c r="G5225" s="19" t="n">
        <v>0.0875</v>
      </c>
    </row>
    <row r="5226" customFormat="false" ht="15" hidden="false" customHeight="false" outlineLevel="0" collapsed="false">
      <c r="A5226" s="28" t="s">
        <v>205</v>
      </c>
      <c r="B5226" s="28" t="s">
        <v>206</v>
      </c>
      <c r="C5226" s="28" t="s">
        <v>202</v>
      </c>
      <c r="D5226" s="23" t="n">
        <v>15</v>
      </c>
      <c r="E5226" s="23" t="n">
        <v>23</v>
      </c>
      <c r="F5226" s="28" t="s">
        <v>451</v>
      </c>
      <c r="G5226" s="19" t="n">
        <v>0.0561</v>
      </c>
    </row>
    <row r="5227" customFormat="false" ht="15" hidden="false" customHeight="false" outlineLevel="0" collapsed="false">
      <c r="A5227" s="28" t="s">
        <v>205</v>
      </c>
      <c r="B5227" s="28" t="s">
        <v>206</v>
      </c>
      <c r="C5227" s="28" t="s">
        <v>202</v>
      </c>
      <c r="D5227" s="23" t="n">
        <v>15</v>
      </c>
      <c r="E5227" s="23" t="n">
        <v>23</v>
      </c>
      <c r="F5227" s="28" t="s">
        <v>905</v>
      </c>
      <c r="G5227" s="19" t="n">
        <v>0.0587</v>
      </c>
    </row>
    <row r="5228" customFormat="false" ht="15" hidden="false" customHeight="false" outlineLevel="0" collapsed="false">
      <c r="A5228" s="28" t="s">
        <v>205</v>
      </c>
      <c r="B5228" s="28" t="s">
        <v>206</v>
      </c>
      <c r="C5228" s="28" t="s">
        <v>202</v>
      </c>
      <c r="D5228" s="23" t="n">
        <v>15</v>
      </c>
      <c r="E5228" s="23" t="n">
        <v>23</v>
      </c>
      <c r="F5228" s="28" t="s">
        <v>906</v>
      </c>
      <c r="G5228" s="19" t="n">
        <v>0.0601</v>
      </c>
    </row>
    <row r="5229" customFormat="false" ht="15" hidden="false" customHeight="false" outlineLevel="0" collapsed="false">
      <c r="A5229" s="28" t="s">
        <v>205</v>
      </c>
      <c r="B5229" s="28" t="s">
        <v>206</v>
      </c>
      <c r="C5229" s="28" t="s">
        <v>202</v>
      </c>
      <c r="D5229" s="23" t="n">
        <v>15</v>
      </c>
      <c r="E5229" s="23" t="n">
        <v>23</v>
      </c>
      <c r="F5229" s="28" t="s">
        <v>907</v>
      </c>
      <c r="G5229" s="19" t="n">
        <v>0.0598</v>
      </c>
    </row>
    <row r="5230" customFormat="false" ht="15" hidden="false" customHeight="false" outlineLevel="0" collapsed="false">
      <c r="A5230" s="28" t="s">
        <v>205</v>
      </c>
      <c r="B5230" s="28" t="s">
        <v>206</v>
      </c>
      <c r="C5230" s="28" t="s">
        <v>202</v>
      </c>
      <c r="D5230" s="23" t="n">
        <v>15</v>
      </c>
      <c r="E5230" s="23" t="n">
        <v>23</v>
      </c>
      <c r="F5230" s="28" t="s">
        <v>908</v>
      </c>
      <c r="G5230" s="19" t="n">
        <v>0.059733</v>
      </c>
    </row>
    <row r="5231" customFormat="false" ht="15" hidden="false" customHeight="false" outlineLevel="0" collapsed="false">
      <c r="A5231" s="28" t="s">
        <v>205</v>
      </c>
      <c r="B5231" s="28" t="s">
        <v>206</v>
      </c>
      <c r="C5231" s="28" t="s">
        <v>202</v>
      </c>
      <c r="D5231" s="23" t="n">
        <v>15</v>
      </c>
      <c r="E5231" s="23" t="n">
        <v>23</v>
      </c>
      <c r="F5231" s="28" t="s">
        <v>909</v>
      </c>
      <c r="G5231" s="19" t="n">
        <v>0.058167</v>
      </c>
    </row>
    <row r="5232" customFormat="false" ht="15" hidden="false" customHeight="false" outlineLevel="0" collapsed="false">
      <c r="A5232" s="28" t="s">
        <v>205</v>
      </c>
      <c r="B5232" s="28" t="s">
        <v>206</v>
      </c>
      <c r="C5232" s="28" t="s">
        <v>202</v>
      </c>
      <c r="D5232" s="23" t="n">
        <v>15</v>
      </c>
      <c r="E5232" s="23" t="n">
        <v>23</v>
      </c>
      <c r="F5232" s="28" t="s">
        <v>910</v>
      </c>
      <c r="G5232" s="19" t="n">
        <v>0.055233</v>
      </c>
    </row>
    <row r="5233" customFormat="false" ht="15" hidden="false" customHeight="false" outlineLevel="0" collapsed="false">
      <c r="A5233" s="28" t="s">
        <v>205</v>
      </c>
      <c r="B5233" s="28" t="s">
        <v>206</v>
      </c>
      <c r="C5233" s="28" t="s">
        <v>202</v>
      </c>
      <c r="D5233" s="23" t="n">
        <v>15</v>
      </c>
      <c r="E5233" s="23" t="n">
        <v>23</v>
      </c>
      <c r="F5233" s="28" t="s">
        <v>911</v>
      </c>
      <c r="G5233" s="19" t="n">
        <v>0.053</v>
      </c>
    </row>
    <row r="5234" customFormat="false" ht="15" hidden="false" customHeight="false" outlineLevel="0" collapsed="false">
      <c r="A5234" s="28" t="s">
        <v>205</v>
      </c>
      <c r="B5234" s="28" t="s">
        <v>206</v>
      </c>
      <c r="C5234" s="28" t="s">
        <v>202</v>
      </c>
      <c r="D5234" s="23" t="n">
        <v>15</v>
      </c>
      <c r="E5234" s="23" t="n">
        <v>23</v>
      </c>
      <c r="F5234" s="28" t="s">
        <v>912</v>
      </c>
      <c r="G5234" s="19" t="n">
        <v>0.0494</v>
      </c>
    </row>
    <row r="5235" customFormat="false" ht="15" hidden="false" customHeight="false" outlineLevel="0" collapsed="false">
      <c r="A5235" s="28" t="s">
        <v>205</v>
      </c>
      <c r="B5235" s="28" t="s">
        <v>206</v>
      </c>
      <c r="C5235" s="28" t="s">
        <v>202</v>
      </c>
      <c r="D5235" s="23" t="n">
        <v>15</v>
      </c>
      <c r="E5235" s="23" t="n">
        <v>23</v>
      </c>
      <c r="F5235" s="28" t="s">
        <v>913</v>
      </c>
      <c r="G5235" s="19" t="n">
        <v>0.0543</v>
      </c>
    </row>
    <row r="5236" customFormat="false" ht="15" hidden="false" customHeight="false" outlineLevel="0" collapsed="false">
      <c r="A5236" s="28" t="s">
        <v>205</v>
      </c>
      <c r="B5236" s="28" t="s">
        <v>206</v>
      </c>
      <c r="C5236" s="28" t="s">
        <v>202</v>
      </c>
      <c r="D5236" s="23" t="n">
        <v>15</v>
      </c>
      <c r="E5236" s="23" t="n">
        <v>23</v>
      </c>
      <c r="F5236" s="28" t="s">
        <v>914</v>
      </c>
      <c r="G5236" s="19" t="n">
        <v>0.0541</v>
      </c>
    </row>
    <row r="5237" customFormat="false" ht="15" hidden="false" customHeight="false" outlineLevel="0" collapsed="false">
      <c r="A5237" s="28" t="s">
        <v>205</v>
      </c>
      <c r="B5237" s="28" t="s">
        <v>206</v>
      </c>
      <c r="C5237" s="28" t="s">
        <v>202</v>
      </c>
      <c r="D5237" s="23" t="n">
        <v>15</v>
      </c>
      <c r="E5237" s="23" t="n">
        <v>23</v>
      </c>
      <c r="F5237" s="28" t="s">
        <v>915</v>
      </c>
      <c r="G5237" s="19" t="n">
        <v>0.0699</v>
      </c>
    </row>
    <row r="5238" customFormat="false" ht="15" hidden="false" customHeight="false" outlineLevel="0" collapsed="false">
      <c r="A5238" s="28" t="s">
        <v>205</v>
      </c>
      <c r="B5238" s="28" t="s">
        <v>206</v>
      </c>
      <c r="C5238" s="28" t="s">
        <v>202</v>
      </c>
      <c r="D5238" s="23" t="n">
        <v>15</v>
      </c>
      <c r="E5238" s="23" t="n">
        <v>24</v>
      </c>
      <c r="F5238" s="28" t="s">
        <v>904</v>
      </c>
      <c r="G5238" s="19" t="n">
        <v>0.0563</v>
      </c>
    </row>
    <row r="5239" customFormat="false" ht="15" hidden="false" customHeight="false" outlineLevel="0" collapsed="false">
      <c r="A5239" s="28" t="s">
        <v>205</v>
      </c>
      <c r="B5239" s="28" t="s">
        <v>206</v>
      </c>
      <c r="C5239" s="28" t="s">
        <v>202</v>
      </c>
      <c r="D5239" s="23" t="n">
        <v>15</v>
      </c>
      <c r="E5239" s="23" t="n">
        <v>24</v>
      </c>
      <c r="F5239" s="28" t="s">
        <v>551</v>
      </c>
      <c r="G5239" s="19" t="n">
        <v>0.0875</v>
      </c>
    </row>
    <row r="5240" customFormat="false" ht="15" hidden="false" customHeight="false" outlineLevel="0" collapsed="false">
      <c r="A5240" s="28" t="s">
        <v>205</v>
      </c>
      <c r="B5240" s="28" t="s">
        <v>206</v>
      </c>
      <c r="C5240" s="28" t="s">
        <v>202</v>
      </c>
      <c r="D5240" s="23" t="n">
        <v>15</v>
      </c>
      <c r="E5240" s="23" t="n">
        <v>24</v>
      </c>
      <c r="F5240" s="28" t="s">
        <v>451</v>
      </c>
      <c r="G5240" s="19" t="n">
        <v>0.0561</v>
      </c>
    </row>
    <row r="5241" customFormat="false" ht="15" hidden="false" customHeight="false" outlineLevel="0" collapsed="false">
      <c r="A5241" s="28" t="s">
        <v>205</v>
      </c>
      <c r="B5241" s="28" t="s">
        <v>206</v>
      </c>
      <c r="C5241" s="28" t="s">
        <v>202</v>
      </c>
      <c r="D5241" s="23" t="n">
        <v>15</v>
      </c>
      <c r="E5241" s="23" t="n">
        <v>24</v>
      </c>
      <c r="F5241" s="28" t="s">
        <v>905</v>
      </c>
      <c r="G5241" s="19" t="n">
        <v>0.0587</v>
      </c>
    </row>
    <row r="5242" customFormat="false" ht="15" hidden="false" customHeight="false" outlineLevel="0" collapsed="false">
      <c r="A5242" s="28" t="s">
        <v>205</v>
      </c>
      <c r="B5242" s="28" t="s">
        <v>206</v>
      </c>
      <c r="C5242" s="28" t="s">
        <v>202</v>
      </c>
      <c r="D5242" s="23" t="n">
        <v>15</v>
      </c>
      <c r="E5242" s="23" t="n">
        <v>24</v>
      </c>
      <c r="F5242" s="28" t="s">
        <v>906</v>
      </c>
      <c r="G5242" s="19" t="n">
        <v>0.0601</v>
      </c>
    </row>
    <row r="5243" customFormat="false" ht="15" hidden="false" customHeight="false" outlineLevel="0" collapsed="false">
      <c r="A5243" s="28" t="s">
        <v>205</v>
      </c>
      <c r="B5243" s="28" t="s">
        <v>206</v>
      </c>
      <c r="C5243" s="28" t="s">
        <v>202</v>
      </c>
      <c r="D5243" s="23" t="n">
        <v>15</v>
      </c>
      <c r="E5243" s="23" t="n">
        <v>24</v>
      </c>
      <c r="F5243" s="28" t="s">
        <v>907</v>
      </c>
      <c r="G5243" s="19" t="n">
        <v>0.0598</v>
      </c>
    </row>
    <row r="5244" customFormat="false" ht="15" hidden="false" customHeight="false" outlineLevel="0" collapsed="false">
      <c r="A5244" s="28" t="s">
        <v>205</v>
      </c>
      <c r="B5244" s="28" t="s">
        <v>206</v>
      </c>
      <c r="C5244" s="28" t="s">
        <v>202</v>
      </c>
      <c r="D5244" s="23" t="n">
        <v>15</v>
      </c>
      <c r="E5244" s="23" t="n">
        <v>24</v>
      </c>
      <c r="F5244" s="28" t="s">
        <v>908</v>
      </c>
      <c r="G5244" s="19" t="n">
        <v>0.059733</v>
      </c>
    </row>
    <row r="5245" customFormat="false" ht="15" hidden="false" customHeight="false" outlineLevel="0" collapsed="false">
      <c r="A5245" s="28" t="s">
        <v>205</v>
      </c>
      <c r="B5245" s="28" t="s">
        <v>206</v>
      </c>
      <c r="C5245" s="28" t="s">
        <v>202</v>
      </c>
      <c r="D5245" s="23" t="n">
        <v>15</v>
      </c>
      <c r="E5245" s="23" t="n">
        <v>24</v>
      </c>
      <c r="F5245" s="28" t="s">
        <v>909</v>
      </c>
      <c r="G5245" s="19" t="n">
        <v>0.058167</v>
      </c>
    </row>
    <row r="5246" customFormat="false" ht="15" hidden="false" customHeight="false" outlineLevel="0" collapsed="false">
      <c r="A5246" s="28" t="s">
        <v>205</v>
      </c>
      <c r="B5246" s="28" t="s">
        <v>206</v>
      </c>
      <c r="C5246" s="28" t="s">
        <v>202</v>
      </c>
      <c r="D5246" s="23" t="n">
        <v>15</v>
      </c>
      <c r="E5246" s="23" t="n">
        <v>24</v>
      </c>
      <c r="F5246" s="28" t="s">
        <v>910</v>
      </c>
      <c r="G5246" s="19" t="n">
        <v>0.055233</v>
      </c>
    </row>
    <row r="5247" customFormat="false" ht="15" hidden="false" customHeight="false" outlineLevel="0" collapsed="false">
      <c r="A5247" s="28" t="s">
        <v>205</v>
      </c>
      <c r="B5247" s="28" t="s">
        <v>206</v>
      </c>
      <c r="C5247" s="28" t="s">
        <v>202</v>
      </c>
      <c r="D5247" s="23" t="n">
        <v>15</v>
      </c>
      <c r="E5247" s="23" t="n">
        <v>24</v>
      </c>
      <c r="F5247" s="28" t="s">
        <v>911</v>
      </c>
      <c r="G5247" s="19" t="n">
        <v>0.053</v>
      </c>
    </row>
    <row r="5248" customFormat="false" ht="15" hidden="false" customHeight="false" outlineLevel="0" collapsed="false">
      <c r="A5248" s="28" t="s">
        <v>205</v>
      </c>
      <c r="B5248" s="28" t="s">
        <v>206</v>
      </c>
      <c r="C5248" s="28" t="s">
        <v>202</v>
      </c>
      <c r="D5248" s="23" t="n">
        <v>15</v>
      </c>
      <c r="E5248" s="23" t="n">
        <v>24</v>
      </c>
      <c r="F5248" s="28" t="s">
        <v>912</v>
      </c>
      <c r="G5248" s="19" t="n">
        <v>0.0494</v>
      </c>
    </row>
    <row r="5249" customFormat="false" ht="15" hidden="false" customHeight="false" outlineLevel="0" collapsed="false">
      <c r="A5249" s="28" t="s">
        <v>205</v>
      </c>
      <c r="B5249" s="28" t="s">
        <v>206</v>
      </c>
      <c r="C5249" s="28" t="s">
        <v>202</v>
      </c>
      <c r="D5249" s="23" t="n">
        <v>15</v>
      </c>
      <c r="E5249" s="23" t="n">
        <v>24</v>
      </c>
      <c r="F5249" s="28" t="s">
        <v>913</v>
      </c>
      <c r="G5249" s="19" t="n">
        <v>0.0543</v>
      </c>
    </row>
    <row r="5250" customFormat="false" ht="15" hidden="false" customHeight="false" outlineLevel="0" collapsed="false">
      <c r="A5250" s="28" t="s">
        <v>205</v>
      </c>
      <c r="B5250" s="28" t="s">
        <v>206</v>
      </c>
      <c r="C5250" s="28" t="s">
        <v>202</v>
      </c>
      <c r="D5250" s="23" t="n">
        <v>15</v>
      </c>
      <c r="E5250" s="23" t="n">
        <v>24</v>
      </c>
      <c r="F5250" s="28" t="s">
        <v>914</v>
      </c>
      <c r="G5250" s="19" t="n">
        <v>0.0541</v>
      </c>
    </row>
    <row r="5251" customFormat="false" ht="15" hidden="false" customHeight="false" outlineLevel="0" collapsed="false">
      <c r="A5251" s="28" t="s">
        <v>205</v>
      </c>
      <c r="B5251" s="28" t="s">
        <v>206</v>
      </c>
      <c r="C5251" s="28" t="s">
        <v>202</v>
      </c>
      <c r="D5251" s="23" t="n">
        <v>15</v>
      </c>
      <c r="E5251" s="23" t="n">
        <v>24</v>
      </c>
      <c r="F5251" s="28" t="s">
        <v>915</v>
      </c>
      <c r="G5251" s="19" t="n">
        <v>0.0699</v>
      </c>
    </row>
    <row r="5252" customFormat="false" ht="15" hidden="false" customHeight="false" outlineLevel="0" collapsed="false">
      <c r="A5252" s="28" t="s">
        <v>207</v>
      </c>
      <c r="B5252" s="28" t="s">
        <v>208</v>
      </c>
      <c r="C5252" s="28" t="s">
        <v>209</v>
      </c>
      <c r="D5252" s="23" t="n">
        <v>16</v>
      </c>
      <c r="E5252" s="23" t="n">
        <v>0</v>
      </c>
      <c r="F5252" s="28" t="s">
        <v>904</v>
      </c>
      <c r="G5252" s="19" t="n">
        <v>0.0388</v>
      </c>
    </row>
    <row r="5253" customFormat="false" ht="15" hidden="false" customHeight="false" outlineLevel="0" collapsed="false">
      <c r="A5253" s="28" t="s">
        <v>207</v>
      </c>
      <c r="B5253" s="28" t="s">
        <v>208</v>
      </c>
      <c r="C5253" s="28" t="s">
        <v>209</v>
      </c>
      <c r="D5253" s="23" t="n">
        <v>16</v>
      </c>
      <c r="E5253" s="23" t="n">
        <v>0</v>
      </c>
      <c r="F5253" s="28" t="s">
        <v>551</v>
      </c>
      <c r="G5253" s="19" t="n">
        <v>0.07</v>
      </c>
    </row>
    <row r="5254" customFormat="false" ht="15" hidden="false" customHeight="false" outlineLevel="0" collapsed="false">
      <c r="A5254" s="28" t="s">
        <v>207</v>
      </c>
      <c r="B5254" s="28" t="s">
        <v>208</v>
      </c>
      <c r="C5254" s="28" t="s">
        <v>209</v>
      </c>
      <c r="D5254" s="23" t="n">
        <v>16</v>
      </c>
      <c r="E5254" s="23" t="n">
        <v>0</v>
      </c>
      <c r="F5254" s="28" t="s">
        <v>451</v>
      </c>
      <c r="G5254" s="19" t="n">
        <v>0.0386</v>
      </c>
    </row>
    <row r="5255" customFormat="false" ht="15" hidden="false" customHeight="false" outlineLevel="0" collapsed="false">
      <c r="A5255" s="28" t="s">
        <v>207</v>
      </c>
      <c r="B5255" s="28" t="s">
        <v>208</v>
      </c>
      <c r="C5255" s="28" t="s">
        <v>209</v>
      </c>
      <c r="D5255" s="23" t="n">
        <v>16</v>
      </c>
      <c r="E5255" s="23" t="n">
        <v>0</v>
      </c>
      <c r="F5255" s="28" t="s">
        <v>905</v>
      </c>
      <c r="G5255" s="19" t="n">
        <v>0.0425</v>
      </c>
    </row>
    <row r="5256" customFormat="false" ht="15" hidden="false" customHeight="false" outlineLevel="0" collapsed="false">
      <c r="A5256" s="28" t="s">
        <v>207</v>
      </c>
      <c r="B5256" s="28" t="s">
        <v>208</v>
      </c>
      <c r="C5256" s="28" t="s">
        <v>209</v>
      </c>
      <c r="D5256" s="23" t="n">
        <v>16</v>
      </c>
      <c r="E5256" s="23" t="n">
        <v>0</v>
      </c>
      <c r="F5256" s="28" t="s">
        <v>906</v>
      </c>
      <c r="G5256" s="19" t="n">
        <v>0.0436</v>
      </c>
    </row>
    <row r="5257" customFormat="false" ht="15" hidden="false" customHeight="false" outlineLevel="0" collapsed="false">
      <c r="A5257" s="28" t="s">
        <v>207</v>
      </c>
      <c r="B5257" s="28" t="s">
        <v>208</v>
      </c>
      <c r="C5257" s="28" t="s">
        <v>209</v>
      </c>
      <c r="D5257" s="23" t="n">
        <v>16</v>
      </c>
      <c r="E5257" s="23" t="n">
        <v>0</v>
      </c>
      <c r="F5257" s="28" t="s">
        <v>907</v>
      </c>
      <c r="G5257" s="19" t="n">
        <v>0.0458</v>
      </c>
    </row>
    <row r="5258" customFormat="false" ht="15" hidden="false" customHeight="false" outlineLevel="0" collapsed="false">
      <c r="A5258" s="28" t="s">
        <v>207</v>
      </c>
      <c r="B5258" s="28" t="s">
        <v>208</v>
      </c>
      <c r="C5258" s="28" t="s">
        <v>209</v>
      </c>
      <c r="D5258" s="23" t="n">
        <v>16</v>
      </c>
      <c r="E5258" s="23" t="n">
        <v>0</v>
      </c>
      <c r="F5258" s="28" t="s">
        <v>908</v>
      </c>
      <c r="G5258" s="19" t="n">
        <v>0.0489</v>
      </c>
    </row>
    <row r="5259" customFormat="false" ht="15" hidden="false" customHeight="false" outlineLevel="0" collapsed="false">
      <c r="A5259" s="28" t="s">
        <v>207</v>
      </c>
      <c r="B5259" s="28" t="s">
        <v>208</v>
      </c>
      <c r="C5259" s="28" t="s">
        <v>209</v>
      </c>
      <c r="D5259" s="23" t="n">
        <v>16</v>
      </c>
      <c r="E5259" s="23" t="n">
        <v>0</v>
      </c>
      <c r="F5259" s="28" t="s">
        <v>909</v>
      </c>
      <c r="G5259" s="19" t="n">
        <v>0.0498</v>
      </c>
    </row>
    <row r="5260" customFormat="false" ht="15" hidden="false" customHeight="false" outlineLevel="0" collapsed="false">
      <c r="A5260" s="28" t="s">
        <v>207</v>
      </c>
      <c r="B5260" s="28" t="s">
        <v>208</v>
      </c>
      <c r="C5260" s="28" t="s">
        <v>209</v>
      </c>
      <c r="D5260" s="23" t="n">
        <v>16</v>
      </c>
      <c r="E5260" s="23" t="n">
        <v>0</v>
      </c>
      <c r="F5260" s="28" t="s">
        <v>910</v>
      </c>
      <c r="G5260" s="19" t="n">
        <v>0.0506</v>
      </c>
    </row>
    <row r="5261" customFormat="false" ht="15" hidden="false" customHeight="false" outlineLevel="0" collapsed="false">
      <c r="A5261" s="28" t="s">
        <v>207</v>
      </c>
      <c r="B5261" s="28" t="s">
        <v>208</v>
      </c>
      <c r="C5261" s="28" t="s">
        <v>209</v>
      </c>
      <c r="D5261" s="23" t="n">
        <v>16</v>
      </c>
      <c r="E5261" s="23" t="n">
        <v>0</v>
      </c>
      <c r="F5261" s="28" t="s">
        <v>911</v>
      </c>
      <c r="G5261" s="19" t="n">
        <v>0.0516</v>
      </c>
    </row>
    <row r="5262" customFormat="false" ht="15" hidden="false" customHeight="false" outlineLevel="0" collapsed="false">
      <c r="A5262" s="28" t="s">
        <v>207</v>
      </c>
      <c r="B5262" s="28" t="s">
        <v>208</v>
      </c>
      <c r="C5262" s="28" t="s">
        <v>209</v>
      </c>
      <c r="D5262" s="23" t="n">
        <v>16</v>
      </c>
      <c r="E5262" s="23" t="n">
        <v>0</v>
      </c>
      <c r="F5262" s="28" t="s">
        <v>912</v>
      </c>
      <c r="G5262" s="19" t="n">
        <v>0.0526</v>
      </c>
    </row>
    <row r="5263" customFormat="false" ht="15" hidden="false" customHeight="false" outlineLevel="0" collapsed="false">
      <c r="A5263" s="28" t="s">
        <v>207</v>
      </c>
      <c r="B5263" s="28" t="s">
        <v>208</v>
      </c>
      <c r="C5263" s="28" t="s">
        <v>209</v>
      </c>
      <c r="D5263" s="23" t="n">
        <v>16</v>
      </c>
      <c r="E5263" s="23" t="n">
        <v>0</v>
      </c>
      <c r="F5263" s="28" t="s">
        <v>913</v>
      </c>
      <c r="G5263" s="19" t="n">
        <v>0.0564</v>
      </c>
    </row>
    <row r="5264" customFormat="false" ht="15" hidden="false" customHeight="false" outlineLevel="0" collapsed="false">
      <c r="A5264" s="28" t="s">
        <v>207</v>
      </c>
      <c r="B5264" s="28" t="s">
        <v>208</v>
      </c>
      <c r="C5264" s="28" t="s">
        <v>209</v>
      </c>
      <c r="D5264" s="23" t="n">
        <v>16</v>
      </c>
      <c r="E5264" s="23" t="n">
        <v>0</v>
      </c>
      <c r="F5264" s="28" t="s">
        <v>914</v>
      </c>
      <c r="G5264" s="19" t="n">
        <v>0.0559</v>
      </c>
    </row>
    <row r="5265" customFormat="false" ht="15" hidden="false" customHeight="false" outlineLevel="0" collapsed="false">
      <c r="A5265" s="28" t="s">
        <v>207</v>
      </c>
      <c r="B5265" s="28" t="s">
        <v>208</v>
      </c>
      <c r="C5265" s="28" t="s">
        <v>209</v>
      </c>
      <c r="D5265" s="23" t="n">
        <v>16</v>
      </c>
      <c r="E5265" s="23" t="n">
        <v>0</v>
      </c>
      <c r="F5265" s="28" t="s">
        <v>915</v>
      </c>
      <c r="G5265" s="19" t="n">
        <v>0.0731</v>
      </c>
    </row>
    <row r="5266" customFormat="false" ht="15" hidden="false" customHeight="false" outlineLevel="0" collapsed="false">
      <c r="A5266" s="28" t="s">
        <v>207</v>
      </c>
      <c r="B5266" s="28" t="s">
        <v>208</v>
      </c>
      <c r="C5266" s="28" t="s">
        <v>209</v>
      </c>
      <c r="D5266" s="23" t="n">
        <v>16</v>
      </c>
      <c r="E5266" s="23" t="n">
        <v>1</v>
      </c>
      <c r="F5266" s="28" t="s">
        <v>904</v>
      </c>
      <c r="G5266" s="19" t="n">
        <v>0.0388</v>
      </c>
    </row>
    <row r="5267" customFormat="false" ht="15" hidden="false" customHeight="false" outlineLevel="0" collapsed="false">
      <c r="A5267" s="28" t="s">
        <v>207</v>
      </c>
      <c r="B5267" s="28" t="s">
        <v>208</v>
      </c>
      <c r="C5267" s="28" t="s">
        <v>209</v>
      </c>
      <c r="D5267" s="23" t="n">
        <v>16</v>
      </c>
      <c r="E5267" s="23" t="n">
        <v>1</v>
      </c>
      <c r="F5267" s="28" t="s">
        <v>551</v>
      </c>
      <c r="G5267" s="19" t="n">
        <v>0.07</v>
      </c>
    </row>
    <row r="5268" customFormat="false" ht="15" hidden="false" customHeight="false" outlineLevel="0" collapsed="false">
      <c r="A5268" s="28" t="s">
        <v>207</v>
      </c>
      <c r="B5268" s="28" t="s">
        <v>208</v>
      </c>
      <c r="C5268" s="28" t="s">
        <v>209</v>
      </c>
      <c r="D5268" s="23" t="n">
        <v>16</v>
      </c>
      <c r="E5268" s="23" t="n">
        <v>1</v>
      </c>
      <c r="F5268" s="28" t="s">
        <v>451</v>
      </c>
      <c r="G5268" s="19" t="n">
        <v>0.0386</v>
      </c>
    </row>
    <row r="5269" customFormat="false" ht="15" hidden="false" customHeight="false" outlineLevel="0" collapsed="false">
      <c r="A5269" s="28" t="s">
        <v>207</v>
      </c>
      <c r="B5269" s="28" t="s">
        <v>208</v>
      </c>
      <c r="C5269" s="28" t="s">
        <v>209</v>
      </c>
      <c r="D5269" s="23" t="n">
        <v>16</v>
      </c>
      <c r="E5269" s="23" t="n">
        <v>1</v>
      </c>
      <c r="F5269" s="28" t="s">
        <v>905</v>
      </c>
      <c r="G5269" s="19" t="n">
        <v>0.0425</v>
      </c>
    </row>
    <row r="5270" customFormat="false" ht="15" hidden="false" customHeight="false" outlineLevel="0" collapsed="false">
      <c r="A5270" s="28" t="s">
        <v>207</v>
      </c>
      <c r="B5270" s="28" t="s">
        <v>208</v>
      </c>
      <c r="C5270" s="28" t="s">
        <v>209</v>
      </c>
      <c r="D5270" s="23" t="n">
        <v>16</v>
      </c>
      <c r="E5270" s="23" t="n">
        <v>1</v>
      </c>
      <c r="F5270" s="28" t="s">
        <v>906</v>
      </c>
      <c r="G5270" s="19" t="n">
        <v>0.0436</v>
      </c>
    </row>
    <row r="5271" customFormat="false" ht="15" hidden="false" customHeight="false" outlineLevel="0" collapsed="false">
      <c r="A5271" s="28" t="s">
        <v>207</v>
      </c>
      <c r="B5271" s="28" t="s">
        <v>208</v>
      </c>
      <c r="C5271" s="28" t="s">
        <v>209</v>
      </c>
      <c r="D5271" s="23" t="n">
        <v>16</v>
      </c>
      <c r="E5271" s="23" t="n">
        <v>1</v>
      </c>
      <c r="F5271" s="28" t="s">
        <v>907</v>
      </c>
      <c r="G5271" s="19" t="n">
        <v>0.0458</v>
      </c>
    </row>
    <row r="5272" customFormat="false" ht="15" hidden="false" customHeight="false" outlineLevel="0" collapsed="false">
      <c r="A5272" s="28" t="s">
        <v>207</v>
      </c>
      <c r="B5272" s="28" t="s">
        <v>208</v>
      </c>
      <c r="C5272" s="28" t="s">
        <v>209</v>
      </c>
      <c r="D5272" s="23" t="n">
        <v>16</v>
      </c>
      <c r="E5272" s="23" t="n">
        <v>1</v>
      </c>
      <c r="F5272" s="28" t="s">
        <v>908</v>
      </c>
      <c r="G5272" s="19" t="n">
        <v>0.0489</v>
      </c>
    </row>
    <row r="5273" customFormat="false" ht="15" hidden="false" customHeight="false" outlineLevel="0" collapsed="false">
      <c r="A5273" s="28" t="s">
        <v>207</v>
      </c>
      <c r="B5273" s="28" t="s">
        <v>208</v>
      </c>
      <c r="C5273" s="28" t="s">
        <v>209</v>
      </c>
      <c r="D5273" s="23" t="n">
        <v>16</v>
      </c>
      <c r="E5273" s="23" t="n">
        <v>1</v>
      </c>
      <c r="F5273" s="28" t="s">
        <v>909</v>
      </c>
      <c r="G5273" s="19" t="n">
        <v>0.0498</v>
      </c>
    </row>
    <row r="5274" customFormat="false" ht="15" hidden="false" customHeight="false" outlineLevel="0" collapsed="false">
      <c r="A5274" s="28" t="s">
        <v>207</v>
      </c>
      <c r="B5274" s="28" t="s">
        <v>208</v>
      </c>
      <c r="C5274" s="28" t="s">
        <v>209</v>
      </c>
      <c r="D5274" s="23" t="n">
        <v>16</v>
      </c>
      <c r="E5274" s="23" t="n">
        <v>1</v>
      </c>
      <c r="F5274" s="28" t="s">
        <v>910</v>
      </c>
      <c r="G5274" s="19" t="n">
        <v>0.0506</v>
      </c>
    </row>
    <row r="5275" customFormat="false" ht="15" hidden="false" customHeight="false" outlineLevel="0" collapsed="false">
      <c r="A5275" s="28" t="s">
        <v>207</v>
      </c>
      <c r="B5275" s="28" t="s">
        <v>208</v>
      </c>
      <c r="C5275" s="28" t="s">
        <v>209</v>
      </c>
      <c r="D5275" s="23" t="n">
        <v>16</v>
      </c>
      <c r="E5275" s="23" t="n">
        <v>1</v>
      </c>
      <c r="F5275" s="28" t="s">
        <v>911</v>
      </c>
      <c r="G5275" s="19" t="n">
        <v>0.0516</v>
      </c>
    </row>
    <row r="5276" customFormat="false" ht="15" hidden="false" customHeight="false" outlineLevel="0" collapsed="false">
      <c r="A5276" s="28" t="s">
        <v>207</v>
      </c>
      <c r="B5276" s="28" t="s">
        <v>208</v>
      </c>
      <c r="C5276" s="28" t="s">
        <v>209</v>
      </c>
      <c r="D5276" s="23" t="n">
        <v>16</v>
      </c>
      <c r="E5276" s="23" t="n">
        <v>1</v>
      </c>
      <c r="F5276" s="28" t="s">
        <v>912</v>
      </c>
      <c r="G5276" s="19" t="n">
        <v>0.0526</v>
      </c>
    </row>
    <row r="5277" customFormat="false" ht="15" hidden="false" customHeight="false" outlineLevel="0" collapsed="false">
      <c r="A5277" s="28" t="s">
        <v>207</v>
      </c>
      <c r="B5277" s="28" t="s">
        <v>208</v>
      </c>
      <c r="C5277" s="28" t="s">
        <v>209</v>
      </c>
      <c r="D5277" s="23" t="n">
        <v>16</v>
      </c>
      <c r="E5277" s="23" t="n">
        <v>1</v>
      </c>
      <c r="F5277" s="28" t="s">
        <v>913</v>
      </c>
      <c r="G5277" s="19" t="n">
        <v>0.0564</v>
      </c>
    </row>
    <row r="5278" customFormat="false" ht="15" hidden="false" customHeight="false" outlineLevel="0" collapsed="false">
      <c r="A5278" s="28" t="s">
        <v>207</v>
      </c>
      <c r="B5278" s="28" t="s">
        <v>208</v>
      </c>
      <c r="C5278" s="28" t="s">
        <v>209</v>
      </c>
      <c r="D5278" s="23" t="n">
        <v>16</v>
      </c>
      <c r="E5278" s="23" t="n">
        <v>1</v>
      </c>
      <c r="F5278" s="28" t="s">
        <v>914</v>
      </c>
      <c r="G5278" s="19" t="n">
        <v>0.0559</v>
      </c>
    </row>
    <row r="5279" customFormat="false" ht="15" hidden="false" customHeight="false" outlineLevel="0" collapsed="false">
      <c r="A5279" s="28" t="s">
        <v>207</v>
      </c>
      <c r="B5279" s="28" t="s">
        <v>208</v>
      </c>
      <c r="C5279" s="28" t="s">
        <v>209</v>
      </c>
      <c r="D5279" s="23" t="n">
        <v>16</v>
      </c>
      <c r="E5279" s="23" t="n">
        <v>1</v>
      </c>
      <c r="F5279" s="28" t="s">
        <v>915</v>
      </c>
      <c r="G5279" s="19" t="n">
        <v>0.0731</v>
      </c>
    </row>
    <row r="5280" customFormat="false" ht="15" hidden="false" customHeight="false" outlineLevel="0" collapsed="false">
      <c r="A5280" s="28" t="s">
        <v>207</v>
      </c>
      <c r="B5280" s="28" t="s">
        <v>208</v>
      </c>
      <c r="C5280" s="28" t="s">
        <v>209</v>
      </c>
      <c r="D5280" s="23" t="n">
        <v>16</v>
      </c>
      <c r="E5280" s="23" t="n">
        <v>2</v>
      </c>
      <c r="F5280" s="28" t="s">
        <v>904</v>
      </c>
      <c r="G5280" s="19" t="n">
        <v>0.0388</v>
      </c>
    </row>
    <row r="5281" customFormat="false" ht="15" hidden="false" customHeight="false" outlineLevel="0" collapsed="false">
      <c r="A5281" s="28" t="s">
        <v>207</v>
      </c>
      <c r="B5281" s="28" t="s">
        <v>208</v>
      </c>
      <c r="C5281" s="28" t="s">
        <v>209</v>
      </c>
      <c r="D5281" s="23" t="n">
        <v>16</v>
      </c>
      <c r="E5281" s="23" t="n">
        <v>2</v>
      </c>
      <c r="F5281" s="28" t="s">
        <v>551</v>
      </c>
      <c r="G5281" s="19" t="n">
        <v>0.07</v>
      </c>
    </row>
    <row r="5282" customFormat="false" ht="15" hidden="false" customHeight="false" outlineLevel="0" collapsed="false">
      <c r="A5282" s="28" t="s">
        <v>207</v>
      </c>
      <c r="B5282" s="28" t="s">
        <v>208</v>
      </c>
      <c r="C5282" s="28" t="s">
        <v>209</v>
      </c>
      <c r="D5282" s="23" t="n">
        <v>16</v>
      </c>
      <c r="E5282" s="23" t="n">
        <v>2</v>
      </c>
      <c r="F5282" s="28" t="s">
        <v>451</v>
      </c>
      <c r="G5282" s="19" t="n">
        <v>0.0386</v>
      </c>
    </row>
    <row r="5283" customFormat="false" ht="15" hidden="false" customHeight="false" outlineLevel="0" collapsed="false">
      <c r="A5283" s="28" t="s">
        <v>207</v>
      </c>
      <c r="B5283" s="28" t="s">
        <v>208</v>
      </c>
      <c r="C5283" s="28" t="s">
        <v>209</v>
      </c>
      <c r="D5283" s="23" t="n">
        <v>16</v>
      </c>
      <c r="E5283" s="23" t="n">
        <v>2</v>
      </c>
      <c r="F5283" s="28" t="s">
        <v>905</v>
      </c>
      <c r="G5283" s="19" t="n">
        <v>0.0425</v>
      </c>
    </row>
    <row r="5284" customFormat="false" ht="15" hidden="false" customHeight="false" outlineLevel="0" collapsed="false">
      <c r="A5284" s="28" t="s">
        <v>207</v>
      </c>
      <c r="B5284" s="28" t="s">
        <v>208</v>
      </c>
      <c r="C5284" s="28" t="s">
        <v>209</v>
      </c>
      <c r="D5284" s="23" t="n">
        <v>16</v>
      </c>
      <c r="E5284" s="23" t="n">
        <v>2</v>
      </c>
      <c r="F5284" s="28" t="s">
        <v>906</v>
      </c>
      <c r="G5284" s="19" t="n">
        <v>0.0436</v>
      </c>
    </row>
    <row r="5285" customFormat="false" ht="15" hidden="false" customHeight="false" outlineLevel="0" collapsed="false">
      <c r="A5285" s="28" t="s">
        <v>207</v>
      </c>
      <c r="B5285" s="28" t="s">
        <v>208</v>
      </c>
      <c r="C5285" s="28" t="s">
        <v>209</v>
      </c>
      <c r="D5285" s="23" t="n">
        <v>16</v>
      </c>
      <c r="E5285" s="23" t="n">
        <v>2</v>
      </c>
      <c r="F5285" s="28" t="s">
        <v>907</v>
      </c>
      <c r="G5285" s="19" t="n">
        <v>0.0458</v>
      </c>
    </row>
    <row r="5286" customFormat="false" ht="15" hidden="false" customHeight="false" outlineLevel="0" collapsed="false">
      <c r="A5286" s="28" t="s">
        <v>207</v>
      </c>
      <c r="B5286" s="28" t="s">
        <v>208</v>
      </c>
      <c r="C5286" s="28" t="s">
        <v>209</v>
      </c>
      <c r="D5286" s="23" t="n">
        <v>16</v>
      </c>
      <c r="E5286" s="23" t="n">
        <v>2</v>
      </c>
      <c r="F5286" s="28" t="s">
        <v>908</v>
      </c>
      <c r="G5286" s="19" t="n">
        <v>0.0489</v>
      </c>
    </row>
    <row r="5287" customFormat="false" ht="15" hidden="false" customHeight="false" outlineLevel="0" collapsed="false">
      <c r="A5287" s="28" t="s">
        <v>207</v>
      </c>
      <c r="B5287" s="28" t="s">
        <v>208</v>
      </c>
      <c r="C5287" s="28" t="s">
        <v>209</v>
      </c>
      <c r="D5287" s="23" t="n">
        <v>16</v>
      </c>
      <c r="E5287" s="23" t="n">
        <v>2</v>
      </c>
      <c r="F5287" s="28" t="s">
        <v>909</v>
      </c>
      <c r="G5287" s="19" t="n">
        <v>0.0498</v>
      </c>
    </row>
    <row r="5288" customFormat="false" ht="15" hidden="false" customHeight="false" outlineLevel="0" collapsed="false">
      <c r="A5288" s="28" t="s">
        <v>207</v>
      </c>
      <c r="B5288" s="28" t="s">
        <v>208</v>
      </c>
      <c r="C5288" s="28" t="s">
        <v>209</v>
      </c>
      <c r="D5288" s="23" t="n">
        <v>16</v>
      </c>
      <c r="E5288" s="23" t="n">
        <v>2</v>
      </c>
      <c r="F5288" s="28" t="s">
        <v>910</v>
      </c>
      <c r="G5288" s="19" t="n">
        <v>0.0506</v>
      </c>
    </row>
    <row r="5289" customFormat="false" ht="15" hidden="false" customHeight="false" outlineLevel="0" collapsed="false">
      <c r="A5289" s="28" t="s">
        <v>207</v>
      </c>
      <c r="B5289" s="28" t="s">
        <v>208</v>
      </c>
      <c r="C5289" s="28" t="s">
        <v>209</v>
      </c>
      <c r="D5289" s="23" t="n">
        <v>16</v>
      </c>
      <c r="E5289" s="23" t="n">
        <v>2</v>
      </c>
      <c r="F5289" s="28" t="s">
        <v>911</v>
      </c>
      <c r="G5289" s="19" t="n">
        <v>0.0516</v>
      </c>
    </row>
    <row r="5290" customFormat="false" ht="15" hidden="false" customHeight="false" outlineLevel="0" collapsed="false">
      <c r="A5290" s="28" t="s">
        <v>207</v>
      </c>
      <c r="B5290" s="28" t="s">
        <v>208</v>
      </c>
      <c r="C5290" s="28" t="s">
        <v>209</v>
      </c>
      <c r="D5290" s="23" t="n">
        <v>16</v>
      </c>
      <c r="E5290" s="23" t="n">
        <v>2</v>
      </c>
      <c r="F5290" s="28" t="s">
        <v>912</v>
      </c>
      <c r="G5290" s="19" t="n">
        <v>0.0526</v>
      </c>
    </row>
    <row r="5291" customFormat="false" ht="15" hidden="false" customHeight="false" outlineLevel="0" collapsed="false">
      <c r="A5291" s="28" t="s">
        <v>207</v>
      </c>
      <c r="B5291" s="28" t="s">
        <v>208</v>
      </c>
      <c r="C5291" s="28" t="s">
        <v>209</v>
      </c>
      <c r="D5291" s="23" t="n">
        <v>16</v>
      </c>
      <c r="E5291" s="23" t="n">
        <v>2</v>
      </c>
      <c r="F5291" s="28" t="s">
        <v>913</v>
      </c>
      <c r="G5291" s="19" t="n">
        <v>0.0564</v>
      </c>
    </row>
    <row r="5292" customFormat="false" ht="15" hidden="false" customHeight="false" outlineLevel="0" collapsed="false">
      <c r="A5292" s="28" t="s">
        <v>207</v>
      </c>
      <c r="B5292" s="28" t="s">
        <v>208</v>
      </c>
      <c r="C5292" s="28" t="s">
        <v>209</v>
      </c>
      <c r="D5292" s="23" t="n">
        <v>16</v>
      </c>
      <c r="E5292" s="23" t="n">
        <v>2</v>
      </c>
      <c r="F5292" s="28" t="s">
        <v>914</v>
      </c>
      <c r="G5292" s="19" t="n">
        <v>0.0559</v>
      </c>
    </row>
    <row r="5293" customFormat="false" ht="15" hidden="false" customHeight="false" outlineLevel="0" collapsed="false">
      <c r="A5293" s="28" t="s">
        <v>207</v>
      </c>
      <c r="B5293" s="28" t="s">
        <v>208</v>
      </c>
      <c r="C5293" s="28" t="s">
        <v>209</v>
      </c>
      <c r="D5293" s="23" t="n">
        <v>16</v>
      </c>
      <c r="E5293" s="23" t="n">
        <v>2</v>
      </c>
      <c r="F5293" s="28" t="s">
        <v>915</v>
      </c>
      <c r="G5293" s="19" t="n">
        <v>0.0731</v>
      </c>
    </row>
    <row r="5294" customFormat="false" ht="15" hidden="false" customHeight="false" outlineLevel="0" collapsed="false">
      <c r="A5294" s="28" t="s">
        <v>207</v>
      </c>
      <c r="B5294" s="28" t="s">
        <v>208</v>
      </c>
      <c r="C5294" s="28" t="s">
        <v>209</v>
      </c>
      <c r="D5294" s="23" t="n">
        <v>16</v>
      </c>
      <c r="E5294" s="23" t="n">
        <v>3</v>
      </c>
      <c r="F5294" s="28" t="s">
        <v>904</v>
      </c>
      <c r="G5294" s="19" t="n">
        <v>0.0388</v>
      </c>
    </row>
    <row r="5295" customFormat="false" ht="15" hidden="false" customHeight="false" outlineLevel="0" collapsed="false">
      <c r="A5295" s="28" t="s">
        <v>207</v>
      </c>
      <c r="B5295" s="28" t="s">
        <v>208</v>
      </c>
      <c r="C5295" s="28" t="s">
        <v>209</v>
      </c>
      <c r="D5295" s="23" t="n">
        <v>16</v>
      </c>
      <c r="E5295" s="23" t="n">
        <v>3</v>
      </c>
      <c r="F5295" s="28" t="s">
        <v>551</v>
      </c>
      <c r="G5295" s="19" t="n">
        <v>0.07</v>
      </c>
    </row>
    <row r="5296" customFormat="false" ht="15" hidden="false" customHeight="false" outlineLevel="0" collapsed="false">
      <c r="A5296" s="28" t="s">
        <v>207</v>
      </c>
      <c r="B5296" s="28" t="s">
        <v>208</v>
      </c>
      <c r="C5296" s="28" t="s">
        <v>209</v>
      </c>
      <c r="D5296" s="23" t="n">
        <v>16</v>
      </c>
      <c r="E5296" s="23" t="n">
        <v>3</v>
      </c>
      <c r="F5296" s="28" t="s">
        <v>451</v>
      </c>
      <c r="G5296" s="19" t="n">
        <v>0.0386</v>
      </c>
    </row>
    <row r="5297" customFormat="false" ht="15" hidden="false" customHeight="false" outlineLevel="0" collapsed="false">
      <c r="A5297" s="28" t="s">
        <v>207</v>
      </c>
      <c r="B5297" s="28" t="s">
        <v>208</v>
      </c>
      <c r="C5297" s="28" t="s">
        <v>209</v>
      </c>
      <c r="D5297" s="23" t="n">
        <v>16</v>
      </c>
      <c r="E5297" s="23" t="n">
        <v>3</v>
      </c>
      <c r="F5297" s="28" t="s">
        <v>905</v>
      </c>
      <c r="G5297" s="19" t="n">
        <v>0.0425</v>
      </c>
    </row>
    <row r="5298" customFormat="false" ht="15" hidden="false" customHeight="false" outlineLevel="0" collapsed="false">
      <c r="A5298" s="28" t="s">
        <v>207</v>
      </c>
      <c r="B5298" s="28" t="s">
        <v>208</v>
      </c>
      <c r="C5298" s="28" t="s">
        <v>209</v>
      </c>
      <c r="D5298" s="23" t="n">
        <v>16</v>
      </c>
      <c r="E5298" s="23" t="n">
        <v>3</v>
      </c>
      <c r="F5298" s="28" t="s">
        <v>906</v>
      </c>
      <c r="G5298" s="19" t="n">
        <v>0.0436</v>
      </c>
    </row>
    <row r="5299" customFormat="false" ht="15" hidden="false" customHeight="false" outlineLevel="0" collapsed="false">
      <c r="A5299" s="28" t="s">
        <v>207</v>
      </c>
      <c r="B5299" s="28" t="s">
        <v>208</v>
      </c>
      <c r="C5299" s="28" t="s">
        <v>209</v>
      </c>
      <c r="D5299" s="23" t="n">
        <v>16</v>
      </c>
      <c r="E5299" s="23" t="n">
        <v>3</v>
      </c>
      <c r="F5299" s="28" t="s">
        <v>907</v>
      </c>
      <c r="G5299" s="19" t="n">
        <v>0.0458</v>
      </c>
    </row>
    <row r="5300" customFormat="false" ht="15" hidden="false" customHeight="false" outlineLevel="0" collapsed="false">
      <c r="A5300" s="28" t="s">
        <v>207</v>
      </c>
      <c r="B5300" s="28" t="s">
        <v>208</v>
      </c>
      <c r="C5300" s="28" t="s">
        <v>209</v>
      </c>
      <c r="D5300" s="23" t="n">
        <v>16</v>
      </c>
      <c r="E5300" s="23" t="n">
        <v>3</v>
      </c>
      <c r="F5300" s="28" t="s">
        <v>908</v>
      </c>
      <c r="G5300" s="19" t="n">
        <v>0.0489</v>
      </c>
    </row>
    <row r="5301" customFormat="false" ht="15" hidden="false" customHeight="false" outlineLevel="0" collapsed="false">
      <c r="A5301" s="28" t="s">
        <v>207</v>
      </c>
      <c r="B5301" s="28" t="s">
        <v>208</v>
      </c>
      <c r="C5301" s="28" t="s">
        <v>209</v>
      </c>
      <c r="D5301" s="23" t="n">
        <v>16</v>
      </c>
      <c r="E5301" s="23" t="n">
        <v>3</v>
      </c>
      <c r="F5301" s="28" t="s">
        <v>909</v>
      </c>
      <c r="G5301" s="19" t="n">
        <v>0.0498</v>
      </c>
    </row>
    <row r="5302" customFormat="false" ht="15" hidden="false" customHeight="false" outlineLevel="0" collapsed="false">
      <c r="A5302" s="28" t="s">
        <v>207</v>
      </c>
      <c r="B5302" s="28" t="s">
        <v>208</v>
      </c>
      <c r="C5302" s="28" t="s">
        <v>209</v>
      </c>
      <c r="D5302" s="23" t="n">
        <v>16</v>
      </c>
      <c r="E5302" s="23" t="n">
        <v>3</v>
      </c>
      <c r="F5302" s="28" t="s">
        <v>910</v>
      </c>
      <c r="G5302" s="19" t="n">
        <v>0.0506</v>
      </c>
    </row>
    <row r="5303" customFormat="false" ht="15" hidden="false" customHeight="false" outlineLevel="0" collapsed="false">
      <c r="A5303" s="28" t="s">
        <v>207</v>
      </c>
      <c r="B5303" s="28" t="s">
        <v>208</v>
      </c>
      <c r="C5303" s="28" t="s">
        <v>209</v>
      </c>
      <c r="D5303" s="23" t="n">
        <v>16</v>
      </c>
      <c r="E5303" s="23" t="n">
        <v>3</v>
      </c>
      <c r="F5303" s="28" t="s">
        <v>911</v>
      </c>
      <c r="G5303" s="19" t="n">
        <v>0.0516</v>
      </c>
    </row>
    <row r="5304" customFormat="false" ht="15" hidden="false" customHeight="false" outlineLevel="0" collapsed="false">
      <c r="A5304" s="28" t="s">
        <v>207</v>
      </c>
      <c r="B5304" s="28" t="s">
        <v>208</v>
      </c>
      <c r="C5304" s="28" t="s">
        <v>209</v>
      </c>
      <c r="D5304" s="23" t="n">
        <v>16</v>
      </c>
      <c r="E5304" s="23" t="n">
        <v>3</v>
      </c>
      <c r="F5304" s="28" t="s">
        <v>912</v>
      </c>
      <c r="G5304" s="19" t="n">
        <v>0.0526</v>
      </c>
    </row>
    <row r="5305" customFormat="false" ht="15" hidden="false" customHeight="false" outlineLevel="0" collapsed="false">
      <c r="A5305" s="28" t="s">
        <v>207</v>
      </c>
      <c r="B5305" s="28" t="s">
        <v>208</v>
      </c>
      <c r="C5305" s="28" t="s">
        <v>209</v>
      </c>
      <c r="D5305" s="23" t="n">
        <v>16</v>
      </c>
      <c r="E5305" s="23" t="n">
        <v>3</v>
      </c>
      <c r="F5305" s="28" t="s">
        <v>913</v>
      </c>
      <c r="G5305" s="19" t="n">
        <v>0.0564</v>
      </c>
    </row>
    <row r="5306" customFormat="false" ht="15" hidden="false" customHeight="false" outlineLevel="0" collapsed="false">
      <c r="A5306" s="28" t="s">
        <v>207</v>
      </c>
      <c r="B5306" s="28" t="s">
        <v>208</v>
      </c>
      <c r="C5306" s="28" t="s">
        <v>209</v>
      </c>
      <c r="D5306" s="23" t="n">
        <v>16</v>
      </c>
      <c r="E5306" s="23" t="n">
        <v>3</v>
      </c>
      <c r="F5306" s="28" t="s">
        <v>914</v>
      </c>
      <c r="G5306" s="19" t="n">
        <v>0.0559</v>
      </c>
    </row>
    <row r="5307" customFormat="false" ht="15" hidden="false" customHeight="false" outlineLevel="0" collapsed="false">
      <c r="A5307" s="28" t="s">
        <v>207</v>
      </c>
      <c r="B5307" s="28" t="s">
        <v>208</v>
      </c>
      <c r="C5307" s="28" t="s">
        <v>209</v>
      </c>
      <c r="D5307" s="23" t="n">
        <v>16</v>
      </c>
      <c r="E5307" s="23" t="n">
        <v>3</v>
      </c>
      <c r="F5307" s="28" t="s">
        <v>915</v>
      </c>
      <c r="G5307" s="19" t="n">
        <v>0.0731</v>
      </c>
    </row>
    <row r="5308" customFormat="false" ht="15" hidden="false" customHeight="false" outlineLevel="0" collapsed="false">
      <c r="A5308" s="28" t="s">
        <v>207</v>
      </c>
      <c r="B5308" s="28" t="s">
        <v>208</v>
      </c>
      <c r="C5308" s="28" t="s">
        <v>209</v>
      </c>
      <c r="D5308" s="23" t="n">
        <v>16</v>
      </c>
      <c r="E5308" s="23" t="n">
        <v>4</v>
      </c>
      <c r="F5308" s="28" t="s">
        <v>904</v>
      </c>
      <c r="G5308" s="19" t="n">
        <v>0.0388</v>
      </c>
    </row>
    <row r="5309" customFormat="false" ht="15" hidden="false" customHeight="false" outlineLevel="0" collapsed="false">
      <c r="A5309" s="28" t="s">
        <v>207</v>
      </c>
      <c r="B5309" s="28" t="s">
        <v>208</v>
      </c>
      <c r="C5309" s="28" t="s">
        <v>209</v>
      </c>
      <c r="D5309" s="23" t="n">
        <v>16</v>
      </c>
      <c r="E5309" s="23" t="n">
        <v>4</v>
      </c>
      <c r="F5309" s="28" t="s">
        <v>551</v>
      </c>
      <c r="G5309" s="19" t="n">
        <v>0.07</v>
      </c>
    </row>
    <row r="5310" customFormat="false" ht="15" hidden="false" customHeight="false" outlineLevel="0" collapsed="false">
      <c r="A5310" s="28" t="s">
        <v>207</v>
      </c>
      <c r="B5310" s="28" t="s">
        <v>208</v>
      </c>
      <c r="C5310" s="28" t="s">
        <v>209</v>
      </c>
      <c r="D5310" s="23" t="n">
        <v>16</v>
      </c>
      <c r="E5310" s="23" t="n">
        <v>4</v>
      </c>
      <c r="F5310" s="28" t="s">
        <v>451</v>
      </c>
      <c r="G5310" s="19" t="n">
        <v>0.0386</v>
      </c>
    </row>
    <row r="5311" customFormat="false" ht="15" hidden="false" customHeight="false" outlineLevel="0" collapsed="false">
      <c r="A5311" s="28" t="s">
        <v>207</v>
      </c>
      <c r="B5311" s="28" t="s">
        <v>208</v>
      </c>
      <c r="C5311" s="28" t="s">
        <v>209</v>
      </c>
      <c r="D5311" s="23" t="n">
        <v>16</v>
      </c>
      <c r="E5311" s="23" t="n">
        <v>4</v>
      </c>
      <c r="F5311" s="28" t="s">
        <v>905</v>
      </c>
      <c r="G5311" s="19" t="n">
        <v>0.0425</v>
      </c>
    </row>
    <row r="5312" customFormat="false" ht="15" hidden="false" customHeight="false" outlineLevel="0" collapsed="false">
      <c r="A5312" s="28" t="s">
        <v>207</v>
      </c>
      <c r="B5312" s="28" t="s">
        <v>208</v>
      </c>
      <c r="C5312" s="28" t="s">
        <v>209</v>
      </c>
      <c r="D5312" s="23" t="n">
        <v>16</v>
      </c>
      <c r="E5312" s="23" t="n">
        <v>4</v>
      </c>
      <c r="F5312" s="28" t="s">
        <v>906</v>
      </c>
      <c r="G5312" s="19" t="n">
        <v>0.0436</v>
      </c>
    </row>
    <row r="5313" customFormat="false" ht="15" hidden="false" customHeight="false" outlineLevel="0" collapsed="false">
      <c r="A5313" s="28" t="s">
        <v>207</v>
      </c>
      <c r="B5313" s="28" t="s">
        <v>208</v>
      </c>
      <c r="C5313" s="28" t="s">
        <v>209</v>
      </c>
      <c r="D5313" s="23" t="n">
        <v>16</v>
      </c>
      <c r="E5313" s="23" t="n">
        <v>4</v>
      </c>
      <c r="F5313" s="28" t="s">
        <v>907</v>
      </c>
      <c r="G5313" s="19" t="n">
        <v>0.0458</v>
      </c>
    </row>
    <row r="5314" customFormat="false" ht="15" hidden="false" customHeight="false" outlineLevel="0" collapsed="false">
      <c r="A5314" s="28" t="s">
        <v>207</v>
      </c>
      <c r="B5314" s="28" t="s">
        <v>208</v>
      </c>
      <c r="C5314" s="28" t="s">
        <v>209</v>
      </c>
      <c r="D5314" s="23" t="n">
        <v>16</v>
      </c>
      <c r="E5314" s="23" t="n">
        <v>4</v>
      </c>
      <c r="F5314" s="28" t="s">
        <v>908</v>
      </c>
      <c r="G5314" s="19" t="n">
        <v>0.0489</v>
      </c>
    </row>
    <row r="5315" customFormat="false" ht="15" hidden="false" customHeight="false" outlineLevel="0" collapsed="false">
      <c r="A5315" s="28" t="s">
        <v>207</v>
      </c>
      <c r="B5315" s="28" t="s">
        <v>208</v>
      </c>
      <c r="C5315" s="28" t="s">
        <v>209</v>
      </c>
      <c r="D5315" s="23" t="n">
        <v>16</v>
      </c>
      <c r="E5315" s="23" t="n">
        <v>4</v>
      </c>
      <c r="F5315" s="28" t="s">
        <v>909</v>
      </c>
      <c r="G5315" s="19" t="n">
        <v>0.0498</v>
      </c>
    </row>
    <row r="5316" customFormat="false" ht="15" hidden="false" customHeight="false" outlineLevel="0" collapsed="false">
      <c r="A5316" s="28" t="s">
        <v>207</v>
      </c>
      <c r="B5316" s="28" t="s">
        <v>208</v>
      </c>
      <c r="C5316" s="28" t="s">
        <v>209</v>
      </c>
      <c r="D5316" s="23" t="n">
        <v>16</v>
      </c>
      <c r="E5316" s="23" t="n">
        <v>4</v>
      </c>
      <c r="F5316" s="28" t="s">
        <v>910</v>
      </c>
      <c r="G5316" s="19" t="n">
        <v>0.0506</v>
      </c>
    </row>
    <row r="5317" customFormat="false" ht="15" hidden="false" customHeight="false" outlineLevel="0" collapsed="false">
      <c r="A5317" s="28" t="s">
        <v>207</v>
      </c>
      <c r="B5317" s="28" t="s">
        <v>208</v>
      </c>
      <c r="C5317" s="28" t="s">
        <v>209</v>
      </c>
      <c r="D5317" s="23" t="n">
        <v>16</v>
      </c>
      <c r="E5317" s="23" t="n">
        <v>4</v>
      </c>
      <c r="F5317" s="28" t="s">
        <v>911</v>
      </c>
      <c r="G5317" s="19" t="n">
        <v>0.0516</v>
      </c>
    </row>
    <row r="5318" customFormat="false" ht="15" hidden="false" customHeight="false" outlineLevel="0" collapsed="false">
      <c r="A5318" s="28" t="s">
        <v>207</v>
      </c>
      <c r="B5318" s="28" t="s">
        <v>208</v>
      </c>
      <c r="C5318" s="28" t="s">
        <v>209</v>
      </c>
      <c r="D5318" s="23" t="n">
        <v>16</v>
      </c>
      <c r="E5318" s="23" t="n">
        <v>4</v>
      </c>
      <c r="F5318" s="28" t="s">
        <v>912</v>
      </c>
      <c r="G5318" s="19" t="n">
        <v>0.0526</v>
      </c>
    </row>
    <row r="5319" customFormat="false" ht="15" hidden="false" customHeight="false" outlineLevel="0" collapsed="false">
      <c r="A5319" s="28" t="s">
        <v>207</v>
      </c>
      <c r="B5319" s="28" t="s">
        <v>208</v>
      </c>
      <c r="C5319" s="28" t="s">
        <v>209</v>
      </c>
      <c r="D5319" s="23" t="n">
        <v>16</v>
      </c>
      <c r="E5319" s="23" t="n">
        <v>4</v>
      </c>
      <c r="F5319" s="28" t="s">
        <v>913</v>
      </c>
      <c r="G5319" s="19" t="n">
        <v>0.0564</v>
      </c>
    </row>
    <row r="5320" customFormat="false" ht="15" hidden="false" customHeight="false" outlineLevel="0" collapsed="false">
      <c r="A5320" s="28" t="s">
        <v>207</v>
      </c>
      <c r="B5320" s="28" t="s">
        <v>208</v>
      </c>
      <c r="C5320" s="28" t="s">
        <v>209</v>
      </c>
      <c r="D5320" s="23" t="n">
        <v>16</v>
      </c>
      <c r="E5320" s="23" t="n">
        <v>4</v>
      </c>
      <c r="F5320" s="28" t="s">
        <v>914</v>
      </c>
      <c r="G5320" s="19" t="n">
        <v>0.0559</v>
      </c>
    </row>
    <row r="5321" customFormat="false" ht="15" hidden="false" customHeight="false" outlineLevel="0" collapsed="false">
      <c r="A5321" s="28" t="s">
        <v>207</v>
      </c>
      <c r="B5321" s="28" t="s">
        <v>208</v>
      </c>
      <c r="C5321" s="28" t="s">
        <v>209</v>
      </c>
      <c r="D5321" s="23" t="n">
        <v>16</v>
      </c>
      <c r="E5321" s="23" t="n">
        <v>4</v>
      </c>
      <c r="F5321" s="28" t="s">
        <v>915</v>
      </c>
      <c r="G5321" s="19" t="n">
        <v>0.0731</v>
      </c>
    </row>
    <row r="5322" customFormat="false" ht="15" hidden="false" customHeight="false" outlineLevel="0" collapsed="false">
      <c r="A5322" s="28" t="s">
        <v>207</v>
      </c>
      <c r="B5322" s="28" t="s">
        <v>208</v>
      </c>
      <c r="C5322" s="28" t="s">
        <v>209</v>
      </c>
      <c r="D5322" s="23" t="n">
        <v>16</v>
      </c>
      <c r="E5322" s="23" t="n">
        <v>5</v>
      </c>
      <c r="F5322" s="28" t="s">
        <v>904</v>
      </c>
      <c r="G5322" s="19" t="n">
        <v>0.0388</v>
      </c>
    </row>
    <row r="5323" customFormat="false" ht="15" hidden="false" customHeight="false" outlineLevel="0" collapsed="false">
      <c r="A5323" s="28" t="s">
        <v>207</v>
      </c>
      <c r="B5323" s="28" t="s">
        <v>208</v>
      </c>
      <c r="C5323" s="28" t="s">
        <v>209</v>
      </c>
      <c r="D5323" s="23" t="n">
        <v>16</v>
      </c>
      <c r="E5323" s="23" t="n">
        <v>5</v>
      </c>
      <c r="F5323" s="28" t="s">
        <v>551</v>
      </c>
      <c r="G5323" s="19" t="n">
        <v>0.07</v>
      </c>
    </row>
    <row r="5324" customFormat="false" ht="15" hidden="false" customHeight="false" outlineLevel="0" collapsed="false">
      <c r="A5324" s="28" t="s">
        <v>207</v>
      </c>
      <c r="B5324" s="28" t="s">
        <v>208</v>
      </c>
      <c r="C5324" s="28" t="s">
        <v>209</v>
      </c>
      <c r="D5324" s="23" t="n">
        <v>16</v>
      </c>
      <c r="E5324" s="23" t="n">
        <v>5</v>
      </c>
      <c r="F5324" s="28" t="s">
        <v>451</v>
      </c>
      <c r="G5324" s="19" t="n">
        <v>0.0386</v>
      </c>
    </row>
    <row r="5325" customFormat="false" ht="15" hidden="false" customHeight="false" outlineLevel="0" collapsed="false">
      <c r="A5325" s="28" t="s">
        <v>207</v>
      </c>
      <c r="B5325" s="28" t="s">
        <v>208</v>
      </c>
      <c r="C5325" s="28" t="s">
        <v>209</v>
      </c>
      <c r="D5325" s="23" t="n">
        <v>16</v>
      </c>
      <c r="E5325" s="23" t="n">
        <v>5</v>
      </c>
      <c r="F5325" s="28" t="s">
        <v>905</v>
      </c>
      <c r="G5325" s="19" t="n">
        <v>0.0425</v>
      </c>
    </row>
    <row r="5326" customFormat="false" ht="15" hidden="false" customHeight="false" outlineLevel="0" collapsed="false">
      <c r="A5326" s="28" t="s">
        <v>207</v>
      </c>
      <c r="B5326" s="28" t="s">
        <v>208</v>
      </c>
      <c r="C5326" s="28" t="s">
        <v>209</v>
      </c>
      <c r="D5326" s="23" t="n">
        <v>16</v>
      </c>
      <c r="E5326" s="23" t="n">
        <v>5</v>
      </c>
      <c r="F5326" s="28" t="s">
        <v>906</v>
      </c>
      <c r="G5326" s="19" t="n">
        <v>0.0436</v>
      </c>
    </row>
    <row r="5327" customFormat="false" ht="15" hidden="false" customHeight="false" outlineLevel="0" collapsed="false">
      <c r="A5327" s="28" t="s">
        <v>207</v>
      </c>
      <c r="B5327" s="28" t="s">
        <v>208</v>
      </c>
      <c r="C5327" s="28" t="s">
        <v>209</v>
      </c>
      <c r="D5327" s="23" t="n">
        <v>16</v>
      </c>
      <c r="E5327" s="23" t="n">
        <v>5</v>
      </c>
      <c r="F5327" s="28" t="s">
        <v>907</v>
      </c>
      <c r="G5327" s="19" t="n">
        <v>0.0458</v>
      </c>
    </row>
    <row r="5328" customFormat="false" ht="15" hidden="false" customHeight="false" outlineLevel="0" collapsed="false">
      <c r="A5328" s="28" t="s">
        <v>207</v>
      </c>
      <c r="B5328" s="28" t="s">
        <v>208</v>
      </c>
      <c r="C5328" s="28" t="s">
        <v>209</v>
      </c>
      <c r="D5328" s="23" t="n">
        <v>16</v>
      </c>
      <c r="E5328" s="23" t="n">
        <v>5</v>
      </c>
      <c r="F5328" s="28" t="s">
        <v>908</v>
      </c>
      <c r="G5328" s="19" t="n">
        <v>0.0489</v>
      </c>
    </row>
    <row r="5329" customFormat="false" ht="15" hidden="false" customHeight="false" outlineLevel="0" collapsed="false">
      <c r="A5329" s="28" t="s">
        <v>207</v>
      </c>
      <c r="B5329" s="28" t="s">
        <v>208</v>
      </c>
      <c r="C5329" s="28" t="s">
        <v>209</v>
      </c>
      <c r="D5329" s="23" t="n">
        <v>16</v>
      </c>
      <c r="E5329" s="23" t="n">
        <v>5</v>
      </c>
      <c r="F5329" s="28" t="s">
        <v>909</v>
      </c>
      <c r="G5329" s="19" t="n">
        <v>0.0498</v>
      </c>
    </row>
    <row r="5330" customFormat="false" ht="15" hidden="false" customHeight="false" outlineLevel="0" collapsed="false">
      <c r="A5330" s="28" t="s">
        <v>207</v>
      </c>
      <c r="B5330" s="28" t="s">
        <v>208</v>
      </c>
      <c r="C5330" s="28" t="s">
        <v>209</v>
      </c>
      <c r="D5330" s="23" t="n">
        <v>16</v>
      </c>
      <c r="E5330" s="23" t="n">
        <v>5</v>
      </c>
      <c r="F5330" s="28" t="s">
        <v>910</v>
      </c>
      <c r="G5330" s="19" t="n">
        <v>0.0506</v>
      </c>
    </row>
    <row r="5331" customFormat="false" ht="15" hidden="false" customHeight="false" outlineLevel="0" collapsed="false">
      <c r="A5331" s="28" t="s">
        <v>207</v>
      </c>
      <c r="B5331" s="28" t="s">
        <v>208</v>
      </c>
      <c r="C5331" s="28" t="s">
        <v>209</v>
      </c>
      <c r="D5331" s="23" t="n">
        <v>16</v>
      </c>
      <c r="E5331" s="23" t="n">
        <v>5</v>
      </c>
      <c r="F5331" s="28" t="s">
        <v>911</v>
      </c>
      <c r="G5331" s="19" t="n">
        <v>0.0516</v>
      </c>
    </row>
    <row r="5332" customFormat="false" ht="15" hidden="false" customHeight="false" outlineLevel="0" collapsed="false">
      <c r="A5332" s="28" t="s">
        <v>207</v>
      </c>
      <c r="B5332" s="28" t="s">
        <v>208</v>
      </c>
      <c r="C5332" s="28" t="s">
        <v>209</v>
      </c>
      <c r="D5332" s="23" t="n">
        <v>16</v>
      </c>
      <c r="E5332" s="23" t="n">
        <v>5</v>
      </c>
      <c r="F5332" s="28" t="s">
        <v>912</v>
      </c>
      <c r="G5332" s="19" t="n">
        <v>0.0526</v>
      </c>
    </row>
    <row r="5333" customFormat="false" ht="15" hidden="false" customHeight="false" outlineLevel="0" collapsed="false">
      <c r="A5333" s="28" t="s">
        <v>207</v>
      </c>
      <c r="B5333" s="28" t="s">
        <v>208</v>
      </c>
      <c r="C5333" s="28" t="s">
        <v>209</v>
      </c>
      <c r="D5333" s="23" t="n">
        <v>16</v>
      </c>
      <c r="E5333" s="23" t="n">
        <v>5</v>
      </c>
      <c r="F5333" s="28" t="s">
        <v>913</v>
      </c>
      <c r="G5333" s="19" t="n">
        <v>0.0564</v>
      </c>
    </row>
    <row r="5334" customFormat="false" ht="15" hidden="false" customHeight="false" outlineLevel="0" collapsed="false">
      <c r="A5334" s="28" t="s">
        <v>207</v>
      </c>
      <c r="B5334" s="28" t="s">
        <v>208</v>
      </c>
      <c r="C5334" s="28" t="s">
        <v>209</v>
      </c>
      <c r="D5334" s="23" t="n">
        <v>16</v>
      </c>
      <c r="E5334" s="23" t="n">
        <v>5</v>
      </c>
      <c r="F5334" s="28" t="s">
        <v>914</v>
      </c>
      <c r="G5334" s="19" t="n">
        <v>0.0559</v>
      </c>
    </row>
    <row r="5335" customFormat="false" ht="15" hidden="false" customHeight="false" outlineLevel="0" collapsed="false">
      <c r="A5335" s="28" t="s">
        <v>207</v>
      </c>
      <c r="B5335" s="28" t="s">
        <v>208</v>
      </c>
      <c r="C5335" s="28" t="s">
        <v>209</v>
      </c>
      <c r="D5335" s="23" t="n">
        <v>16</v>
      </c>
      <c r="E5335" s="23" t="n">
        <v>5</v>
      </c>
      <c r="F5335" s="28" t="s">
        <v>915</v>
      </c>
      <c r="G5335" s="19" t="n">
        <v>0.0731</v>
      </c>
    </row>
    <row r="5336" customFormat="false" ht="15" hidden="false" customHeight="false" outlineLevel="0" collapsed="false">
      <c r="A5336" s="28" t="s">
        <v>207</v>
      </c>
      <c r="B5336" s="28" t="s">
        <v>208</v>
      </c>
      <c r="C5336" s="28" t="s">
        <v>209</v>
      </c>
      <c r="D5336" s="23" t="n">
        <v>16</v>
      </c>
      <c r="E5336" s="23" t="n">
        <v>6</v>
      </c>
      <c r="F5336" s="28" t="s">
        <v>904</v>
      </c>
      <c r="G5336" s="19" t="n">
        <v>0.0388</v>
      </c>
    </row>
    <row r="5337" customFormat="false" ht="15" hidden="false" customHeight="false" outlineLevel="0" collapsed="false">
      <c r="A5337" s="28" t="s">
        <v>207</v>
      </c>
      <c r="B5337" s="28" t="s">
        <v>208</v>
      </c>
      <c r="C5337" s="28" t="s">
        <v>209</v>
      </c>
      <c r="D5337" s="23" t="n">
        <v>16</v>
      </c>
      <c r="E5337" s="23" t="n">
        <v>6</v>
      </c>
      <c r="F5337" s="28" t="s">
        <v>551</v>
      </c>
      <c r="G5337" s="19" t="n">
        <v>0.07</v>
      </c>
    </row>
    <row r="5338" customFormat="false" ht="15" hidden="false" customHeight="false" outlineLevel="0" collapsed="false">
      <c r="A5338" s="28" t="s">
        <v>207</v>
      </c>
      <c r="B5338" s="28" t="s">
        <v>208</v>
      </c>
      <c r="C5338" s="28" t="s">
        <v>209</v>
      </c>
      <c r="D5338" s="23" t="n">
        <v>16</v>
      </c>
      <c r="E5338" s="23" t="n">
        <v>6</v>
      </c>
      <c r="F5338" s="28" t="s">
        <v>451</v>
      </c>
      <c r="G5338" s="19" t="n">
        <v>0.0386</v>
      </c>
    </row>
    <row r="5339" customFormat="false" ht="15" hidden="false" customHeight="false" outlineLevel="0" collapsed="false">
      <c r="A5339" s="28" t="s">
        <v>207</v>
      </c>
      <c r="B5339" s="28" t="s">
        <v>208</v>
      </c>
      <c r="C5339" s="28" t="s">
        <v>209</v>
      </c>
      <c r="D5339" s="23" t="n">
        <v>16</v>
      </c>
      <c r="E5339" s="23" t="n">
        <v>6</v>
      </c>
      <c r="F5339" s="28" t="s">
        <v>905</v>
      </c>
      <c r="G5339" s="19" t="n">
        <v>0.0425</v>
      </c>
    </row>
    <row r="5340" customFormat="false" ht="15" hidden="false" customHeight="false" outlineLevel="0" collapsed="false">
      <c r="A5340" s="28" t="s">
        <v>207</v>
      </c>
      <c r="B5340" s="28" t="s">
        <v>208</v>
      </c>
      <c r="C5340" s="28" t="s">
        <v>209</v>
      </c>
      <c r="D5340" s="23" t="n">
        <v>16</v>
      </c>
      <c r="E5340" s="23" t="n">
        <v>6</v>
      </c>
      <c r="F5340" s="28" t="s">
        <v>906</v>
      </c>
      <c r="G5340" s="19" t="n">
        <v>0.0436</v>
      </c>
    </row>
    <row r="5341" customFormat="false" ht="15" hidden="false" customHeight="false" outlineLevel="0" collapsed="false">
      <c r="A5341" s="28" t="s">
        <v>207</v>
      </c>
      <c r="B5341" s="28" t="s">
        <v>208</v>
      </c>
      <c r="C5341" s="28" t="s">
        <v>209</v>
      </c>
      <c r="D5341" s="23" t="n">
        <v>16</v>
      </c>
      <c r="E5341" s="23" t="n">
        <v>6</v>
      </c>
      <c r="F5341" s="28" t="s">
        <v>907</v>
      </c>
      <c r="G5341" s="19" t="n">
        <v>0.0458</v>
      </c>
    </row>
    <row r="5342" customFormat="false" ht="15" hidden="false" customHeight="false" outlineLevel="0" collapsed="false">
      <c r="A5342" s="28" t="s">
        <v>207</v>
      </c>
      <c r="B5342" s="28" t="s">
        <v>208</v>
      </c>
      <c r="C5342" s="28" t="s">
        <v>209</v>
      </c>
      <c r="D5342" s="23" t="n">
        <v>16</v>
      </c>
      <c r="E5342" s="23" t="n">
        <v>6</v>
      </c>
      <c r="F5342" s="28" t="s">
        <v>908</v>
      </c>
      <c r="G5342" s="19" t="n">
        <v>0.0489</v>
      </c>
    </row>
    <row r="5343" customFormat="false" ht="15" hidden="false" customHeight="false" outlineLevel="0" collapsed="false">
      <c r="A5343" s="28" t="s">
        <v>207</v>
      </c>
      <c r="B5343" s="28" t="s">
        <v>208</v>
      </c>
      <c r="C5343" s="28" t="s">
        <v>209</v>
      </c>
      <c r="D5343" s="23" t="n">
        <v>16</v>
      </c>
      <c r="E5343" s="23" t="n">
        <v>6</v>
      </c>
      <c r="F5343" s="28" t="s">
        <v>909</v>
      </c>
      <c r="G5343" s="19" t="n">
        <v>0.0498</v>
      </c>
    </row>
    <row r="5344" customFormat="false" ht="15" hidden="false" customHeight="false" outlineLevel="0" collapsed="false">
      <c r="A5344" s="28" t="s">
        <v>207</v>
      </c>
      <c r="B5344" s="28" t="s">
        <v>208</v>
      </c>
      <c r="C5344" s="28" t="s">
        <v>209</v>
      </c>
      <c r="D5344" s="23" t="n">
        <v>16</v>
      </c>
      <c r="E5344" s="23" t="n">
        <v>6</v>
      </c>
      <c r="F5344" s="28" t="s">
        <v>910</v>
      </c>
      <c r="G5344" s="19" t="n">
        <v>0.0506</v>
      </c>
    </row>
    <row r="5345" customFormat="false" ht="15" hidden="false" customHeight="false" outlineLevel="0" collapsed="false">
      <c r="A5345" s="28" t="s">
        <v>207</v>
      </c>
      <c r="B5345" s="28" t="s">
        <v>208</v>
      </c>
      <c r="C5345" s="28" t="s">
        <v>209</v>
      </c>
      <c r="D5345" s="23" t="n">
        <v>16</v>
      </c>
      <c r="E5345" s="23" t="n">
        <v>6</v>
      </c>
      <c r="F5345" s="28" t="s">
        <v>911</v>
      </c>
      <c r="G5345" s="19" t="n">
        <v>0.0516</v>
      </c>
    </row>
    <row r="5346" customFormat="false" ht="15" hidden="false" customHeight="false" outlineLevel="0" collapsed="false">
      <c r="A5346" s="28" t="s">
        <v>207</v>
      </c>
      <c r="B5346" s="28" t="s">
        <v>208</v>
      </c>
      <c r="C5346" s="28" t="s">
        <v>209</v>
      </c>
      <c r="D5346" s="23" t="n">
        <v>16</v>
      </c>
      <c r="E5346" s="23" t="n">
        <v>6</v>
      </c>
      <c r="F5346" s="28" t="s">
        <v>912</v>
      </c>
      <c r="G5346" s="19" t="n">
        <v>0.0526</v>
      </c>
    </row>
    <row r="5347" customFormat="false" ht="15" hidden="false" customHeight="false" outlineLevel="0" collapsed="false">
      <c r="A5347" s="28" t="s">
        <v>207</v>
      </c>
      <c r="B5347" s="28" t="s">
        <v>208</v>
      </c>
      <c r="C5347" s="28" t="s">
        <v>209</v>
      </c>
      <c r="D5347" s="23" t="n">
        <v>16</v>
      </c>
      <c r="E5347" s="23" t="n">
        <v>6</v>
      </c>
      <c r="F5347" s="28" t="s">
        <v>913</v>
      </c>
      <c r="G5347" s="19" t="n">
        <v>0.0564</v>
      </c>
    </row>
    <row r="5348" customFormat="false" ht="15" hidden="false" customHeight="false" outlineLevel="0" collapsed="false">
      <c r="A5348" s="28" t="s">
        <v>207</v>
      </c>
      <c r="B5348" s="28" t="s">
        <v>208</v>
      </c>
      <c r="C5348" s="28" t="s">
        <v>209</v>
      </c>
      <c r="D5348" s="23" t="n">
        <v>16</v>
      </c>
      <c r="E5348" s="23" t="n">
        <v>6</v>
      </c>
      <c r="F5348" s="28" t="s">
        <v>914</v>
      </c>
      <c r="G5348" s="19" t="n">
        <v>0.0559</v>
      </c>
    </row>
    <row r="5349" customFormat="false" ht="15" hidden="false" customHeight="false" outlineLevel="0" collapsed="false">
      <c r="A5349" s="28" t="s">
        <v>207</v>
      </c>
      <c r="B5349" s="28" t="s">
        <v>208</v>
      </c>
      <c r="C5349" s="28" t="s">
        <v>209</v>
      </c>
      <c r="D5349" s="23" t="n">
        <v>16</v>
      </c>
      <c r="E5349" s="23" t="n">
        <v>6</v>
      </c>
      <c r="F5349" s="28" t="s">
        <v>915</v>
      </c>
      <c r="G5349" s="19" t="n">
        <v>0.0731</v>
      </c>
    </row>
    <row r="5350" customFormat="false" ht="15" hidden="false" customHeight="false" outlineLevel="0" collapsed="false">
      <c r="A5350" s="28" t="s">
        <v>207</v>
      </c>
      <c r="B5350" s="28" t="s">
        <v>208</v>
      </c>
      <c r="C5350" s="28" t="s">
        <v>209</v>
      </c>
      <c r="D5350" s="23" t="n">
        <v>16</v>
      </c>
      <c r="E5350" s="23" t="n">
        <v>7</v>
      </c>
      <c r="F5350" s="28" t="s">
        <v>904</v>
      </c>
      <c r="G5350" s="19" t="n">
        <v>0.0388</v>
      </c>
    </row>
    <row r="5351" customFormat="false" ht="15" hidden="false" customHeight="false" outlineLevel="0" collapsed="false">
      <c r="A5351" s="28" t="s">
        <v>207</v>
      </c>
      <c r="B5351" s="28" t="s">
        <v>208</v>
      </c>
      <c r="C5351" s="28" t="s">
        <v>209</v>
      </c>
      <c r="D5351" s="23" t="n">
        <v>16</v>
      </c>
      <c r="E5351" s="23" t="n">
        <v>7</v>
      </c>
      <c r="F5351" s="28" t="s">
        <v>551</v>
      </c>
      <c r="G5351" s="19" t="n">
        <v>0.07</v>
      </c>
    </row>
    <row r="5352" customFormat="false" ht="15" hidden="false" customHeight="false" outlineLevel="0" collapsed="false">
      <c r="A5352" s="28" t="s">
        <v>207</v>
      </c>
      <c r="B5352" s="28" t="s">
        <v>208</v>
      </c>
      <c r="C5352" s="28" t="s">
        <v>209</v>
      </c>
      <c r="D5352" s="23" t="n">
        <v>16</v>
      </c>
      <c r="E5352" s="23" t="n">
        <v>7</v>
      </c>
      <c r="F5352" s="28" t="s">
        <v>451</v>
      </c>
      <c r="G5352" s="19" t="n">
        <v>0.0386</v>
      </c>
    </row>
    <row r="5353" customFormat="false" ht="15" hidden="false" customHeight="false" outlineLevel="0" collapsed="false">
      <c r="A5353" s="28" t="s">
        <v>207</v>
      </c>
      <c r="B5353" s="28" t="s">
        <v>208</v>
      </c>
      <c r="C5353" s="28" t="s">
        <v>209</v>
      </c>
      <c r="D5353" s="23" t="n">
        <v>16</v>
      </c>
      <c r="E5353" s="23" t="n">
        <v>7</v>
      </c>
      <c r="F5353" s="28" t="s">
        <v>905</v>
      </c>
      <c r="G5353" s="19" t="n">
        <v>0.0425</v>
      </c>
    </row>
    <row r="5354" customFormat="false" ht="15" hidden="false" customHeight="false" outlineLevel="0" collapsed="false">
      <c r="A5354" s="28" t="s">
        <v>207</v>
      </c>
      <c r="B5354" s="28" t="s">
        <v>208</v>
      </c>
      <c r="C5354" s="28" t="s">
        <v>209</v>
      </c>
      <c r="D5354" s="23" t="n">
        <v>16</v>
      </c>
      <c r="E5354" s="23" t="n">
        <v>7</v>
      </c>
      <c r="F5354" s="28" t="s">
        <v>906</v>
      </c>
      <c r="G5354" s="19" t="n">
        <v>0.0436</v>
      </c>
    </row>
    <row r="5355" customFormat="false" ht="15" hidden="false" customHeight="false" outlineLevel="0" collapsed="false">
      <c r="A5355" s="28" t="s">
        <v>207</v>
      </c>
      <c r="B5355" s="28" t="s">
        <v>208</v>
      </c>
      <c r="C5355" s="28" t="s">
        <v>209</v>
      </c>
      <c r="D5355" s="23" t="n">
        <v>16</v>
      </c>
      <c r="E5355" s="23" t="n">
        <v>7</v>
      </c>
      <c r="F5355" s="28" t="s">
        <v>907</v>
      </c>
      <c r="G5355" s="19" t="n">
        <v>0.0458</v>
      </c>
    </row>
    <row r="5356" customFormat="false" ht="15" hidden="false" customHeight="false" outlineLevel="0" collapsed="false">
      <c r="A5356" s="28" t="s">
        <v>207</v>
      </c>
      <c r="B5356" s="28" t="s">
        <v>208</v>
      </c>
      <c r="C5356" s="28" t="s">
        <v>209</v>
      </c>
      <c r="D5356" s="23" t="n">
        <v>16</v>
      </c>
      <c r="E5356" s="23" t="n">
        <v>7</v>
      </c>
      <c r="F5356" s="28" t="s">
        <v>908</v>
      </c>
      <c r="G5356" s="19" t="n">
        <v>0.0489</v>
      </c>
    </row>
    <row r="5357" customFormat="false" ht="15" hidden="false" customHeight="false" outlineLevel="0" collapsed="false">
      <c r="A5357" s="28" t="s">
        <v>207</v>
      </c>
      <c r="B5357" s="28" t="s">
        <v>208</v>
      </c>
      <c r="C5357" s="28" t="s">
        <v>209</v>
      </c>
      <c r="D5357" s="23" t="n">
        <v>16</v>
      </c>
      <c r="E5357" s="23" t="n">
        <v>7</v>
      </c>
      <c r="F5357" s="28" t="s">
        <v>909</v>
      </c>
      <c r="G5357" s="19" t="n">
        <v>0.0498</v>
      </c>
    </row>
    <row r="5358" customFormat="false" ht="15" hidden="false" customHeight="false" outlineLevel="0" collapsed="false">
      <c r="A5358" s="28" t="s">
        <v>207</v>
      </c>
      <c r="B5358" s="28" t="s">
        <v>208</v>
      </c>
      <c r="C5358" s="28" t="s">
        <v>209</v>
      </c>
      <c r="D5358" s="23" t="n">
        <v>16</v>
      </c>
      <c r="E5358" s="23" t="n">
        <v>7</v>
      </c>
      <c r="F5358" s="28" t="s">
        <v>910</v>
      </c>
      <c r="G5358" s="19" t="n">
        <v>0.0506</v>
      </c>
    </row>
    <row r="5359" customFormat="false" ht="15" hidden="false" customHeight="false" outlineLevel="0" collapsed="false">
      <c r="A5359" s="28" t="s">
        <v>207</v>
      </c>
      <c r="B5359" s="28" t="s">
        <v>208</v>
      </c>
      <c r="C5359" s="28" t="s">
        <v>209</v>
      </c>
      <c r="D5359" s="23" t="n">
        <v>16</v>
      </c>
      <c r="E5359" s="23" t="n">
        <v>7</v>
      </c>
      <c r="F5359" s="28" t="s">
        <v>911</v>
      </c>
      <c r="G5359" s="19" t="n">
        <v>0.0516</v>
      </c>
    </row>
    <row r="5360" customFormat="false" ht="15" hidden="false" customHeight="false" outlineLevel="0" collapsed="false">
      <c r="A5360" s="28" t="s">
        <v>207</v>
      </c>
      <c r="B5360" s="28" t="s">
        <v>208</v>
      </c>
      <c r="C5360" s="28" t="s">
        <v>209</v>
      </c>
      <c r="D5360" s="23" t="n">
        <v>16</v>
      </c>
      <c r="E5360" s="23" t="n">
        <v>7</v>
      </c>
      <c r="F5360" s="28" t="s">
        <v>912</v>
      </c>
      <c r="G5360" s="19" t="n">
        <v>0.0526</v>
      </c>
    </row>
    <row r="5361" customFormat="false" ht="15" hidden="false" customHeight="false" outlineLevel="0" collapsed="false">
      <c r="A5361" s="28" t="s">
        <v>207</v>
      </c>
      <c r="B5361" s="28" t="s">
        <v>208</v>
      </c>
      <c r="C5361" s="28" t="s">
        <v>209</v>
      </c>
      <c r="D5361" s="23" t="n">
        <v>16</v>
      </c>
      <c r="E5361" s="23" t="n">
        <v>7</v>
      </c>
      <c r="F5361" s="28" t="s">
        <v>913</v>
      </c>
      <c r="G5361" s="19" t="n">
        <v>0.0564</v>
      </c>
    </row>
    <row r="5362" customFormat="false" ht="15" hidden="false" customHeight="false" outlineLevel="0" collapsed="false">
      <c r="A5362" s="28" t="s">
        <v>207</v>
      </c>
      <c r="B5362" s="28" t="s">
        <v>208</v>
      </c>
      <c r="C5362" s="28" t="s">
        <v>209</v>
      </c>
      <c r="D5362" s="23" t="n">
        <v>16</v>
      </c>
      <c r="E5362" s="23" t="n">
        <v>7</v>
      </c>
      <c r="F5362" s="28" t="s">
        <v>914</v>
      </c>
      <c r="G5362" s="19" t="n">
        <v>0.0559</v>
      </c>
    </row>
    <row r="5363" customFormat="false" ht="15" hidden="false" customHeight="false" outlineLevel="0" collapsed="false">
      <c r="A5363" s="28" t="s">
        <v>207</v>
      </c>
      <c r="B5363" s="28" t="s">
        <v>208</v>
      </c>
      <c r="C5363" s="28" t="s">
        <v>209</v>
      </c>
      <c r="D5363" s="23" t="n">
        <v>16</v>
      </c>
      <c r="E5363" s="23" t="n">
        <v>7</v>
      </c>
      <c r="F5363" s="28" t="s">
        <v>915</v>
      </c>
      <c r="G5363" s="19" t="n">
        <v>0.0731</v>
      </c>
    </row>
    <row r="5364" customFormat="false" ht="15" hidden="false" customHeight="false" outlineLevel="0" collapsed="false">
      <c r="A5364" s="28" t="s">
        <v>207</v>
      </c>
      <c r="B5364" s="28" t="s">
        <v>208</v>
      </c>
      <c r="C5364" s="28" t="s">
        <v>209</v>
      </c>
      <c r="D5364" s="23" t="n">
        <v>16</v>
      </c>
      <c r="E5364" s="23" t="n">
        <v>8</v>
      </c>
      <c r="F5364" s="28" t="s">
        <v>904</v>
      </c>
      <c r="G5364" s="19" t="n">
        <v>0.0388</v>
      </c>
    </row>
    <row r="5365" customFormat="false" ht="15" hidden="false" customHeight="false" outlineLevel="0" collapsed="false">
      <c r="A5365" s="28" t="s">
        <v>207</v>
      </c>
      <c r="B5365" s="28" t="s">
        <v>208</v>
      </c>
      <c r="C5365" s="28" t="s">
        <v>209</v>
      </c>
      <c r="D5365" s="23" t="n">
        <v>16</v>
      </c>
      <c r="E5365" s="23" t="n">
        <v>8</v>
      </c>
      <c r="F5365" s="28" t="s">
        <v>551</v>
      </c>
      <c r="G5365" s="19" t="n">
        <v>0.07</v>
      </c>
    </row>
    <row r="5366" customFormat="false" ht="15" hidden="false" customHeight="false" outlineLevel="0" collapsed="false">
      <c r="A5366" s="28" t="s">
        <v>207</v>
      </c>
      <c r="B5366" s="28" t="s">
        <v>208</v>
      </c>
      <c r="C5366" s="28" t="s">
        <v>209</v>
      </c>
      <c r="D5366" s="23" t="n">
        <v>16</v>
      </c>
      <c r="E5366" s="23" t="n">
        <v>8</v>
      </c>
      <c r="F5366" s="28" t="s">
        <v>451</v>
      </c>
      <c r="G5366" s="19" t="n">
        <v>0.0386</v>
      </c>
    </row>
    <row r="5367" customFormat="false" ht="15" hidden="false" customHeight="false" outlineLevel="0" collapsed="false">
      <c r="A5367" s="28" t="s">
        <v>207</v>
      </c>
      <c r="B5367" s="28" t="s">
        <v>208</v>
      </c>
      <c r="C5367" s="28" t="s">
        <v>209</v>
      </c>
      <c r="D5367" s="23" t="n">
        <v>16</v>
      </c>
      <c r="E5367" s="23" t="n">
        <v>8</v>
      </c>
      <c r="F5367" s="28" t="s">
        <v>905</v>
      </c>
      <c r="G5367" s="19" t="n">
        <v>0.0425</v>
      </c>
    </row>
    <row r="5368" customFormat="false" ht="15" hidden="false" customHeight="false" outlineLevel="0" collapsed="false">
      <c r="A5368" s="28" t="s">
        <v>207</v>
      </c>
      <c r="B5368" s="28" t="s">
        <v>208</v>
      </c>
      <c r="C5368" s="28" t="s">
        <v>209</v>
      </c>
      <c r="D5368" s="23" t="n">
        <v>16</v>
      </c>
      <c r="E5368" s="23" t="n">
        <v>8</v>
      </c>
      <c r="F5368" s="28" t="s">
        <v>906</v>
      </c>
      <c r="G5368" s="19" t="n">
        <v>0.0436</v>
      </c>
    </row>
    <row r="5369" customFormat="false" ht="15" hidden="false" customHeight="false" outlineLevel="0" collapsed="false">
      <c r="A5369" s="28" t="s">
        <v>207</v>
      </c>
      <c r="B5369" s="28" t="s">
        <v>208</v>
      </c>
      <c r="C5369" s="28" t="s">
        <v>209</v>
      </c>
      <c r="D5369" s="23" t="n">
        <v>16</v>
      </c>
      <c r="E5369" s="23" t="n">
        <v>8</v>
      </c>
      <c r="F5369" s="28" t="s">
        <v>907</v>
      </c>
      <c r="G5369" s="19" t="n">
        <v>0.0458</v>
      </c>
    </row>
    <row r="5370" customFormat="false" ht="15" hidden="false" customHeight="false" outlineLevel="0" collapsed="false">
      <c r="A5370" s="28" t="s">
        <v>207</v>
      </c>
      <c r="B5370" s="28" t="s">
        <v>208</v>
      </c>
      <c r="C5370" s="28" t="s">
        <v>209</v>
      </c>
      <c r="D5370" s="23" t="n">
        <v>16</v>
      </c>
      <c r="E5370" s="23" t="n">
        <v>8</v>
      </c>
      <c r="F5370" s="28" t="s">
        <v>908</v>
      </c>
      <c r="G5370" s="19" t="n">
        <v>0.0489</v>
      </c>
    </row>
    <row r="5371" customFormat="false" ht="15" hidden="false" customHeight="false" outlineLevel="0" collapsed="false">
      <c r="A5371" s="28" t="s">
        <v>207</v>
      </c>
      <c r="B5371" s="28" t="s">
        <v>208</v>
      </c>
      <c r="C5371" s="28" t="s">
        <v>209</v>
      </c>
      <c r="D5371" s="23" t="n">
        <v>16</v>
      </c>
      <c r="E5371" s="23" t="n">
        <v>8</v>
      </c>
      <c r="F5371" s="28" t="s">
        <v>909</v>
      </c>
      <c r="G5371" s="19" t="n">
        <v>0.0498</v>
      </c>
    </row>
    <row r="5372" customFormat="false" ht="15" hidden="false" customHeight="false" outlineLevel="0" collapsed="false">
      <c r="A5372" s="28" t="s">
        <v>207</v>
      </c>
      <c r="B5372" s="28" t="s">
        <v>208</v>
      </c>
      <c r="C5372" s="28" t="s">
        <v>209</v>
      </c>
      <c r="D5372" s="23" t="n">
        <v>16</v>
      </c>
      <c r="E5372" s="23" t="n">
        <v>8</v>
      </c>
      <c r="F5372" s="28" t="s">
        <v>910</v>
      </c>
      <c r="G5372" s="19" t="n">
        <v>0.0506</v>
      </c>
    </row>
    <row r="5373" customFormat="false" ht="15" hidden="false" customHeight="false" outlineLevel="0" collapsed="false">
      <c r="A5373" s="28" t="s">
        <v>207</v>
      </c>
      <c r="B5373" s="28" t="s">
        <v>208</v>
      </c>
      <c r="C5373" s="28" t="s">
        <v>209</v>
      </c>
      <c r="D5373" s="23" t="n">
        <v>16</v>
      </c>
      <c r="E5373" s="23" t="n">
        <v>8</v>
      </c>
      <c r="F5373" s="28" t="s">
        <v>911</v>
      </c>
      <c r="G5373" s="19" t="n">
        <v>0.0516</v>
      </c>
    </row>
    <row r="5374" customFormat="false" ht="15" hidden="false" customHeight="false" outlineLevel="0" collapsed="false">
      <c r="A5374" s="28" t="s">
        <v>207</v>
      </c>
      <c r="B5374" s="28" t="s">
        <v>208</v>
      </c>
      <c r="C5374" s="28" t="s">
        <v>209</v>
      </c>
      <c r="D5374" s="23" t="n">
        <v>16</v>
      </c>
      <c r="E5374" s="23" t="n">
        <v>8</v>
      </c>
      <c r="F5374" s="28" t="s">
        <v>912</v>
      </c>
      <c r="G5374" s="19" t="n">
        <v>0.0526</v>
      </c>
    </row>
    <row r="5375" customFormat="false" ht="15" hidden="false" customHeight="false" outlineLevel="0" collapsed="false">
      <c r="A5375" s="28" t="s">
        <v>207</v>
      </c>
      <c r="B5375" s="28" t="s">
        <v>208</v>
      </c>
      <c r="C5375" s="28" t="s">
        <v>209</v>
      </c>
      <c r="D5375" s="23" t="n">
        <v>16</v>
      </c>
      <c r="E5375" s="23" t="n">
        <v>8</v>
      </c>
      <c r="F5375" s="28" t="s">
        <v>913</v>
      </c>
      <c r="G5375" s="19" t="n">
        <v>0.0564</v>
      </c>
    </row>
    <row r="5376" customFormat="false" ht="15" hidden="false" customHeight="false" outlineLevel="0" collapsed="false">
      <c r="A5376" s="28" t="s">
        <v>207</v>
      </c>
      <c r="B5376" s="28" t="s">
        <v>208</v>
      </c>
      <c r="C5376" s="28" t="s">
        <v>209</v>
      </c>
      <c r="D5376" s="23" t="n">
        <v>16</v>
      </c>
      <c r="E5376" s="23" t="n">
        <v>8</v>
      </c>
      <c r="F5376" s="28" t="s">
        <v>914</v>
      </c>
      <c r="G5376" s="19" t="n">
        <v>0.0559</v>
      </c>
    </row>
    <row r="5377" customFormat="false" ht="15" hidden="false" customHeight="false" outlineLevel="0" collapsed="false">
      <c r="A5377" s="28" t="s">
        <v>207</v>
      </c>
      <c r="B5377" s="28" t="s">
        <v>208</v>
      </c>
      <c r="C5377" s="28" t="s">
        <v>209</v>
      </c>
      <c r="D5377" s="23" t="n">
        <v>16</v>
      </c>
      <c r="E5377" s="23" t="n">
        <v>8</v>
      </c>
      <c r="F5377" s="28" t="s">
        <v>915</v>
      </c>
      <c r="G5377" s="19" t="n">
        <v>0.0731</v>
      </c>
    </row>
    <row r="5378" customFormat="false" ht="15" hidden="false" customHeight="false" outlineLevel="0" collapsed="false">
      <c r="A5378" s="28" t="s">
        <v>207</v>
      </c>
      <c r="B5378" s="28" t="s">
        <v>208</v>
      </c>
      <c r="C5378" s="28" t="s">
        <v>209</v>
      </c>
      <c r="D5378" s="23" t="n">
        <v>16</v>
      </c>
      <c r="E5378" s="23" t="n">
        <v>9</v>
      </c>
      <c r="F5378" s="28" t="s">
        <v>904</v>
      </c>
      <c r="G5378" s="19" t="n">
        <v>0.0388</v>
      </c>
    </row>
    <row r="5379" customFormat="false" ht="15" hidden="false" customHeight="false" outlineLevel="0" collapsed="false">
      <c r="A5379" s="28" t="s">
        <v>207</v>
      </c>
      <c r="B5379" s="28" t="s">
        <v>208</v>
      </c>
      <c r="C5379" s="28" t="s">
        <v>209</v>
      </c>
      <c r="D5379" s="23" t="n">
        <v>16</v>
      </c>
      <c r="E5379" s="23" t="n">
        <v>9</v>
      </c>
      <c r="F5379" s="28" t="s">
        <v>551</v>
      </c>
      <c r="G5379" s="19" t="n">
        <v>0.07</v>
      </c>
    </row>
    <row r="5380" customFormat="false" ht="15" hidden="false" customHeight="false" outlineLevel="0" collapsed="false">
      <c r="A5380" s="28" t="s">
        <v>207</v>
      </c>
      <c r="B5380" s="28" t="s">
        <v>208</v>
      </c>
      <c r="C5380" s="28" t="s">
        <v>209</v>
      </c>
      <c r="D5380" s="23" t="n">
        <v>16</v>
      </c>
      <c r="E5380" s="23" t="n">
        <v>9</v>
      </c>
      <c r="F5380" s="28" t="s">
        <v>451</v>
      </c>
      <c r="G5380" s="19" t="n">
        <v>0.0386</v>
      </c>
    </row>
    <row r="5381" customFormat="false" ht="15" hidden="false" customHeight="false" outlineLevel="0" collapsed="false">
      <c r="A5381" s="28" t="s">
        <v>207</v>
      </c>
      <c r="B5381" s="28" t="s">
        <v>208</v>
      </c>
      <c r="C5381" s="28" t="s">
        <v>209</v>
      </c>
      <c r="D5381" s="23" t="n">
        <v>16</v>
      </c>
      <c r="E5381" s="23" t="n">
        <v>9</v>
      </c>
      <c r="F5381" s="28" t="s">
        <v>905</v>
      </c>
      <c r="G5381" s="19" t="n">
        <v>0.0425</v>
      </c>
    </row>
    <row r="5382" customFormat="false" ht="15" hidden="false" customHeight="false" outlineLevel="0" collapsed="false">
      <c r="A5382" s="28" t="s">
        <v>207</v>
      </c>
      <c r="B5382" s="28" t="s">
        <v>208</v>
      </c>
      <c r="C5382" s="28" t="s">
        <v>209</v>
      </c>
      <c r="D5382" s="23" t="n">
        <v>16</v>
      </c>
      <c r="E5382" s="23" t="n">
        <v>9</v>
      </c>
      <c r="F5382" s="28" t="s">
        <v>906</v>
      </c>
      <c r="G5382" s="19" t="n">
        <v>0.0436</v>
      </c>
    </row>
    <row r="5383" customFormat="false" ht="15" hidden="false" customHeight="false" outlineLevel="0" collapsed="false">
      <c r="A5383" s="28" t="s">
        <v>207</v>
      </c>
      <c r="B5383" s="28" t="s">
        <v>208</v>
      </c>
      <c r="C5383" s="28" t="s">
        <v>209</v>
      </c>
      <c r="D5383" s="23" t="n">
        <v>16</v>
      </c>
      <c r="E5383" s="23" t="n">
        <v>9</v>
      </c>
      <c r="F5383" s="28" t="s">
        <v>907</v>
      </c>
      <c r="G5383" s="19" t="n">
        <v>0.0458</v>
      </c>
    </row>
    <row r="5384" customFormat="false" ht="15" hidden="false" customHeight="false" outlineLevel="0" collapsed="false">
      <c r="A5384" s="28" t="s">
        <v>207</v>
      </c>
      <c r="B5384" s="28" t="s">
        <v>208</v>
      </c>
      <c r="C5384" s="28" t="s">
        <v>209</v>
      </c>
      <c r="D5384" s="23" t="n">
        <v>16</v>
      </c>
      <c r="E5384" s="23" t="n">
        <v>9</v>
      </c>
      <c r="F5384" s="28" t="s">
        <v>908</v>
      </c>
      <c r="G5384" s="19" t="n">
        <v>0.0489</v>
      </c>
    </row>
    <row r="5385" customFormat="false" ht="15" hidden="false" customHeight="false" outlineLevel="0" collapsed="false">
      <c r="A5385" s="28" t="s">
        <v>207</v>
      </c>
      <c r="B5385" s="28" t="s">
        <v>208</v>
      </c>
      <c r="C5385" s="28" t="s">
        <v>209</v>
      </c>
      <c r="D5385" s="23" t="n">
        <v>16</v>
      </c>
      <c r="E5385" s="23" t="n">
        <v>9</v>
      </c>
      <c r="F5385" s="28" t="s">
        <v>909</v>
      </c>
      <c r="G5385" s="19" t="n">
        <v>0.0498</v>
      </c>
    </row>
    <row r="5386" customFormat="false" ht="15" hidden="false" customHeight="false" outlineLevel="0" collapsed="false">
      <c r="A5386" s="28" t="s">
        <v>207</v>
      </c>
      <c r="B5386" s="28" t="s">
        <v>208</v>
      </c>
      <c r="C5386" s="28" t="s">
        <v>209</v>
      </c>
      <c r="D5386" s="23" t="n">
        <v>16</v>
      </c>
      <c r="E5386" s="23" t="n">
        <v>9</v>
      </c>
      <c r="F5386" s="28" t="s">
        <v>910</v>
      </c>
      <c r="G5386" s="19" t="n">
        <v>0.0506</v>
      </c>
    </row>
    <row r="5387" customFormat="false" ht="15" hidden="false" customHeight="false" outlineLevel="0" collapsed="false">
      <c r="A5387" s="28" t="s">
        <v>207</v>
      </c>
      <c r="B5387" s="28" t="s">
        <v>208</v>
      </c>
      <c r="C5387" s="28" t="s">
        <v>209</v>
      </c>
      <c r="D5387" s="23" t="n">
        <v>16</v>
      </c>
      <c r="E5387" s="23" t="n">
        <v>9</v>
      </c>
      <c r="F5387" s="28" t="s">
        <v>911</v>
      </c>
      <c r="G5387" s="19" t="n">
        <v>0.0516</v>
      </c>
    </row>
    <row r="5388" customFormat="false" ht="15" hidden="false" customHeight="false" outlineLevel="0" collapsed="false">
      <c r="A5388" s="28" t="s">
        <v>207</v>
      </c>
      <c r="B5388" s="28" t="s">
        <v>208</v>
      </c>
      <c r="C5388" s="28" t="s">
        <v>209</v>
      </c>
      <c r="D5388" s="23" t="n">
        <v>16</v>
      </c>
      <c r="E5388" s="23" t="n">
        <v>9</v>
      </c>
      <c r="F5388" s="28" t="s">
        <v>912</v>
      </c>
      <c r="G5388" s="19" t="n">
        <v>0.0526</v>
      </c>
    </row>
    <row r="5389" customFormat="false" ht="15" hidden="false" customHeight="false" outlineLevel="0" collapsed="false">
      <c r="A5389" s="28" t="s">
        <v>207</v>
      </c>
      <c r="B5389" s="28" t="s">
        <v>208</v>
      </c>
      <c r="C5389" s="28" t="s">
        <v>209</v>
      </c>
      <c r="D5389" s="23" t="n">
        <v>16</v>
      </c>
      <c r="E5389" s="23" t="n">
        <v>9</v>
      </c>
      <c r="F5389" s="28" t="s">
        <v>913</v>
      </c>
      <c r="G5389" s="19" t="n">
        <v>0.0564</v>
      </c>
    </row>
    <row r="5390" customFormat="false" ht="15" hidden="false" customHeight="false" outlineLevel="0" collapsed="false">
      <c r="A5390" s="28" t="s">
        <v>207</v>
      </c>
      <c r="B5390" s="28" t="s">
        <v>208</v>
      </c>
      <c r="C5390" s="28" t="s">
        <v>209</v>
      </c>
      <c r="D5390" s="23" t="n">
        <v>16</v>
      </c>
      <c r="E5390" s="23" t="n">
        <v>9</v>
      </c>
      <c r="F5390" s="28" t="s">
        <v>914</v>
      </c>
      <c r="G5390" s="19" t="n">
        <v>0.0559</v>
      </c>
    </row>
    <row r="5391" customFormat="false" ht="15" hidden="false" customHeight="false" outlineLevel="0" collapsed="false">
      <c r="A5391" s="28" t="s">
        <v>207</v>
      </c>
      <c r="B5391" s="28" t="s">
        <v>208</v>
      </c>
      <c r="C5391" s="28" t="s">
        <v>209</v>
      </c>
      <c r="D5391" s="23" t="n">
        <v>16</v>
      </c>
      <c r="E5391" s="23" t="n">
        <v>9</v>
      </c>
      <c r="F5391" s="28" t="s">
        <v>915</v>
      </c>
      <c r="G5391" s="19" t="n">
        <v>0.0731</v>
      </c>
    </row>
    <row r="5392" customFormat="false" ht="15" hidden="false" customHeight="false" outlineLevel="0" collapsed="false">
      <c r="A5392" s="28" t="s">
        <v>207</v>
      </c>
      <c r="B5392" s="28" t="s">
        <v>208</v>
      </c>
      <c r="C5392" s="28" t="s">
        <v>209</v>
      </c>
      <c r="D5392" s="23" t="n">
        <v>16</v>
      </c>
      <c r="E5392" s="23" t="n">
        <v>10</v>
      </c>
      <c r="F5392" s="28" t="s">
        <v>904</v>
      </c>
      <c r="G5392" s="19" t="n">
        <v>0.0388</v>
      </c>
    </row>
    <row r="5393" customFormat="false" ht="15" hidden="false" customHeight="false" outlineLevel="0" collapsed="false">
      <c r="A5393" s="28" t="s">
        <v>207</v>
      </c>
      <c r="B5393" s="28" t="s">
        <v>208</v>
      </c>
      <c r="C5393" s="28" t="s">
        <v>209</v>
      </c>
      <c r="D5393" s="23" t="n">
        <v>16</v>
      </c>
      <c r="E5393" s="23" t="n">
        <v>10</v>
      </c>
      <c r="F5393" s="28" t="s">
        <v>551</v>
      </c>
      <c r="G5393" s="19" t="n">
        <v>0.07</v>
      </c>
    </row>
    <row r="5394" customFormat="false" ht="15" hidden="false" customHeight="false" outlineLevel="0" collapsed="false">
      <c r="A5394" s="28" t="s">
        <v>207</v>
      </c>
      <c r="B5394" s="28" t="s">
        <v>208</v>
      </c>
      <c r="C5394" s="28" t="s">
        <v>209</v>
      </c>
      <c r="D5394" s="23" t="n">
        <v>16</v>
      </c>
      <c r="E5394" s="23" t="n">
        <v>10</v>
      </c>
      <c r="F5394" s="28" t="s">
        <v>451</v>
      </c>
      <c r="G5394" s="19" t="n">
        <v>0.0386</v>
      </c>
    </row>
    <row r="5395" customFormat="false" ht="15" hidden="false" customHeight="false" outlineLevel="0" collapsed="false">
      <c r="A5395" s="28" t="s">
        <v>207</v>
      </c>
      <c r="B5395" s="28" t="s">
        <v>208</v>
      </c>
      <c r="C5395" s="28" t="s">
        <v>209</v>
      </c>
      <c r="D5395" s="23" t="n">
        <v>16</v>
      </c>
      <c r="E5395" s="23" t="n">
        <v>10</v>
      </c>
      <c r="F5395" s="28" t="s">
        <v>905</v>
      </c>
      <c r="G5395" s="19" t="n">
        <v>0.0425</v>
      </c>
    </row>
    <row r="5396" customFormat="false" ht="15" hidden="false" customHeight="false" outlineLevel="0" collapsed="false">
      <c r="A5396" s="28" t="s">
        <v>207</v>
      </c>
      <c r="B5396" s="28" t="s">
        <v>208</v>
      </c>
      <c r="C5396" s="28" t="s">
        <v>209</v>
      </c>
      <c r="D5396" s="23" t="n">
        <v>16</v>
      </c>
      <c r="E5396" s="23" t="n">
        <v>10</v>
      </c>
      <c r="F5396" s="28" t="s">
        <v>906</v>
      </c>
      <c r="G5396" s="19" t="n">
        <v>0.0436</v>
      </c>
    </row>
    <row r="5397" customFormat="false" ht="15" hidden="false" customHeight="false" outlineLevel="0" collapsed="false">
      <c r="A5397" s="28" t="s">
        <v>207</v>
      </c>
      <c r="B5397" s="28" t="s">
        <v>208</v>
      </c>
      <c r="C5397" s="28" t="s">
        <v>209</v>
      </c>
      <c r="D5397" s="23" t="n">
        <v>16</v>
      </c>
      <c r="E5397" s="23" t="n">
        <v>10</v>
      </c>
      <c r="F5397" s="28" t="s">
        <v>907</v>
      </c>
      <c r="G5397" s="19" t="n">
        <v>0.0458</v>
      </c>
    </row>
    <row r="5398" customFormat="false" ht="15" hidden="false" customHeight="false" outlineLevel="0" collapsed="false">
      <c r="A5398" s="28" t="s">
        <v>207</v>
      </c>
      <c r="B5398" s="28" t="s">
        <v>208</v>
      </c>
      <c r="C5398" s="28" t="s">
        <v>209</v>
      </c>
      <c r="D5398" s="23" t="n">
        <v>16</v>
      </c>
      <c r="E5398" s="23" t="n">
        <v>10</v>
      </c>
      <c r="F5398" s="28" t="s">
        <v>908</v>
      </c>
      <c r="G5398" s="19" t="n">
        <v>0.0489</v>
      </c>
    </row>
    <row r="5399" customFormat="false" ht="15" hidden="false" customHeight="false" outlineLevel="0" collapsed="false">
      <c r="A5399" s="28" t="s">
        <v>207</v>
      </c>
      <c r="B5399" s="28" t="s">
        <v>208</v>
      </c>
      <c r="C5399" s="28" t="s">
        <v>209</v>
      </c>
      <c r="D5399" s="23" t="n">
        <v>16</v>
      </c>
      <c r="E5399" s="23" t="n">
        <v>10</v>
      </c>
      <c r="F5399" s="28" t="s">
        <v>909</v>
      </c>
      <c r="G5399" s="19" t="n">
        <v>0.0498</v>
      </c>
    </row>
    <row r="5400" customFormat="false" ht="15" hidden="false" customHeight="false" outlineLevel="0" collapsed="false">
      <c r="A5400" s="28" t="s">
        <v>207</v>
      </c>
      <c r="B5400" s="28" t="s">
        <v>208</v>
      </c>
      <c r="C5400" s="28" t="s">
        <v>209</v>
      </c>
      <c r="D5400" s="23" t="n">
        <v>16</v>
      </c>
      <c r="E5400" s="23" t="n">
        <v>10</v>
      </c>
      <c r="F5400" s="28" t="s">
        <v>910</v>
      </c>
      <c r="G5400" s="19" t="n">
        <v>0.0506</v>
      </c>
    </row>
    <row r="5401" customFormat="false" ht="15" hidden="false" customHeight="false" outlineLevel="0" collapsed="false">
      <c r="A5401" s="28" t="s">
        <v>207</v>
      </c>
      <c r="B5401" s="28" t="s">
        <v>208</v>
      </c>
      <c r="C5401" s="28" t="s">
        <v>209</v>
      </c>
      <c r="D5401" s="23" t="n">
        <v>16</v>
      </c>
      <c r="E5401" s="23" t="n">
        <v>10</v>
      </c>
      <c r="F5401" s="28" t="s">
        <v>911</v>
      </c>
      <c r="G5401" s="19" t="n">
        <v>0.0516</v>
      </c>
    </row>
    <row r="5402" customFormat="false" ht="15" hidden="false" customHeight="false" outlineLevel="0" collapsed="false">
      <c r="A5402" s="28" t="s">
        <v>207</v>
      </c>
      <c r="B5402" s="28" t="s">
        <v>208</v>
      </c>
      <c r="C5402" s="28" t="s">
        <v>209</v>
      </c>
      <c r="D5402" s="23" t="n">
        <v>16</v>
      </c>
      <c r="E5402" s="23" t="n">
        <v>10</v>
      </c>
      <c r="F5402" s="28" t="s">
        <v>912</v>
      </c>
      <c r="G5402" s="19" t="n">
        <v>0.0526</v>
      </c>
    </row>
    <row r="5403" customFormat="false" ht="15" hidden="false" customHeight="false" outlineLevel="0" collapsed="false">
      <c r="A5403" s="28" t="s">
        <v>207</v>
      </c>
      <c r="B5403" s="28" t="s">
        <v>208</v>
      </c>
      <c r="C5403" s="28" t="s">
        <v>209</v>
      </c>
      <c r="D5403" s="23" t="n">
        <v>16</v>
      </c>
      <c r="E5403" s="23" t="n">
        <v>10</v>
      </c>
      <c r="F5403" s="28" t="s">
        <v>913</v>
      </c>
      <c r="G5403" s="19" t="n">
        <v>0.0564</v>
      </c>
    </row>
    <row r="5404" customFormat="false" ht="15" hidden="false" customHeight="false" outlineLevel="0" collapsed="false">
      <c r="A5404" s="28" t="s">
        <v>207</v>
      </c>
      <c r="B5404" s="28" t="s">
        <v>208</v>
      </c>
      <c r="C5404" s="28" t="s">
        <v>209</v>
      </c>
      <c r="D5404" s="23" t="n">
        <v>16</v>
      </c>
      <c r="E5404" s="23" t="n">
        <v>10</v>
      </c>
      <c r="F5404" s="28" t="s">
        <v>914</v>
      </c>
      <c r="G5404" s="19" t="n">
        <v>0.0559</v>
      </c>
    </row>
    <row r="5405" customFormat="false" ht="15" hidden="false" customHeight="false" outlineLevel="0" collapsed="false">
      <c r="A5405" s="28" t="s">
        <v>207</v>
      </c>
      <c r="B5405" s="28" t="s">
        <v>208</v>
      </c>
      <c r="C5405" s="28" t="s">
        <v>209</v>
      </c>
      <c r="D5405" s="23" t="n">
        <v>16</v>
      </c>
      <c r="E5405" s="23" t="n">
        <v>10</v>
      </c>
      <c r="F5405" s="28" t="s">
        <v>915</v>
      </c>
      <c r="G5405" s="19" t="n">
        <v>0.0731</v>
      </c>
    </row>
    <row r="5406" customFormat="false" ht="15" hidden="false" customHeight="false" outlineLevel="0" collapsed="false">
      <c r="A5406" s="28" t="s">
        <v>207</v>
      </c>
      <c r="B5406" s="28" t="s">
        <v>208</v>
      </c>
      <c r="C5406" s="28" t="s">
        <v>209</v>
      </c>
      <c r="D5406" s="23" t="n">
        <v>16</v>
      </c>
      <c r="E5406" s="23" t="n">
        <v>11</v>
      </c>
      <c r="F5406" s="28" t="s">
        <v>904</v>
      </c>
      <c r="G5406" s="19" t="n">
        <v>0.0388</v>
      </c>
    </row>
    <row r="5407" customFormat="false" ht="15" hidden="false" customHeight="false" outlineLevel="0" collapsed="false">
      <c r="A5407" s="28" t="s">
        <v>207</v>
      </c>
      <c r="B5407" s="28" t="s">
        <v>208</v>
      </c>
      <c r="C5407" s="28" t="s">
        <v>209</v>
      </c>
      <c r="D5407" s="23" t="n">
        <v>16</v>
      </c>
      <c r="E5407" s="23" t="n">
        <v>11</v>
      </c>
      <c r="F5407" s="28" t="s">
        <v>551</v>
      </c>
      <c r="G5407" s="19" t="n">
        <v>0.07</v>
      </c>
    </row>
    <row r="5408" customFormat="false" ht="15" hidden="false" customHeight="false" outlineLevel="0" collapsed="false">
      <c r="A5408" s="28" t="s">
        <v>207</v>
      </c>
      <c r="B5408" s="28" t="s">
        <v>208</v>
      </c>
      <c r="C5408" s="28" t="s">
        <v>209</v>
      </c>
      <c r="D5408" s="23" t="n">
        <v>16</v>
      </c>
      <c r="E5408" s="23" t="n">
        <v>11</v>
      </c>
      <c r="F5408" s="28" t="s">
        <v>451</v>
      </c>
      <c r="G5408" s="19" t="n">
        <v>0.0386</v>
      </c>
    </row>
    <row r="5409" customFormat="false" ht="15" hidden="false" customHeight="false" outlineLevel="0" collapsed="false">
      <c r="A5409" s="28" t="s">
        <v>207</v>
      </c>
      <c r="B5409" s="28" t="s">
        <v>208</v>
      </c>
      <c r="C5409" s="28" t="s">
        <v>209</v>
      </c>
      <c r="D5409" s="23" t="n">
        <v>16</v>
      </c>
      <c r="E5409" s="23" t="n">
        <v>11</v>
      </c>
      <c r="F5409" s="28" t="s">
        <v>905</v>
      </c>
      <c r="G5409" s="19" t="n">
        <v>0.0425</v>
      </c>
    </row>
    <row r="5410" customFormat="false" ht="15" hidden="false" customHeight="false" outlineLevel="0" collapsed="false">
      <c r="A5410" s="28" t="s">
        <v>207</v>
      </c>
      <c r="B5410" s="28" t="s">
        <v>208</v>
      </c>
      <c r="C5410" s="28" t="s">
        <v>209</v>
      </c>
      <c r="D5410" s="23" t="n">
        <v>16</v>
      </c>
      <c r="E5410" s="23" t="n">
        <v>11</v>
      </c>
      <c r="F5410" s="28" t="s">
        <v>906</v>
      </c>
      <c r="G5410" s="19" t="n">
        <v>0.0436</v>
      </c>
    </row>
    <row r="5411" customFormat="false" ht="15" hidden="false" customHeight="false" outlineLevel="0" collapsed="false">
      <c r="A5411" s="28" t="s">
        <v>207</v>
      </c>
      <c r="B5411" s="28" t="s">
        <v>208</v>
      </c>
      <c r="C5411" s="28" t="s">
        <v>209</v>
      </c>
      <c r="D5411" s="23" t="n">
        <v>16</v>
      </c>
      <c r="E5411" s="23" t="n">
        <v>11</v>
      </c>
      <c r="F5411" s="28" t="s">
        <v>907</v>
      </c>
      <c r="G5411" s="19" t="n">
        <v>0.0458</v>
      </c>
    </row>
    <row r="5412" customFormat="false" ht="15" hidden="false" customHeight="false" outlineLevel="0" collapsed="false">
      <c r="A5412" s="28" t="s">
        <v>207</v>
      </c>
      <c r="B5412" s="28" t="s">
        <v>208</v>
      </c>
      <c r="C5412" s="28" t="s">
        <v>209</v>
      </c>
      <c r="D5412" s="23" t="n">
        <v>16</v>
      </c>
      <c r="E5412" s="23" t="n">
        <v>11</v>
      </c>
      <c r="F5412" s="28" t="s">
        <v>908</v>
      </c>
      <c r="G5412" s="19" t="n">
        <v>0.0489</v>
      </c>
    </row>
    <row r="5413" customFormat="false" ht="15" hidden="false" customHeight="false" outlineLevel="0" collapsed="false">
      <c r="A5413" s="28" t="s">
        <v>207</v>
      </c>
      <c r="B5413" s="28" t="s">
        <v>208</v>
      </c>
      <c r="C5413" s="28" t="s">
        <v>209</v>
      </c>
      <c r="D5413" s="23" t="n">
        <v>16</v>
      </c>
      <c r="E5413" s="23" t="n">
        <v>11</v>
      </c>
      <c r="F5413" s="28" t="s">
        <v>909</v>
      </c>
      <c r="G5413" s="19" t="n">
        <v>0.0498</v>
      </c>
    </row>
    <row r="5414" customFormat="false" ht="15" hidden="false" customHeight="false" outlineLevel="0" collapsed="false">
      <c r="A5414" s="28" t="s">
        <v>207</v>
      </c>
      <c r="B5414" s="28" t="s">
        <v>208</v>
      </c>
      <c r="C5414" s="28" t="s">
        <v>209</v>
      </c>
      <c r="D5414" s="23" t="n">
        <v>16</v>
      </c>
      <c r="E5414" s="23" t="n">
        <v>11</v>
      </c>
      <c r="F5414" s="28" t="s">
        <v>910</v>
      </c>
      <c r="G5414" s="19" t="n">
        <v>0.0506</v>
      </c>
    </row>
    <row r="5415" customFormat="false" ht="15" hidden="false" customHeight="false" outlineLevel="0" collapsed="false">
      <c r="A5415" s="28" t="s">
        <v>207</v>
      </c>
      <c r="B5415" s="28" t="s">
        <v>208</v>
      </c>
      <c r="C5415" s="28" t="s">
        <v>209</v>
      </c>
      <c r="D5415" s="23" t="n">
        <v>16</v>
      </c>
      <c r="E5415" s="23" t="n">
        <v>11</v>
      </c>
      <c r="F5415" s="28" t="s">
        <v>911</v>
      </c>
      <c r="G5415" s="19" t="n">
        <v>0.0516</v>
      </c>
    </row>
    <row r="5416" customFormat="false" ht="15" hidden="false" customHeight="false" outlineLevel="0" collapsed="false">
      <c r="A5416" s="28" t="s">
        <v>207</v>
      </c>
      <c r="B5416" s="28" t="s">
        <v>208</v>
      </c>
      <c r="C5416" s="28" t="s">
        <v>209</v>
      </c>
      <c r="D5416" s="23" t="n">
        <v>16</v>
      </c>
      <c r="E5416" s="23" t="n">
        <v>11</v>
      </c>
      <c r="F5416" s="28" t="s">
        <v>912</v>
      </c>
      <c r="G5416" s="19" t="n">
        <v>0.0526</v>
      </c>
    </row>
    <row r="5417" customFormat="false" ht="15" hidden="false" customHeight="false" outlineLevel="0" collapsed="false">
      <c r="A5417" s="28" t="s">
        <v>207</v>
      </c>
      <c r="B5417" s="28" t="s">
        <v>208</v>
      </c>
      <c r="C5417" s="28" t="s">
        <v>209</v>
      </c>
      <c r="D5417" s="23" t="n">
        <v>16</v>
      </c>
      <c r="E5417" s="23" t="n">
        <v>11</v>
      </c>
      <c r="F5417" s="28" t="s">
        <v>913</v>
      </c>
      <c r="G5417" s="19" t="n">
        <v>0.0564</v>
      </c>
    </row>
    <row r="5418" customFormat="false" ht="15" hidden="false" customHeight="false" outlineLevel="0" collapsed="false">
      <c r="A5418" s="28" t="s">
        <v>207</v>
      </c>
      <c r="B5418" s="28" t="s">
        <v>208</v>
      </c>
      <c r="C5418" s="28" t="s">
        <v>209</v>
      </c>
      <c r="D5418" s="23" t="n">
        <v>16</v>
      </c>
      <c r="E5418" s="23" t="n">
        <v>11</v>
      </c>
      <c r="F5418" s="28" t="s">
        <v>914</v>
      </c>
      <c r="G5418" s="19" t="n">
        <v>0.0559</v>
      </c>
    </row>
    <row r="5419" customFormat="false" ht="15" hidden="false" customHeight="false" outlineLevel="0" collapsed="false">
      <c r="A5419" s="28" t="s">
        <v>207</v>
      </c>
      <c r="B5419" s="28" t="s">
        <v>208</v>
      </c>
      <c r="C5419" s="28" t="s">
        <v>209</v>
      </c>
      <c r="D5419" s="23" t="n">
        <v>16</v>
      </c>
      <c r="E5419" s="23" t="n">
        <v>11</v>
      </c>
      <c r="F5419" s="28" t="s">
        <v>915</v>
      </c>
      <c r="G5419" s="19" t="n">
        <v>0.0731</v>
      </c>
    </row>
    <row r="5420" customFormat="false" ht="15" hidden="false" customHeight="false" outlineLevel="0" collapsed="false">
      <c r="A5420" s="28" t="s">
        <v>207</v>
      </c>
      <c r="B5420" s="28" t="s">
        <v>208</v>
      </c>
      <c r="C5420" s="28" t="s">
        <v>209</v>
      </c>
      <c r="D5420" s="23" t="n">
        <v>16</v>
      </c>
      <c r="E5420" s="23" t="n">
        <v>12</v>
      </c>
      <c r="F5420" s="28" t="s">
        <v>904</v>
      </c>
      <c r="G5420" s="19" t="n">
        <v>0.0388</v>
      </c>
    </row>
    <row r="5421" customFormat="false" ht="15" hidden="false" customHeight="false" outlineLevel="0" collapsed="false">
      <c r="A5421" s="28" t="s">
        <v>207</v>
      </c>
      <c r="B5421" s="28" t="s">
        <v>208</v>
      </c>
      <c r="C5421" s="28" t="s">
        <v>209</v>
      </c>
      <c r="D5421" s="23" t="n">
        <v>16</v>
      </c>
      <c r="E5421" s="23" t="n">
        <v>12</v>
      </c>
      <c r="F5421" s="28" t="s">
        <v>551</v>
      </c>
      <c r="G5421" s="19" t="n">
        <v>0.07</v>
      </c>
    </row>
    <row r="5422" customFormat="false" ht="15" hidden="false" customHeight="false" outlineLevel="0" collapsed="false">
      <c r="A5422" s="28" t="s">
        <v>207</v>
      </c>
      <c r="B5422" s="28" t="s">
        <v>208</v>
      </c>
      <c r="C5422" s="28" t="s">
        <v>209</v>
      </c>
      <c r="D5422" s="23" t="n">
        <v>16</v>
      </c>
      <c r="E5422" s="23" t="n">
        <v>12</v>
      </c>
      <c r="F5422" s="28" t="s">
        <v>451</v>
      </c>
      <c r="G5422" s="19" t="n">
        <v>0.0386</v>
      </c>
    </row>
    <row r="5423" customFormat="false" ht="15" hidden="false" customHeight="false" outlineLevel="0" collapsed="false">
      <c r="A5423" s="28" t="s">
        <v>207</v>
      </c>
      <c r="B5423" s="28" t="s">
        <v>208</v>
      </c>
      <c r="C5423" s="28" t="s">
        <v>209</v>
      </c>
      <c r="D5423" s="23" t="n">
        <v>16</v>
      </c>
      <c r="E5423" s="23" t="n">
        <v>12</v>
      </c>
      <c r="F5423" s="28" t="s">
        <v>905</v>
      </c>
      <c r="G5423" s="19" t="n">
        <v>0.0425</v>
      </c>
    </row>
    <row r="5424" customFormat="false" ht="15" hidden="false" customHeight="false" outlineLevel="0" collapsed="false">
      <c r="A5424" s="28" t="s">
        <v>207</v>
      </c>
      <c r="B5424" s="28" t="s">
        <v>208</v>
      </c>
      <c r="C5424" s="28" t="s">
        <v>209</v>
      </c>
      <c r="D5424" s="23" t="n">
        <v>16</v>
      </c>
      <c r="E5424" s="23" t="n">
        <v>12</v>
      </c>
      <c r="F5424" s="28" t="s">
        <v>906</v>
      </c>
      <c r="G5424" s="19" t="n">
        <v>0.0436</v>
      </c>
    </row>
    <row r="5425" customFormat="false" ht="15" hidden="false" customHeight="false" outlineLevel="0" collapsed="false">
      <c r="A5425" s="28" t="s">
        <v>207</v>
      </c>
      <c r="B5425" s="28" t="s">
        <v>208</v>
      </c>
      <c r="C5425" s="28" t="s">
        <v>209</v>
      </c>
      <c r="D5425" s="23" t="n">
        <v>16</v>
      </c>
      <c r="E5425" s="23" t="n">
        <v>12</v>
      </c>
      <c r="F5425" s="28" t="s">
        <v>907</v>
      </c>
      <c r="G5425" s="19" t="n">
        <v>0.0458</v>
      </c>
    </row>
    <row r="5426" customFormat="false" ht="15" hidden="false" customHeight="false" outlineLevel="0" collapsed="false">
      <c r="A5426" s="28" t="s">
        <v>207</v>
      </c>
      <c r="B5426" s="28" t="s">
        <v>208</v>
      </c>
      <c r="C5426" s="28" t="s">
        <v>209</v>
      </c>
      <c r="D5426" s="23" t="n">
        <v>16</v>
      </c>
      <c r="E5426" s="23" t="n">
        <v>12</v>
      </c>
      <c r="F5426" s="28" t="s">
        <v>908</v>
      </c>
      <c r="G5426" s="19" t="n">
        <v>0.0489</v>
      </c>
    </row>
    <row r="5427" customFormat="false" ht="15" hidden="false" customHeight="false" outlineLevel="0" collapsed="false">
      <c r="A5427" s="28" t="s">
        <v>207</v>
      </c>
      <c r="B5427" s="28" t="s">
        <v>208</v>
      </c>
      <c r="C5427" s="28" t="s">
        <v>209</v>
      </c>
      <c r="D5427" s="23" t="n">
        <v>16</v>
      </c>
      <c r="E5427" s="23" t="n">
        <v>12</v>
      </c>
      <c r="F5427" s="28" t="s">
        <v>909</v>
      </c>
      <c r="G5427" s="19" t="n">
        <v>0.0498</v>
      </c>
    </row>
    <row r="5428" customFormat="false" ht="15" hidden="false" customHeight="false" outlineLevel="0" collapsed="false">
      <c r="A5428" s="28" t="s">
        <v>207</v>
      </c>
      <c r="B5428" s="28" t="s">
        <v>208</v>
      </c>
      <c r="C5428" s="28" t="s">
        <v>209</v>
      </c>
      <c r="D5428" s="23" t="n">
        <v>16</v>
      </c>
      <c r="E5428" s="23" t="n">
        <v>12</v>
      </c>
      <c r="F5428" s="28" t="s">
        <v>910</v>
      </c>
      <c r="G5428" s="19" t="n">
        <v>0.0506</v>
      </c>
    </row>
    <row r="5429" customFormat="false" ht="15" hidden="false" customHeight="false" outlineLevel="0" collapsed="false">
      <c r="A5429" s="28" t="s">
        <v>207</v>
      </c>
      <c r="B5429" s="28" t="s">
        <v>208</v>
      </c>
      <c r="C5429" s="28" t="s">
        <v>209</v>
      </c>
      <c r="D5429" s="23" t="n">
        <v>16</v>
      </c>
      <c r="E5429" s="23" t="n">
        <v>12</v>
      </c>
      <c r="F5429" s="28" t="s">
        <v>911</v>
      </c>
      <c r="G5429" s="19" t="n">
        <v>0.0516</v>
      </c>
    </row>
    <row r="5430" customFormat="false" ht="15" hidden="false" customHeight="false" outlineLevel="0" collapsed="false">
      <c r="A5430" s="28" t="s">
        <v>207</v>
      </c>
      <c r="B5430" s="28" t="s">
        <v>208</v>
      </c>
      <c r="C5430" s="28" t="s">
        <v>209</v>
      </c>
      <c r="D5430" s="23" t="n">
        <v>16</v>
      </c>
      <c r="E5430" s="23" t="n">
        <v>12</v>
      </c>
      <c r="F5430" s="28" t="s">
        <v>912</v>
      </c>
      <c r="G5430" s="19" t="n">
        <v>0.0526</v>
      </c>
    </row>
    <row r="5431" customFormat="false" ht="15" hidden="false" customHeight="false" outlineLevel="0" collapsed="false">
      <c r="A5431" s="28" t="s">
        <v>207</v>
      </c>
      <c r="B5431" s="28" t="s">
        <v>208</v>
      </c>
      <c r="C5431" s="28" t="s">
        <v>209</v>
      </c>
      <c r="D5431" s="23" t="n">
        <v>16</v>
      </c>
      <c r="E5431" s="23" t="n">
        <v>12</v>
      </c>
      <c r="F5431" s="28" t="s">
        <v>913</v>
      </c>
      <c r="G5431" s="19" t="n">
        <v>0.0564</v>
      </c>
    </row>
    <row r="5432" customFormat="false" ht="15" hidden="false" customHeight="false" outlineLevel="0" collapsed="false">
      <c r="A5432" s="28" t="s">
        <v>207</v>
      </c>
      <c r="B5432" s="28" t="s">
        <v>208</v>
      </c>
      <c r="C5432" s="28" t="s">
        <v>209</v>
      </c>
      <c r="D5432" s="23" t="n">
        <v>16</v>
      </c>
      <c r="E5432" s="23" t="n">
        <v>12</v>
      </c>
      <c r="F5432" s="28" t="s">
        <v>914</v>
      </c>
      <c r="G5432" s="19" t="n">
        <v>0.0559</v>
      </c>
    </row>
    <row r="5433" customFormat="false" ht="15" hidden="false" customHeight="false" outlineLevel="0" collapsed="false">
      <c r="A5433" s="28" t="s">
        <v>207</v>
      </c>
      <c r="B5433" s="28" t="s">
        <v>208</v>
      </c>
      <c r="C5433" s="28" t="s">
        <v>209</v>
      </c>
      <c r="D5433" s="23" t="n">
        <v>16</v>
      </c>
      <c r="E5433" s="23" t="n">
        <v>12</v>
      </c>
      <c r="F5433" s="28" t="s">
        <v>915</v>
      </c>
      <c r="G5433" s="19" t="n">
        <v>0.0731</v>
      </c>
    </row>
    <row r="5434" customFormat="false" ht="15" hidden="false" customHeight="false" outlineLevel="0" collapsed="false">
      <c r="A5434" s="28" t="s">
        <v>207</v>
      </c>
      <c r="B5434" s="28" t="s">
        <v>208</v>
      </c>
      <c r="C5434" s="28" t="s">
        <v>209</v>
      </c>
      <c r="D5434" s="23" t="n">
        <v>16</v>
      </c>
      <c r="E5434" s="23" t="n">
        <v>13</v>
      </c>
      <c r="F5434" s="28" t="s">
        <v>904</v>
      </c>
      <c r="G5434" s="19" t="n">
        <v>0.0388</v>
      </c>
    </row>
    <row r="5435" customFormat="false" ht="15" hidden="false" customHeight="false" outlineLevel="0" collapsed="false">
      <c r="A5435" s="28" t="s">
        <v>207</v>
      </c>
      <c r="B5435" s="28" t="s">
        <v>208</v>
      </c>
      <c r="C5435" s="28" t="s">
        <v>209</v>
      </c>
      <c r="D5435" s="23" t="n">
        <v>16</v>
      </c>
      <c r="E5435" s="23" t="n">
        <v>13</v>
      </c>
      <c r="F5435" s="28" t="s">
        <v>551</v>
      </c>
      <c r="G5435" s="19" t="n">
        <v>0.07</v>
      </c>
    </row>
    <row r="5436" customFormat="false" ht="15" hidden="false" customHeight="false" outlineLevel="0" collapsed="false">
      <c r="A5436" s="28" t="s">
        <v>207</v>
      </c>
      <c r="B5436" s="28" t="s">
        <v>208</v>
      </c>
      <c r="C5436" s="28" t="s">
        <v>209</v>
      </c>
      <c r="D5436" s="23" t="n">
        <v>16</v>
      </c>
      <c r="E5436" s="23" t="n">
        <v>13</v>
      </c>
      <c r="F5436" s="28" t="s">
        <v>451</v>
      </c>
      <c r="G5436" s="19" t="n">
        <v>0.0386</v>
      </c>
    </row>
    <row r="5437" customFormat="false" ht="15" hidden="false" customHeight="false" outlineLevel="0" collapsed="false">
      <c r="A5437" s="28" t="s">
        <v>207</v>
      </c>
      <c r="B5437" s="28" t="s">
        <v>208</v>
      </c>
      <c r="C5437" s="28" t="s">
        <v>209</v>
      </c>
      <c r="D5437" s="23" t="n">
        <v>16</v>
      </c>
      <c r="E5437" s="23" t="n">
        <v>13</v>
      </c>
      <c r="F5437" s="28" t="s">
        <v>905</v>
      </c>
      <c r="G5437" s="19" t="n">
        <v>0.0425</v>
      </c>
    </row>
    <row r="5438" customFormat="false" ht="15" hidden="false" customHeight="false" outlineLevel="0" collapsed="false">
      <c r="A5438" s="28" t="s">
        <v>207</v>
      </c>
      <c r="B5438" s="28" t="s">
        <v>208</v>
      </c>
      <c r="C5438" s="28" t="s">
        <v>209</v>
      </c>
      <c r="D5438" s="23" t="n">
        <v>16</v>
      </c>
      <c r="E5438" s="23" t="n">
        <v>13</v>
      </c>
      <c r="F5438" s="28" t="s">
        <v>906</v>
      </c>
      <c r="G5438" s="19" t="n">
        <v>0.0436</v>
      </c>
    </row>
    <row r="5439" customFormat="false" ht="15" hidden="false" customHeight="false" outlineLevel="0" collapsed="false">
      <c r="A5439" s="28" t="s">
        <v>207</v>
      </c>
      <c r="B5439" s="28" t="s">
        <v>208</v>
      </c>
      <c r="C5439" s="28" t="s">
        <v>209</v>
      </c>
      <c r="D5439" s="23" t="n">
        <v>16</v>
      </c>
      <c r="E5439" s="23" t="n">
        <v>13</v>
      </c>
      <c r="F5439" s="28" t="s">
        <v>907</v>
      </c>
      <c r="G5439" s="19" t="n">
        <v>0.0458</v>
      </c>
    </row>
    <row r="5440" customFormat="false" ht="15" hidden="false" customHeight="false" outlineLevel="0" collapsed="false">
      <c r="A5440" s="28" t="s">
        <v>207</v>
      </c>
      <c r="B5440" s="28" t="s">
        <v>208</v>
      </c>
      <c r="C5440" s="28" t="s">
        <v>209</v>
      </c>
      <c r="D5440" s="23" t="n">
        <v>16</v>
      </c>
      <c r="E5440" s="23" t="n">
        <v>13</v>
      </c>
      <c r="F5440" s="28" t="s">
        <v>908</v>
      </c>
      <c r="G5440" s="19" t="n">
        <v>0.0489</v>
      </c>
    </row>
    <row r="5441" customFormat="false" ht="15" hidden="false" customHeight="false" outlineLevel="0" collapsed="false">
      <c r="A5441" s="28" t="s">
        <v>207</v>
      </c>
      <c r="B5441" s="28" t="s">
        <v>208</v>
      </c>
      <c r="C5441" s="28" t="s">
        <v>209</v>
      </c>
      <c r="D5441" s="23" t="n">
        <v>16</v>
      </c>
      <c r="E5441" s="23" t="n">
        <v>13</v>
      </c>
      <c r="F5441" s="28" t="s">
        <v>909</v>
      </c>
      <c r="G5441" s="19" t="n">
        <v>0.0498</v>
      </c>
    </row>
    <row r="5442" customFormat="false" ht="15" hidden="false" customHeight="false" outlineLevel="0" collapsed="false">
      <c r="A5442" s="28" t="s">
        <v>207</v>
      </c>
      <c r="B5442" s="28" t="s">
        <v>208</v>
      </c>
      <c r="C5442" s="28" t="s">
        <v>209</v>
      </c>
      <c r="D5442" s="23" t="n">
        <v>16</v>
      </c>
      <c r="E5442" s="23" t="n">
        <v>13</v>
      </c>
      <c r="F5442" s="28" t="s">
        <v>910</v>
      </c>
      <c r="G5442" s="19" t="n">
        <v>0.0506</v>
      </c>
    </row>
    <row r="5443" customFormat="false" ht="15" hidden="false" customHeight="false" outlineLevel="0" collapsed="false">
      <c r="A5443" s="28" t="s">
        <v>207</v>
      </c>
      <c r="B5443" s="28" t="s">
        <v>208</v>
      </c>
      <c r="C5443" s="28" t="s">
        <v>209</v>
      </c>
      <c r="D5443" s="23" t="n">
        <v>16</v>
      </c>
      <c r="E5443" s="23" t="n">
        <v>13</v>
      </c>
      <c r="F5443" s="28" t="s">
        <v>911</v>
      </c>
      <c r="G5443" s="19" t="n">
        <v>0.0516</v>
      </c>
    </row>
    <row r="5444" customFormat="false" ht="15" hidden="false" customHeight="false" outlineLevel="0" collapsed="false">
      <c r="A5444" s="28" t="s">
        <v>207</v>
      </c>
      <c r="B5444" s="28" t="s">
        <v>208</v>
      </c>
      <c r="C5444" s="28" t="s">
        <v>209</v>
      </c>
      <c r="D5444" s="23" t="n">
        <v>16</v>
      </c>
      <c r="E5444" s="23" t="n">
        <v>13</v>
      </c>
      <c r="F5444" s="28" t="s">
        <v>912</v>
      </c>
      <c r="G5444" s="19" t="n">
        <v>0.0526</v>
      </c>
    </row>
    <row r="5445" customFormat="false" ht="15" hidden="false" customHeight="false" outlineLevel="0" collapsed="false">
      <c r="A5445" s="28" t="s">
        <v>207</v>
      </c>
      <c r="B5445" s="28" t="s">
        <v>208</v>
      </c>
      <c r="C5445" s="28" t="s">
        <v>209</v>
      </c>
      <c r="D5445" s="23" t="n">
        <v>16</v>
      </c>
      <c r="E5445" s="23" t="n">
        <v>13</v>
      </c>
      <c r="F5445" s="28" t="s">
        <v>913</v>
      </c>
      <c r="G5445" s="19" t="n">
        <v>0.0564</v>
      </c>
    </row>
    <row r="5446" customFormat="false" ht="15" hidden="false" customHeight="false" outlineLevel="0" collapsed="false">
      <c r="A5446" s="28" t="s">
        <v>207</v>
      </c>
      <c r="B5446" s="28" t="s">
        <v>208</v>
      </c>
      <c r="C5446" s="28" t="s">
        <v>209</v>
      </c>
      <c r="D5446" s="23" t="n">
        <v>16</v>
      </c>
      <c r="E5446" s="23" t="n">
        <v>13</v>
      </c>
      <c r="F5446" s="28" t="s">
        <v>914</v>
      </c>
      <c r="G5446" s="19" t="n">
        <v>0.0559</v>
      </c>
    </row>
    <row r="5447" customFormat="false" ht="15" hidden="false" customHeight="false" outlineLevel="0" collapsed="false">
      <c r="A5447" s="28" t="s">
        <v>207</v>
      </c>
      <c r="B5447" s="28" t="s">
        <v>208</v>
      </c>
      <c r="C5447" s="28" t="s">
        <v>209</v>
      </c>
      <c r="D5447" s="23" t="n">
        <v>16</v>
      </c>
      <c r="E5447" s="23" t="n">
        <v>13</v>
      </c>
      <c r="F5447" s="28" t="s">
        <v>915</v>
      </c>
      <c r="G5447" s="19" t="n">
        <v>0.0731</v>
      </c>
    </row>
    <row r="5448" customFormat="false" ht="15" hidden="false" customHeight="false" outlineLevel="0" collapsed="false">
      <c r="A5448" s="28" t="s">
        <v>207</v>
      </c>
      <c r="B5448" s="28" t="s">
        <v>208</v>
      </c>
      <c r="C5448" s="28" t="s">
        <v>209</v>
      </c>
      <c r="D5448" s="23" t="n">
        <v>16</v>
      </c>
      <c r="E5448" s="23" t="n">
        <v>14</v>
      </c>
      <c r="F5448" s="28" t="s">
        <v>904</v>
      </c>
      <c r="G5448" s="19" t="n">
        <v>0.0388</v>
      </c>
    </row>
    <row r="5449" customFormat="false" ht="15" hidden="false" customHeight="false" outlineLevel="0" collapsed="false">
      <c r="A5449" s="28" t="s">
        <v>207</v>
      </c>
      <c r="B5449" s="28" t="s">
        <v>208</v>
      </c>
      <c r="C5449" s="28" t="s">
        <v>209</v>
      </c>
      <c r="D5449" s="23" t="n">
        <v>16</v>
      </c>
      <c r="E5449" s="23" t="n">
        <v>14</v>
      </c>
      <c r="F5449" s="28" t="s">
        <v>551</v>
      </c>
      <c r="G5449" s="19" t="n">
        <v>0.07</v>
      </c>
    </row>
    <row r="5450" customFormat="false" ht="15" hidden="false" customHeight="false" outlineLevel="0" collapsed="false">
      <c r="A5450" s="28" t="s">
        <v>207</v>
      </c>
      <c r="B5450" s="28" t="s">
        <v>208</v>
      </c>
      <c r="C5450" s="28" t="s">
        <v>209</v>
      </c>
      <c r="D5450" s="23" t="n">
        <v>16</v>
      </c>
      <c r="E5450" s="23" t="n">
        <v>14</v>
      </c>
      <c r="F5450" s="28" t="s">
        <v>451</v>
      </c>
      <c r="G5450" s="19" t="n">
        <v>0.0386</v>
      </c>
    </row>
    <row r="5451" customFormat="false" ht="15" hidden="false" customHeight="false" outlineLevel="0" collapsed="false">
      <c r="A5451" s="28" t="s">
        <v>207</v>
      </c>
      <c r="B5451" s="28" t="s">
        <v>208</v>
      </c>
      <c r="C5451" s="28" t="s">
        <v>209</v>
      </c>
      <c r="D5451" s="23" t="n">
        <v>16</v>
      </c>
      <c r="E5451" s="23" t="n">
        <v>14</v>
      </c>
      <c r="F5451" s="28" t="s">
        <v>905</v>
      </c>
      <c r="G5451" s="19" t="n">
        <v>0.0425</v>
      </c>
    </row>
    <row r="5452" customFormat="false" ht="15" hidden="false" customHeight="false" outlineLevel="0" collapsed="false">
      <c r="A5452" s="28" t="s">
        <v>207</v>
      </c>
      <c r="B5452" s="28" t="s">
        <v>208</v>
      </c>
      <c r="C5452" s="28" t="s">
        <v>209</v>
      </c>
      <c r="D5452" s="23" t="n">
        <v>16</v>
      </c>
      <c r="E5452" s="23" t="n">
        <v>14</v>
      </c>
      <c r="F5452" s="28" t="s">
        <v>906</v>
      </c>
      <c r="G5452" s="19" t="n">
        <v>0.0436</v>
      </c>
    </row>
    <row r="5453" customFormat="false" ht="15" hidden="false" customHeight="false" outlineLevel="0" collapsed="false">
      <c r="A5453" s="28" t="s">
        <v>207</v>
      </c>
      <c r="B5453" s="28" t="s">
        <v>208</v>
      </c>
      <c r="C5453" s="28" t="s">
        <v>209</v>
      </c>
      <c r="D5453" s="23" t="n">
        <v>16</v>
      </c>
      <c r="E5453" s="23" t="n">
        <v>14</v>
      </c>
      <c r="F5453" s="28" t="s">
        <v>907</v>
      </c>
      <c r="G5453" s="19" t="n">
        <v>0.0458</v>
      </c>
    </row>
    <row r="5454" customFormat="false" ht="15" hidden="false" customHeight="false" outlineLevel="0" collapsed="false">
      <c r="A5454" s="28" t="s">
        <v>207</v>
      </c>
      <c r="B5454" s="28" t="s">
        <v>208</v>
      </c>
      <c r="C5454" s="28" t="s">
        <v>209</v>
      </c>
      <c r="D5454" s="23" t="n">
        <v>16</v>
      </c>
      <c r="E5454" s="23" t="n">
        <v>14</v>
      </c>
      <c r="F5454" s="28" t="s">
        <v>908</v>
      </c>
      <c r="G5454" s="19" t="n">
        <v>0.0489</v>
      </c>
    </row>
    <row r="5455" customFormat="false" ht="15" hidden="false" customHeight="false" outlineLevel="0" collapsed="false">
      <c r="A5455" s="28" t="s">
        <v>207</v>
      </c>
      <c r="B5455" s="28" t="s">
        <v>208</v>
      </c>
      <c r="C5455" s="28" t="s">
        <v>209</v>
      </c>
      <c r="D5455" s="23" t="n">
        <v>16</v>
      </c>
      <c r="E5455" s="23" t="n">
        <v>14</v>
      </c>
      <c r="F5455" s="28" t="s">
        <v>909</v>
      </c>
      <c r="G5455" s="19" t="n">
        <v>0.0498</v>
      </c>
    </row>
    <row r="5456" customFormat="false" ht="15" hidden="false" customHeight="false" outlineLevel="0" collapsed="false">
      <c r="A5456" s="28" t="s">
        <v>207</v>
      </c>
      <c r="B5456" s="28" t="s">
        <v>208</v>
      </c>
      <c r="C5456" s="28" t="s">
        <v>209</v>
      </c>
      <c r="D5456" s="23" t="n">
        <v>16</v>
      </c>
      <c r="E5456" s="23" t="n">
        <v>14</v>
      </c>
      <c r="F5456" s="28" t="s">
        <v>910</v>
      </c>
      <c r="G5456" s="19" t="n">
        <v>0.0506</v>
      </c>
    </row>
    <row r="5457" customFormat="false" ht="15" hidden="false" customHeight="false" outlineLevel="0" collapsed="false">
      <c r="A5457" s="28" t="s">
        <v>207</v>
      </c>
      <c r="B5457" s="28" t="s">
        <v>208</v>
      </c>
      <c r="C5457" s="28" t="s">
        <v>209</v>
      </c>
      <c r="D5457" s="23" t="n">
        <v>16</v>
      </c>
      <c r="E5457" s="23" t="n">
        <v>14</v>
      </c>
      <c r="F5457" s="28" t="s">
        <v>911</v>
      </c>
      <c r="G5457" s="19" t="n">
        <v>0.0516</v>
      </c>
    </row>
    <row r="5458" customFormat="false" ht="15" hidden="false" customHeight="false" outlineLevel="0" collapsed="false">
      <c r="A5458" s="28" t="s">
        <v>207</v>
      </c>
      <c r="B5458" s="28" t="s">
        <v>208</v>
      </c>
      <c r="C5458" s="28" t="s">
        <v>209</v>
      </c>
      <c r="D5458" s="23" t="n">
        <v>16</v>
      </c>
      <c r="E5458" s="23" t="n">
        <v>14</v>
      </c>
      <c r="F5458" s="28" t="s">
        <v>912</v>
      </c>
      <c r="G5458" s="19" t="n">
        <v>0.0526</v>
      </c>
    </row>
    <row r="5459" customFormat="false" ht="15" hidden="false" customHeight="false" outlineLevel="0" collapsed="false">
      <c r="A5459" s="28" t="s">
        <v>207</v>
      </c>
      <c r="B5459" s="28" t="s">
        <v>208</v>
      </c>
      <c r="C5459" s="28" t="s">
        <v>209</v>
      </c>
      <c r="D5459" s="23" t="n">
        <v>16</v>
      </c>
      <c r="E5459" s="23" t="n">
        <v>14</v>
      </c>
      <c r="F5459" s="28" t="s">
        <v>913</v>
      </c>
      <c r="G5459" s="19" t="n">
        <v>0.0564</v>
      </c>
    </row>
    <row r="5460" customFormat="false" ht="15" hidden="false" customHeight="false" outlineLevel="0" collapsed="false">
      <c r="A5460" s="28" t="s">
        <v>207</v>
      </c>
      <c r="B5460" s="28" t="s">
        <v>208</v>
      </c>
      <c r="C5460" s="28" t="s">
        <v>209</v>
      </c>
      <c r="D5460" s="23" t="n">
        <v>16</v>
      </c>
      <c r="E5460" s="23" t="n">
        <v>14</v>
      </c>
      <c r="F5460" s="28" t="s">
        <v>914</v>
      </c>
      <c r="G5460" s="19" t="n">
        <v>0.0559</v>
      </c>
    </row>
    <row r="5461" customFormat="false" ht="15" hidden="false" customHeight="false" outlineLevel="0" collapsed="false">
      <c r="A5461" s="28" t="s">
        <v>207</v>
      </c>
      <c r="B5461" s="28" t="s">
        <v>208</v>
      </c>
      <c r="C5461" s="28" t="s">
        <v>209</v>
      </c>
      <c r="D5461" s="23" t="n">
        <v>16</v>
      </c>
      <c r="E5461" s="23" t="n">
        <v>14</v>
      </c>
      <c r="F5461" s="28" t="s">
        <v>915</v>
      </c>
      <c r="G5461" s="19" t="n">
        <v>0.0731</v>
      </c>
    </row>
    <row r="5462" customFormat="false" ht="15" hidden="false" customHeight="false" outlineLevel="0" collapsed="false">
      <c r="A5462" s="28" t="s">
        <v>207</v>
      </c>
      <c r="B5462" s="28" t="s">
        <v>208</v>
      </c>
      <c r="C5462" s="28" t="s">
        <v>209</v>
      </c>
      <c r="D5462" s="23" t="n">
        <v>16</v>
      </c>
      <c r="E5462" s="23" t="n">
        <v>15</v>
      </c>
      <c r="F5462" s="28" t="s">
        <v>904</v>
      </c>
      <c r="G5462" s="19" t="n">
        <v>0.0388</v>
      </c>
    </row>
    <row r="5463" customFormat="false" ht="15" hidden="false" customHeight="false" outlineLevel="0" collapsed="false">
      <c r="A5463" s="28" t="s">
        <v>207</v>
      </c>
      <c r="B5463" s="28" t="s">
        <v>208</v>
      </c>
      <c r="C5463" s="28" t="s">
        <v>209</v>
      </c>
      <c r="D5463" s="23" t="n">
        <v>16</v>
      </c>
      <c r="E5463" s="23" t="n">
        <v>15</v>
      </c>
      <c r="F5463" s="28" t="s">
        <v>551</v>
      </c>
      <c r="G5463" s="19" t="n">
        <v>0.07</v>
      </c>
    </row>
    <row r="5464" customFormat="false" ht="15" hidden="false" customHeight="false" outlineLevel="0" collapsed="false">
      <c r="A5464" s="28" t="s">
        <v>207</v>
      </c>
      <c r="B5464" s="28" t="s">
        <v>208</v>
      </c>
      <c r="C5464" s="28" t="s">
        <v>209</v>
      </c>
      <c r="D5464" s="23" t="n">
        <v>16</v>
      </c>
      <c r="E5464" s="23" t="n">
        <v>15</v>
      </c>
      <c r="F5464" s="28" t="s">
        <v>451</v>
      </c>
      <c r="G5464" s="19" t="n">
        <v>0.0386</v>
      </c>
    </row>
    <row r="5465" customFormat="false" ht="15" hidden="false" customHeight="false" outlineLevel="0" collapsed="false">
      <c r="A5465" s="28" t="s">
        <v>207</v>
      </c>
      <c r="B5465" s="28" t="s">
        <v>208</v>
      </c>
      <c r="C5465" s="28" t="s">
        <v>209</v>
      </c>
      <c r="D5465" s="23" t="n">
        <v>16</v>
      </c>
      <c r="E5465" s="23" t="n">
        <v>15</v>
      </c>
      <c r="F5465" s="28" t="s">
        <v>905</v>
      </c>
      <c r="G5465" s="19" t="n">
        <v>0.0425</v>
      </c>
    </row>
    <row r="5466" customFormat="false" ht="15" hidden="false" customHeight="false" outlineLevel="0" collapsed="false">
      <c r="A5466" s="28" t="s">
        <v>207</v>
      </c>
      <c r="B5466" s="28" t="s">
        <v>208</v>
      </c>
      <c r="C5466" s="28" t="s">
        <v>209</v>
      </c>
      <c r="D5466" s="23" t="n">
        <v>16</v>
      </c>
      <c r="E5466" s="23" t="n">
        <v>15</v>
      </c>
      <c r="F5466" s="28" t="s">
        <v>906</v>
      </c>
      <c r="G5466" s="19" t="n">
        <v>0.0436</v>
      </c>
    </row>
    <row r="5467" customFormat="false" ht="15" hidden="false" customHeight="false" outlineLevel="0" collapsed="false">
      <c r="A5467" s="28" t="s">
        <v>207</v>
      </c>
      <c r="B5467" s="28" t="s">
        <v>208</v>
      </c>
      <c r="C5467" s="28" t="s">
        <v>209</v>
      </c>
      <c r="D5467" s="23" t="n">
        <v>16</v>
      </c>
      <c r="E5467" s="23" t="n">
        <v>15</v>
      </c>
      <c r="F5467" s="28" t="s">
        <v>907</v>
      </c>
      <c r="G5467" s="19" t="n">
        <v>0.0458</v>
      </c>
    </row>
    <row r="5468" customFormat="false" ht="15" hidden="false" customHeight="false" outlineLevel="0" collapsed="false">
      <c r="A5468" s="28" t="s">
        <v>207</v>
      </c>
      <c r="B5468" s="28" t="s">
        <v>208</v>
      </c>
      <c r="C5468" s="28" t="s">
        <v>209</v>
      </c>
      <c r="D5468" s="23" t="n">
        <v>16</v>
      </c>
      <c r="E5468" s="23" t="n">
        <v>15</v>
      </c>
      <c r="F5468" s="28" t="s">
        <v>908</v>
      </c>
      <c r="G5468" s="19" t="n">
        <v>0.0489</v>
      </c>
    </row>
    <row r="5469" customFormat="false" ht="15" hidden="false" customHeight="false" outlineLevel="0" collapsed="false">
      <c r="A5469" s="28" t="s">
        <v>207</v>
      </c>
      <c r="B5469" s="28" t="s">
        <v>208</v>
      </c>
      <c r="C5469" s="28" t="s">
        <v>209</v>
      </c>
      <c r="D5469" s="23" t="n">
        <v>16</v>
      </c>
      <c r="E5469" s="23" t="n">
        <v>15</v>
      </c>
      <c r="F5469" s="28" t="s">
        <v>909</v>
      </c>
      <c r="G5469" s="19" t="n">
        <v>0.0498</v>
      </c>
    </row>
    <row r="5470" customFormat="false" ht="15" hidden="false" customHeight="false" outlineLevel="0" collapsed="false">
      <c r="A5470" s="28" t="s">
        <v>207</v>
      </c>
      <c r="B5470" s="28" t="s">
        <v>208</v>
      </c>
      <c r="C5470" s="28" t="s">
        <v>209</v>
      </c>
      <c r="D5470" s="23" t="n">
        <v>16</v>
      </c>
      <c r="E5470" s="23" t="n">
        <v>15</v>
      </c>
      <c r="F5470" s="28" t="s">
        <v>910</v>
      </c>
      <c r="G5470" s="19" t="n">
        <v>0.0506</v>
      </c>
    </row>
    <row r="5471" customFormat="false" ht="15" hidden="false" customHeight="false" outlineLevel="0" collapsed="false">
      <c r="A5471" s="28" t="s">
        <v>207</v>
      </c>
      <c r="B5471" s="28" t="s">
        <v>208</v>
      </c>
      <c r="C5471" s="28" t="s">
        <v>209</v>
      </c>
      <c r="D5471" s="23" t="n">
        <v>16</v>
      </c>
      <c r="E5471" s="23" t="n">
        <v>15</v>
      </c>
      <c r="F5471" s="28" t="s">
        <v>911</v>
      </c>
      <c r="G5471" s="19" t="n">
        <v>0.0516</v>
      </c>
    </row>
    <row r="5472" customFormat="false" ht="15" hidden="false" customHeight="false" outlineLevel="0" collapsed="false">
      <c r="A5472" s="28" t="s">
        <v>207</v>
      </c>
      <c r="B5472" s="28" t="s">
        <v>208</v>
      </c>
      <c r="C5472" s="28" t="s">
        <v>209</v>
      </c>
      <c r="D5472" s="23" t="n">
        <v>16</v>
      </c>
      <c r="E5472" s="23" t="n">
        <v>15</v>
      </c>
      <c r="F5472" s="28" t="s">
        <v>912</v>
      </c>
      <c r="G5472" s="19" t="n">
        <v>0.0526</v>
      </c>
    </row>
    <row r="5473" customFormat="false" ht="15" hidden="false" customHeight="false" outlineLevel="0" collapsed="false">
      <c r="A5473" s="28" t="s">
        <v>207</v>
      </c>
      <c r="B5473" s="28" t="s">
        <v>208</v>
      </c>
      <c r="C5473" s="28" t="s">
        <v>209</v>
      </c>
      <c r="D5473" s="23" t="n">
        <v>16</v>
      </c>
      <c r="E5473" s="23" t="n">
        <v>15</v>
      </c>
      <c r="F5473" s="28" t="s">
        <v>913</v>
      </c>
      <c r="G5473" s="19" t="n">
        <v>0.0564</v>
      </c>
    </row>
    <row r="5474" customFormat="false" ht="15" hidden="false" customHeight="false" outlineLevel="0" collapsed="false">
      <c r="A5474" s="28" t="s">
        <v>207</v>
      </c>
      <c r="B5474" s="28" t="s">
        <v>208</v>
      </c>
      <c r="C5474" s="28" t="s">
        <v>209</v>
      </c>
      <c r="D5474" s="23" t="n">
        <v>16</v>
      </c>
      <c r="E5474" s="23" t="n">
        <v>15</v>
      </c>
      <c r="F5474" s="28" t="s">
        <v>914</v>
      </c>
      <c r="G5474" s="19" t="n">
        <v>0.0559</v>
      </c>
    </row>
    <row r="5475" customFormat="false" ht="15" hidden="false" customHeight="false" outlineLevel="0" collapsed="false">
      <c r="A5475" s="28" t="s">
        <v>207</v>
      </c>
      <c r="B5475" s="28" t="s">
        <v>208</v>
      </c>
      <c r="C5475" s="28" t="s">
        <v>209</v>
      </c>
      <c r="D5475" s="23" t="n">
        <v>16</v>
      </c>
      <c r="E5475" s="23" t="n">
        <v>15</v>
      </c>
      <c r="F5475" s="28" t="s">
        <v>915</v>
      </c>
      <c r="G5475" s="19" t="n">
        <v>0.0731</v>
      </c>
    </row>
    <row r="5476" customFormat="false" ht="15" hidden="false" customHeight="false" outlineLevel="0" collapsed="false">
      <c r="A5476" s="28" t="s">
        <v>207</v>
      </c>
      <c r="B5476" s="28" t="s">
        <v>208</v>
      </c>
      <c r="C5476" s="28" t="s">
        <v>209</v>
      </c>
      <c r="D5476" s="23" t="n">
        <v>16</v>
      </c>
      <c r="E5476" s="23" t="n">
        <v>16</v>
      </c>
      <c r="F5476" s="28" t="s">
        <v>904</v>
      </c>
      <c r="G5476" s="19" t="n">
        <v>0.0388</v>
      </c>
    </row>
    <row r="5477" customFormat="false" ht="15" hidden="false" customHeight="false" outlineLevel="0" collapsed="false">
      <c r="A5477" s="28" t="s">
        <v>207</v>
      </c>
      <c r="B5477" s="28" t="s">
        <v>208</v>
      </c>
      <c r="C5477" s="28" t="s">
        <v>209</v>
      </c>
      <c r="D5477" s="23" t="n">
        <v>16</v>
      </c>
      <c r="E5477" s="23" t="n">
        <v>16</v>
      </c>
      <c r="F5477" s="28" t="s">
        <v>551</v>
      </c>
      <c r="G5477" s="19" t="n">
        <v>0.07</v>
      </c>
    </row>
    <row r="5478" customFormat="false" ht="15" hidden="false" customHeight="false" outlineLevel="0" collapsed="false">
      <c r="A5478" s="28" t="s">
        <v>207</v>
      </c>
      <c r="B5478" s="28" t="s">
        <v>208</v>
      </c>
      <c r="C5478" s="28" t="s">
        <v>209</v>
      </c>
      <c r="D5478" s="23" t="n">
        <v>16</v>
      </c>
      <c r="E5478" s="23" t="n">
        <v>16</v>
      </c>
      <c r="F5478" s="28" t="s">
        <v>451</v>
      </c>
      <c r="G5478" s="19" t="n">
        <v>0.0386</v>
      </c>
    </row>
    <row r="5479" customFormat="false" ht="15" hidden="false" customHeight="false" outlineLevel="0" collapsed="false">
      <c r="A5479" s="28" t="s">
        <v>207</v>
      </c>
      <c r="B5479" s="28" t="s">
        <v>208</v>
      </c>
      <c r="C5479" s="28" t="s">
        <v>209</v>
      </c>
      <c r="D5479" s="23" t="n">
        <v>16</v>
      </c>
      <c r="E5479" s="23" t="n">
        <v>16</v>
      </c>
      <c r="F5479" s="28" t="s">
        <v>905</v>
      </c>
      <c r="G5479" s="19" t="n">
        <v>0.0425</v>
      </c>
    </row>
    <row r="5480" customFormat="false" ht="15" hidden="false" customHeight="false" outlineLevel="0" collapsed="false">
      <c r="A5480" s="28" t="s">
        <v>207</v>
      </c>
      <c r="B5480" s="28" t="s">
        <v>208</v>
      </c>
      <c r="C5480" s="28" t="s">
        <v>209</v>
      </c>
      <c r="D5480" s="23" t="n">
        <v>16</v>
      </c>
      <c r="E5480" s="23" t="n">
        <v>16</v>
      </c>
      <c r="F5480" s="28" t="s">
        <v>906</v>
      </c>
      <c r="G5480" s="19" t="n">
        <v>0.0436</v>
      </c>
    </row>
    <row r="5481" customFormat="false" ht="15" hidden="false" customHeight="false" outlineLevel="0" collapsed="false">
      <c r="A5481" s="28" t="s">
        <v>207</v>
      </c>
      <c r="B5481" s="28" t="s">
        <v>208</v>
      </c>
      <c r="C5481" s="28" t="s">
        <v>209</v>
      </c>
      <c r="D5481" s="23" t="n">
        <v>16</v>
      </c>
      <c r="E5481" s="23" t="n">
        <v>16</v>
      </c>
      <c r="F5481" s="28" t="s">
        <v>907</v>
      </c>
      <c r="G5481" s="19" t="n">
        <v>0.0458</v>
      </c>
    </row>
    <row r="5482" customFormat="false" ht="15" hidden="false" customHeight="false" outlineLevel="0" collapsed="false">
      <c r="A5482" s="28" t="s">
        <v>207</v>
      </c>
      <c r="B5482" s="28" t="s">
        <v>208</v>
      </c>
      <c r="C5482" s="28" t="s">
        <v>209</v>
      </c>
      <c r="D5482" s="23" t="n">
        <v>16</v>
      </c>
      <c r="E5482" s="23" t="n">
        <v>16</v>
      </c>
      <c r="F5482" s="28" t="s">
        <v>908</v>
      </c>
      <c r="G5482" s="19" t="n">
        <v>0.0489</v>
      </c>
    </row>
    <row r="5483" customFormat="false" ht="15" hidden="false" customHeight="false" outlineLevel="0" collapsed="false">
      <c r="A5483" s="28" t="s">
        <v>207</v>
      </c>
      <c r="B5483" s="28" t="s">
        <v>208</v>
      </c>
      <c r="C5483" s="28" t="s">
        <v>209</v>
      </c>
      <c r="D5483" s="23" t="n">
        <v>16</v>
      </c>
      <c r="E5483" s="23" t="n">
        <v>16</v>
      </c>
      <c r="F5483" s="28" t="s">
        <v>909</v>
      </c>
      <c r="G5483" s="19" t="n">
        <v>0.0498</v>
      </c>
    </row>
    <row r="5484" customFormat="false" ht="15" hidden="false" customHeight="false" outlineLevel="0" collapsed="false">
      <c r="A5484" s="28" t="s">
        <v>207</v>
      </c>
      <c r="B5484" s="28" t="s">
        <v>208</v>
      </c>
      <c r="C5484" s="28" t="s">
        <v>209</v>
      </c>
      <c r="D5484" s="23" t="n">
        <v>16</v>
      </c>
      <c r="E5484" s="23" t="n">
        <v>16</v>
      </c>
      <c r="F5484" s="28" t="s">
        <v>910</v>
      </c>
      <c r="G5484" s="19" t="n">
        <v>0.0506</v>
      </c>
    </row>
    <row r="5485" customFormat="false" ht="15" hidden="false" customHeight="false" outlineLevel="0" collapsed="false">
      <c r="A5485" s="28" t="s">
        <v>207</v>
      </c>
      <c r="B5485" s="28" t="s">
        <v>208</v>
      </c>
      <c r="C5485" s="28" t="s">
        <v>209</v>
      </c>
      <c r="D5485" s="23" t="n">
        <v>16</v>
      </c>
      <c r="E5485" s="23" t="n">
        <v>16</v>
      </c>
      <c r="F5485" s="28" t="s">
        <v>911</v>
      </c>
      <c r="G5485" s="19" t="n">
        <v>0.0516</v>
      </c>
    </row>
    <row r="5486" customFormat="false" ht="15" hidden="false" customHeight="false" outlineLevel="0" collapsed="false">
      <c r="A5486" s="28" t="s">
        <v>207</v>
      </c>
      <c r="B5486" s="28" t="s">
        <v>208</v>
      </c>
      <c r="C5486" s="28" t="s">
        <v>209</v>
      </c>
      <c r="D5486" s="23" t="n">
        <v>16</v>
      </c>
      <c r="E5486" s="23" t="n">
        <v>16</v>
      </c>
      <c r="F5486" s="28" t="s">
        <v>912</v>
      </c>
      <c r="G5486" s="19" t="n">
        <v>0.0526</v>
      </c>
    </row>
    <row r="5487" customFormat="false" ht="15" hidden="false" customHeight="false" outlineLevel="0" collapsed="false">
      <c r="A5487" s="28" t="s">
        <v>207</v>
      </c>
      <c r="B5487" s="28" t="s">
        <v>208</v>
      </c>
      <c r="C5487" s="28" t="s">
        <v>209</v>
      </c>
      <c r="D5487" s="23" t="n">
        <v>16</v>
      </c>
      <c r="E5487" s="23" t="n">
        <v>16</v>
      </c>
      <c r="F5487" s="28" t="s">
        <v>913</v>
      </c>
      <c r="G5487" s="19" t="n">
        <v>0.0564</v>
      </c>
    </row>
    <row r="5488" customFormat="false" ht="15" hidden="false" customHeight="false" outlineLevel="0" collapsed="false">
      <c r="A5488" s="28" t="s">
        <v>207</v>
      </c>
      <c r="B5488" s="28" t="s">
        <v>208</v>
      </c>
      <c r="C5488" s="28" t="s">
        <v>209</v>
      </c>
      <c r="D5488" s="23" t="n">
        <v>16</v>
      </c>
      <c r="E5488" s="23" t="n">
        <v>16</v>
      </c>
      <c r="F5488" s="28" t="s">
        <v>914</v>
      </c>
      <c r="G5488" s="19" t="n">
        <v>0.0559</v>
      </c>
    </row>
    <row r="5489" customFormat="false" ht="15" hidden="false" customHeight="false" outlineLevel="0" collapsed="false">
      <c r="A5489" s="28" t="s">
        <v>207</v>
      </c>
      <c r="B5489" s="28" t="s">
        <v>208</v>
      </c>
      <c r="C5489" s="28" t="s">
        <v>209</v>
      </c>
      <c r="D5489" s="23" t="n">
        <v>16</v>
      </c>
      <c r="E5489" s="23" t="n">
        <v>16</v>
      </c>
      <c r="F5489" s="28" t="s">
        <v>915</v>
      </c>
      <c r="G5489" s="19" t="n">
        <v>0.0731</v>
      </c>
    </row>
    <row r="5490" customFormat="false" ht="15" hidden="false" customHeight="false" outlineLevel="0" collapsed="false">
      <c r="A5490" s="28" t="s">
        <v>207</v>
      </c>
      <c r="B5490" s="28" t="s">
        <v>208</v>
      </c>
      <c r="C5490" s="28" t="s">
        <v>209</v>
      </c>
      <c r="D5490" s="23" t="n">
        <v>16</v>
      </c>
      <c r="E5490" s="23" t="n">
        <v>17</v>
      </c>
      <c r="F5490" s="28" t="s">
        <v>904</v>
      </c>
      <c r="G5490" s="19" t="n">
        <v>0.0388</v>
      </c>
    </row>
    <row r="5491" customFormat="false" ht="15" hidden="false" customHeight="false" outlineLevel="0" collapsed="false">
      <c r="A5491" s="28" t="s">
        <v>207</v>
      </c>
      <c r="B5491" s="28" t="s">
        <v>208</v>
      </c>
      <c r="C5491" s="28" t="s">
        <v>209</v>
      </c>
      <c r="D5491" s="23" t="n">
        <v>16</v>
      </c>
      <c r="E5491" s="23" t="n">
        <v>17</v>
      </c>
      <c r="F5491" s="28" t="s">
        <v>551</v>
      </c>
      <c r="G5491" s="19" t="n">
        <v>0.07</v>
      </c>
    </row>
    <row r="5492" customFormat="false" ht="15" hidden="false" customHeight="false" outlineLevel="0" collapsed="false">
      <c r="A5492" s="28" t="s">
        <v>207</v>
      </c>
      <c r="B5492" s="28" t="s">
        <v>208</v>
      </c>
      <c r="C5492" s="28" t="s">
        <v>209</v>
      </c>
      <c r="D5492" s="23" t="n">
        <v>16</v>
      </c>
      <c r="E5492" s="23" t="n">
        <v>17</v>
      </c>
      <c r="F5492" s="28" t="s">
        <v>451</v>
      </c>
      <c r="G5492" s="19" t="n">
        <v>0.0386</v>
      </c>
    </row>
    <row r="5493" customFormat="false" ht="15" hidden="false" customHeight="false" outlineLevel="0" collapsed="false">
      <c r="A5493" s="28" t="s">
        <v>207</v>
      </c>
      <c r="B5493" s="28" t="s">
        <v>208</v>
      </c>
      <c r="C5493" s="28" t="s">
        <v>209</v>
      </c>
      <c r="D5493" s="23" t="n">
        <v>16</v>
      </c>
      <c r="E5493" s="23" t="n">
        <v>17</v>
      </c>
      <c r="F5493" s="28" t="s">
        <v>905</v>
      </c>
      <c r="G5493" s="19" t="n">
        <v>0.0425</v>
      </c>
    </row>
    <row r="5494" customFormat="false" ht="15" hidden="false" customHeight="false" outlineLevel="0" collapsed="false">
      <c r="A5494" s="28" t="s">
        <v>207</v>
      </c>
      <c r="B5494" s="28" t="s">
        <v>208</v>
      </c>
      <c r="C5494" s="28" t="s">
        <v>209</v>
      </c>
      <c r="D5494" s="23" t="n">
        <v>16</v>
      </c>
      <c r="E5494" s="23" t="n">
        <v>17</v>
      </c>
      <c r="F5494" s="28" t="s">
        <v>906</v>
      </c>
      <c r="G5494" s="19" t="n">
        <v>0.0436</v>
      </c>
    </row>
    <row r="5495" customFormat="false" ht="15" hidden="false" customHeight="false" outlineLevel="0" collapsed="false">
      <c r="A5495" s="28" t="s">
        <v>207</v>
      </c>
      <c r="B5495" s="28" t="s">
        <v>208</v>
      </c>
      <c r="C5495" s="28" t="s">
        <v>209</v>
      </c>
      <c r="D5495" s="23" t="n">
        <v>16</v>
      </c>
      <c r="E5495" s="23" t="n">
        <v>17</v>
      </c>
      <c r="F5495" s="28" t="s">
        <v>907</v>
      </c>
      <c r="G5495" s="19" t="n">
        <v>0.0458</v>
      </c>
    </row>
    <row r="5496" customFormat="false" ht="15" hidden="false" customHeight="false" outlineLevel="0" collapsed="false">
      <c r="A5496" s="28" t="s">
        <v>207</v>
      </c>
      <c r="B5496" s="28" t="s">
        <v>208</v>
      </c>
      <c r="C5496" s="28" t="s">
        <v>209</v>
      </c>
      <c r="D5496" s="23" t="n">
        <v>16</v>
      </c>
      <c r="E5496" s="23" t="n">
        <v>17</v>
      </c>
      <c r="F5496" s="28" t="s">
        <v>908</v>
      </c>
      <c r="G5496" s="19" t="n">
        <v>0.0489</v>
      </c>
    </row>
    <row r="5497" customFormat="false" ht="15" hidden="false" customHeight="false" outlineLevel="0" collapsed="false">
      <c r="A5497" s="28" t="s">
        <v>207</v>
      </c>
      <c r="B5497" s="28" t="s">
        <v>208</v>
      </c>
      <c r="C5497" s="28" t="s">
        <v>209</v>
      </c>
      <c r="D5497" s="23" t="n">
        <v>16</v>
      </c>
      <c r="E5497" s="23" t="n">
        <v>17</v>
      </c>
      <c r="F5497" s="28" t="s">
        <v>909</v>
      </c>
      <c r="G5497" s="19" t="n">
        <v>0.0498</v>
      </c>
    </row>
    <row r="5498" customFormat="false" ht="15" hidden="false" customHeight="false" outlineLevel="0" collapsed="false">
      <c r="A5498" s="28" t="s">
        <v>207</v>
      </c>
      <c r="B5498" s="28" t="s">
        <v>208</v>
      </c>
      <c r="C5498" s="28" t="s">
        <v>209</v>
      </c>
      <c r="D5498" s="23" t="n">
        <v>16</v>
      </c>
      <c r="E5498" s="23" t="n">
        <v>17</v>
      </c>
      <c r="F5498" s="28" t="s">
        <v>910</v>
      </c>
      <c r="G5498" s="19" t="n">
        <v>0.0506</v>
      </c>
    </row>
    <row r="5499" customFormat="false" ht="15" hidden="false" customHeight="false" outlineLevel="0" collapsed="false">
      <c r="A5499" s="28" t="s">
        <v>207</v>
      </c>
      <c r="B5499" s="28" t="s">
        <v>208</v>
      </c>
      <c r="C5499" s="28" t="s">
        <v>209</v>
      </c>
      <c r="D5499" s="23" t="n">
        <v>16</v>
      </c>
      <c r="E5499" s="23" t="n">
        <v>17</v>
      </c>
      <c r="F5499" s="28" t="s">
        <v>911</v>
      </c>
      <c r="G5499" s="19" t="n">
        <v>0.0516</v>
      </c>
    </row>
    <row r="5500" customFormat="false" ht="15" hidden="false" customHeight="false" outlineLevel="0" collapsed="false">
      <c r="A5500" s="28" t="s">
        <v>207</v>
      </c>
      <c r="B5500" s="28" t="s">
        <v>208</v>
      </c>
      <c r="C5500" s="28" t="s">
        <v>209</v>
      </c>
      <c r="D5500" s="23" t="n">
        <v>16</v>
      </c>
      <c r="E5500" s="23" t="n">
        <v>17</v>
      </c>
      <c r="F5500" s="28" t="s">
        <v>912</v>
      </c>
      <c r="G5500" s="19" t="n">
        <v>0.0526</v>
      </c>
    </row>
    <row r="5501" customFormat="false" ht="15" hidden="false" customHeight="false" outlineLevel="0" collapsed="false">
      <c r="A5501" s="28" t="s">
        <v>207</v>
      </c>
      <c r="B5501" s="28" t="s">
        <v>208</v>
      </c>
      <c r="C5501" s="28" t="s">
        <v>209</v>
      </c>
      <c r="D5501" s="23" t="n">
        <v>16</v>
      </c>
      <c r="E5501" s="23" t="n">
        <v>17</v>
      </c>
      <c r="F5501" s="28" t="s">
        <v>913</v>
      </c>
      <c r="G5501" s="19" t="n">
        <v>0.0564</v>
      </c>
    </row>
    <row r="5502" customFormat="false" ht="15" hidden="false" customHeight="false" outlineLevel="0" collapsed="false">
      <c r="A5502" s="28" t="s">
        <v>207</v>
      </c>
      <c r="B5502" s="28" t="s">
        <v>208</v>
      </c>
      <c r="C5502" s="28" t="s">
        <v>209</v>
      </c>
      <c r="D5502" s="23" t="n">
        <v>16</v>
      </c>
      <c r="E5502" s="23" t="n">
        <v>17</v>
      </c>
      <c r="F5502" s="28" t="s">
        <v>914</v>
      </c>
      <c r="G5502" s="19" t="n">
        <v>0.0559</v>
      </c>
    </row>
    <row r="5503" customFormat="false" ht="15" hidden="false" customHeight="false" outlineLevel="0" collapsed="false">
      <c r="A5503" s="28" t="s">
        <v>207</v>
      </c>
      <c r="B5503" s="28" t="s">
        <v>208</v>
      </c>
      <c r="C5503" s="28" t="s">
        <v>209</v>
      </c>
      <c r="D5503" s="23" t="n">
        <v>16</v>
      </c>
      <c r="E5503" s="23" t="n">
        <v>17</v>
      </c>
      <c r="F5503" s="28" t="s">
        <v>915</v>
      </c>
      <c r="G5503" s="19" t="n">
        <v>0.0731</v>
      </c>
    </row>
    <row r="5504" customFormat="false" ht="15" hidden="false" customHeight="false" outlineLevel="0" collapsed="false">
      <c r="A5504" s="28" t="s">
        <v>207</v>
      </c>
      <c r="B5504" s="28" t="s">
        <v>208</v>
      </c>
      <c r="C5504" s="28" t="s">
        <v>209</v>
      </c>
      <c r="D5504" s="23" t="n">
        <v>16</v>
      </c>
      <c r="E5504" s="23" t="n">
        <v>18</v>
      </c>
      <c r="F5504" s="28" t="s">
        <v>904</v>
      </c>
      <c r="G5504" s="19" t="n">
        <v>0.0388</v>
      </c>
    </row>
    <row r="5505" customFormat="false" ht="15" hidden="false" customHeight="false" outlineLevel="0" collapsed="false">
      <c r="A5505" s="28" t="s">
        <v>207</v>
      </c>
      <c r="B5505" s="28" t="s">
        <v>208</v>
      </c>
      <c r="C5505" s="28" t="s">
        <v>209</v>
      </c>
      <c r="D5505" s="23" t="n">
        <v>16</v>
      </c>
      <c r="E5505" s="23" t="n">
        <v>18</v>
      </c>
      <c r="F5505" s="28" t="s">
        <v>551</v>
      </c>
      <c r="G5505" s="19" t="n">
        <v>0.07</v>
      </c>
    </row>
    <row r="5506" customFormat="false" ht="15" hidden="false" customHeight="false" outlineLevel="0" collapsed="false">
      <c r="A5506" s="28" t="s">
        <v>207</v>
      </c>
      <c r="B5506" s="28" t="s">
        <v>208</v>
      </c>
      <c r="C5506" s="28" t="s">
        <v>209</v>
      </c>
      <c r="D5506" s="23" t="n">
        <v>16</v>
      </c>
      <c r="E5506" s="23" t="n">
        <v>18</v>
      </c>
      <c r="F5506" s="28" t="s">
        <v>451</v>
      </c>
      <c r="G5506" s="19" t="n">
        <v>0.0386</v>
      </c>
    </row>
    <row r="5507" customFormat="false" ht="15" hidden="false" customHeight="false" outlineLevel="0" collapsed="false">
      <c r="A5507" s="28" t="s">
        <v>207</v>
      </c>
      <c r="B5507" s="28" t="s">
        <v>208</v>
      </c>
      <c r="C5507" s="28" t="s">
        <v>209</v>
      </c>
      <c r="D5507" s="23" t="n">
        <v>16</v>
      </c>
      <c r="E5507" s="23" t="n">
        <v>18</v>
      </c>
      <c r="F5507" s="28" t="s">
        <v>905</v>
      </c>
      <c r="G5507" s="19" t="n">
        <v>0.0425</v>
      </c>
    </row>
    <row r="5508" customFormat="false" ht="15" hidden="false" customHeight="false" outlineLevel="0" collapsed="false">
      <c r="A5508" s="28" t="s">
        <v>207</v>
      </c>
      <c r="B5508" s="28" t="s">
        <v>208</v>
      </c>
      <c r="C5508" s="28" t="s">
        <v>209</v>
      </c>
      <c r="D5508" s="23" t="n">
        <v>16</v>
      </c>
      <c r="E5508" s="23" t="n">
        <v>18</v>
      </c>
      <c r="F5508" s="28" t="s">
        <v>906</v>
      </c>
      <c r="G5508" s="19" t="n">
        <v>0.0436</v>
      </c>
    </row>
    <row r="5509" customFormat="false" ht="15" hidden="false" customHeight="false" outlineLevel="0" collapsed="false">
      <c r="A5509" s="28" t="s">
        <v>207</v>
      </c>
      <c r="B5509" s="28" t="s">
        <v>208</v>
      </c>
      <c r="C5509" s="28" t="s">
        <v>209</v>
      </c>
      <c r="D5509" s="23" t="n">
        <v>16</v>
      </c>
      <c r="E5509" s="23" t="n">
        <v>18</v>
      </c>
      <c r="F5509" s="28" t="s">
        <v>907</v>
      </c>
      <c r="G5509" s="19" t="n">
        <v>0.0458</v>
      </c>
    </row>
    <row r="5510" customFormat="false" ht="15" hidden="false" customHeight="false" outlineLevel="0" collapsed="false">
      <c r="A5510" s="28" t="s">
        <v>207</v>
      </c>
      <c r="B5510" s="28" t="s">
        <v>208</v>
      </c>
      <c r="C5510" s="28" t="s">
        <v>209</v>
      </c>
      <c r="D5510" s="23" t="n">
        <v>16</v>
      </c>
      <c r="E5510" s="23" t="n">
        <v>18</v>
      </c>
      <c r="F5510" s="28" t="s">
        <v>908</v>
      </c>
      <c r="G5510" s="19" t="n">
        <v>0.0489</v>
      </c>
    </row>
    <row r="5511" customFormat="false" ht="15" hidden="false" customHeight="false" outlineLevel="0" collapsed="false">
      <c r="A5511" s="28" t="s">
        <v>207</v>
      </c>
      <c r="B5511" s="28" t="s">
        <v>208</v>
      </c>
      <c r="C5511" s="28" t="s">
        <v>209</v>
      </c>
      <c r="D5511" s="23" t="n">
        <v>16</v>
      </c>
      <c r="E5511" s="23" t="n">
        <v>18</v>
      </c>
      <c r="F5511" s="28" t="s">
        <v>909</v>
      </c>
      <c r="G5511" s="19" t="n">
        <v>0.0498</v>
      </c>
    </row>
    <row r="5512" customFormat="false" ht="15" hidden="false" customHeight="false" outlineLevel="0" collapsed="false">
      <c r="A5512" s="28" t="s">
        <v>207</v>
      </c>
      <c r="B5512" s="28" t="s">
        <v>208</v>
      </c>
      <c r="C5512" s="28" t="s">
        <v>209</v>
      </c>
      <c r="D5512" s="23" t="n">
        <v>16</v>
      </c>
      <c r="E5512" s="23" t="n">
        <v>18</v>
      </c>
      <c r="F5512" s="28" t="s">
        <v>910</v>
      </c>
      <c r="G5512" s="19" t="n">
        <v>0.0506</v>
      </c>
    </row>
    <row r="5513" customFormat="false" ht="15" hidden="false" customHeight="false" outlineLevel="0" collapsed="false">
      <c r="A5513" s="28" t="s">
        <v>207</v>
      </c>
      <c r="B5513" s="28" t="s">
        <v>208</v>
      </c>
      <c r="C5513" s="28" t="s">
        <v>209</v>
      </c>
      <c r="D5513" s="23" t="n">
        <v>16</v>
      </c>
      <c r="E5513" s="23" t="n">
        <v>18</v>
      </c>
      <c r="F5513" s="28" t="s">
        <v>911</v>
      </c>
      <c r="G5513" s="19" t="n">
        <v>0.0516</v>
      </c>
    </row>
    <row r="5514" customFormat="false" ht="15" hidden="false" customHeight="false" outlineLevel="0" collapsed="false">
      <c r="A5514" s="28" t="s">
        <v>207</v>
      </c>
      <c r="B5514" s="28" t="s">
        <v>208</v>
      </c>
      <c r="C5514" s="28" t="s">
        <v>209</v>
      </c>
      <c r="D5514" s="23" t="n">
        <v>16</v>
      </c>
      <c r="E5514" s="23" t="n">
        <v>18</v>
      </c>
      <c r="F5514" s="28" t="s">
        <v>912</v>
      </c>
      <c r="G5514" s="19" t="n">
        <v>0.0526</v>
      </c>
    </row>
    <row r="5515" customFormat="false" ht="15" hidden="false" customHeight="false" outlineLevel="0" collapsed="false">
      <c r="A5515" s="28" t="s">
        <v>207</v>
      </c>
      <c r="B5515" s="28" t="s">
        <v>208</v>
      </c>
      <c r="C5515" s="28" t="s">
        <v>209</v>
      </c>
      <c r="D5515" s="23" t="n">
        <v>16</v>
      </c>
      <c r="E5515" s="23" t="n">
        <v>18</v>
      </c>
      <c r="F5515" s="28" t="s">
        <v>913</v>
      </c>
      <c r="G5515" s="19" t="n">
        <v>0.0564</v>
      </c>
    </row>
    <row r="5516" customFormat="false" ht="15" hidden="false" customHeight="false" outlineLevel="0" collapsed="false">
      <c r="A5516" s="28" t="s">
        <v>207</v>
      </c>
      <c r="B5516" s="28" t="s">
        <v>208</v>
      </c>
      <c r="C5516" s="28" t="s">
        <v>209</v>
      </c>
      <c r="D5516" s="23" t="n">
        <v>16</v>
      </c>
      <c r="E5516" s="23" t="n">
        <v>18</v>
      </c>
      <c r="F5516" s="28" t="s">
        <v>914</v>
      </c>
      <c r="G5516" s="19" t="n">
        <v>0.0559</v>
      </c>
    </row>
    <row r="5517" customFormat="false" ht="15" hidden="false" customHeight="false" outlineLevel="0" collapsed="false">
      <c r="A5517" s="28" t="s">
        <v>207</v>
      </c>
      <c r="B5517" s="28" t="s">
        <v>208</v>
      </c>
      <c r="C5517" s="28" t="s">
        <v>209</v>
      </c>
      <c r="D5517" s="23" t="n">
        <v>16</v>
      </c>
      <c r="E5517" s="23" t="n">
        <v>18</v>
      </c>
      <c r="F5517" s="28" t="s">
        <v>915</v>
      </c>
      <c r="G5517" s="19" t="n">
        <v>0.0731</v>
      </c>
    </row>
    <row r="5518" customFormat="false" ht="15" hidden="false" customHeight="false" outlineLevel="0" collapsed="false">
      <c r="A5518" s="28" t="s">
        <v>207</v>
      </c>
      <c r="B5518" s="28" t="s">
        <v>208</v>
      </c>
      <c r="C5518" s="28" t="s">
        <v>209</v>
      </c>
      <c r="D5518" s="23" t="n">
        <v>16</v>
      </c>
      <c r="E5518" s="23" t="n">
        <v>19</v>
      </c>
      <c r="F5518" s="28" t="s">
        <v>904</v>
      </c>
      <c r="G5518" s="19" t="n">
        <v>0.0388</v>
      </c>
    </row>
    <row r="5519" customFormat="false" ht="15" hidden="false" customHeight="false" outlineLevel="0" collapsed="false">
      <c r="A5519" s="28" t="s">
        <v>207</v>
      </c>
      <c r="B5519" s="28" t="s">
        <v>208</v>
      </c>
      <c r="C5519" s="28" t="s">
        <v>209</v>
      </c>
      <c r="D5519" s="23" t="n">
        <v>16</v>
      </c>
      <c r="E5519" s="23" t="n">
        <v>19</v>
      </c>
      <c r="F5519" s="28" t="s">
        <v>551</v>
      </c>
      <c r="G5519" s="19" t="n">
        <v>0.07</v>
      </c>
    </row>
    <row r="5520" customFormat="false" ht="15" hidden="false" customHeight="false" outlineLevel="0" collapsed="false">
      <c r="A5520" s="28" t="s">
        <v>207</v>
      </c>
      <c r="B5520" s="28" t="s">
        <v>208</v>
      </c>
      <c r="C5520" s="28" t="s">
        <v>209</v>
      </c>
      <c r="D5520" s="23" t="n">
        <v>16</v>
      </c>
      <c r="E5520" s="23" t="n">
        <v>19</v>
      </c>
      <c r="F5520" s="28" t="s">
        <v>451</v>
      </c>
      <c r="G5520" s="19" t="n">
        <v>0.0386</v>
      </c>
    </row>
    <row r="5521" customFormat="false" ht="15" hidden="false" customHeight="false" outlineLevel="0" collapsed="false">
      <c r="A5521" s="28" t="s">
        <v>207</v>
      </c>
      <c r="B5521" s="28" t="s">
        <v>208</v>
      </c>
      <c r="C5521" s="28" t="s">
        <v>209</v>
      </c>
      <c r="D5521" s="23" t="n">
        <v>16</v>
      </c>
      <c r="E5521" s="23" t="n">
        <v>19</v>
      </c>
      <c r="F5521" s="28" t="s">
        <v>905</v>
      </c>
      <c r="G5521" s="19" t="n">
        <v>0.0425</v>
      </c>
    </row>
    <row r="5522" customFormat="false" ht="15" hidden="false" customHeight="false" outlineLevel="0" collapsed="false">
      <c r="A5522" s="28" t="s">
        <v>207</v>
      </c>
      <c r="B5522" s="28" t="s">
        <v>208</v>
      </c>
      <c r="C5522" s="28" t="s">
        <v>209</v>
      </c>
      <c r="D5522" s="23" t="n">
        <v>16</v>
      </c>
      <c r="E5522" s="23" t="n">
        <v>19</v>
      </c>
      <c r="F5522" s="28" t="s">
        <v>906</v>
      </c>
      <c r="G5522" s="19" t="n">
        <v>0.0436</v>
      </c>
    </row>
    <row r="5523" customFormat="false" ht="15" hidden="false" customHeight="false" outlineLevel="0" collapsed="false">
      <c r="A5523" s="28" t="s">
        <v>207</v>
      </c>
      <c r="B5523" s="28" t="s">
        <v>208</v>
      </c>
      <c r="C5523" s="28" t="s">
        <v>209</v>
      </c>
      <c r="D5523" s="23" t="n">
        <v>16</v>
      </c>
      <c r="E5523" s="23" t="n">
        <v>19</v>
      </c>
      <c r="F5523" s="28" t="s">
        <v>907</v>
      </c>
      <c r="G5523" s="19" t="n">
        <v>0.0458</v>
      </c>
    </row>
    <row r="5524" customFormat="false" ht="15" hidden="false" customHeight="false" outlineLevel="0" collapsed="false">
      <c r="A5524" s="28" t="s">
        <v>207</v>
      </c>
      <c r="B5524" s="28" t="s">
        <v>208</v>
      </c>
      <c r="C5524" s="28" t="s">
        <v>209</v>
      </c>
      <c r="D5524" s="23" t="n">
        <v>16</v>
      </c>
      <c r="E5524" s="23" t="n">
        <v>19</v>
      </c>
      <c r="F5524" s="28" t="s">
        <v>908</v>
      </c>
      <c r="G5524" s="19" t="n">
        <v>0.0489</v>
      </c>
    </row>
    <row r="5525" customFormat="false" ht="15" hidden="false" customHeight="false" outlineLevel="0" collapsed="false">
      <c r="A5525" s="28" t="s">
        <v>207</v>
      </c>
      <c r="B5525" s="28" t="s">
        <v>208</v>
      </c>
      <c r="C5525" s="28" t="s">
        <v>209</v>
      </c>
      <c r="D5525" s="23" t="n">
        <v>16</v>
      </c>
      <c r="E5525" s="23" t="n">
        <v>19</v>
      </c>
      <c r="F5525" s="28" t="s">
        <v>909</v>
      </c>
      <c r="G5525" s="19" t="n">
        <v>0.0498</v>
      </c>
    </row>
    <row r="5526" customFormat="false" ht="15" hidden="false" customHeight="false" outlineLevel="0" collapsed="false">
      <c r="A5526" s="28" t="s">
        <v>207</v>
      </c>
      <c r="B5526" s="28" t="s">
        <v>208</v>
      </c>
      <c r="C5526" s="28" t="s">
        <v>209</v>
      </c>
      <c r="D5526" s="23" t="n">
        <v>16</v>
      </c>
      <c r="E5526" s="23" t="n">
        <v>19</v>
      </c>
      <c r="F5526" s="28" t="s">
        <v>910</v>
      </c>
      <c r="G5526" s="19" t="n">
        <v>0.0506</v>
      </c>
    </row>
    <row r="5527" customFormat="false" ht="15" hidden="false" customHeight="false" outlineLevel="0" collapsed="false">
      <c r="A5527" s="28" t="s">
        <v>207</v>
      </c>
      <c r="B5527" s="28" t="s">
        <v>208</v>
      </c>
      <c r="C5527" s="28" t="s">
        <v>209</v>
      </c>
      <c r="D5527" s="23" t="n">
        <v>16</v>
      </c>
      <c r="E5527" s="23" t="n">
        <v>19</v>
      </c>
      <c r="F5527" s="28" t="s">
        <v>911</v>
      </c>
      <c r="G5527" s="19" t="n">
        <v>0.0516</v>
      </c>
    </row>
    <row r="5528" customFormat="false" ht="15" hidden="false" customHeight="false" outlineLevel="0" collapsed="false">
      <c r="A5528" s="28" t="s">
        <v>207</v>
      </c>
      <c r="B5528" s="28" t="s">
        <v>208</v>
      </c>
      <c r="C5528" s="28" t="s">
        <v>209</v>
      </c>
      <c r="D5528" s="23" t="n">
        <v>16</v>
      </c>
      <c r="E5528" s="23" t="n">
        <v>19</v>
      </c>
      <c r="F5528" s="28" t="s">
        <v>912</v>
      </c>
      <c r="G5528" s="19" t="n">
        <v>0.0526</v>
      </c>
    </row>
    <row r="5529" customFormat="false" ht="15" hidden="false" customHeight="false" outlineLevel="0" collapsed="false">
      <c r="A5529" s="28" t="s">
        <v>207</v>
      </c>
      <c r="B5529" s="28" t="s">
        <v>208</v>
      </c>
      <c r="C5529" s="28" t="s">
        <v>209</v>
      </c>
      <c r="D5529" s="23" t="n">
        <v>16</v>
      </c>
      <c r="E5529" s="23" t="n">
        <v>19</v>
      </c>
      <c r="F5529" s="28" t="s">
        <v>913</v>
      </c>
      <c r="G5529" s="19" t="n">
        <v>0.0564</v>
      </c>
    </row>
    <row r="5530" customFormat="false" ht="15" hidden="false" customHeight="false" outlineLevel="0" collapsed="false">
      <c r="A5530" s="28" t="s">
        <v>207</v>
      </c>
      <c r="B5530" s="28" t="s">
        <v>208</v>
      </c>
      <c r="C5530" s="28" t="s">
        <v>209</v>
      </c>
      <c r="D5530" s="23" t="n">
        <v>16</v>
      </c>
      <c r="E5530" s="23" t="n">
        <v>19</v>
      </c>
      <c r="F5530" s="28" t="s">
        <v>914</v>
      </c>
      <c r="G5530" s="19" t="n">
        <v>0.0559</v>
      </c>
    </row>
    <row r="5531" customFormat="false" ht="15" hidden="false" customHeight="false" outlineLevel="0" collapsed="false">
      <c r="A5531" s="28" t="s">
        <v>207</v>
      </c>
      <c r="B5531" s="28" t="s">
        <v>208</v>
      </c>
      <c r="C5531" s="28" t="s">
        <v>209</v>
      </c>
      <c r="D5531" s="23" t="n">
        <v>16</v>
      </c>
      <c r="E5531" s="23" t="n">
        <v>19</v>
      </c>
      <c r="F5531" s="28" t="s">
        <v>915</v>
      </c>
      <c r="G5531" s="19" t="n">
        <v>0.0731</v>
      </c>
    </row>
    <row r="5532" customFormat="false" ht="15" hidden="false" customHeight="false" outlineLevel="0" collapsed="false">
      <c r="A5532" s="28" t="s">
        <v>207</v>
      </c>
      <c r="B5532" s="28" t="s">
        <v>208</v>
      </c>
      <c r="C5532" s="28" t="s">
        <v>209</v>
      </c>
      <c r="D5532" s="23" t="n">
        <v>16</v>
      </c>
      <c r="E5532" s="23" t="n">
        <v>20</v>
      </c>
      <c r="F5532" s="28" t="s">
        <v>904</v>
      </c>
      <c r="G5532" s="19" t="n">
        <v>0.0388</v>
      </c>
    </row>
    <row r="5533" customFormat="false" ht="15" hidden="false" customHeight="false" outlineLevel="0" collapsed="false">
      <c r="A5533" s="28" t="s">
        <v>207</v>
      </c>
      <c r="B5533" s="28" t="s">
        <v>208</v>
      </c>
      <c r="C5533" s="28" t="s">
        <v>209</v>
      </c>
      <c r="D5533" s="23" t="n">
        <v>16</v>
      </c>
      <c r="E5533" s="23" t="n">
        <v>20</v>
      </c>
      <c r="F5533" s="28" t="s">
        <v>551</v>
      </c>
      <c r="G5533" s="19" t="n">
        <v>0.07</v>
      </c>
    </row>
    <row r="5534" customFormat="false" ht="15" hidden="false" customHeight="false" outlineLevel="0" collapsed="false">
      <c r="A5534" s="28" t="s">
        <v>207</v>
      </c>
      <c r="B5534" s="28" t="s">
        <v>208</v>
      </c>
      <c r="C5534" s="28" t="s">
        <v>209</v>
      </c>
      <c r="D5534" s="23" t="n">
        <v>16</v>
      </c>
      <c r="E5534" s="23" t="n">
        <v>20</v>
      </c>
      <c r="F5534" s="28" t="s">
        <v>451</v>
      </c>
      <c r="G5534" s="19" t="n">
        <v>0.0386</v>
      </c>
    </row>
    <row r="5535" customFormat="false" ht="15" hidden="false" customHeight="false" outlineLevel="0" collapsed="false">
      <c r="A5535" s="28" t="s">
        <v>207</v>
      </c>
      <c r="B5535" s="28" t="s">
        <v>208</v>
      </c>
      <c r="C5535" s="28" t="s">
        <v>209</v>
      </c>
      <c r="D5535" s="23" t="n">
        <v>16</v>
      </c>
      <c r="E5535" s="23" t="n">
        <v>20</v>
      </c>
      <c r="F5535" s="28" t="s">
        <v>905</v>
      </c>
      <c r="G5535" s="19" t="n">
        <v>0.0425</v>
      </c>
    </row>
    <row r="5536" customFormat="false" ht="15" hidden="false" customHeight="false" outlineLevel="0" collapsed="false">
      <c r="A5536" s="28" t="s">
        <v>207</v>
      </c>
      <c r="B5536" s="28" t="s">
        <v>208</v>
      </c>
      <c r="C5536" s="28" t="s">
        <v>209</v>
      </c>
      <c r="D5536" s="23" t="n">
        <v>16</v>
      </c>
      <c r="E5536" s="23" t="n">
        <v>20</v>
      </c>
      <c r="F5536" s="28" t="s">
        <v>906</v>
      </c>
      <c r="G5536" s="19" t="n">
        <v>0.0436</v>
      </c>
    </row>
    <row r="5537" customFormat="false" ht="15" hidden="false" customHeight="false" outlineLevel="0" collapsed="false">
      <c r="A5537" s="28" t="s">
        <v>207</v>
      </c>
      <c r="B5537" s="28" t="s">
        <v>208</v>
      </c>
      <c r="C5537" s="28" t="s">
        <v>209</v>
      </c>
      <c r="D5537" s="23" t="n">
        <v>16</v>
      </c>
      <c r="E5537" s="23" t="n">
        <v>20</v>
      </c>
      <c r="F5537" s="28" t="s">
        <v>907</v>
      </c>
      <c r="G5537" s="19" t="n">
        <v>0.0458</v>
      </c>
    </row>
    <row r="5538" customFormat="false" ht="15" hidden="false" customHeight="false" outlineLevel="0" collapsed="false">
      <c r="A5538" s="28" t="s">
        <v>207</v>
      </c>
      <c r="B5538" s="28" t="s">
        <v>208</v>
      </c>
      <c r="C5538" s="28" t="s">
        <v>209</v>
      </c>
      <c r="D5538" s="23" t="n">
        <v>16</v>
      </c>
      <c r="E5538" s="23" t="n">
        <v>20</v>
      </c>
      <c r="F5538" s="28" t="s">
        <v>908</v>
      </c>
      <c r="G5538" s="19" t="n">
        <v>0.0489</v>
      </c>
    </row>
    <row r="5539" customFormat="false" ht="15" hidden="false" customHeight="false" outlineLevel="0" collapsed="false">
      <c r="A5539" s="28" t="s">
        <v>207</v>
      </c>
      <c r="B5539" s="28" t="s">
        <v>208</v>
      </c>
      <c r="C5539" s="28" t="s">
        <v>209</v>
      </c>
      <c r="D5539" s="23" t="n">
        <v>16</v>
      </c>
      <c r="E5539" s="23" t="n">
        <v>20</v>
      </c>
      <c r="F5539" s="28" t="s">
        <v>909</v>
      </c>
      <c r="G5539" s="19" t="n">
        <v>0.0498</v>
      </c>
    </row>
    <row r="5540" customFormat="false" ht="15" hidden="false" customHeight="false" outlineLevel="0" collapsed="false">
      <c r="A5540" s="28" t="s">
        <v>207</v>
      </c>
      <c r="B5540" s="28" t="s">
        <v>208</v>
      </c>
      <c r="C5540" s="28" t="s">
        <v>209</v>
      </c>
      <c r="D5540" s="23" t="n">
        <v>16</v>
      </c>
      <c r="E5540" s="23" t="n">
        <v>20</v>
      </c>
      <c r="F5540" s="28" t="s">
        <v>910</v>
      </c>
      <c r="G5540" s="19" t="n">
        <v>0.0506</v>
      </c>
    </row>
    <row r="5541" customFormat="false" ht="15" hidden="false" customHeight="false" outlineLevel="0" collapsed="false">
      <c r="A5541" s="28" t="s">
        <v>207</v>
      </c>
      <c r="B5541" s="28" t="s">
        <v>208</v>
      </c>
      <c r="C5541" s="28" t="s">
        <v>209</v>
      </c>
      <c r="D5541" s="23" t="n">
        <v>16</v>
      </c>
      <c r="E5541" s="23" t="n">
        <v>20</v>
      </c>
      <c r="F5541" s="28" t="s">
        <v>911</v>
      </c>
      <c r="G5541" s="19" t="n">
        <v>0.0516</v>
      </c>
    </row>
    <row r="5542" customFormat="false" ht="15" hidden="false" customHeight="false" outlineLevel="0" collapsed="false">
      <c r="A5542" s="28" t="s">
        <v>207</v>
      </c>
      <c r="B5542" s="28" t="s">
        <v>208</v>
      </c>
      <c r="C5542" s="28" t="s">
        <v>209</v>
      </c>
      <c r="D5542" s="23" t="n">
        <v>16</v>
      </c>
      <c r="E5542" s="23" t="n">
        <v>20</v>
      </c>
      <c r="F5542" s="28" t="s">
        <v>912</v>
      </c>
      <c r="G5542" s="19" t="n">
        <v>0.0526</v>
      </c>
    </row>
    <row r="5543" customFormat="false" ht="15" hidden="false" customHeight="false" outlineLevel="0" collapsed="false">
      <c r="A5543" s="28" t="s">
        <v>207</v>
      </c>
      <c r="B5543" s="28" t="s">
        <v>208</v>
      </c>
      <c r="C5543" s="28" t="s">
        <v>209</v>
      </c>
      <c r="D5543" s="23" t="n">
        <v>16</v>
      </c>
      <c r="E5543" s="23" t="n">
        <v>20</v>
      </c>
      <c r="F5543" s="28" t="s">
        <v>913</v>
      </c>
      <c r="G5543" s="19" t="n">
        <v>0.0564</v>
      </c>
    </row>
    <row r="5544" customFormat="false" ht="15" hidden="false" customHeight="false" outlineLevel="0" collapsed="false">
      <c r="A5544" s="28" t="s">
        <v>207</v>
      </c>
      <c r="B5544" s="28" t="s">
        <v>208</v>
      </c>
      <c r="C5544" s="28" t="s">
        <v>209</v>
      </c>
      <c r="D5544" s="23" t="n">
        <v>16</v>
      </c>
      <c r="E5544" s="23" t="n">
        <v>20</v>
      </c>
      <c r="F5544" s="28" t="s">
        <v>914</v>
      </c>
      <c r="G5544" s="19" t="n">
        <v>0.0559</v>
      </c>
    </row>
    <row r="5545" customFormat="false" ht="15" hidden="false" customHeight="false" outlineLevel="0" collapsed="false">
      <c r="A5545" s="28" t="s">
        <v>207</v>
      </c>
      <c r="B5545" s="28" t="s">
        <v>208</v>
      </c>
      <c r="C5545" s="28" t="s">
        <v>209</v>
      </c>
      <c r="D5545" s="23" t="n">
        <v>16</v>
      </c>
      <c r="E5545" s="23" t="n">
        <v>20</v>
      </c>
      <c r="F5545" s="28" t="s">
        <v>915</v>
      </c>
      <c r="G5545" s="19" t="n">
        <v>0.0731</v>
      </c>
    </row>
    <row r="5546" customFormat="false" ht="15" hidden="false" customHeight="false" outlineLevel="0" collapsed="false">
      <c r="A5546" s="28" t="s">
        <v>207</v>
      </c>
      <c r="B5546" s="28" t="s">
        <v>208</v>
      </c>
      <c r="C5546" s="28" t="s">
        <v>209</v>
      </c>
      <c r="D5546" s="23" t="n">
        <v>16</v>
      </c>
      <c r="E5546" s="23" t="n">
        <v>21</v>
      </c>
      <c r="F5546" s="28" t="s">
        <v>904</v>
      </c>
      <c r="G5546" s="19" t="n">
        <v>0.0388</v>
      </c>
    </row>
    <row r="5547" customFormat="false" ht="15" hidden="false" customHeight="false" outlineLevel="0" collapsed="false">
      <c r="A5547" s="28" t="s">
        <v>207</v>
      </c>
      <c r="B5547" s="28" t="s">
        <v>208</v>
      </c>
      <c r="C5547" s="28" t="s">
        <v>209</v>
      </c>
      <c r="D5547" s="23" t="n">
        <v>16</v>
      </c>
      <c r="E5547" s="23" t="n">
        <v>21</v>
      </c>
      <c r="F5547" s="28" t="s">
        <v>551</v>
      </c>
      <c r="G5547" s="19" t="n">
        <v>0.07</v>
      </c>
    </row>
    <row r="5548" customFormat="false" ht="15" hidden="false" customHeight="false" outlineLevel="0" collapsed="false">
      <c r="A5548" s="28" t="s">
        <v>207</v>
      </c>
      <c r="B5548" s="28" t="s">
        <v>208</v>
      </c>
      <c r="C5548" s="28" t="s">
        <v>209</v>
      </c>
      <c r="D5548" s="23" t="n">
        <v>16</v>
      </c>
      <c r="E5548" s="23" t="n">
        <v>21</v>
      </c>
      <c r="F5548" s="28" t="s">
        <v>451</v>
      </c>
      <c r="G5548" s="19" t="n">
        <v>0.0386</v>
      </c>
    </row>
    <row r="5549" customFormat="false" ht="15" hidden="false" customHeight="false" outlineLevel="0" collapsed="false">
      <c r="A5549" s="28" t="s">
        <v>207</v>
      </c>
      <c r="B5549" s="28" t="s">
        <v>208</v>
      </c>
      <c r="C5549" s="28" t="s">
        <v>209</v>
      </c>
      <c r="D5549" s="23" t="n">
        <v>16</v>
      </c>
      <c r="E5549" s="23" t="n">
        <v>21</v>
      </c>
      <c r="F5549" s="28" t="s">
        <v>905</v>
      </c>
      <c r="G5549" s="19" t="n">
        <v>0.0425</v>
      </c>
    </row>
    <row r="5550" customFormat="false" ht="15" hidden="false" customHeight="false" outlineLevel="0" collapsed="false">
      <c r="A5550" s="28" t="s">
        <v>207</v>
      </c>
      <c r="B5550" s="28" t="s">
        <v>208</v>
      </c>
      <c r="C5550" s="28" t="s">
        <v>209</v>
      </c>
      <c r="D5550" s="23" t="n">
        <v>16</v>
      </c>
      <c r="E5550" s="23" t="n">
        <v>21</v>
      </c>
      <c r="F5550" s="28" t="s">
        <v>906</v>
      </c>
      <c r="G5550" s="19" t="n">
        <v>0.0436</v>
      </c>
    </row>
    <row r="5551" customFormat="false" ht="15" hidden="false" customHeight="false" outlineLevel="0" collapsed="false">
      <c r="A5551" s="28" t="s">
        <v>207</v>
      </c>
      <c r="B5551" s="28" t="s">
        <v>208</v>
      </c>
      <c r="C5551" s="28" t="s">
        <v>209</v>
      </c>
      <c r="D5551" s="23" t="n">
        <v>16</v>
      </c>
      <c r="E5551" s="23" t="n">
        <v>21</v>
      </c>
      <c r="F5551" s="28" t="s">
        <v>907</v>
      </c>
      <c r="G5551" s="19" t="n">
        <v>0.0458</v>
      </c>
    </row>
    <row r="5552" customFormat="false" ht="15" hidden="false" customHeight="false" outlineLevel="0" collapsed="false">
      <c r="A5552" s="28" t="s">
        <v>207</v>
      </c>
      <c r="B5552" s="28" t="s">
        <v>208</v>
      </c>
      <c r="C5552" s="28" t="s">
        <v>209</v>
      </c>
      <c r="D5552" s="23" t="n">
        <v>16</v>
      </c>
      <c r="E5552" s="23" t="n">
        <v>21</v>
      </c>
      <c r="F5552" s="28" t="s">
        <v>908</v>
      </c>
      <c r="G5552" s="19" t="n">
        <v>0.0489</v>
      </c>
    </row>
    <row r="5553" customFormat="false" ht="15" hidden="false" customHeight="false" outlineLevel="0" collapsed="false">
      <c r="A5553" s="28" t="s">
        <v>207</v>
      </c>
      <c r="B5553" s="28" t="s">
        <v>208</v>
      </c>
      <c r="C5553" s="28" t="s">
        <v>209</v>
      </c>
      <c r="D5553" s="23" t="n">
        <v>16</v>
      </c>
      <c r="E5553" s="23" t="n">
        <v>21</v>
      </c>
      <c r="F5553" s="28" t="s">
        <v>909</v>
      </c>
      <c r="G5553" s="19" t="n">
        <v>0.0498</v>
      </c>
    </row>
    <row r="5554" customFormat="false" ht="15" hidden="false" customHeight="false" outlineLevel="0" collapsed="false">
      <c r="A5554" s="28" t="s">
        <v>207</v>
      </c>
      <c r="B5554" s="28" t="s">
        <v>208</v>
      </c>
      <c r="C5554" s="28" t="s">
        <v>209</v>
      </c>
      <c r="D5554" s="23" t="n">
        <v>16</v>
      </c>
      <c r="E5554" s="23" t="n">
        <v>21</v>
      </c>
      <c r="F5554" s="28" t="s">
        <v>910</v>
      </c>
      <c r="G5554" s="19" t="n">
        <v>0.0506</v>
      </c>
    </row>
    <row r="5555" customFormat="false" ht="15" hidden="false" customHeight="false" outlineLevel="0" collapsed="false">
      <c r="A5555" s="28" t="s">
        <v>207</v>
      </c>
      <c r="B5555" s="28" t="s">
        <v>208</v>
      </c>
      <c r="C5555" s="28" t="s">
        <v>209</v>
      </c>
      <c r="D5555" s="23" t="n">
        <v>16</v>
      </c>
      <c r="E5555" s="23" t="n">
        <v>21</v>
      </c>
      <c r="F5555" s="28" t="s">
        <v>911</v>
      </c>
      <c r="G5555" s="19" t="n">
        <v>0.0516</v>
      </c>
    </row>
    <row r="5556" customFormat="false" ht="15" hidden="false" customHeight="false" outlineLevel="0" collapsed="false">
      <c r="A5556" s="28" t="s">
        <v>207</v>
      </c>
      <c r="B5556" s="28" t="s">
        <v>208</v>
      </c>
      <c r="C5556" s="28" t="s">
        <v>209</v>
      </c>
      <c r="D5556" s="23" t="n">
        <v>16</v>
      </c>
      <c r="E5556" s="23" t="n">
        <v>21</v>
      </c>
      <c r="F5556" s="28" t="s">
        <v>912</v>
      </c>
      <c r="G5556" s="19" t="n">
        <v>0.0526</v>
      </c>
    </row>
    <row r="5557" customFormat="false" ht="15" hidden="false" customHeight="false" outlineLevel="0" collapsed="false">
      <c r="A5557" s="28" t="s">
        <v>207</v>
      </c>
      <c r="B5557" s="28" t="s">
        <v>208</v>
      </c>
      <c r="C5557" s="28" t="s">
        <v>209</v>
      </c>
      <c r="D5557" s="23" t="n">
        <v>16</v>
      </c>
      <c r="E5557" s="23" t="n">
        <v>21</v>
      </c>
      <c r="F5557" s="28" t="s">
        <v>913</v>
      </c>
      <c r="G5557" s="19" t="n">
        <v>0.0564</v>
      </c>
    </row>
    <row r="5558" customFormat="false" ht="15" hidden="false" customHeight="false" outlineLevel="0" collapsed="false">
      <c r="A5558" s="28" t="s">
        <v>207</v>
      </c>
      <c r="B5558" s="28" t="s">
        <v>208</v>
      </c>
      <c r="C5558" s="28" t="s">
        <v>209</v>
      </c>
      <c r="D5558" s="23" t="n">
        <v>16</v>
      </c>
      <c r="E5558" s="23" t="n">
        <v>21</v>
      </c>
      <c r="F5558" s="28" t="s">
        <v>914</v>
      </c>
      <c r="G5558" s="19" t="n">
        <v>0.0559</v>
      </c>
    </row>
    <row r="5559" customFormat="false" ht="15" hidden="false" customHeight="false" outlineLevel="0" collapsed="false">
      <c r="A5559" s="28" t="s">
        <v>207</v>
      </c>
      <c r="B5559" s="28" t="s">
        <v>208</v>
      </c>
      <c r="C5559" s="28" t="s">
        <v>209</v>
      </c>
      <c r="D5559" s="23" t="n">
        <v>16</v>
      </c>
      <c r="E5559" s="23" t="n">
        <v>21</v>
      </c>
      <c r="F5559" s="28" t="s">
        <v>915</v>
      </c>
      <c r="G5559" s="19" t="n">
        <v>0.0731</v>
      </c>
    </row>
    <row r="5560" customFormat="false" ht="15" hidden="false" customHeight="false" outlineLevel="0" collapsed="false">
      <c r="A5560" s="28" t="s">
        <v>207</v>
      </c>
      <c r="B5560" s="28" t="s">
        <v>208</v>
      </c>
      <c r="C5560" s="28" t="s">
        <v>209</v>
      </c>
      <c r="D5560" s="23" t="n">
        <v>16</v>
      </c>
      <c r="E5560" s="23" t="n">
        <v>22</v>
      </c>
      <c r="F5560" s="28" t="s">
        <v>904</v>
      </c>
      <c r="G5560" s="19" t="n">
        <v>0.0388</v>
      </c>
    </row>
    <row r="5561" customFormat="false" ht="15" hidden="false" customHeight="false" outlineLevel="0" collapsed="false">
      <c r="A5561" s="28" t="s">
        <v>207</v>
      </c>
      <c r="B5561" s="28" t="s">
        <v>208</v>
      </c>
      <c r="C5561" s="28" t="s">
        <v>209</v>
      </c>
      <c r="D5561" s="23" t="n">
        <v>16</v>
      </c>
      <c r="E5561" s="23" t="n">
        <v>22</v>
      </c>
      <c r="F5561" s="28" t="s">
        <v>551</v>
      </c>
      <c r="G5561" s="19" t="n">
        <v>0.07</v>
      </c>
    </row>
    <row r="5562" customFormat="false" ht="15" hidden="false" customHeight="false" outlineLevel="0" collapsed="false">
      <c r="A5562" s="28" t="s">
        <v>207</v>
      </c>
      <c r="B5562" s="28" t="s">
        <v>208</v>
      </c>
      <c r="C5562" s="28" t="s">
        <v>209</v>
      </c>
      <c r="D5562" s="23" t="n">
        <v>16</v>
      </c>
      <c r="E5562" s="23" t="n">
        <v>22</v>
      </c>
      <c r="F5562" s="28" t="s">
        <v>451</v>
      </c>
      <c r="G5562" s="19" t="n">
        <v>0.0386</v>
      </c>
    </row>
    <row r="5563" customFormat="false" ht="15" hidden="false" customHeight="false" outlineLevel="0" collapsed="false">
      <c r="A5563" s="28" t="s">
        <v>207</v>
      </c>
      <c r="B5563" s="28" t="s">
        <v>208</v>
      </c>
      <c r="C5563" s="28" t="s">
        <v>209</v>
      </c>
      <c r="D5563" s="23" t="n">
        <v>16</v>
      </c>
      <c r="E5563" s="23" t="n">
        <v>22</v>
      </c>
      <c r="F5563" s="28" t="s">
        <v>905</v>
      </c>
      <c r="G5563" s="19" t="n">
        <v>0.0425</v>
      </c>
    </row>
    <row r="5564" customFormat="false" ht="15" hidden="false" customHeight="false" outlineLevel="0" collapsed="false">
      <c r="A5564" s="28" t="s">
        <v>207</v>
      </c>
      <c r="B5564" s="28" t="s">
        <v>208</v>
      </c>
      <c r="C5564" s="28" t="s">
        <v>209</v>
      </c>
      <c r="D5564" s="23" t="n">
        <v>16</v>
      </c>
      <c r="E5564" s="23" t="n">
        <v>22</v>
      </c>
      <c r="F5564" s="28" t="s">
        <v>906</v>
      </c>
      <c r="G5564" s="19" t="n">
        <v>0.0436</v>
      </c>
    </row>
    <row r="5565" customFormat="false" ht="15" hidden="false" customHeight="false" outlineLevel="0" collapsed="false">
      <c r="A5565" s="28" t="s">
        <v>207</v>
      </c>
      <c r="B5565" s="28" t="s">
        <v>208</v>
      </c>
      <c r="C5565" s="28" t="s">
        <v>209</v>
      </c>
      <c r="D5565" s="23" t="n">
        <v>16</v>
      </c>
      <c r="E5565" s="23" t="n">
        <v>22</v>
      </c>
      <c r="F5565" s="28" t="s">
        <v>907</v>
      </c>
      <c r="G5565" s="19" t="n">
        <v>0.0458</v>
      </c>
    </row>
    <row r="5566" customFormat="false" ht="15" hidden="false" customHeight="false" outlineLevel="0" collapsed="false">
      <c r="A5566" s="28" t="s">
        <v>207</v>
      </c>
      <c r="B5566" s="28" t="s">
        <v>208</v>
      </c>
      <c r="C5566" s="28" t="s">
        <v>209</v>
      </c>
      <c r="D5566" s="23" t="n">
        <v>16</v>
      </c>
      <c r="E5566" s="23" t="n">
        <v>22</v>
      </c>
      <c r="F5566" s="28" t="s">
        <v>908</v>
      </c>
      <c r="G5566" s="19" t="n">
        <v>0.0489</v>
      </c>
    </row>
    <row r="5567" customFormat="false" ht="15" hidden="false" customHeight="false" outlineLevel="0" collapsed="false">
      <c r="A5567" s="28" t="s">
        <v>207</v>
      </c>
      <c r="B5567" s="28" t="s">
        <v>208</v>
      </c>
      <c r="C5567" s="28" t="s">
        <v>209</v>
      </c>
      <c r="D5567" s="23" t="n">
        <v>16</v>
      </c>
      <c r="E5567" s="23" t="n">
        <v>22</v>
      </c>
      <c r="F5567" s="28" t="s">
        <v>909</v>
      </c>
      <c r="G5567" s="19" t="n">
        <v>0.0498</v>
      </c>
    </row>
    <row r="5568" customFormat="false" ht="15" hidden="false" customHeight="false" outlineLevel="0" collapsed="false">
      <c r="A5568" s="28" t="s">
        <v>207</v>
      </c>
      <c r="B5568" s="28" t="s">
        <v>208</v>
      </c>
      <c r="C5568" s="28" t="s">
        <v>209</v>
      </c>
      <c r="D5568" s="23" t="n">
        <v>16</v>
      </c>
      <c r="E5568" s="23" t="n">
        <v>22</v>
      </c>
      <c r="F5568" s="28" t="s">
        <v>910</v>
      </c>
      <c r="G5568" s="19" t="n">
        <v>0.0506</v>
      </c>
    </row>
    <row r="5569" customFormat="false" ht="15" hidden="false" customHeight="false" outlineLevel="0" collapsed="false">
      <c r="A5569" s="28" t="s">
        <v>207</v>
      </c>
      <c r="B5569" s="28" t="s">
        <v>208</v>
      </c>
      <c r="C5569" s="28" t="s">
        <v>209</v>
      </c>
      <c r="D5569" s="23" t="n">
        <v>16</v>
      </c>
      <c r="E5569" s="23" t="n">
        <v>22</v>
      </c>
      <c r="F5569" s="28" t="s">
        <v>911</v>
      </c>
      <c r="G5569" s="19" t="n">
        <v>0.0516</v>
      </c>
    </row>
    <row r="5570" customFormat="false" ht="15" hidden="false" customHeight="false" outlineLevel="0" collapsed="false">
      <c r="A5570" s="28" t="s">
        <v>207</v>
      </c>
      <c r="B5570" s="28" t="s">
        <v>208</v>
      </c>
      <c r="C5570" s="28" t="s">
        <v>209</v>
      </c>
      <c r="D5570" s="23" t="n">
        <v>16</v>
      </c>
      <c r="E5570" s="23" t="n">
        <v>22</v>
      </c>
      <c r="F5570" s="28" t="s">
        <v>912</v>
      </c>
      <c r="G5570" s="19" t="n">
        <v>0.0526</v>
      </c>
    </row>
    <row r="5571" customFormat="false" ht="15" hidden="false" customHeight="false" outlineLevel="0" collapsed="false">
      <c r="A5571" s="28" t="s">
        <v>207</v>
      </c>
      <c r="B5571" s="28" t="s">
        <v>208</v>
      </c>
      <c r="C5571" s="28" t="s">
        <v>209</v>
      </c>
      <c r="D5571" s="23" t="n">
        <v>16</v>
      </c>
      <c r="E5571" s="23" t="n">
        <v>22</v>
      </c>
      <c r="F5571" s="28" t="s">
        <v>913</v>
      </c>
      <c r="G5571" s="19" t="n">
        <v>0.0564</v>
      </c>
    </row>
    <row r="5572" customFormat="false" ht="15" hidden="false" customHeight="false" outlineLevel="0" collapsed="false">
      <c r="A5572" s="28" t="s">
        <v>207</v>
      </c>
      <c r="B5572" s="28" t="s">
        <v>208</v>
      </c>
      <c r="C5572" s="28" t="s">
        <v>209</v>
      </c>
      <c r="D5572" s="23" t="n">
        <v>16</v>
      </c>
      <c r="E5572" s="23" t="n">
        <v>22</v>
      </c>
      <c r="F5572" s="28" t="s">
        <v>914</v>
      </c>
      <c r="G5572" s="19" t="n">
        <v>0.0559</v>
      </c>
    </row>
    <row r="5573" customFormat="false" ht="15" hidden="false" customHeight="false" outlineLevel="0" collapsed="false">
      <c r="A5573" s="28" t="s">
        <v>207</v>
      </c>
      <c r="B5573" s="28" t="s">
        <v>208</v>
      </c>
      <c r="C5573" s="28" t="s">
        <v>209</v>
      </c>
      <c r="D5573" s="23" t="n">
        <v>16</v>
      </c>
      <c r="E5573" s="23" t="n">
        <v>22</v>
      </c>
      <c r="F5573" s="28" t="s">
        <v>915</v>
      </c>
      <c r="G5573" s="19" t="n">
        <v>0.0731</v>
      </c>
    </row>
    <row r="5574" customFormat="false" ht="15" hidden="false" customHeight="false" outlineLevel="0" collapsed="false">
      <c r="A5574" s="28" t="s">
        <v>207</v>
      </c>
      <c r="B5574" s="28" t="s">
        <v>208</v>
      </c>
      <c r="C5574" s="28" t="s">
        <v>209</v>
      </c>
      <c r="D5574" s="23" t="n">
        <v>16</v>
      </c>
      <c r="E5574" s="23" t="n">
        <v>23</v>
      </c>
      <c r="F5574" s="28" t="s">
        <v>904</v>
      </c>
      <c r="G5574" s="19" t="n">
        <v>0.0388</v>
      </c>
    </row>
    <row r="5575" customFormat="false" ht="15" hidden="false" customHeight="false" outlineLevel="0" collapsed="false">
      <c r="A5575" s="28" t="s">
        <v>207</v>
      </c>
      <c r="B5575" s="28" t="s">
        <v>208</v>
      </c>
      <c r="C5575" s="28" t="s">
        <v>209</v>
      </c>
      <c r="D5575" s="23" t="n">
        <v>16</v>
      </c>
      <c r="E5575" s="23" t="n">
        <v>23</v>
      </c>
      <c r="F5575" s="28" t="s">
        <v>551</v>
      </c>
      <c r="G5575" s="19" t="n">
        <v>0.07</v>
      </c>
    </row>
    <row r="5576" customFormat="false" ht="15" hidden="false" customHeight="false" outlineLevel="0" collapsed="false">
      <c r="A5576" s="28" t="s">
        <v>207</v>
      </c>
      <c r="B5576" s="28" t="s">
        <v>208</v>
      </c>
      <c r="C5576" s="28" t="s">
        <v>209</v>
      </c>
      <c r="D5576" s="23" t="n">
        <v>16</v>
      </c>
      <c r="E5576" s="23" t="n">
        <v>23</v>
      </c>
      <c r="F5576" s="28" t="s">
        <v>451</v>
      </c>
      <c r="G5576" s="19" t="n">
        <v>0.0386</v>
      </c>
    </row>
    <row r="5577" customFormat="false" ht="15" hidden="false" customHeight="false" outlineLevel="0" collapsed="false">
      <c r="A5577" s="28" t="s">
        <v>207</v>
      </c>
      <c r="B5577" s="28" t="s">
        <v>208</v>
      </c>
      <c r="C5577" s="28" t="s">
        <v>209</v>
      </c>
      <c r="D5577" s="23" t="n">
        <v>16</v>
      </c>
      <c r="E5577" s="23" t="n">
        <v>23</v>
      </c>
      <c r="F5577" s="28" t="s">
        <v>905</v>
      </c>
      <c r="G5577" s="19" t="n">
        <v>0.0425</v>
      </c>
    </row>
    <row r="5578" customFormat="false" ht="15" hidden="false" customHeight="false" outlineLevel="0" collapsed="false">
      <c r="A5578" s="28" t="s">
        <v>207</v>
      </c>
      <c r="B5578" s="28" t="s">
        <v>208</v>
      </c>
      <c r="C5578" s="28" t="s">
        <v>209</v>
      </c>
      <c r="D5578" s="23" t="n">
        <v>16</v>
      </c>
      <c r="E5578" s="23" t="n">
        <v>23</v>
      </c>
      <c r="F5578" s="28" t="s">
        <v>906</v>
      </c>
      <c r="G5578" s="19" t="n">
        <v>0.0436</v>
      </c>
    </row>
    <row r="5579" customFormat="false" ht="15" hidden="false" customHeight="false" outlineLevel="0" collapsed="false">
      <c r="A5579" s="28" t="s">
        <v>207</v>
      </c>
      <c r="B5579" s="28" t="s">
        <v>208</v>
      </c>
      <c r="C5579" s="28" t="s">
        <v>209</v>
      </c>
      <c r="D5579" s="23" t="n">
        <v>16</v>
      </c>
      <c r="E5579" s="23" t="n">
        <v>23</v>
      </c>
      <c r="F5579" s="28" t="s">
        <v>907</v>
      </c>
      <c r="G5579" s="19" t="n">
        <v>0.0458</v>
      </c>
    </row>
    <row r="5580" customFormat="false" ht="15" hidden="false" customHeight="false" outlineLevel="0" collapsed="false">
      <c r="A5580" s="28" t="s">
        <v>207</v>
      </c>
      <c r="B5580" s="28" t="s">
        <v>208</v>
      </c>
      <c r="C5580" s="28" t="s">
        <v>209</v>
      </c>
      <c r="D5580" s="23" t="n">
        <v>16</v>
      </c>
      <c r="E5580" s="23" t="n">
        <v>23</v>
      </c>
      <c r="F5580" s="28" t="s">
        <v>908</v>
      </c>
      <c r="G5580" s="19" t="n">
        <v>0.0489</v>
      </c>
    </row>
    <row r="5581" customFormat="false" ht="15" hidden="false" customHeight="false" outlineLevel="0" collapsed="false">
      <c r="A5581" s="28" t="s">
        <v>207</v>
      </c>
      <c r="B5581" s="28" t="s">
        <v>208</v>
      </c>
      <c r="C5581" s="28" t="s">
        <v>209</v>
      </c>
      <c r="D5581" s="23" t="n">
        <v>16</v>
      </c>
      <c r="E5581" s="23" t="n">
        <v>23</v>
      </c>
      <c r="F5581" s="28" t="s">
        <v>909</v>
      </c>
      <c r="G5581" s="19" t="n">
        <v>0.0498</v>
      </c>
    </row>
    <row r="5582" customFormat="false" ht="15" hidden="false" customHeight="false" outlineLevel="0" collapsed="false">
      <c r="A5582" s="28" t="s">
        <v>207</v>
      </c>
      <c r="B5582" s="28" t="s">
        <v>208</v>
      </c>
      <c r="C5582" s="28" t="s">
        <v>209</v>
      </c>
      <c r="D5582" s="23" t="n">
        <v>16</v>
      </c>
      <c r="E5582" s="23" t="n">
        <v>23</v>
      </c>
      <c r="F5582" s="28" t="s">
        <v>910</v>
      </c>
      <c r="G5582" s="19" t="n">
        <v>0.0506</v>
      </c>
    </row>
    <row r="5583" customFormat="false" ht="15" hidden="false" customHeight="false" outlineLevel="0" collapsed="false">
      <c r="A5583" s="28" t="s">
        <v>207</v>
      </c>
      <c r="B5583" s="28" t="s">
        <v>208</v>
      </c>
      <c r="C5583" s="28" t="s">
        <v>209</v>
      </c>
      <c r="D5583" s="23" t="n">
        <v>16</v>
      </c>
      <c r="E5583" s="23" t="n">
        <v>23</v>
      </c>
      <c r="F5583" s="28" t="s">
        <v>911</v>
      </c>
      <c r="G5583" s="19" t="n">
        <v>0.0516</v>
      </c>
    </row>
    <row r="5584" customFormat="false" ht="15" hidden="false" customHeight="false" outlineLevel="0" collapsed="false">
      <c r="A5584" s="28" t="s">
        <v>207</v>
      </c>
      <c r="B5584" s="28" t="s">
        <v>208</v>
      </c>
      <c r="C5584" s="28" t="s">
        <v>209</v>
      </c>
      <c r="D5584" s="23" t="n">
        <v>16</v>
      </c>
      <c r="E5584" s="23" t="n">
        <v>23</v>
      </c>
      <c r="F5584" s="28" t="s">
        <v>912</v>
      </c>
      <c r="G5584" s="19" t="n">
        <v>0.0526</v>
      </c>
    </row>
    <row r="5585" customFormat="false" ht="15" hidden="false" customHeight="false" outlineLevel="0" collapsed="false">
      <c r="A5585" s="28" t="s">
        <v>207</v>
      </c>
      <c r="B5585" s="28" t="s">
        <v>208</v>
      </c>
      <c r="C5585" s="28" t="s">
        <v>209</v>
      </c>
      <c r="D5585" s="23" t="n">
        <v>16</v>
      </c>
      <c r="E5585" s="23" t="n">
        <v>23</v>
      </c>
      <c r="F5585" s="28" t="s">
        <v>913</v>
      </c>
      <c r="G5585" s="19" t="n">
        <v>0.0564</v>
      </c>
    </row>
    <row r="5586" customFormat="false" ht="15" hidden="false" customHeight="false" outlineLevel="0" collapsed="false">
      <c r="A5586" s="28" t="s">
        <v>207</v>
      </c>
      <c r="B5586" s="28" t="s">
        <v>208</v>
      </c>
      <c r="C5586" s="28" t="s">
        <v>209</v>
      </c>
      <c r="D5586" s="23" t="n">
        <v>16</v>
      </c>
      <c r="E5586" s="23" t="n">
        <v>23</v>
      </c>
      <c r="F5586" s="28" t="s">
        <v>914</v>
      </c>
      <c r="G5586" s="19" t="n">
        <v>0.0559</v>
      </c>
    </row>
    <row r="5587" customFormat="false" ht="15" hidden="false" customHeight="false" outlineLevel="0" collapsed="false">
      <c r="A5587" s="28" t="s">
        <v>207</v>
      </c>
      <c r="B5587" s="28" t="s">
        <v>208</v>
      </c>
      <c r="C5587" s="28" t="s">
        <v>209</v>
      </c>
      <c r="D5587" s="23" t="n">
        <v>16</v>
      </c>
      <c r="E5587" s="23" t="n">
        <v>23</v>
      </c>
      <c r="F5587" s="28" t="s">
        <v>915</v>
      </c>
      <c r="G5587" s="19" t="n">
        <v>0.0731</v>
      </c>
    </row>
    <row r="5588" customFormat="false" ht="15" hidden="false" customHeight="false" outlineLevel="0" collapsed="false">
      <c r="A5588" s="28" t="s">
        <v>207</v>
      </c>
      <c r="B5588" s="28" t="s">
        <v>208</v>
      </c>
      <c r="C5588" s="28" t="s">
        <v>209</v>
      </c>
      <c r="D5588" s="23" t="n">
        <v>16</v>
      </c>
      <c r="E5588" s="23" t="n">
        <v>24</v>
      </c>
      <c r="F5588" s="28" t="s">
        <v>904</v>
      </c>
      <c r="G5588" s="19" t="n">
        <v>0.0388</v>
      </c>
    </row>
    <row r="5589" customFormat="false" ht="15" hidden="false" customHeight="false" outlineLevel="0" collapsed="false">
      <c r="A5589" s="28" t="s">
        <v>207</v>
      </c>
      <c r="B5589" s="28" t="s">
        <v>208</v>
      </c>
      <c r="C5589" s="28" t="s">
        <v>209</v>
      </c>
      <c r="D5589" s="23" t="n">
        <v>16</v>
      </c>
      <c r="E5589" s="23" t="n">
        <v>24</v>
      </c>
      <c r="F5589" s="28" t="s">
        <v>551</v>
      </c>
      <c r="G5589" s="19" t="n">
        <v>0.07</v>
      </c>
    </row>
    <row r="5590" customFormat="false" ht="15" hidden="false" customHeight="false" outlineLevel="0" collapsed="false">
      <c r="A5590" s="28" t="s">
        <v>207</v>
      </c>
      <c r="B5590" s="28" t="s">
        <v>208</v>
      </c>
      <c r="C5590" s="28" t="s">
        <v>209</v>
      </c>
      <c r="D5590" s="23" t="n">
        <v>16</v>
      </c>
      <c r="E5590" s="23" t="n">
        <v>24</v>
      </c>
      <c r="F5590" s="28" t="s">
        <v>451</v>
      </c>
      <c r="G5590" s="19" t="n">
        <v>0.0386</v>
      </c>
    </row>
    <row r="5591" customFormat="false" ht="15" hidden="false" customHeight="false" outlineLevel="0" collapsed="false">
      <c r="A5591" s="28" t="s">
        <v>207</v>
      </c>
      <c r="B5591" s="28" t="s">
        <v>208</v>
      </c>
      <c r="C5591" s="28" t="s">
        <v>209</v>
      </c>
      <c r="D5591" s="23" t="n">
        <v>16</v>
      </c>
      <c r="E5591" s="23" t="n">
        <v>24</v>
      </c>
      <c r="F5591" s="28" t="s">
        <v>905</v>
      </c>
      <c r="G5591" s="19" t="n">
        <v>0.0425</v>
      </c>
    </row>
    <row r="5592" customFormat="false" ht="15" hidden="false" customHeight="false" outlineLevel="0" collapsed="false">
      <c r="A5592" s="28" t="s">
        <v>207</v>
      </c>
      <c r="B5592" s="28" t="s">
        <v>208</v>
      </c>
      <c r="C5592" s="28" t="s">
        <v>209</v>
      </c>
      <c r="D5592" s="23" t="n">
        <v>16</v>
      </c>
      <c r="E5592" s="23" t="n">
        <v>24</v>
      </c>
      <c r="F5592" s="28" t="s">
        <v>906</v>
      </c>
      <c r="G5592" s="19" t="n">
        <v>0.0436</v>
      </c>
    </row>
    <row r="5593" customFormat="false" ht="15" hidden="false" customHeight="false" outlineLevel="0" collapsed="false">
      <c r="A5593" s="28" t="s">
        <v>207</v>
      </c>
      <c r="B5593" s="28" t="s">
        <v>208</v>
      </c>
      <c r="C5593" s="28" t="s">
        <v>209</v>
      </c>
      <c r="D5593" s="23" t="n">
        <v>16</v>
      </c>
      <c r="E5593" s="23" t="n">
        <v>24</v>
      </c>
      <c r="F5593" s="28" t="s">
        <v>907</v>
      </c>
      <c r="G5593" s="19" t="n">
        <v>0.0458</v>
      </c>
    </row>
    <row r="5594" customFormat="false" ht="15" hidden="false" customHeight="false" outlineLevel="0" collapsed="false">
      <c r="A5594" s="28" t="s">
        <v>207</v>
      </c>
      <c r="B5594" s="28" t="s">
        <v>208</v>
      </c>
      <c r="C5594" s="28" t="s">
        <v>209</v>
      </c>
      <c r="D5594" s="23" t="n">
        <v>16</v>
      </c>
      <c r="E5594" s="23" t="n">
        <v>24</v>
      </c>
      <c r="F5594" s="28" t="s">
        <v>908</v>
      </c>
      <c r="G5594" s="19" t="n">
        <v>0.0489</v>
      </c>
    </row>
    <row r="5595" customFormat="false" ht="15" hidden="false" customHeight="false" outlineLevel="0" collapsed="false">
      <c r="A5595" s="28" t="s">
        <v>207</v>
      </c>
      <c r="B5595" s="28" t="s">
        <v>208</v>
      </c>
      <c r="C5595" s="28" t="s">
        <v>209</v>
      </c>
      <c r="D5595" s="23" t="n">
        <v>16</v>
      </c>
      <c r="E5595" s="23" t="n">
        <v>24</v>
      </c>
      <c r="F5595" s="28" t="s">
        <v>909</v>
      </c>
      <c r="G5595" s="19" t="n">
        <v>0.0498</v>
      </c>
    </row>
    <row r="5596" customFormat="false" ht="15" hidden="false" customHeight="false" outlineLevel="0" collapsed="false">
      <c r="A5596" s="28" t="s">
        <v>207</v>
      </c>
      <c r="B5596" s="28" t="s">
        <v>208</v>
      </c>
      <c r="C5596" s="28" t="s">
        <v>209</v>
      </c>
      <c r="D5596" s="23" t="n">
        <v>16</v>
      </c>
      <c r="E5596" s="23" t="n">
        <v>24</v>
      </c>
      <c r="F5596" s="28" t="s">
        <v>910</v>
      </c>
      <c r="G5596" s="19" t="n">
        <v>0.0506</v>
      </c>
    </row>
    <row r="5597" customFormat="false" ht="15" hidden="false" customHeight="false" outlineLevel="0" collapsed="false">
      <c r="A5597" s="28" t="s">
        <v>207</v>
      </c>
      <c r="B5597" s="28" t="s">
        <v>208</v>
      </c>
      <c r="C5597" s="28" t="s">
        <v>209</v>
      </c>
      <c r="D5597" s="23" t="n">
        <v>16</v>
      </c>
      <c r="E5597" s="23" t="n">
        <v>24</v>
      </c>
      <c r="F5597" s="28" t="s">
        <v>911</v>
      </c>
      <c r="G5597" s="19" t="n">
        <v>0.0516</v>
      </c>
    </row>
    <row r="5598" customFormat="false" ht="15" hidden="false" customHeight="false" outlineLevel="0" collapsed="false">
      <c r="A5598" s="28" t="s">
        <v>207</v>
      </c>
      <c r="B5598" s="28" t="s">
        <v>208</v>
      </c>
      <c r="C5598" s="28" t="s">
        <v>209</v>
      </c>
      <c r="D5598" s="23" t="n">
        <v>16</v>
      </c>
      <c r="E5598" s="23" t="n">
        <v>24</v>
      </c>
      <c r="F5598" s="28" t="s">
        <v>912</v>
      </c>
      <c r="G5598" s="19" t="n">
        <v>0.0526</v>
      </c>
    </row>
    <row r="5599" customFormat="false" ht="15" hidden="false" customHeight="false" outlineLevel="0" collapsed="false">
      <c r="A5599" s="28" t="s">
        <v>207</v>
      </c>
      <c r="B5599" s="28" t="s">
        <v>208</v>
      </c>
      <c r="C5599" s="28" t="s">
        <v>209</v>
      </c>
      <c r="D5599" s="23" t="n">
        <v>16</v>
      </c>
      <c r="E5599" s="23" t="n">
        <v>24</v>
      </c>
      <c r="F5599" s="28" t="s">
        <v>913</v>
      </c>
      <c r="G5599" s="19" t="n">
        <v>0.0564</v>
      </c>
    </row>
    <row r="5600" customFormat="false" ht="15" hidden="false" customHeight="false" outlineLevel="0" collapsed="false">
      <c r="A5600" s="28" t="s">
        <v>207</v>
      </c>
      <c r="B5600" s="28" t="s">
        <v>208</v>
      </c>
      <c r="C5600" s="28" t="s">
        <v>209</v>
      </c>
      <c r="D5600" s="23" t="n">
        <v>16</v>
      </c>
      <c r="E5600" s="23" t="n">
        <v>24</v>
      </c>
      <c r="F5600" s="28" t="s">
        <v>914</v>
      </c>
      <c r="G5600" s="19" t="n">
        <v>0.0559</v>
      </c>
    </row>
    <row r="5601" customFormat="false" ht="15" hidden="false" customHeight="false" outlineLevel="0" collapsed="false">
      <c r="A5601" s="28" t="s">
        <v>207</v>
      </c>
      <c r="B5601" s="28" t="s">
        <v>208</v>
      </c>
      <c r="C5601" s="28" t="s">
        <v>209</v>
      </c>
      <c r="D5601" s="23" t="n">
        <v>16</v>
      </c>
      <c r="E5601" s="23" t="n">
        <v>24</v>
      </c>
      <c r="F5601" s="28" t="s">
        <v>915</v>
      </c>
      <c r="G5601" s="19" t="n">
        <v>0.0731</v>
      </c>
    </row>
    <row r="5602" customFormat="false" ht="15" hidden="false" customHeight="false" outlineLevel="0" collapsed="false">
      <c r="A5602" s="28" t="s">
        <v>210</v>
      </c>
      <c r="B5602" s="28" t="s">
        <v>211</v>
      </c>
      <c r="C5602" s="28" t="s">
        <v>209</v>
      </c>
      <c r="D5602" s="23" t="n">
        <v>17</v>
      </c>
      <c r="E5602" s="23" t="n">
        <v>0</v>
      </c>
      <c r="F5602" s="28" t="s">
        <v>904</v>
      </c>
      <c r="G5602" s="19" t="n">
        <v>0.0363</v>
      </c>
    </row>
    <row r="5603" customFormat="false" ht="15" hidden="false" customHeight="false" outlineLevel="0" collapsed="false">
      <c r="A5603" s="28" t="s">
        <v>210</v>
      </c>
      <c r="B5603" s="28" t="s">
        <v>211</v>
      </c>
      <c r="C5603" s="28" t="s">
        <v>209</v>
      </c>
      <c r="D5603" s="23" t="n">
        <v>17</v>
      </c>
      <c r="E5603" s="23" t="n">
        <v>0</v>
      </c>
      <c r="F5603" s="28" t="s">
        <v>551</v>
      </c>
      <c r="G5603" s="19" t="n">
        <v>0.0675</v>
      </c>
    </row>
    <row r="5604" customFormat="false" ht="15" hidden="false" customHeight="false" outlineLevel="0" collapsed="false">
      <c r="A5604" s="28" t="s">
        <v>210</v>
      </c>
      <c r="B5604" s="28" t="s">
        <v>211</v>
      </c>
      <c r="C5604" s="28" t="s">
        <v>209</v>
      </c>
      <c r="D5604" s="23" t="n">
        <v>17</v>
      </c>
      <c r="E5604" s="23" t="n">
        <v>0</v>
      </c>
      <c r="F5604" s="28" t="s">
        <v>451</v>
      </c>
      <c r="G5604" s="19" t="n">
        <v>0.0361</v>
      </c>
    </row>
    <row r="5605" customFormat="false" ht="15" hidden="false" customHeight="false" outlineLevel="0" collapsed="false">
      <c r="A5605" s="28" t="s">
        <v>210</v>
      </c>
      <c r="B5605" s="28" t="s">
        <v>211</v>
      </c>
      <c r="C5605" s="28" t="s">
        <v>209</v>
      </c>
      <c r="D5605" s="23" t="n">
        <v>17</v>
      </c>
      <c r="E5605" s="23" t="n">
        <v>0</v>
      </c>
      <c r="F5605" s="28" t="s">
        <v>905</v>
      </c>
      <c r="G5605" s="19" t="n">
        <v>0.0387</v>
      </c>
    </row>
    <row r="5606" customFormat="false" ht="15" hidden="false" customHeight="false" outlineLevel="0" collapsed="false">
      <c r="A5606" s="28" t="s">
        <v>210</v>
      </c>
      <c r="B5606" s="28" t="s">
        <v>211</v>
      </c>
      <c r="C5606" s="28" t="s">
        <v>209</v>
      </c>
      <c r="D5606" s="23" t="n">
        <v>17</v>
      </c>
      <c r="E5606" s="23" t="n">
        <v>0</v>
      </c>
      <c r="F5606" s="28" t="s">
        <v>906</v>
      </c>
      <c r="G5606" s="19" t="n">
        <v>0.0401</v>
      </c>
    </row>
    <row r="5607" customFormat="false" ht="15" hidden="false" customHeight="false" outlineLevel="0" collapsed="false">
      <c r="A5607" s="28" t="s">
        <v>210</v>
      </c>
      <c r="B5607" s="28" t="s">
        <v>211</v>
      </c>
      <c r="C5607" s="28" t="s">
        <v>209</v>
      </c>
      <c r="D5607" s="23" t="n">
        <v>17</v>
      </c>
      <c r="E5607" s="23" t="n">
        <v>0</v>
      </c>
      <c r="F5607" s="28" t="s">
        <v>907</v>
      </c>
      <c r="G5607" s="19" t="n">
        <v>0.0398</v>
      </c>
    </row>
    <row r="5608" customFormat="false" ht="15" hidden="false" customHeight="false" outlineLevel="0" collapsed="false">
      <c r="A5608" s="28" t="s">
        <v>210</v>
      </c>
      <c r="B5608" s="28" t="s">
        <v>211</v>
      </c>
      <c r="C5608" s="28" t="s">
        <v>209</v>
      </c>
      <c r="D5608" s="23" t="n">
        <v>17</v>
      </c>
      <c r="E5608" s="23" t="n">
        <v>0</v>
      </c>
      <c r="F5608" s="28" t="s">
        <v>908</v>
      </c>
      <c r="G5608" s="19" t="n">
        <v>0.0414</v>
      </c>
    </row>
    <row r="5609" customFormat="false" ht="15" hidden="false" customHeight="false" outlineLevel="0" collapsed="false">
      <c r="A5609" s="28" t="s">
        <v>210</v>
      </c>
      <c r="B5609" s="28" t="s">
        <v>211</v>
      </c>
      <c r="C5609" s="28" t="s">
        <v>209</v>
      </c>
      <c r="D5609" s="23" t="n">
        <v>17</v>
      </c>
      <c r="E5609" s="23" t="n">
        <v>0</v>
      </c>
      <c r="F5609" s="28" t="s">
        <v>909</v>
      </c>
      <c r="G5609" s="19" t="n">
        <v>0.0415</v>
      </c>
    </row>
    <row r="5610" customFormat="false" ht="15" hidden="false" customHeight="false" outlineLevel="0" collapsed="false">
      <c r="A5610" s="28" t="s">
        <v>210</v>
      </c>
      <c r="B5610" s="28" t="s">
        <v>211</v>
      </c>
      <c r="C5610" s="28" t="s">
        <v>209</v>
      </c>
      <c r="D5610" s="23" t="n">
        <v>17</v>
      </c>
      <c r="E5610" s="23" t="n">
        <v>0</v>
      </c>
      <c r="F5610" s="28" t="s">
        <v>910</v>
      </c>
      <c r="G5610" s="19" t="n">
        <v>0.0419</v>
      </c>
    </row>
    <row r="5611" customFormat="false" ht="15" hidden="false" customHeight="false" outlineLevel="0" collapsed="false">
      <c r="A5611" s="28" t="s">
        <v>210</v>
      </c>
      <c r="B5611" s="28" t="s">
        <v>211</v>
      </c>
      <c r="C5611" s="28" t="s">
        <v>209</v>
      </c>
      <c r="D5611" s="23" t="n">
        <v>17</v>
      </c>
      <c r="E5611" s="23" t="n">
        <v>0</v>
      </c>
      <c r="F5611" s="28" t="s">
        <v>911</v>
      </c>
      <c r="G5611" s="19" t="n">
        <v>0.043</v>
      </c>
    </row>
    <row r="5612" customFormat="false" ht="15" hidden="false" customHeight="false" outlineLevel="0" collapsed="false">
      <c r="A5612" s="28" t="s">
        <v>210</v>
      </c>
      <c r="B5612" s="28" t="s">
        <v>211</v>
      </c>
      <c r="C5612" s="28" t="s">
        <v>209</v>
      </c>
      <c r="D5612" s="23" t="n">
        <v>17</v>
      </c>
      <c r="E5612" s="23" t="n">
        <v>0</v>
      </c>
      <c r="F5612" s="28" t="s">
        <v>912</v>
      </c>
      <c r="G5612" s="19" t="n">
        <v>0.0444</v>
      </c>
    </row>
    <row r="5613" customFormat="false" ht="15" hidden="false" customHeight="false" outlineLevel="0" collapsed="false">
      <c r="A5613" s="28" t="s">
        <v>210</v>
      </c>
      <c r="B5613" s="28" t="s">
        <v>211</v>
      </c>
      <c r="C5613" s="28" t="s">
        <v>209</v>
      </c>
      <c r="D5613" s="23" t="n">
        <v>17</v>
      </c>
      <c r="E5613" s="23" t="n">
        <v>0</v>
      </c>
      <c r="F5613" s="28" t="s">
        <v>913</v>
      </c>
      <c r="G5613" s="19" t="n">
        <v>0.0493</v>
      </c>
    </row>
    <row r="5614" customFormat="false" ht="15" hidden="false" customHeight="false" outlineLevel="0" collapsed="false">
      <c r="A5614" s="28" t="s">
        <v>210</v>
      </c>
      <c r="B5614" s="28" t="s">
        <v>211</v>
      </c>
      <c r="C5614" s="28" t="s">
        <v>209</v>
      </c>
      <c r="D5614" s="23" t="n">
        <v>17</v>
      </c>
      <c r="E5614" s="23" t="n">
        <v>0</v>
      </c>
      <c r="F5614" s="28" t="s">
        <v>914</v>
      </c>
      <c r="G5614" s="19" t="n">
        <v>0.0491</v>
      </c>
    </row>
    <row r="5615" customFormat="false" ht="15" hidden="false" customHeight="false" outlineLevel="0" collapsed="false">
      <c r="A5615" s="28" t="s">
        <v>210</v>
      </c>
      <c r="B5615" s="28" t="s">
        <v>211</v>
      </c>
      <c r="C5615" s="28" t="s">
        <v>209</v>
      </c>
      <c r="D5615" s="23" t="n">
        <v>17</v>
      </c>
      <c r="E5615" s="23" t="n">
        <v>0</v>
      </c>
      <c r="F5615" s="28" t="s">
        <v>915</v>
      </c>
      <c r="G5615" s="19" t="n">
        <v>0.0649</v>
      </c>
    </row>
    <row r="5616" customFormat="false" ht="15" hidden="false" customHeight="false" outlineLevel="0" collapsed="false">
      <c r="A5616" s="28" t="s">
        <v>210</v>
      </c>
      <c r="B5616" s="28" t="s">
        <v>211</v>
      </c>
      <c r="C5616" s="28" t="s">
        <v>209</v>
      </c>
      <c r="D5616" s="23" t="n">
        <v>17</v>
      </c>
      <c r="E5616" s="23" t="n">
        <v>1</v>
      </c>
      <c r="F5616" s="28" t="s">
        <v>904</v>
      </c>
      <c r="G5616" s="19" t="n">
        <v>0.037133</v>
      </c>
    </row>
    <row r="5617" customFormat="false" ht="15" hidden="false" customHeight="false" outlineLevel="0" collapsed="false">
      <c r="A5617" s="28" t="s">
        <v>210</v>
      </c>
      <c r="B5617" s="28" t="s">
        <v>211</v>
      </c>
      <c r="C5617" s="28" t="s">
        <v>209</v>
      </c>
      <c r="D5617" s="23" t="n">
        <v>17</v>
      </c>
      <c r="E5617" s="23" t="n">
        <v>1</v>
      </c>
      <c r="F5617" s="28" t="s">
        <v>551</v>
      </c>
      <c r="G5617" s="19" t="n">
        <v>0.068333</v>
      </c>
    </row>
    <row r="5618" customFormat="false" ht="15" hidden="false" customHeight="false" outlineLevel="0" collapsed="false">
      <c r="A5618" s="28" t="s">
        <v>210</v>
      </c>
      <c r="B5618" s="28" t="s">
        <v>211</v>
      </c>
      <c r="C5618" s="28" t="s">
        <v>209</v>
      </c>
      <c r="D5618" s="23" t="n">
        <v>17</v>
      </c>
      <c r="E5618" s="23" t="n">
        <v>1</v>
      </c>
      <c r="F5618" s="28" t="s">
        <v>451</v>
      </c>
      <c r="G5618" s="19" t="n">
        <v>0.036933</v>
      </c>
    </row>
    <row r="5619" customFormat="false" ht="15" hidden="false" customHeight="false" outlineLevel="0" collapsed="false">
      <c r="A5619" s="28" t="s">
        <v>210</v>
      </c>
      <c r="B5619" s="28" t="s">
        <v>211</v>
      </c>
      <c r="C5619" s="28" t="s">
        <v>209</v>
      </c>
      <c r="D5619" s="23" t="n">
        <v>17</v>
      </c>
      <c r="E5619" s="23" t="n">
        <v>1</v>
      </c>
      <c r="F5619" s="28" t="s">
        <v>905</v>
      </c>
      <c r="G5619" s="19" t="n">
        <v>0.039967</v>
      </c>
    </row>
    <row r="5620" customFormat="false" ht="15" hidden="false" customHeight="false" outlineLevel="0" collapsed="false">
      <c r="A5620" s="28" t="s">
        <v>210</v>
      </c>
      <c r="B5620" s="28" t="s">
        <v>211</v>
      </c>
      <c r="C5620" s="28" t="s">
        <v>209</v>
      </c>
      <c r="D5620" s="23" t="n">
        <v>17</v>
      </c>
      <c r="E5620" s="23" t="n">
        <v>1</v>
      </c>
      <c r="F5620" s="28" t="s">
        <v>906</v>
      </c>
      <c r="G5620" s="19" t="n">
        <v>0.041267</v>
      </c>
    </row>
    <row r="5621" customFormat="false" ht="15" hidden="false" customHeight="false" outlineLevel="0" collapsed="false">
      <c r="A5621" s="28" t="s">
        <v>210</v>
      </c>
      <c r="B5621" s="28" t="s">
        <v>211</v>
      </c>
      <c r="C5621" s="28" t="s">
        <v>209</v>
      </c>
      <c r="D5621" s="23" t="n">
        <v>17</v>
      </c>
      <c r="E5621" s="23" t="n">
        <v>1</v>
      </c>
      <c r="F5621" s="28" t="s">
        <v>907</v>
      </c>
      <c r="G5621" s="19" t="n">
        <v>0.0418</v>
      </c>
    </row>
    <row r="5622" customFormat="false" ht="15" hidden="false" customHeight="false" outlineLevel="0" collapsed="false">
      <c r="A5622" s="28" t="s">
        <v>210</v>
      </c>
      <c r="B5622" s="28" t="s">
        <v>211</v>
      </c>
      <c r="C5622" s="28" t="s">
        <v>209</v>
      </c>
      <c r="D5622" s="23" t="n">
        <v>17</v>
      </c>
      <c r="E5622" s="23" t="n">
        <v>1</v>
      </c>
      <c r="F5622" s="28" t="s">
        <v>908</v>
      </c>
      <c r="G5622" s="19" t="n">
        <v>0.0439</v>
      </c>
    </row>
    <row r="5623" customFormat="false" ht="15" hidden="false" customHeight="false" outlineLevel="0" collapsed="false">
      <c r="A5623" s="28" t="s">
        <v>210</v>
      </c>
      <c r="B5623" s="28" t="s">
        <v>211</v>
      </c>
      <c r="C5623" s="28" t="s">
        <v>209</v>
      </c>
      <c r="D5623" s="23" t="n">
        <v>17</v>
      </c>
      <c r="E5623" s="23" t="n">
        <v>1</v>
      </c>
      <c r="F5623" s="28" t="s">
        <v>909</v>
      </c>
      <c r="G5623" s="19" t="n">
        <v>0.044267</v>
      </c>
    </row>
    <row r="5624" customFormat="false" ht="15" hidden="false" customHeight="false" outlineLevel="0" collapsed="false">
      <c r="A5624" s="28" t="s">
        <v>210</v>
      </c>
      <c r="B5624" s="28" t="s">
        <v>211</v>
      </c>
      <c r="C5624" s="28" t="s">
        <v>209</v>
      </c>
      <c r="D5624" s="23" t="n">
        <v>17</v>
      </c>
      <c r="E5624" s="23" t="n">
        <v>1</v>
      </c>
      <c r="F5624" s="28" t="s">
        <v>910</v>
      </c>
      <c r="G5624" s="19" t="n">
        <v>0.0448</v>
      </c>
    </row>
    <row r="5625" customFormat="false" ht="15" hidden="false" customHeight="false" outlineLevel="0" collapsed="false">
      <c r="A5625" s="28" t="s">
        <v>210</v>
      </c>
      <c r="B5625" s="28" t="s">
        <v>211</v>
      </c>
      <c r="C5625" s="28" t="s">
        <v>209</v>
      </c>
      <c r="D5625" s="23" t="n">
        <v>17</v>
      </c>
      <c r="E5625" s="23" t="n">
        <v>1</v>
      </c>
      <c r="F5625" s="28" t="s">
        <v>911</v>
      </c>
      <c r="G5625" s="19" t="n">
        <v>0.045867</v>
      </c>
    </row>
    <row r="5626" customFormat="false" ht="15" hidden="false" customHeight="false" outlineLevel="0" collapsed="false">
      <c r="A5626" s="28" t="s">
        <v>210</v>
      </c>
      <c r="B5626" s="28" t="s">
        <v>211</v>
      </c>
      <c r="C5626" s="28" t="s">
        <v>209</v>
      </c>
      <c r="D5626" s="23" t="n">
        <v>17</v>
      </c>
      <c r="E5626" s="23" t="n">
        <v>1</v>
      </c>
      <c r="F5626" s="28" t="s">
        <v>912</v>
      </c>
      <c r="G5626" s="19" t="n">
        <v>0.047133</v>
      </c>
    </row>
    <row r="5627" customFormat="false" ht="15" hidden="false" customHeight="false" outlineLevel="0" collapsed="false">
      <c r="A5627" s="28" t="s">
        <v>210</v>
      </c>
      <c r="B5627" s="28" t="s">
        <v>211</v>
      </c>
      <c r="C5627" s="28" t="s">
        <v>209</v>
      </c>
      <c r="D5627" s="23" t="n">
        <v>17</v>
      </c>
      <c r="E5627" s="23" t="n">
        <v>1</v>
      </c>
      <c r="F5627" s="28" t="s">
        <v>913</v>
      </c>
      <c r="G5627" s="19" t="n">
        <v>0.051667</v>
      </c>
    </row>
    <row r="5628" customFormat="false" ht="15" hidden="false" customHeight="false" outlineLevel="0" collapsed="false">
      <c r="A5628" s="28" t="s">
        <v>210</v>
      </c>
      <c r="B5628" s="28" t="s">
        <v>211</v>
      </c>
      <c r="C5628" s="28" t="s">
        <v>209</v>
      </c>
      <c r="D5628" s="23" t="n">
        <v>17</v>
      </c>
      <c r="E5628" s="23" t="n">
        <v>1</v>
      </c>
      <c r="F5628" s="28" t="s">
        <v>914</v>
      </c>
      <c r="G5628" s="19" t="n">
        <v>0.051367</v>
      </c>
    </row>
    <row r="5629" customFormat="false" ht="15" hidden="false" customHeight="false" outlineLevel="0" collapsed="false">
      <c r="A5629" s="28" t="s">
        <v>210</v>
      </c>
      <c r="B5629" s="28" t="s">
        <v>211</v>
      </c>
      <c r="C5629" s="28" t="s">
        <v>209</v>
      </c>
      <c r="D5629" s="23" t="n">
        <v>17</v>
      </c>
      <c r="E5629" s="23" t="n">
        <v>1</v>
      </c>
      <c r="F5629" s="28" t="s">
        <v>915</v>
      </c>
      <c r="G5629" s="19" t="n">
        <v>0.067633</v>
      </c>
    </row>
    <row r="5630" customFormat="false" ht="15" hidden="false" customHeight="false" outlineLevel="0" collapsed="false">
      <c r="A5630" s="28" t="s">
        <v>210</v>
      </c>
      <c r="B5630" s="28" t="s">
        <v>211</v>
      </c>
      <c r="C5630" s="28" t="s">
        <v>209</v>
      </c>
      <c r="D5630" s="23" t="n">
        <v>17</v>
      </c>
      <c r="E5630" s="23" t="n">
        <v>2</v>
      </c>
      <c r="F5630" s="28" t="s">
        <v>904</v>
      </c>
      <c r="G5630" s="19" t="n">
        <v>0.037967</v>
      </c>
    </row>
    <row r="5631" customFormat="false" ht="15" hidden="false" customHeight="false" outlineLevel="0" collapsed="false">
      <c r="A5631" s="28" t="s">
        <v>210</v>
      </c>
      <c r="B5631" s="28" t="s">
        <v>211</v>
      </c>
      <c r="C5631" s="28" t="s">
        <v>209</v>
      </c>
      <c r="D5631" s="23" t="n">
        <v>17</v>
      </c>
      <c r="E5631" s="23" t="n">
        <v>2</v>
      </c>
      <c r="F5631" s="28" t="s">
        <v>551</v>
      </c>
      <c r="G5631" s="19" t="n">
        <v>0.069167</v>
      </c>
    </row>
    <row r="5632" customFormat="false" ht="15" hidden="false" customHeight="false" outlineLevel="0" collapsed="false">
      <c r="A5632" s="28" t="s">
        <v>210</v>
      </c>
      <c r="B5632" s="28" t="s">
        <v>211</v>
      </c>
      <c r="C5632" s="28" t="s">
        <v>209</v>
      </c>
      <c r="D5632" s="23" t="n">
        <v>17</v>
      </c>
      <c r="E5632" s="23" t="n">
        <v>2</v>
      </c>
      <c r="F5632" s="28" t="s">
        <v>451</v>
      </c>
      <c r="G5632" s="19" t="n">
        <v>0.037767</v>
      </c>
    </row>
    <row r="5633" customFormat="false" ht="15" hidden="false" customHeight="false" outlineLevel="0" collapsed="false">
      <c r="A5633" s="28" t="s">
        <v>210</v>
      </c>
      <c r="B5633" s="28" t="s">
        <v>211</v>
      </c>
      <c r="C5633" s="28" t="s">
        <v>209</v>
      </c>
      <c r="D5633" s="23" t="n">
        <v>17</v>
      </c>
      <c r="E5633" s="23" t="n">
        <v>2</v>
      </c>
      <c r="F5633" s="28" t="s">
        <v>905</v>
      </c>
      <c r="G5633" s="19" t="n">
        <v>0.041233</v>
      </c>
    </row>
    <row r="5634" customFormat="false" ht="15" hidden="false" customHeight="false" outlineLevel="0" collapsed="false">
      <c r="A5634" s="28" t="s">
        <v>210</v>
      </c>
      <c r="B5634" s="28" t="s">
        <v>211</v>
      </c>
      <c r="C5634" s="28" t="s">
        <v>209</v>
      </c>
      <c r="D5634" s="23" t="n">
        <v>17</v>
      </c>
      <c r="E5634" s="23" t="n">
        <v>2</v>
      </c>
      <c r="F5634" s="28" t="s">
        <v>906</v>
      </c>
      <c r="G5634" s="19" t="n">
        <v>0.042433</v>
      </c>
    </row>
    <row r="5635" customFormat="false" ht="15" hidden="false" customHeight="false" outlineLevel="0" collapsed="false">
      <c r="A5635" s="28" t="s">
        <v>210</v>
      </c>
      <c r="B5635" s="28" t="s">
        <v>211</v>
      </c>
      <c r="C5635" s="28" t="s">
        <v>209</v>
      </c>
      <c r="D5635" s="23" t="n">
        <v>17</v>
      </c>
      <c r="E5635" s="23" t="n">
        <v>2</v>
      </c>
      <c r="F5635" s="28" t="s">
        <v>907</v>
      </c>
      <c r="G5635" s="19" t="n">
        <v>0.0438</v>
      </c>
    </row>
    <row r="5636" customFormat="false" ht="15" hidden="false" customHeight="false" outlineLevel="0" collapsed="false">
      <c r="A5636" s="28" t="s">
        <v>210</v>
      </c>
      <c r="B5636" s="28" t="s">
        <v>211</v>
      </c>
      <c r="C5636" s="28" t="s">
        <v>209</v>
      </c>
      <c r="D5636" s="23" t="n">
        <v>17</v>
      </c>
      <c r="E5636" s="23" t="n">
        <v>2</v>
      </c>
      <c r="F5636" s="28" t="s">
        <v>908</v>
      </c>
      <c r="G5636" s="19" t="n">
        <v>0.0464</v>
      </c>
    </row>
    <row r="5637" customFormat="false" ht="15" hidden="false" customHeight="false" outlineLevel="0" collapsed="false">
      <c r="A5637" s="28" t="s">
        <v>210</v>
      </c>
      <c r="B5637" s="28" t="s">
        <v>211</v>
      </c>
      <c r="C5637" s="28" t="s">
        <v>209</v>
      </c>
      <c r="D5637" s="23" t="n">
        <v>17</v>
      </c>
      <c r="E5637" s="23" t="n">
        <v>2</v>
      </c>
      <c r="F5637" s="28" t="s">
        <v>909</v>
      </c>
      <c r="G5637" s="19" t="n">
        <v>0.047033</v>
      </c>
    </row>
    <row r="5638" customFormat="false" ht="15" hidden="false" customHeight="false" outlineLevel="0" collapsed="false">
      <c r="A5638" s="28" t="s">
        <v>210</v>
      </c>
      <c r="B5638" s="28" t="s">
        <v>211</v>
      </c>
      <c r="C5638" s="28" t="s">
        <v>209</v>
      </c>
      <c r="D5638" s="23" t="n">
        <v>17</v>
      </c>
      <c r="E5638" s="23" t="n">
        <v>2</v>
      </c>
      <c r="F5638" s="28" t="s">
        <v>910</v>
      </c>
      <c r="G5638" s="19" t="n">
        <v>0.0477</v>
      </c>
    </row>
    <row r="5639" customFormat="false" ht="15" hidden="false" customHeight="false" outlineLevel="0" collapsed="false">
      <c r="A5639" s="28" t="s">
        <v>210</v>
      </c>
      <c r="B5639" s="28" t="s">
        <v>211</v>
      </c>
      <c r="C5639" s="28" t="s">
        <v>209</v>
      </c>
      <c r="D5639" s="23" t="n">
        <v>17</v>
      </c>
      <c r="E5639" s="23" t="n">
        <v>2</v>
      </c>
      <c r="F5639" s="28" t="s">
        <v>911</v>
      </c>
      <c r="G5639" s="19" t="n">
        <v>0.048733</v>
      </c>
    </row>
    <row r="5640" customFormat="false" ht="15" hidden="false" customHeight="false" outlineLevel="0" collapsed="false">
      <c r="A5640" s="28" t="s">
        <v>210</v>
      </c>
      <c r="B5640" s="28" t="s">
        <v>211</v>
      </c>
      <c r="C5640" s="28" t="s">
        <v>209</v>
      </c>
      <c r="D5640" s="23" t="n">
        <v>17</v>
      </c>
      <c r="E5640" s="23" t="n">
        <v>2</v>
      </c>
      <c r="F5640" s="28" t="s">
        <v>912</v>
      </c>
      <c r="G5640" s="19" t="n">
        <v>0.049867</v>
      </c>
    </row>
    <row r="5641" customFormat="false" ht="15" hidden="false" customHeight="false" outlineLevel="0" collapsed="false">
      <c r="A5641" s="28" t="s">
        <v>210</v>
      </c>
      <c r="B5641" s="28" t="s">
        <v>211</v>
      </c>
      <c r="C5641" s="28" t="s">
        <v>209</v>
      </c>
      <c r="D5641" s="23" t="n">
        <v>17</v>
      </c>
      <c r="E5641" s="23" t="n">
        <v>2</v>
      </c>
      <c r="F5641" s="28" t="s">
        <v>913</v>
      </c>
      <c r="G5641" s="19" t="n">
        <v>0.054033</v>
      </c>
    </row>
    <row r="5642" customFormat="false" ht="15" hidden="false" customHeight="false" outlineLevel="0" collapsed="false">
      <c r="A5642" s="28" t="s">
        <v>210</v>
      </c>
      <c r="B5642" s="28" t="s">
        <v>211</v>
      </c>
      <c r="C5642" s="28" t="s">
        <v>209</v>
      </c>
      <c r="D5642" s="23" t="n">
        <v>17</v>
      </c>
      <c r="E5642" s="23" t="n">
        <v>2</v>
      </c>
      <c r="F5642" s="28" t="s">
        <v>914</v>
      </c>
      <c r="G5642" s="19" t="n">
        <v>0.053633</v>
      </c>
    </row>
    <row r="5643" customFormat="false" ht="15" hidden="false" customHeight="false" outlineLevel="0" collapsed="false">
      <c r="A5643" s="28" t="s">
        <v>210</v>
      </c>
      <c r="B5643" s="28" t="s">
        <v>211</v>
      </c>
      <c r="C5643" s="28" t="s">
        <v>209</v>
      </c>
      <c r="D5643" s="23" t="n">
        <v>17</v>
      </c>
      <c r="E5643" s="23" t="n">
        <v>2</v>
      </c>
      <c r="F5643" s="28" t="s">
        <v>915</v>
      </c>
      <c r="G5643" s="19" t="n">
        <v>0.070367</v>
      </c>
    </row>
    <row r="5644" customFormat="false" ht="15" hidden="false" customHeight="false" outlineLevel="0" collapsed="false">
      <c r="A5644" s="28" t="s">
        <v>210</v>
      </c>
      <c r="B5644" s="28" t="s">
        <v>211</v>
      </c>
      <c r="C5644" s="28" t="s">
        <v>209</v>
      </c>
      <c r="D5644" s="23" t="n">
        <v>17</v>
      </c>
      <c r="E5644" s="23" t="n">
        <v>3</v>
      </c>
      <c r="F5644" s="28" t="s">
        <v>904</v>
      </c>
      <c r="G5644" s="19" t="n">
        <v>0.0388</v>
      </c>
    </row>
    <row r="5645" customFormat="false" ht="15" hidden="false" customHeight="false" outlineLevel="0" collapsed="false">
      <c r="A5645" s="28" t="s">
        <v>210</v>
      </c>
      <c r="B5645" s="28" t="s">
        <v>211</v>
      </c>
      <c r="C5645" s="28" t="s">
        <v>209</v>
      </c>
      <c r="D5645" s="23" t="n">
        <v>17</v>
      </c>
      <c r="E5645" s="23" t="n">
        <v>3</v>
      </c>
      <c r="F5645" s="28" t="s">
        <v>551</v>
      </c>
      <c r="G5645" s="19" t="n">
        <v>0.07</v>
      </c>
    </row>
    <row r="5646" customFormat="false" ht="15" hidden="false" customHeight="false" outlineLevel="0" collapsed="false">
      <c r="A5646" s="28" t="s">
        <v>210</v>
      </c>
      <c r="B5646" s="28" t="s">
        <v>211</v>
      </c>
      <c r="C5646" s="28" t="s">
        <v>209</v>
      </c>
      <c r="D5646" s="23" t="n">
        <v>17</v>
      </c>
      <c r="E5646" s="23" t="n">
        <v>3</v>
      </c>
      <c r="F5646" s="28" t="s">
        <v>451</v>
      </c>
      <c r="G5646" s="19" t="n">
        <v>0.0386</v>
      </c>
    </row>
    <row r="5647" customFormat="false" ht="15" hidden="false" customHeight="false" outlineLevel="0" collapsed="false">
      <c r="A5647" s="28" t="s">
        <v>210</v>
      </c>
      <c r="B5647" s="28" t="s">
        <v>211</v>
      </c>
      <c r="C5647" s="28" t="s">
        <v>209</v>
      </c>
      <c r="D5647" s="23" t="n">
        <v>17</v>
      </c>
      <c r="E5647" s="23" t="n">
        <v>3</v>
      </c>
      <c r="F5647" s="28" t="s">
        <v>905</v>
      </c>
      <c r="G5647" s="19" t="n">
        <v>0.0425</v>
      </c>
    </row>
    <row r="5648" customFormat="false" ht="15" hidden="false" customHeight="false" outlineLevel="0" collapsed="false">
      <c r="A5648" s="28" t="s">
        <v>210</v>
      </c>
      <c r="B5648" s="28" t="s">
        <v>211</v>
      </c>
      <c r="C5648" s="28" t="s">
        <v>209</v>
      </c>
      <c r="D5648" s="23" t="n">
        <v>17</v>
      </c>
      <c r="E5648" s="23" t="n">
        <v>3</v>
      </c>
      <c r="F5648" s="28" t="s">
        <v>906</v>
      </c>
      <c r="G5648" s="19" t="n">
        <v>0.0436</v>
      </c>
    </row>
    <row r="5649" customFormat="false" ht="15" hidden="false" customHeight="false" outlineLevel="0" collapsed="false">
      <c r="A5649" s="28" t="s">
        <v>210</v>
      </c>
      <c r="B5649" s="28" t="s">
        <v>211</v>
      </c>
      <c r="C5649" s="28" t="s">
        <v>209</v>
      </c>
      <c r="D5649" s="23" t="n">
        <v>17</v>
      </c>
      <c r="E5649" s="23" t="n">
        <v>3</v>
      </c>
      <c r="F5649" s="28" t="s">
        <v>907</v>
      </c>
      <c r="G5649" s="19" t="n">
        <v>0.0458</v>
      </c>
    </row>
    <row r="5650" customFormat="false" ht="15" hidden="false" customHeight="false" outlineLevel="0" collapsed="false">
      <c r="A5650" s="28" t="s">
        <v>210</v>
      </c>
      <c r="B5650" s="28" t="s">
        <v>211</v>
      </c>
      <c r="C5650" s="28" t="s">
        <v>209</v>
      </c>
      <c r="D5650" s="23" t="n">
        <v>17</v>
      </c>
      <c r="E5650" s="23" t="n">
        <v>3</v>
      </c>
      <c r="F5650" s="28" t="s">
        <v>908</v>
      </c>
      <c r="G5650" s="19" t="n">
        <v>0.0489</v>
      </c>
    </row>
    <row r="5651" customFormat="false" ht="15" hidden="false" customHeight="false" outlineLevel="0" collapsed="false">
      <c r="A5651" s="28" t="s">
        <v>210</v>
      </c>
      <c r="B5651" s="28" t="s">
        <v>211</v>
      </c>
      <c r="C5651" s="28" t="s">
        <v>209</v>
      </c>
      <c r="D5651" s="23" t="n">
        <v>17</v>
      </c>
      <c r="E5651" s="23" t="n">
        <v>3</v>
      </c>
      <c r="F5651" s="28" t="s">
        <v>909</v>
      </c>
      <c r="G5651" s="19" t="n">
        <v>0.0498</v>
      </c>
    </row>
    <row r="5652" customFormat="false" ht="15" hidden="false" customHeight="false" outlineLevel="0" collapsed="false">
      <c r="A5652" s="28" t="s">
        <v>210</v>
      </c>
      <c r="B5652" s="28" t="s">
        <v>211</v>
      </c>
      <c r="C5652" s="28" t="s">
        <v>209</v>
      </c>
      <c r="D5652" s="23" t="n">
        <v>17</v>
      </c>
      <c r="E5652" s="23" t="n">
        <v>3</v>
      </c>
      <c r="F5652" s="28" t="s">
        <v>910</v>
      </c>
      <c r="G5652" s="19" t="n">
        <v>0.0506</v>
      </c>
    </row>
    <row r="5653" customFormat="false" ht="15" hidden="false" customHeight="false" outlineLevel="0" collapsed="false">
      <c r="A5653" s="28" t="s">
        <v>210</v>
      </c>
      <c r="B5653" s="28" t="s">
        <v>211</v>
      </c>
      <c r="C5653" s="28" t="s">
        <v>209</v>
      </c>
      <c r="D5653" s="23" t="n">
        <v>17</v>
      </c>
      <c r="E5653" s="23" t="n">
        <v>3</v>
      </c>
      <c r="F5653" s="28" t="s">
        <v>911</v>
      </c>
      <c r="G5653" s="19" t="n">
        <v>0.0516</v>
      </c>
    </row>
    <row r="5654" customFormat="false" ht="15" hidden="false" customHeight="false" outlineLevel="0" collapsed="false">
      <c r="A5654" s="28" t="s">
        <v>210</v>
      </c>
      <c r="B5654" s="28" t="s">
        <v>211</v>
      </c>
      <c r="C5654" s="28" t="s">
        <v>209</v>
      </c>
      <c r="D5654" s="23" t="n">
        <v>17</v>
      </c>
      <c r="E5654" s="23" t="n">
        <v>3</v>
      </c>
      <c r="F5654" s="28" t="s">
        <v>912</v>
      </c>
      <c r="G5654" s="19" t="n">
        <v>0.0526</v>
      </c>
    </row>
    <row r="5655" customFormat="false" ht="15" hidden="false" customHeight="false" outlineLevel="0" collapsed="false">
      <c r="A5655" s="28" t="s">
        <v>210</v>
      </c>
      <c r="B5655" s="28" t="s">
        <v>211</v>
      </c>
      <c r="C5655" s="28" t="s">
        <v>209</v>
      </c>
      <c r="D5655" s="23" t="n">
        <v>17</v>
      </c>
      <c r="E5655" s="23" t="n">
        <v>3</v>
      </c>
      <c r="F5655" s="28" t="s">
        <v>913</v>
      </c>
      <c r="G5655" s="19" t="n">
        <v>0.0564</v>
      </c>
    </row>
    <row r="5656" customFormat="false" ht="15" hidden="false" customHeight="false" outlineLevel="0" collapsed="false">
      <c r="A5656" s="28" t="s">
        <v>210</v>
      </c>
      <c r="B5656" s="28" t="s">
        <v>211</v>
      </c>
      <c r="C5656" s="28" t="s">
        <v>209</v>
      </c>
      <c r="D5656" s="23" t="n">
        <v>17</v>
      </c>
      <c r="E5656" s="23" t="n">
        <v>3</v>
      </c>
      <c r="F5656" s="28" t="s">
        <v>914</v>
      </c>
      <c r="G5656" s="19" t="n">
        <v>0.0559</v>
      </c>
    </row>
    <row r="5657" customFormat="false" ht="15" hidden="false" customHeight="false" outlineLevel="0" collapsed="false">
      <c r="A5657" s="28" t="s">
        <v>210</v>
      </c>
      <c r="B5657" s="28" t="s">
        <v>211</v>
      </c>
      <c r="C5657" s="28" t="s">
        <v>209</v>
      </c>
      <c r="D5657" s="23" t="n">
        <v>17</v>
      </c>
      <c r="E5657" s="23" t="n">
        <v>3</v>
      </c>
      <c r="F5657" s="28" t="s">
        <v>915</v>
      </c>
      <c r="G5657" s="19" t="n">
        <v>0.0731</v>
      </c>
    </row>
    <row r="5658" customFormat="false" ht="15" hidden="false" customHeight="false" outlineLevel="0" collapsed="false">
      <c r="A5658" s="28" t="s">
        <v>210</v>
      </c>
      <c r="B5658" s="28" t="s">
        <v>211</v>
      </c>
      <c r="C5658" s="28" t="s">
        <v>209</v>
      </c>
      <c r="D5658" s="23" t="n">
        <v>17</v>
      </c>
      <c r="E5658" s="23" t="n">
        <v>4</v>
      </c>
      <c r="F5658" s="28" t="s">
        <v>904</v>
      </c>
      <c r="G5658" s="19" t="n">
        <v>0.040467</v>
      </c>
    </row>
    <row r="5659" customFormat="false" ht="15" hidden="false" customHeight="false" outlineLevel="0" collapsed="false">
      <c r="A5659" s="28" t="s">
        <v>210</v>
      </c>
      <c r="B5659" s="28" t="s">
        <v>211</v>
      </c>
      <c r="C5659" s="28" t="s">
        <v>209</v>
      </c>
      <c r="D5659" s="23" t="n">
        <v>17</v>
      </c>
      <c r="E5659" s="23" t="n">
        <v>4</v>
      </c>
      <c r="F5659" s="28" t="s">
        <v>551</v>
      </c>
      <c r="G5659" s="19" t="n">
        <v>0.071667</v>
      </c>
    </row>
    <row r="5660" customFormat="false" ht="15" hidden="false" customHeight="false" outlineLevel="0" collapsed="false">
      <c r="A5660" s="28" t="s">
        <v>210</v>
      </c>
      <c r="B5660" s="28" t="s">
        <v>211</v>
      </c>
      <c r="C5660" s="28" t="s">
        <v>209</v>
      </c>
      <c r="D5660" s="23" t="n">
        <v>17</v>
      </c>
      <c r="E5660" s="23" t="n">
        <v>4</v>
      </c>
      <c r="F5660" s="28" t="s">
        <v>451</v>
      </c>
      <c r="G5660" s="19" t="n">
        <v>0.040267</v>
      </c>
    </row>
    <row r="5661" customFormat="false" ht="15" hidden="false" customHeight="false" outlineLevel="0" collapsed="false">
      <c r="A5661" s="28" t="s">
        <v>210</v>
      </c>
      <c r="B5661" s="28" t="s">
        <v>211</v>
      </c>
      <c r="C5661" s="28" t="s">
        <v>209</v>
      </c>
      <c r="D5661" s="23" t="n">
        <v>17</v>
      </c>
      <c r="E5661" s="23" t="n">
        <v>4</v>
      </c>
      <c r="F5661" s="28" t="s">
        <v>905</v>
      </c>
      <c r="G5661" s="19" t="n">
        <v>0.044167</v>
      </c>
    </row>
    <row r="5662" customFormat="false" ht="15" hidden="false" customHeight="false" outlineLevel="0" collapsed="false">
      <c r="A5662" s="28" t="s">
        <v>210</v>
      </c>
      <c r="B5662" s="28" t="s">
        <v>211</v>
      </c>
      <c r="C5662" s="28" t="s">
        <v>209</v>
      </c>
      <c r="D5662" s="23" t="n">
        <v>17</v>
      </c>
      <c r="E5662" s="23" t="n">
        <v>4</v>
      </c>
      <c r="F5662" s="28" t="s">
        <v>906</v>
      </c>
      <c r="G5662" s="19" t="n">
        <v>0.045238</v>
      </c>
    </row>
    <row r="5663" customFormat="false" ht="15" hidden="false" customHeight="false" outlineLevel="0" collapsed="false">
      <c r="A5663" s="28" t="s">
        <v>210</v>
      </c>
      <c r="B5663" s="28" t="s">
        <v>211</v>
      </c>
      <c r="C5663" s="28" t="s">
        <v>209</v>
      </c>
      <c r="D5663" s="23" t="n">
        <v>17</v>
      </c>
      <c r="E5663" s="23" t="n">
        <v>4</v>
      </c>
      <c r="F5663" s="28" t="s">
        <v>907</v>
      </c>
      <c r="G5663" s="19" t="n">
        <v>0.04738</v>
      </c>
    </row>
    <row r="5664" customFormat="false" ht="15" hidden="false" customHeight="false" outlineLevel="0" collapsed="false">
      <c r="A5664" s="28" t="s">
        <v>210</v>
      </c>
      <c r="B5664" s="28" t="s">
        <v>211</v>
      </c>
      <c r="C5664" s="28" t="s">
        <v>209</v>
      </c>
      <c r="D5664" s="23" t="n">
        <v>17</v>
      </c>
      <c r="E5664" s="23" t="n">
        <v>4</v>
      </c>
      <c r="F5664" s="28" t="s">
        <v>908</v>
      </c>
      <c r="G5664" s="19" t="n">
        <v>0.050365</v>
      </c>
    </row>
    <row r="5665" customFormat="false" ht="15" hidden="false" customHeight="false" outlineLevel="0" collapsed="false">
      <c r="A5665" s="28" t="s">
        <v>210</v>
      </c>
      <c r="B5665" s="28" t="s">
        <v>211</v>
      </c>
      <c r="C5665" s="28" t="s">
        <v>209</v>
      </c>
      <c r="D5665" s="23" t="n">
        <v>17</v>
      </c>
      <c r="E5665" s="23" t="n">
        <v>4</v>
      </c>
      <c r="F5665" s="28" t="s">
        <v>909</v>
      </c>
      <c r="G5665" s="19" t="n">
        <v>0.05115</v>
      </c>
    </row>
    <row r="5666" customFormat="false" ht="15" hidden="false" customHeight="false" outlineLevel="0" collapsed="false">
      <c r="A5666" s="28" t="s">
        <v>210</v>
      </c>
      <c r="B5666" s="28" t="s">
        <v>211</v>
      </c>
      <c r="C5666" s="28" t="s">
        <v>209</v>
      </c>
      <c r="D5666" s="23" t="n">
        <v>17</v>
      </c>
      <c r="E5666" s="23" t="n">
        <v>4</v>
      </c>
      <c r="F5666" s="28" t="s">
        <v>910</v>
      </c>
      <c r="G5666" s="19" t="n">
        <v>0.05172</v>
      </c>
    </row>
    <row r="5667" customFormat="false" ht="15" hidden="false" customHeight="false" outlineLevel="0" collapsed="false">
      <c r="A5667" s="28" t="s">
        <v>210</v>
      </c>
      <c r="B5667" s="28" t="s">
        <v>211</v>
      </c>
      <c r="C5667" s="28" t="s">
        <v>209</v>
      </c>
      <c r="D5667" s="23" t="n">
        <v>17</v>
      </c>
      <c r="E5667" s="23" t="n">
        <v>4</v>
      </c>
      <c r="F5667" s="28" t="s">
        <v>911</v>
      </c>
      <c r="G5667" s="19" t="n">
        <v>0.05249</v>
      </c>
    </row>
    <row r="5668" customFormat="false" ht="15" hidden="false" customHeight="false" outlineLevel="0" collapsed="false">
      <c r="A5668" s="28" t="s">
        <v>210</v>
      </c>
      <c r="B5668" s="28" t="s">
        <v>211</v>
      </c>
      <c r="C5668" s="28" t="s">
        <v>209</v>
      </c>
      <c r="D5668" s="23" t="n">
        <v>17</v>
      </c>
      <c r="E5668" s="23" t="n">
        <v>4</v>
      </c>
      <c r="F5668" s="28" t="s">
        <v>912</v>
      </c>
      <c r="G5668" s="19" t="n">
        <v>0.053144</v>
      </c>
    </row>
    <row r="5669" customFormat="false" ht="15" hidden="false" customHeight="false" outlineLevel="0" collapsed="false">
      <c r="A5669" s="28" t="s">
        <v>210</v>
      </c>
      <c r="B5669" s="28" t="s">
        <v>211</v>
      </c>
      <c r="C5669" s="28" t="s">
        <v>209</v>
      </c>
      <c r="D5669" s="23" t="n">
        <v>17</v>
      </c>
      <c r="E5669" s="23" t="n">
        <v>4</v>
      </c>
      <c r="F5669" s="28" t="s">
        <v>913</v>
      </c>
      <c r="G5669" s="19" t="n">
        <v>0.056944</v>
      </c>
    </row>
    <row r="5670" customFormat="false" ht="15" hidden="false" customHeight="false" outlineLevel="0" collapsed="false">
      <c r="A5670" s="28" t="s">
        <v>210</v>
      </c>
      <c r="B5670" s="28" t="s">
        <v>211</v>
      </c>
      <c r="C5670" s="28" t="s">
        <v>209</v>
      </c>
      <c r="D5670" s="23" t="n">
        <v>17</v>
      </c>
      <c r="E5670" s="23" t="n">
        <v>4</v>
      </c>
      <c r="F5670" s="28" t="s">
        <v>914</v>
      </c>
      <c r="G5670" s="19" t="n">
        <v>0.056444</v>
      </c>
    </row>
    <row r="5671" customFormat="false" ht="15" hidden="false" customHeight="false" outlineLevel="0" collapsed="false">
      <c r="A5671" s="28" t="s">
        <v>210</v>
      </c>
      <c r="B5671" s="28" t="s">
        <v>211</v>
      </c>
      <c r="C5671" s="28" t="s">
        <v>209</v>
      </c>
      <c r="D5671" s="23" t="n">
        <v>17</v>
      </c>
      <c r="E5671" s="23" t="n">
        <v>4</v>
      </c>
      <c r="F5671" s="28" t="s">
        <v>915</v>
      </c>
      <c r="G5671" s="19" t="n">
        <v>0.073644</v>
      </c>
    </row>
    <row r="5672" customFormat="false" ht="15" hidden="false" customHeight="false" outlineLevel="0" collapsed="false">
      <c r="A5672" s="28" t="s">
        <v>210</v>
      </c>
      <c r="B5672" s="28" t="s">
        <v>211</v>
      </c>
      <c r="C5672" s="28" t="s">
        <v>209</v>
      </c>
      <c r="D5672" s="23" t="n">
        <v>17</v>
      </c>
      <c r="E5672" s="23" t="n">
        <v>5</v>
      </c>
      <c r="F5672" s="28" t="s">
        <v>904</v>
      </c>
      <c r="G5672" s="19" t="n">
        <v>0.042133</v>
      </c>
    </row>
    <row r="5673" customFormat="false" ht="15" hidden="false" customHeight="false" outlineLevel="0" collapsed="false">
      <c r="A5673" s="28" t="s">
        <v>210</v>
      </c>
      <c r="B5673" s="28" t="s">
        <v>211</v>
      </c>
      <c r="C5673" s="28" t="s">
        <v>209</v>
      </c>
      <c r="D5673" s="23" t="n">
        <v>17</v>
      </c>
      <c r="E5673" s="23" t="n">
        <v>5</v>
      </c>
      <c r="F5673" s="28" t="s">
        <v>551</v>
      </c>
      <c r="G5673" s="19" t="n">
        <v>0.073333</v>
      </c>
    </row>
    <row r="5674" customFormat="false" ht="15" hidden="false" customHeight="false" outlineLevel="0" collapsed="false">
      <c r="A5674" s="28" t="s">
        <v>210</v>
      </c>
      <c r="B5674" s="28" t="s">
        <v>211</v>
      </c>
      <c r="C5674" s="28" t="s">
        <v>209</v>
      </c>
      <c r="D5674" s="23" t="n">
        <v>17</v>
      </c>
      <c r="E5674" s="23" t="n">
        <v>5</v>
      </c>
      <c r="F5674" s="28" t="s">
        <v>451</v>
      </c>
      <c r="G5674" s="19" t="n">
        <v>0.041933</v>
      </c>
    </row>
    <row r="5675" customFormat="false" ht="15" hidden="false" customHeight="false" outlineLevel="0" collapsed="false">
      <c r="A5675" s="28" t="s">
        <v>210</v>
      </c>
      <c r="B5675" s="28" t="s">
        <v>211</v>
      </c>
      <c r="C5675" s="28" t="s">
        <v>209</v>
      </c>
      <c r="D5675" s="23" t="n">
        <v>17</v>
      </c>
      <c r="E5675" s="23" t="n">
        <v>5</v>
      </c>
      <c r="F5675" s="28" t="s">
        <v>905</v>
      </c>
      <c r="G5675" s="19" t="n">
        <v>0.045833</v>
      </c>
    </row>
    <row r="5676" customFormat="false" ht="15" hidden="false" customHeight="false" outlineLevel="0" collapsed="false">
      <c r="A5676" s="28" t="s">
        <v>210</v>
      </c>
      <c r="B5676" s="28" t="s">
        <v>211</v>
      </c>
      <c r="C5676" s="28" t="s">
        <v>209</v>
      </c>
      <c r="D5676" s="23" t="n">
        <v>17</v>
      </c>
      <c r="E5676" s="23" t="n">
        <v>5</v>
      </c>
      <c r="F5676" s="28" t="s">
        <v>906</v>
      </c>
      <c r="G5676" s="19" t="n">
        <v>0.046876</v>
      </c>
    </row>
    <row r="5677" customFormat="false" ht="15" hidden="false" customHeight="false" outlineLevel="0" collapsed="false">
      <c r="A5677" s="28" t="s">
        <v>210</v>
      </c>
      <c r="B5677" s="28" t="s">
        <v>211</v>
      </c>
      <c r="C5677" s="28" t="s">
        <v>209</v>
      </c>
      <c r="D5677" s="23" t="n">
        <v>17</v>
      </c>
      <c r="E5677" s="23" t="n">
        <v>5</v>
      </c>
      <c r="F5677" s="28" t="s">
        <v>907</v>
      </c>
      <c r="G5677" s="19" t="n">
        <v>0.048961</v>
      </c>
    </row>
    <row r="5678" customFormat="false" ht="15" hidden="false" customHeight="false" outlineLevel="0" collapsed="false">
      <c r="A5678" s="28" t="s">
        <v>210</v>
      </c>
      <c r="B5678" s="28" t="s">
        <v>211</v>
      </c>
      <c r="C5678" s="28" t="s">
        <v>209</v>
      </c>
      <c r="D5678" s="23" t="n">
        <v>17</v>
      </c>
      <c r="E5678" s="23" t="n">
        <v>5</v>
      </c>
      <c r="F5678" s="28" t="s">
        <v>908</v>
      </c>
      <c r="G5678" s="19" t="n">
        <v>0.05183</v>
      </c>
    </row>
    <row r="5679" customFormat="false" ht="15" hidden="false" customHeight="false" outlineLevel="0" collapsed="false">
      <c r="A5679" s="28" t="s">
        <v>210</v>
      </c>
      <c r="B5679" s="28" t="s">
        <v>211</v>
      </c>
      <c r="C5679" s="28" t="s">
        <v>209</v>
      </c>
      <c r="D5679" s="23" t="n">
        <v>17</v>
      </c>
      <c r="E5679" s="23" t="n">
        <v>5</v>
      </c>
      <c r="F5679" s="28" t="s">
        <v>909</v>
      </c>
      <c r="G5679" s="19" t="n">
        <v>0.0525</v>
      </c>
    </row>
    <row r="5680" customFormat="false" ht="15" hidden="false" customHeight="false" outlineLevel="0" collapsed="false">
      <c r="A5680" s="28" t="s">
        <v>210</v>
      </c>
      <c r="B5680" s="28" t="s">
        <v>211</v>
      </c>
      <c r="C5680" s="28" t="s">
        <v>209</v>
      </c>
      <c r="D5680" s="23" t="n">
        <v>17</v>
      </c>
      <c r="E5680" s="23" t="n">
        <v>5</v>
      </c>
      <c r="F5680" s="28" t="s">
        <v>910</v>
      </c>
      <c r="G5680" s="19" t="n">
        <v>0.05284</v>
      </c>
    </row>
    <row r="5681" customFormat="false" ht="15" hidden="false" customHeight="false" outlineLevel="0" collapsed="false">
      <c r="A5681" s="28" t="s">
        <v>210</v>
      </c>
      <c r="B5681" s="28" t="s">
        <v>211</v>
      </c>
      <c r="C5681" s="28" t="s">
        <v>209</v>
      </c>
      <c r="D5681" s="23" t="n">
        <v>17</v>
      </c>
      <c r="E5681" s="23" t="n">
        <v>5</v>
      </c>
      <c r="F5681" s="28" t="s">
        <v>911</v>
      </c>
      <c r="G5681" s="19" t="n">
        <v>0.053379</v>
      </c>
    </row>
    <row r="5682" customFormat="false" ht="15" hidden="false" customHeight="false" outlineLevel="0" collapsed="false">
      <c r="A5682" s="28" t="s">
        <v>210</v>
      </c>
      <c r="B5682" s="28" t="s">
        <v>211</v>
      </c>
      <c r="C5682" s="28" t="s">
        <v>209</v>
      </c>
      <c r="D5682" s="23" t="n">
        <v>17</v>
      </c>
      <c r="E5682" s="23" t="n">
        <v>5</v>
      </c>
      <c r="F5682" s="28" t="s">
        <v>912</v>
      </c>
      <c r="G5682" s="19" t="n">
        <v>0.053689</v>
      </c>
    </row>
    <row r="5683" customFormat="false" ht="15" hidden="false" customHeight="false" outlineLevel="0" collapsed="false">
      <c r="A5683" s="28" t="s">
        <v>210</v>
      </c>
      <c r="B5683" s="28" t="s">
        <v>211</v>
      </c>
      <c r="C5683" s="28" t="s">
        <v>209</v>
      </c>
      <c r="D5683" s="23" t="n">
        <v>17</v>
      </c>
      <c r="E5683" s="23" t="n">
        <v>5</v>
      </c>
      <c r="F5683" s="28" t="s">
        <v>913</v>
      </c>
      <c r="G5683" s="19" t="n">
        <v>0.057489</v>
      </c>
    </row>
    <row r="5684" customFormat="false" ht="15" hidden="false" customHeight="false" outlineLevel="0" collapsed="false">
      <c r="A5684" s="28" t="s">
        <v>210</v>
      </c>
      <c r="B5684" s="28" t="s">
        <v>211</v>
      </c>
      <c r="C5684" s="28" t="s">
        <v>209</v>
      </c>
      <c r="D5684" s="23" t="n">
        <v>17</v>
      </c>
      <c r="E5684" s="23" t="n">
        <v>5</v>
      </c>
      <c r="F5684" s="28" t="s">
        <v>914</v>
      </c>
      <c r="G5684" s="19" t="n">
        <v>0.056989</v>
      </c>
    </row>
    <row r="5685" customFormat="false" ht="15" hidden="false" customHeight="false" outlineLevel="0" collapsed="false">
      <c r="A5685" s="28" t="s">
        <v>210</v>
      </c>
      <c r="B5685" s="28" t="s">
        <v>211</v>
      </c>
      <c r="C5685" s="28" t="s">
        <v>209</v>
      </c>
      <c r="D5685" s="23" t="n">
        <v>17</v>
      </c>
      <c r="E5685" s="23" t="n">
        <v>5</v>
      </c>
      <c r="F5685" s="28" t="s">
        <v>915</v>
      </c>
      <c r="G5685" s="19" t="n">
        <v>0.074189</v>
      </c>
    </row>
    <row r="5686" customFormat="false" ht="15" hidden="false" customHeight="false" outlineLevel="0" collapsed="false">
      <c r="A5686" s="28" t="s">
        <v>210</v>
      </c>
      <c r="B5686" s="28" t="s">
        <v>211</v>
      </c>
      <c r="C5686" s="28" t="s">
        <v>209</v>
      </c>
      <c r="D5686" s="23" t="n">
        <v>17</v>
      </c>
      <c r="E5686" s="23" t="n">
        <v>6</v>
      </c>
      <c r="F5686" s="28" t="s">
        <v>904</v>
      </c>
      <c r="G5686" s="19" t="n">
        <v>0.0438</v>
      </c>
    </row>
    <row r="5687" customFormat="false" ht="15" hidden="false" customHeight="false" outlineLevel="0" collapsed="false">
      <c r="A5687" s="28" t="s">
        <v>210</v>
      </c>
      <c r="B5687" s="28" t="s">
        <v>211</v>
      </c>
      <c r="C5687" s="28" t="s">
        <v>209</v>
      </c>
      <c r="D5687" s="23" t="n">
        <v>17</v>
      </c>
      <c r="E5687" s="23" t="n">
        <v>6</v>
      </c>
      <c r="F5687" s="28" t="s">
        <v>551</v>
      </c>
      <c r="G5687" s="19" t="n">
        <v>0.075</v>
      </c>
    </row>
    <row r="5688" customFormat="false" ht="15" hidden="false" customHeight="false" outlineLevel="0" collapsed="false">
      <c r="A5688" s="28" t="s">
        <v>210</v>
      </c>
      <c r="B5688" s="28" t="s">
        <v>211</v>
      </c>
      <c r="C5688" s="28" t="s">
        <v>209</v>
      </c>
      <c r="D5688" s="23" t="n">
        <v>17</v>
      </c>
      <c r="E5688" s="23" t="n">
        <v>6</v>
      </c>
      <c r="F5688" s="28" t="s">
        <v>451</v>
      </c>
      <c r="G5688" s="19" t="n">
        <v>0.0436</v>
      </c>
    </row>
    <row r="5689" customFormat="false" ht="15" hidden="false" customHeight="false" outlineLevel="0" collapsed="false">
      <c r="A5689" s="28" t="s">
        <v>210</v>
      </c>
      <c r="B5689" s="28" t="s">
        <v>211</v>
      </c>
      <c r="C5689" s="28" t="s">
        <v>209</v>
      </c>
      <c r="D5689" s="23" t="n">
        <v>17</v>
      </c>
      <c r="E5689" s="23" t="n">
        <v>6</v>
      </c>
      <c r="F5689" s="28" t="s">
        <v>905</v>
      </c>
      <c r="G5689" s="19" t="n">
        <v>0.0475</v>
      </c>
    </row>
    <row r="5690" customFormat="false" ht="15" hidden="false" customHeight="false" outlineLevel="0" collapsed="false">
      <c r="A5690" s="28" t="s">
        <v>210</v>
      </c>
      <c r="B5690" s="28" t="s">
        <v>211</v>
      </c>
      <c r="C5690" s="28" t="s">
        <v>209</v>
      </c>
      <c r="D5690" s="23" t="n">
        <v>17</v>
      </c>
      <c r="E5690" s="23" t="n">
        <v>6</v>
      </c>
      <c r="F5690" s="28" t="s">
        <v>906</v>
      </c>
      <c r="G5690" s="19" t="n">
        <v>0.048514</v>
      </c>
    </row>
    <row r="5691" customFormat="false" ht="15" hidden="false" customHeight="false" outlineLevel="0" collapsed="false">
      <c r="A5691" s="28" t="s">
        <v>210</v>
      </c>
      <c r="B5691" s="28" t="s">
        <v>211</v>
      </c>
      <c r="C5691" s="28" t="s">
        <v>209</v>
      </c>
      <c r="D5691" s="23" t="n">
        <v>17</v>
      </c>
      <c r="E5691" s="23" t="n">
        <v>6</v>
      </c>
      <c r="F5691" s="28" t="s">
        <v>907</v>
      </c>
      <c r="G5691" s="19" t="n">
        <v>0.050541</v>
      </c>
    </row>
    <row r="5692" customFormat="false" ht="15" hidden="false" customHeight="false" outlineLevel="0" collapsed="false">
      <c r="A5692" s="28" t="s">
        <v>210</v>
      </c>
      <c r="B5692" s="28" t="s">
        <v>211</v>
      </c>
      <c r="C5692" s="28" t="s">
        <v>209</v>
      </c>
      <c r="D5692" s="23" t="n">
        <v>17</v>
      </c>
      <c r="E5692" s="23" t="n">
        <v>6</v>
      </c>
      <c r="F5692" s="28" t="s">
        <v>908</v>
      </c>
      <c r="G5692" s="19" t="n">
        <v>0.053296</v>
      </c>
    </row>
    <row r="5693" customFormat="false" ht="15" hidden="false" customHeight="false" outlineLevel="0" collapsed="false">
      <c r="A5693" s="28" t="s">
        <v>210</v>
      </c>
      <c r="B5693" s="28" t="s">
        <v>211</v>
      </c>
      <c r="C5693" s="28" t="s">
        <v>209</v>
      </c>
      <c r="D5693" s="23" t="n">
        <v>17</v>
      </c>
      <c r="E5693" s="23" t="n">
        <v>6</v>
      </c>
      <c r="F5693" s="28" t="s">
        <v>909</v>
      </c>
      <c r="G5693" s="19" t="n">
        <v>0.05385</v>
      </c>
    </row>
    <row r="5694" customFormat="false" ht="15" hidden="false" customHeight="false" outlineLevel="0" collapsed="false">
      <c r="A5694" s="28" t="s">
        <v>210</v>
      </c>
      <c r="B5694" s="28" t="s">
        <v>211</v>
      </c>
      <c r="C5694" s="28" t="s">
        <v>209</v>
      </c>
      <c r="D5694" s="23" t="n">
        <v>17</v>
      </c>
      <c r="E5694" s="23" t="n">
        <v>6</v>
      </c>
      <c r="F5694" s="28" t="s">
        <v>910</v>
      </c>
      <c r="G5694" s="19" t="n">
        <v>0.05396</v>
      </c>
    </row>
    <row r="5695" customFormat="false" ht="15" hidden="false" customHeight="false" outlineLevel="0" collapsed="false">
      <c r="A5695" s="28" t="s">
        <v>210</v>
      </c>
      <c r="B5695" s="28" t="s">
        <v>211</v>
      </c>
      <c r="C5695" s="28" t="s">
        <v>209</v>
      </c>
      <c r="D5695" s="23" t="n">
        <v>17</v>
      </c>
      <c r="E5695" s="23" t="n">
        <v>6</v>
      </c>
      <c r="F5695" s="28" t="s">
        <v>911</v>
      </c>
      <c r="G5695" s="19" t="n">
        <v>0.054269</v>
      </c>
    </row>
    <row r="5696" customFormat="false" ht="15" hidden="false" customHeight="false" outlineLevel="0" collapsed="false">
      <c r="A5696" s="28" t="s">
        <v>210</v>
      </c>
      <c r="B5696" s="28" t="s">
        <v>211</v>
      </c>
      <c r="C5696" s="28" t="s">
        <v>209</v>
      </c>
      <c r="D5696" s="23" t="n">
        <v>17</v>
      </c>
      <c r="E5696" s="23" t="n">
        <v>6</v>
      </c>
      <c r="F5696" s="28" t="s">
        <v>912</v>
      </c>
      <c r="G5696" s="19" t="n">
        <v>0.054233</v>
      </c>
    </row>
    <row r="5697" customFormat="false" ht="15" hidden="false" customHeight="false" outlineLevel="0" collapsed="false">
      <c r="A5697" s="28" t="s">
        <v>210</v>
      </c>
      <c r="B5697" s="28" t="s">
        <v>211</v>
      </c>
      <c r="C5697" s="28" t="s">
        <v>209</v>
      </c>
      <c r="D5697" s="23" t="n">
        <v>17</v>
      </c>
      <c r="E5697" s="23" t="n">
        <v>6</v>
      </c>
      <c r="F5697" s="28" t="s">
        <v>913</v>
      </c>
      <c r="G5697" s="19" t="n">
        <v>0.058033</v>
      </c>
    </row>
    <row r="5698" customFormat="false" ht="15" hidden="false" customHeight="false" outlineLevel="0" collapsed="false">
      <c r="A5698" s="28" t="s">
        <v>210</v>
      </c>
      <c r="B5698" s="28" t="s">
        <v>211</v>
      </c>
      <c r="C5698" s="28" t="s">
        <v>209</v>
      </c>
      <c r="D5698" s="23" t="n">
        <v>17</v>
      </c>
      <c r="E5698" s="23" t="n">
        <v>6</v>
      </c>
      <c r="F5698" s="28" t="s">
        <v>914</v>
      </c>
      <c r="G5698" s="19" t="n">
        <v>0.057533</v>
      </c>
    </row>
    <row r="5699" customFormat="false" ht="15" hidden="false" customHeight="false" outlineLevel="0" collapsed="false">
      <c r="A5699" s="28" t="s">
        <v>210</v>
      </c>
      <c r="B5699" s="28" t="s">
        <v>211</v>
      </c>
      <c r="C5699" s="28" t="s">
        <v>209</v>
      </c>
      <c r="D5699" s="23" t="n">
        <v>17</v>
      </c>
      <c r="E5699" s="23" t="n">
        <v>6</v>
      </c>
      <c r="F5699" s="28" t="s">
        <v>915</v>
      </c>
      <c r="G5699" s="19" t="n">
        <v>0.074733</v>
      </c>
    </row>
    <row r="5700" customFormat="false" ht="15" hidden="false" customHeight="false" outlineLevel="0" collapsed="false">
      <c r="A5700" s="28" t="s">
        <v>210</v>
      </c>
      <c r="B5700" s="28" t="s">
        <v>211</v>
      </c>
      <c r="C5700" s="28" t="s">
        <v>209</v>
      </c>
      <c r="D5700" s="23" t="n">
        <v>17</v>
      </c>
      <c r="E5700" s="23" t="n">
        <v>7</v>
      </c>
      <c r="F5700" s="28" t="s">
        <v>904</v>
      </c>
      <c r="G5700" s="19" t="n">
        <v>0.0438</v>
      </c>
    </row>
    <row r="5701" customFormat="false" ht="15" hidden="false" customHeight="false" outlineLevel="0" collapsed="false">
      <c r="A5701" s="28" t="s">
        <v>210</v>
      </c>
      <c r="B5701" s="28" t="s">
        <v>211</v>
      </c>
      <c r="C5701" s="28" t="s">
        <v>209</v>
      </c>
      <c r="D5701" s="23" t="n">
        <v>17</v>
      </c>
      <c r="E5701" s="23" t="n">
        <v>7</v>
      </c>
      <c r="F5701" s="28" t="s">
        <v>551</v>
      </c>
      <c r="G5701" s="19" t="n">
        <v>0.075</v>
      </c>
    </row>
    <row r="5702" customFormat="false" ht="15" hidden="false" customHeight="false" outlineLevel="0" collapsed="false">
      <c r="A5702" s="28" t="s">
        <v>210</v>
      </c>
      <c r="B5702" s="28" t="s">
        <v>211</v>
      </c>
      <c r="C5702" s="28" t="s">
        <v>209</v>
      </c>
      <c r="D5702" s="23" t="n">
        <v>17</v>
      </c>
      <c r="E5702" s="23" t="n">
        <v>7</v>
      </c>
      <c r="F5702" s="28" t="s">
        <v>451</v>
      </c>
      <c r="G5702" s="19" t="n">
        <v>0.0436</v>
      </c>
    </row>
    <row r="5703" customFormat="false" ht="15" hidden="false" customHeight="false" outlineLevel="0" collapsed="false">
      <c r="A5703" s="28" t="s">
        <v>210</v>
      </c>
      <c r="B5703" s="28" t="s">
        <v>211</v>
      </c>
      <c r="C5703" s="28" t="s">
        <v>209</v>
      </c>
      <c r="D5703" s="23" t="n">
        <v>17</v>
      </c>
      <c r="E5703" s="23" t="n">
        <v>7</v>
      </c>
      <c r="F5703" s="28" t="s">
        <v>905</v>
      </c>
      <c r="G5703" s="19" t="n">
        <v>0.0475</v>
      </c>
    </row>
    <row r="5704" customFormat="false" ht="15" hidden="false" customHeight="false" outlineLevel="0" collapsed="false">
      <c r="A5704" s="28" t="s">
        <v>210</v>
      </c>
      <c r="B5704" s="28" t="s">
        <v>211</v>
      </c>
      <c r="C5704" s="28" t="s">
        <v>209</v>
      </c>
      <c r="D5704" s="23" t="n">
        <v>17</v>
      </c>
      <c r="E5704" s="23" t="n">
        <v>7</v>
      </c>
      <c r="F5704" s="28" t="s">
        <v>906</v>
      </c>
      <c r="G5704" s="19" t="n">
        <v>0.048528</v>
      </c>
    </row>
    <row r="5705" customFormat="false" ht="15" hidden="false" customHeight="false" outlineLevel="0" collapsed="false">
      <c r="A5705" s="28" t="s">
        <v>210</v>
      </c>
      <c r="B5705" s="28" t="s">
        <v>211</v>
      </c>
      <c r="C5705" s="28" t="s">
        <v>209</v>
      </c>
      <c r="D5705" s="23" t="n">
        <v>17</v>
      </c>
      <c r="E5705" s="23" t="n">
        <v>7</v>
      </c>
      <c r="F5705" s="28" t="s">
        <v>907</v>
      </c>
      <c r="G5705" s="19" t="n">
        <v>0.050583</v>
      </c>
    </row>
    <row r="5706" customFormat="false" ht="15" hidden="false" customHeight="false" outlineLevel="0" collapsed="false">
      <c r="A5706" s="28" t="s">
        <v>210</v>
      </c>
      <c r="B5706" s="28" t="s">
        <v>211</v>
      </c>
      <c r="C5706" s="28" t="s">
        <v>209</v>
      </c>
      <c r="D5706" s="23" t="n">
        <v>17</v>
      </c>
      <c r="E5706" s="23" t="n">
        <v>7</v>
      </c>
      <c r="F5706" s="28" t="s">
        <v>908</v>
      </c>
      <c r="G5706" s="19" t="n">
        <v>0.053393</v>
      </c>
    </row>
    <row r="5707" customFormat="false" ht="15" hidden="false" customHeight="false" outlineLevel="0" collapsed="false">
      <c r="A5707" s="28" t="s">
        <v>210</v>
      </c>
      <c r="B5707" s="28" t="s">
        <v>211</v>
      </c>
      <c r="C5707" s="28" t="s">
        <v>209</v>
      </c>
      <c r="D5707" s="23" t="n">
        <v>17</v>
      </c>
      <c r="E5707" s="23" t="n">
        <v>7</v>
      </c>
      <c r="F5707" s="28" t="s">
        <v>909</v>
      </c>
      <c r="G5707" s="19" t="n">
        <v>0.054004</v>
      </c>
    </row>
    <row r="5708" customFormat="false" ht="15" hidden="false" customHeight="false" outlineLevel="0" collapsed="false">
      <c r="A5708" s="28" t="s">
        <v>210</v>
      </c>
      <c r="B5708" s="28" t="s">
        <v>211</v>
      </c>
      <c r="C5708" s="28" t="s">
        <v>209</v>
      </c>
      <c r="D5708" s="23" t="n">
        <v>17</v>
      </c>
      <c r="E5708" s="23" t="n">
        <v>7</v>
      </c>
      <c r="F5708" s="28" t="s">
        <v>910</v>
      </c>
      <c r="G5708" s="19" t="n">
        <v>0.054225</v>
      </c>
    </row>
    <row r="5709" customFormat="false" ht="15" hidden="false" customHeight="false" outlineLevel="0" collapsed="false">
      <c r="A5709" s="28" t="s">
        <v>210</v>
      </c>
      <c r="B5709" s="28" t="s">
        <v>211</v>
      </c>
      <c r="C5709" s="28" t="s">
        <v>209</v>
      </c>
      <c r="D5709" s="23" t="n">
        <v>17</v>
      </c>
      <c r="E5709" s="23" t="n">
        <v>7</v>
      </c>
      <c r="F5709" s="28" t="s">
        <v>911</v>
      </c>
      <c r="G5709" s="19" t="n">
        <v>0.054646</v>
      </c>
    </row>
    <row r="5710" customFormat="false" ht="15" hidden="false" customHeight="false" outlineLevel="0" collapsed="false">
      <c r="A5710" s="28" t="s">
        <v>210</v>
      </c>
      <c r="B5710" s="28" t="s">
        <v>211</v>
      </c>
      <c r="C5710" s="28" t="s">
        <v>209</v>
      </c>
      <c r="D5710" s="23" t="n">
        <v>17</v>
      </c>
      <c r="E5710" s="23" t="n">
        <v>7</v>
      </c>
      <c r="F5710" s="28" t="s">
        <v>912</v>
      </c>
      <c r="G5710" s="19" t="n">
        <v>0.054778</v>
      </c>
    </row>
    <row r="5711" customFormat="false" ht="15" hidden="false" customHeight="false" outlineLevel="0" collapsed="false">
      <c r="A5711" s="28" t="s">
        <v>210</v>
      </c>
      <c r="B5711" s="28" t="s">
        <v>211</v>
      </c>
      <c r="C5711" s="28" t="s">
        <v>209</v>
      </c>
      <c r="D5711" s="23" t="n">
        <v>17</v>
      </c>
      <c r="E5711" s="23" t="n">
        <v>7</v>
      </c>
      <c r="F5711" s="28" t="s">
        <v>913</v>
      </c>
      <c r="G5711" s="19" t="n">
        <v>0.058578</v>
      </c>
    </row>
    <row r="5712" customFormat="false" ht="15" hidden="false" customHeight="false" outlineLevel="0" collapsed="false">
      <c r="A5712" s="28" t="s">
        <v>210</v>
      </c>
      <c r="B5712" s="28" t="s">
        <v>211</v>
      </c>
      <c r="C5712" s="28" t="s">
        <v>209</v>
      </c>
      <c r="D5712" s="23" t="n">
        <v>17</v>
      </c>
      <c r="E5712" s="23" t="n">
        <v>7</v>
      </c>
      <c r="F5712" s="28" t="s">
        <v>914</v>
      </c>
      <c r="G5712" s="19" t="n">
        <v>0.058078</v>
      </c>
    </row>
    <row r="5713" customFormat="false" ht="15" hidden="false" customHeight="false" outlineLevel="0" collapsed="false">
      <c r="A5713" s="28" t="s">
        <v>210</v>
      </c>
      <c r="B5713" s="28" t="s">
        <v>211</v>
      </c>
      <c r="C5713" s="28" t="s">
        <v>209</v>
      </c>
      <c r="D5713" s="23" t="n">
        <v>17</v>
      </c>
      <c r="E5713" s="23" t="n">
        <v>7</v>
      </c>
      <c r="F5713" s="28" t="s">
        <v>915</v>
      </c>
      <c r="G5713" s="19" t="n">
        <v>0.075278</v>
      </c>
    </row>
    <row r="5714" customFormat="false" ht="15" hidden="false" customHeight="false" outlineLevel="0" collapsed="false">
      <c r="A5714" s="28" t="s">
        <v>210</v>
      </c>
      <c r="B5714" s="28" t="s">
        <v>211</v>
      </c>
      <c r="C5714" s="28" t="s">
        <v>209</v>
      </c>
      <c r="D5714" s="23" t="n">
        <v>17</v>
      </c>
      <c r="E5714" s="23" t="n">
        <v>8</v>
      </c>
      <c r="F5714" s="28" t="s">
        <v>904</v>
      </c>
      <c r="G5714" s="19" t="n">
        <v>0.0438</v>
      </c>
    </row>
    <row r="5715" customFormat="false" ht="15" hidden="false" customHeight="false" outlineLevel="0" collapsed="false">
      <c r="A5715" s="28" t="s">
        <v>210</v>
      </c>
      <c r="B5715" s="28" t="s">
        <v>211</v>
      </c>
      <c r="C5715" s="28" t="s">
        <v>209</v>
      </c>
      <c r="D5715" s="23" t="n">
        <v>17</v>
      </c>
      <c r="E5715" s="23" t="n">
        <v>8</v>
      </c>
      <c r="F5715" s="28" t="s">
        <v>551</v>
      </c>
      <c r="G5715" s="19" t="n">
        <v>0.075</v>
      </c>
    </row>
    <row r="5716" customFormat="false" ht="15" hidden="false" customHeight="false" outlineLevel="0" collapsed="false">
      <c r="A5716" s="28" t="s">
        <v>210</v>
      </c>
      <c r="B5716" s="28" t="s">
        <v>211</v>
      </c>
      <c r="C5716" s="28" t="s">
        <v>209</v>
      </c>
      <c r="D5716" s="23" t="n">
        <v>17</v>
      </c>
      <c r="E5716" s="23" t="n">
        <v>8</v>
      </c>
      <c r="F5716" s="28" t="s">
        <v>451</v>
      </c>
      <c r="G5716" s="19" t="n">
        <v>0.0436</v>
      </c>
    </row>
    <row r="5717" customFormat="false" ht="15" hidden="false" customHeight="false" outlineLevel="0" collapsed="false">
      <c r="A5717" s="28" t="s">
        <v>210</v>
      </c>
      <c r="B5717" s="28" t="s">
        <v>211</v>
      </c>
      <c r="C5717" s="28" t="s">
        <v>209</v>
      </c>
      <c r="D5717" s="23" t="n">
        <v>17</v>
      </c>
      <c r="E5717" s="23" t="n">
        <v>8</v>
      </c>
      <c r="F5717" s="28" t="s">
        <v>905</v>
      </c>
      <c r="G5717" s="19" t="n">
        <v>0.0475</v>
      </c>
    </row>
    <row r="5718" customFormat="false" ht="15" hidden="false" customHeight="false" outlineLevel="0" collapsed="false">
      <c r="A5718" s="28" t="s">
        <v>210</v>
      </c>
      <c r="B5718" s="28" t="s">
        <v>211</v>
      </c>
      <c r="C5718" s="28" t="s">
        <v>209</v>
      </c>
      <c r="D5718" s="23" t="n">
        <v>17</v>
      </c>
      <c r="E5718" s="23" t="n">
        <v>8</v>
      </c>
      <c r="F5718" s="28" t="s">
        <v>906</v>
      </c>
      <c r="G5718" s="19" t="n">
        <v>0.048542</v>
      </c>
    </row>
    <row r="5719" customFormat="false" ht="15" hidden="false" customHeight="false" outlineLevel="0" collapsed="false">
      <c r="A5719" s="28" t="s">
        <v>210</v>
      </c>
      <c r="B5719" s="28" t="s">
        <v>211</v>
      </c>
      <c r="C5719" s="28" t="s">
        <v>209</v>
      </c>
      <c r="D5719" s="23" t="n">
        <v>17</v>
      </c>
      <c r="E5719" s="23" t="n">
        <v>8</v>
      </c>
      <c r="F5719" s="28" t="s">
        <v>907</v>
      </c>
      <c r="G5719" s="19" t="n">
        <v>0.050625</v>
      </c>
    </row>
    <row r="5720" customFormat="false" ht="15" hidden="false" customHeight="false" outlineLevel="0" collapsed="false">
      <c r="A5720" s="28" t="s">
        <v>210</v>
      </c>
      <c r="B5720" s="28" t="s">
        <v>211</v>
      </c>
      <c r="C5720" s="28" t="s">
        <v>209</v>
      </c>
      <c r="D5720" s="23" t="n">
        <v>17</v>
      </c>
      <c r="E5720" s="23" t="n">
        <v>8</v>
      </c>
      <c r="F5720" s="28" t="s">
        <v>908</v>
      </c>
      <c r="G5720" s="19" t="n">
        <v>0.053491</v>
      </c>
    </row>
    <row r="5721" customFormat="false" ht="15" hidden="false" customHeight="false" outlineLevel="0" collapsed="false">
      <c r="A5721" s="28" t="s">
        <v>210</v>
      </c>
      <c r="B5721" s="28" t="s">
        <v>211</v>
      </c>
      <c r="C5721" s="28" t="s">
        <v>209</v>
      </c>
      <c r="D5721" s="23" t="n">
        <v>17</v>
      </c>
      <c r="E5721" s="23" t="n">
        <v>8</v>
      </c>
      <c r="F5721" s="28" t="s">
        <v>909</v>
      </c>
      <c r="G5721" s="19" t="n">
        <v>0.054158</v>
      </c>
    </row>
    <row r="5722" customFormat="false" ht="15" hidden="false" customHeight="false" outlineLevel="0" collapsed="false">
      <c r="A5722" s="28" t="s">
        <v>210</v>
      </c>
      <c r="B5722" s="28" t="s">
        <v>211</v>
      </c>
      <c r="C5722" s="28" t="s">
        <v>209</v>
      </c>
      <c r="D5722" s="23" t="n">
        <v>17</v>
      </c>
      <c r="E5722" s="23" t="n">
        <v>8</v>
      </c>
      <c r="F5722" s="28" t="s">
        <v>910</v>
      </c>
      <c r="G5722" s="19" t="n">
        <v>0.05449</v>
      </c>
    </row>
    <row r="5723" customFormat="false" ht="15" hidden="false" customHeight="false" outlineLevel="0" collapsed="false">
      <c r="A5723" s="28" t="s">
        <v>210</v>
      </c>
      <c r="B5723" s="28" t="s">
        <v>211</v>
      </c>
      <c r="C5723" s="28" t="s">
        <v>209</v>
      </c>
      <c r="D5723" s="23" t="n">
        <v>17</v>
      </c>
      <c r="E5723" s="23" t="n">
        <v>8</v>
      </c>
      <c r="F5723" s="28" t="s">
        <v>911</v>
      </c>
      <c r="G5723" s="19" t="n">
        <v>0.055023</v>
      </c>
    </row>
    <row r="5724" customFormat="false" ht="15" hidden="false" customHeight="false" outlineLevel="0" collapsed="false">
      <c r="A5724" s="28" t="s">
        <v>210</v>
      </c>
      <c r="B5724" s="28" t="s">
        <v>211</v>
      </c>
      <c r="C5724" s="28" t="s">
        <v>209</v>
      </c>
      <c r="D5724" s="23" t="n">
        <v>17</v>
      </c>
      <c r="E5724" s="23" t="n">
        <v>8</v>
      </c>
      <c r="F5724" s="28" t="s">
        <v>912</v>
      </c>
      <c r="G5724" s="19" t="n">
        <v>0.055322</v>
      </c>
    </row>
    <row r="5725" customFormat="false" ht="15" hidden="false" customHeight="false" outlineLevel="0" collapsed="false">
      <c r="A5725" s="28" t="s">
        <v>210</v>
      </c>
      <c r="B5725" s="28" t="s">
        <v>211</v>
      </c>
      <c r="C5725" s="28" t="s">
        <v>209</v>
      </c>
      <c r="D5725" s="23" t="n">
        <v>17</v>
      </c>
      <c r="E5725" s="23" t="n">
        <v>8</v>
      </c>
      <c r="F5725" s="28" t="s">
        <v>913</v>
      </c>
      <c r="G5725" s="19" t="n">
        <v>0.059122</v>
      </c>
    </row>
    <row r="5726" customFormat="false" ht="15" hidden="false" customHeight="false" outlineLevel="0" collapsed="false">
      <c r="A5726" s="28" t="s">
        <v>210</v>
      </c>
      <c r="B5726" s="28" t="s">
        <v>211</v>
      </c>
      <c r="C5726" s="28" t="s">
        <v>209</v>
      </c>
      <c r="D5726" s="23" t="n">
        <v>17</v>
      </c>
      <c r="E5726" s="23" t="n">
        <v>8</v>
      </c>
      <c r="F5726" s="28" t="s">
        <v>914</v>
      </c>
      <c r="G5726" s="19" t="n">
        <v>0.058622</v>
      </c>
    </row>
    <row r="5727" customFormat="false" ht="15" hidden="false" customHeight="false" outlineLevel="0" collapsed="false">
      <c r="A5727" s="28" t="s">
        <v>210</v>
      </c>
      <c r="B5727" s="28" t="s">
        <v>211</v>
      </c>
      <c r="C5727" s="28" t="s">
        <v>209</v>
      </c>
      <c r="D5727" s="23" t="n">
        <v>17</v>
      </c>
      <c r="E5727" s="23" t="n">
        <v>8</v>
      </c>
      <c r="F5727" s="28" t="s">
        <v>915</v>
      </c>
      <c r="G5727" s="19" t="n">
        <v>0.075822</v>
      </c>
    </row>
    <row r="5728" customFormat="false" ht="15" hidden="false" customHeight="false" outlineLevel="0" collapsed="false">
      <c r="A5728" s="28" t="s">
        <v>210</v>
      </c>
      <c r="B5728" s="28" t="s">
        <v>211</v>
      </c>
      <c r="C5728" s="28" t="s">
        <v>209</v>
      </c>
      <c r="D5728" s="23" t="n">
        <v>17</v>
      </c>
      <c r="E5728" s="23" t="n">
        <v>9</v>
      </c>
      <c r="F5728" s="28" t="s">
        <v>904</v>
      </c>
      <c r="G5728" s="19" t="n">
        <v>0.0438</v>
      </c>
    </row>
    <row r="5729" customFormat="false" ht="15" hidden="false" customHeight="false" outlineLevel="0" collapsed="false">
      <c r="A5729" s="28" t="s">
        <v>210</v>
      </c>
      <c r="B5729" s="28" t="s">
        <v>211</v>
      </c>
      <c r="C5729" s="28" t="s">
        <v>209</v>
      </c>
      <c r="D5729" s="23" t="n">
        <v>17</v>
      </c>
      <c r="E5729" s="23" t="n">
        <v>9</v>
      </c>
      <c r="F5729" s="28" t="s">
        <v>551</v>
      </c>
      <c r="G5729" s="19" t="n">
        <v>0.075</v>
      </c>
    </row>
    <row r="5730" customFormat="false" ht="15" hidden="false" customHeight="false" outlineLevel="0" collapsed="false">
      <c r="A5730" s="28" t="s">
        <v>210</v>
      </c>
      <c r="B5730" s="28" t="s">
        <v>211</v>
      </c>
      <c r="C5730" s="28" t="s">
        <v>209</v>
      </c>
      <c r="D5730" s="23" t="n">
        <v>17</v>
      </c>
      <c r="E5730" s="23" t="n">
        <v>9</v>
      </c>
      <c r="F5730" s="28" t="s">
        <v>451</v>
      </c>
      <c r="G5730" s="19" t="n">
        <v>0.0436</v>
      </c>
    </row>
    <row r="5731" customFormat="false" ht="15" hidden="false" customHeight="false" outlineLevel="0" collapsed="false">
      <c r="A5731" s="28" t="s">
        <v>210</v>
      </c>
      <c r="B5731" s="28" t="s">
        <v>211</v>
      </c>
      <c r="C5731" s="28" t="s">
        <v>209</v>
      </c>
      <c r="D5731" s="23" t="n">
        <v>17</v>
      </c>
      <c r="E5731" s="23" t="n">
        <v>9</v>
      </c>
      <c r="F5731" s="28" t="s">
        <v>905</v>
      </c>
      <c r="G5731" s="19" t="n">
        <v>0.0475</v>
      </c>
    </row>
    <row r="5732" customFormat="false" ht="15" hidden="false" customHeight="false" outlineLevel="0" collapsed="false">
      <c r="A5732" s="28" t="s">
        <v>210</v>
      </c>
      <c r="B5732" s="28" t="s">
        <v>211</v>
      </c>
      <c r="C5732" s="28" t="s">
        <v>209</v>
      </c>
      <c r="D5732" s="23" t="n">
        <v>17</v>
      </c>
      <c r="E5732" s="23" t="n">
        <v>9</v>
      </c>
      <c r="F5732" s="28" t="s">
        <v>906</v>
      </c>
      <c r="G5732" s="19" t="n">
        <v>0.048556</v>
      </c>
    </row>
    <row r="5733" customFormat="false" ht="15" hidden="false" customHeight="false" outlineLevel="0" collapsed="false">
      <c r="A5733" s="28" t="s">
        <v>210</v>
      </c>
      <c r="B5733" s="28" t="s">
        <v>211</v>
      </c>
      <c r="C5733" s="28" t="s">
        <v>209</v>
      </c>
      <c r="D5733" s="23" t="n">
        <v>17</v>
      </c>
      <c r="E5733" s="23" t="n">
        <v>9</v>
      </c>
      <c r="F5733" s="28" t="s">
        <v>907</v>
      </c>
      <c r="G5733" s="19" t="n">
        <v>0.050667</v>
      </c>
    </row>
    <row r="5734" customFormat="false" ht="15" hidden="false" customHeight="false" outlineLevel="0" collapsed="false">
      <c r="A5734" s="28" t="s">
        <v>210</v>
      </c>
      <c r="B5734" s="28" t="s">
        <v>211</v>
      </c>
      <c r="C5734" s="28" t="s">
        <v>209</v>
      </c>
      <c r="D5734" s="23" t="n">
        <v>17</v>
      </c>
      <c r="E5734" s="23" t="n">
        <v>9</v>
      </c>
      <c r="F5734" s="28" t="s">
        <v>908</v>
      </c>
      <c r="G5734" s="19" t="n">
        <v>0.053589</v>
      </c>
    </row>
    <row r="5735" customFormat="false" ht="15" hidden="false" customHeight="false" outlineLevel="0" collapsed="false">
      <c r="A5735" s="28" t="s">
        <v>210</v>
      </c>
      <c r="B5735" s="28" t="s">
        <v>211</v>
      </c>
      <c r="C5735" s="28" t="s">
        <v>209</v>
      </c>
      <c r="D5735" s="23" t="n">
        <v>17</v>
      </c>
      <c r="E5735" s="23" t="n">
        <v>9</v>
      </c>
      <c r="F5735" s="28" t="s">
        <v>909</v>
      </c>
      <c r="G5735" s="19" t="n">
        <v>0.054311</v>
      </c>
    </row>
    <row r="5736" customFormat="false" ht="15" hidden="false" customHeight="false" outlineLevel="0" collapsed="false">
      <c r="A5736" s="28" t="s">
        <v>210</v>
      </c>
      <c r="B5736" s="28" t="s">
        <v>211</v>
      </c>
      <c r="C5736" s="28" t="s">
        <v>209</v>
      </c>
      <c r="D5736" s="23" t="n">
        <v>17</v>
      </c>
      <c r="E5736" s="23" t="n">
        <v>9</v>
      </c>
      <c r="F5736" s="28" t="s">
        <v>910</v>
      </c>
      <c r="G5736" s="19" t="n">
        <v>0.054756</v>
      </c>
    </row>
    <row r="5737" customFormat="false" ht="15" hidden="false" customHeight="false" outlineLevel="0" collapsed="false">
      <c r="A5737" s="28" t="s">
        <v>210</v>
      </c>
      <c r="B5737" s="28" t="s">
        <v>211</v>
      </c>
      <c r="C5737" s="28" t="s">
        <v>209</v>
      </c>
      <c r="D5737" s="23" t="n">
        <v>17</v>
      </c>
      <c r="E5737" s="23" t="n">
        <v>9</v>
      </c>
      <c r="F5737" s="28" t="s">
        <v>911</v>
      </c>
      <c r="G5737" s="19" t="n">
        <v>0.0554</v>
      </c>
    </row>
    <row r="5738" customFormat="false" ht="15" hidden="false" customHeight="false" outlineLevel="0" collapsed="false">
      <c r="A5738" s="28" t="s">
        <v>210</v>
      </c>
      <c r="B5738" s="28" t="s">
        <v>211</v>
      </c>
      <c r="C5738" s="28" t="s">
        <v>209</v>
      </c>
      <c r="D5738" s="23" t="n">
        <v>17</v>
      </c>
      <c r="E5738" s="23" t="n">
        <v>9</v>
      </c>
      <c r="F5738" s="28" t="s">
        <v>912</v>
      </c>
      <c r="G5738" s="19" t="n">
        <v>0.055867</v>
      </c>
    </row>
    <row r="5739" customFormat="false" ht="15" hidden="false" customHeight="false" outlineLevel="0" collapsed="false">
      <c r="A5739" s="28" t="s">
        <v>210</v>
      </c>
      <c r="B5739" s="28" t="s">
        <v>211</v>
      </c>
      <c r="C5739" s="28" t="s">
        <v>209</v>
      </c>
      <c r="D5739" s="23" t="n">
        <v>17</v>
      </c>
      <c r="E5739" s="23" t="n">
        <v>9</v>
      </c>
      <c r="F5739" s="28" t="s">
        <v>913</v>
      </c>
      <c r="G5739" s="19" t="n">
        <v>0.059667</v>
      </c>
    </row>
    <row r="5740" customFormat="false" ht="15" hidden="false" customHeight="false" outlineLevel="0" collapsed="false">
      <c r="A5740" s="28" t="s">
        <v>210</v>
      </c>
      <c r="B5740" s="28" t="s">
        <v>211</v>
      </c>
      <c r="C5740" s="28" t="s">
        <v>209</v>
      </c>
      <c r="D5740" s="23" t="n">
        <v>17</v>
      </c>
      <c r="E5740" s="23" t="n">
        <v>9</v>
      </c>
      <c r="F5740" s="28" t="s">
        <v>914</v>
      </c>
      <c r="G5740" s="19" t="n">
        <v>0.059167</v>
      </c>
    </row>
    <row r="5741" customFormat="false" ht="15" hidden="false" customHeight="false" outlineLevel="0" collapsed="false">
      <c r="A5741" s="28" t="s">
        <v>210</v>
      </c>
      <c r="B5741" s="28" t="s">
        <v>211</v>
      </c>
      <c r="C5741" s="28" t="s">
        <v>209</v>
      </c>
      <c r="D5741" s="23" t="n">
        <v>17</v>
      </c>
      <c r="E5741" s="23" t="n">
        <v>9</v>
      </c>
      <c r="F5741" s="28" t="s">
        <v>915</v>
      </c>
      <c r="G5741" s="19" t="n">
        <v>0.076367</v>
      </c>
    </row>
    <row r="5742" customFormat="false" ht="15" hidden="false" customHeight="false" outlineLevel="0" collapsed="false">
      <c r="A5742" s="28" t="s">
        <v>210</v>
      </c>
      <c r="B5742" s="28" t="s">
        <v>211</v>
      </c>
      <c r="C5742" s="28" t="s">
        <v>209</v>
      </c>
      <c r="D5742" s="23" t="n">
        <v>17</v>
      </c>
      <c r="E5742" s="23" t="n">
        <v>10</v>
      </c>
      <c r="F5742" s="28" t="s">
        <v>904</v>
      </c>
      <c r="G5742" s="19" t="n">
        <v>0.0438</v>
      </c>
    </row>
    <row r="5743" customFormat="false" ht="15" hidden="false" customHeight="false" outlineLevel="0" collapsed="false">
      <c r="A5743" s="28" t="s">
        <v>210</v>
      </c>
      <c r="B5743" s="28" t="s">
        <v>211</v>
      </c>
      <c r="C5743" s="28" t="s">
        <v>209</v>
      </c>
      <c r="D5743" s="23" t="n">
        <v>17</v>
      </c>
      <c r="E5743" s="23" t="n">
        <v>10</v>
      </c>
      <c r="F5743" s="28" t="s">
        <v>551</v>
      </c>
      <c r="G5743" s="19" t="n">
        <v>0.075</v>
      </c>
    </row>
    <row r="5744" customFormat="false" ht="15" hidden="false" customHeight="false" outlineLevel="0" collapsed="false">
      <c r="A5744" s="28" t="s">
        <v>210</v>
      </c>
      <c r="B5744" s="28" t="s">
        <v>211</v>
      </c>
      <c r="C5744" s="28" t="s">
        <v>209</v>
      </c>
      <c r="D5744" s="23" t="n">
        <v>17</v>
      </c>
      <c r="E5744" s="23" t="n">
        <v>10</v>
      </c>
      <c r="F5744" s="28" t="s">
        <v>451</v>
      </c>
      <c r="G5744" s="19" t="n">
        <v>0.0436</v>
      </c>
    </row>
    <row r="5745" customFormat="false" ht="15" hidden="false" customHeight="false" outlineLevel="0" collapsed="false">
      <c r="A5745" s="28" t="s">
        <v>210</v>
      </c>
      <c r="B5745" s="28" t="s">
        <v>211</v>
      </c>
      <c r="C5745" s="28" t="s">
        <v>209</v>
      </c>
      <c r="D5745" s="23" t="n">
        <v>17</v>
      </c>
      <c r="E5745" s="23" t="n">
        <v>10</v>
      </c>
      <c r="F5745" s="28" t="s">
        <v>905</v>
      </c>
      <c r="G5745" s="19" t="n">
        <v>0.0475</v>
      </c>
    </row>
    <row r="5746" customFormat="false" ht="15" hidden="false" customHeight="false" outlineLevel="0" collapsed="false">
      <c r="A5746" s="28" t="s">
        <v>210</v>
      </c>
      <c r="B5746" s="28" t="s">
        <v>211</v>
      </c>
      <c r="C5746" s="28" t="s">
        <v>209</v>
      </c>
      <c r="D5746" s="23" t="n">
        <v>17</v>
      </c>
      <c r="E5746" s="23" t="n">
        <v>10</v>
      </c>
      <c r="F5746" s="28" t="s">
        <v>906</v>
      </c>
      <c r="G5746" s="19" t="n">
        <v>0.04857</v>
      </c>
    </row>
    <row r="5747" customFormat="false" ht="15" hidden="false" customHeight="false" outlineLevel="0" collapsed="false">
      <c r="A5747" s="28" t="s">
        <v>210</v>
      </c>
      <c r="B5747" s="28" t="s">
        <v>211</v>
      </c>
      <c r="C5747" s="28" t="s">
        <v>209</v>
      </c>
      <c r="D5747" s="23" t="n">
        <v>17</v>
      </c>
      <c r="E5747" s="23" t="n">
        <v>10</v>
      </c>
      <c r="F5747" s="28" t="s">
        <v>907</v>
      </c>
      <c r="G5747" s="19" t="n">
        <v>0.050709</v>
      </c>
    </row>
    <row r="5748" customFormat="false" ht="15" hidden="false" customHeight="false" outlineLevel="0" collapsed="false">
      <c r="A5748" s="28" t="s">
        <v>210</v>
      </c>
      <c r="B5748" s="28" t="s">
        <v>211</v>
      </c>
      <c r="C5748" s="28" t="s">
        <v>209</v>
      </c>
      <c r="D5748" s="23" t="n">
        <v>17</v>
      </c>
      <c r="E5748" s="23" t="n">
        <v>10</v>
      </c>
      <c r="F5748" s="28" t="s">
        <v>908</v>
      </c>
      <c r="G5748" s="19" t="n">
        <v>0.053687</v>
      </c>
    </row>
    <row r="5749" customFormat="false" ht="15" hidden="false" customHeight="false" outlineLevel="0" collapsed="false">
      <c r="A5749" s="28" t="s">
        <v>210</v>
      </c>
      <c r="B5749" s="28" t="s">
        <v>211</v>
      </c>
      <c r="C5749" s="28" t="s">
        <v>209</v>
      </c>
      <c r="D5749" s="23" t="n">
        <v>17</v>
      </c>
      <c r="E5749" s="23" t="n">
        <v>10</v>
      </c>
      <c r="F5749" s="28" t="s">
        <v>909</v>
      </c>
      <c r="G5749" s="19" t="n">
        <v>0.054465</v>
      </c>
    </row>
    <row r="5750" customFormat="false" ht="15" hidden="false" customHeight="false" outlineLevel="0" collapsed="false">
      <c r="A5750" s="28" t="s">
        <v>210</v>
      </c>
      <c r="B5750" s="28" t="s">
        <v>211</v>
      </c>
      <c r="C5750" s="28" t="s">
        <v>209</v>
      </c>
      <c r="D5750" s="23" t="n">
        <v>17</v>
      </c>
      <c r="E5750" s="23" t="n">
        <v>10</v>
      </c>
      <c r="F5750" s="28" t="s">
        <v>910</v>
      </c>
      <c r="G5750" s="19" t="n">
        <v>0.055021</v>
      </c>
    </row>
    <row r="5751" customFormat="false" ht="15" hidden="false" customHeight="false" outlineLevel="0" collapsed="false">
      <c r="A5751" s="28" t="s">
        <v>210</v>
      </c>
      <c r="B5751" s="28" t="s">
        <v>211</v>
      </c>
      <c r="C5751" s="28" t="s">
        <v>209</v>
      </c>
      <c r="D5751" s="23" t="n">
        <v>17</v>
      </c>
      <c r="E5751" s="23" t="n">
        <v>10</v>
      </c>
      <c r="F5751" s="28" t="s">
        <v>911</v>
      </c>
      <c r="G5751" s="19" t="n">
        <v>0.055777</v>
      </c>
    </row>
    <row r="5752" customFormat="false" ht="15" hidden="false" customHeight="false" outlineLevel="0" collapsed="false">
      <c r="A5752" s="28" t="s">
        <v>210</v>
      </c>
      <c r="B5752" s="28" t="s">
        <v>211</v>
      </c>
      <c r="C5752" s="28" t="s">
        <v>209</v>
      </c>
      <c r="D5752" s="23" t="n">
        <v>17</v>
      </c>
      <c r="E5752" s="23" t="n">
        <v>10</v>
      </c>
      <c r="F5752" s="28" t="s">
        <v>912</v>
      </c>
      <c r="G5752" s="19" t="n">
        <v>0.056411</v>
      </c>
    </row>
    <row r="5753" customFormat="false" ht="15" hidden="false" customHeight="false" outlineLevel="0" collapsed="false">
      <c r="A5753" s="28" t="s">
        <v>210</v>
      </c>
      <c r="B5753" s="28" t="s">
        <v>211</v>
      </c>
      <c r="C5753" s="28" t="s">
        <v>209</v>
      </c>
      <c r="D5753" s="23" t="n">
        <v>17</v>
      </c>
      <c r="E5753" s="23" t="n">
        <v>10</v>
      </c>
      <c r="F5753" s="28" t="s">
        <v>913</v>
      </c>
      <c r="G5753" s="19" t="n">
        <v>0.060211</v>
      </c>
    </row>
    <row r="5754" customFormat="false" ht="15" hidden="false" customHeight="false" outlineLevel="0" collapsed="false">
      <c r="A5754" s="28" t="s">
        <v>210</v>
      </c>
      <c r="B5754" s="28" t="s">
        <v>211</v>
      </c>
      <c r="C5754" s="28" t="s">
        <v>209</v>
      </c>
      <c r="D5754" s="23" t="n">
        <v>17</v>
      </c>
      <c r="E5754" s="23" t="n">
        <v>10</v>
      </c>
      <c r="F5754" s="28" t="s">
        <v>914</v>
      </c>
      <c r="G5754" s="19" t="n">
        <v>0.059711</v>
      </c>
    </row>
    <row r="5755" customFormat="false" ht="15" hidden="false" customHeight="false" outlineLevel="0" collapsed="false">
      <c r="A5755" s="28" t="s">
        <v>210</v>
      </c>
      <c r="B5755" s="28" t="s">
        <v>211</v>
      </c>
      <c r="C5755" s="28" t="s">
        <v>209</v>
      </c>
      <c r="D5755" s="23" t="n">
        <v>17</v>
      </c>
      <c r="E5755" s="23" t="n">
        <v>10</v>
      </c>
      <c r="F5755" s="28" t="s">
        <v>915</v>
      </c>
      <c r="G5755" s="19" t="n">
        <v>0.076911</v>
      </c>
    </row>
    <row r="5756" customFormat="false" ht="15" hidden="false" customHeight="false" outlineLevel="0" collapsed="false">
      <c r="A5756" s="28" t="s">
        <v>210</v>
      </c>
      <c r="B5756" s="28" t="s">
        <v>211</v>
      </c>
      <c r="C5756" s="28" t="s">
        <v>209</v>
      </c>
      <c r="D5756" s="23" t="n">
        <v>17</v>
      </c>
      <c r="E5756" s="23" t="n">
        <v>11</v>
      </c>
      <c r="F5756" s="28" t="s">
        <v>904</v>
      </c>
      <c r="G5756" s="19" t="n">
        <v>0.0438</v>
      </c>
    </row>
    <row r="5757" customFormat="false" ht="15" hidden="false" customHeight="false" outlineLevel="0" collapsed="false">
      <c r="A5757" s="28" t="s">
        <v>210</v>
      </c>
      <c r="B5757" s="28" t="s">
        <v>211</v>
      </c>
      <c r="C5757" s="28" t="s">
        <v>209</v>
      </c>
      <c r="D5757" s="23" t="n">
        <v>17</v>
      </c>
      <c r="E5757" s="23" t="n">
        <v>11</v>
      </c>
      <c r="F5757" s="28" t="s">
        <v>551</v>
      </c>
      <c r="G5757" s="19" t="n">
        <v>0.075</v>
      </c>
    </row>
    <row r="5758" customFormat="false" ht="15" hidden="false" customHeight="false" outlineLevel="0" collapsed="false">
      <c r="A5758" s="28" t="s">
        <v>210</v>
      </c>
      <c r="B5758" s="28" t="s">
        <v>211</v>
      </c>
      <c r="C5758" s="28" t="s">
        <v>209</v>
      </c>
      <c r="D5758" s="23" t="n">
        <v>17</v>
      </c>
      <c r="E5758" s="23" t="n">
        <v>11</v>
      </c>
      <c r="F5758" s="28" t="s">
        <v>451</v>
      </c>
      <c r="G5758" s="19" t="n">
        <v>0.0436</v>
      </c>
    </row>
    <row r="5759" customFormat="false" ht="15" hidden="false" customHeight="false" outlineLevel="0" collapsed="false">
      <c r="A5759" s="28" t="s">
        <v>210</v>
      </c>
      <c r="B5759" s="28" t="s">
        <v>211</v>
      </c>
      <c r="C5759" s="28" t="s">
        <v>209</v>
      </c>
      <c r="D5759" s="23" t="n">
        <v>17</v>
      </c>
      <c r="E5759" s="23" t="n">
        <v>11</v>
      </c>
      <c r="F5759" s="28" t="s">
        <v>905</v>
      </c>
      <c r="G5759" s="19" t="n">
        <v>0.0475</v>
      </c>
    </row>
    <row r="5760" customFormat="false" ht="15" hidden="false" customHeight="false" outlineLevel="0" collapsed="false">
      <c r="A5760" s="28" t="s">
        <v>210</v>
      </c>
      <c r="B5760" s="28" t="s">
        <v>211</v>
      </c>
      <c r="C5760" s="28" t="s">
        <v>209</v>
      </c>
      <c r="D5760" s="23" t="n">
        <v>17</v>
      </c>
      <c r="E5760" s="23" t="n">
        <v>11</v>
      </c>
      <c r="F5760" s="28" t="s">
        <v>906</v>
      </c>
      <c r="G5760" s="19" t="n">
        <v>0.048583</v>
      </c>
    </row>
    <row r="5761" customFormat="false" ht="15" hidden="false" customHeight="false" outlineLevel="0" collapsed="false">
      <c r="A5761" s="28" t="s">
        <v>210</v>
      </c>
      <c r="B5761" s="28" t="s">
        <v>211</v>
      </c>
      <c r="C5761" s="28" t="s">
        <v>209</v>
      </c>
      <c r="D5761" s="23" t="n">
        <v>17</v>
      </c>
      <c r="E5761" s="23" t="n">
        <v>11</v>
      </c>
      <c r="F5761" s="28" t="s">
        <v>907</v>
      </c>
      <c r="G5761" s="19" t="n">
        <v>0.05075</v>
      </c>
    </row>
    <row r="5762" customFormat="false" ht="15" hidden="false" customHeight="false" outlineLevel="0" collapsed="false">
      <c r="A5762" s="28" t="s">
        <v>210</v>
      </c>
      <c r="B5762" s="28" t="s">
        <v>211</v>
      </c>
      <c r="C5762" s="28" t="s">
        <v>209</v>
      </c>
      <c r="D5762" s="23" t="n">
        <v>17</v>
      </c>
      <c r="E5762" s="23" t="n">
        <v>11</v>
      </c>
      <c r="F5762" s="28" t="s">
        <v>908</v>
      </c>
      <c r="G5762" s="19" t="n">
        <v>0.053784</v>
      </c>
    </row>
    <row r="5763" customFormat="false" ht="15" hidden="false" customHeight="false" outlineLevel="0" collapsed="false">
      <c r="A5763" s="28" t="s">
        <v>210</v>
      </c>
      <c r="B5763" s="28" t="s">
        <v>211</v>
      </c>
      <c r="C5763" s="28" t="s">
        <v>209</v>
      </c>
      <c r="D5763" s="23" t="n">
        <v>17</v>
      </c>
      <c r="E5763" s="23" t="n">
        <v>11</v>
      </c>
      <c r="F5763" s="28" t="s">
        <v>909</v>
      </c>
      <c r="G5763" s="19" t="n">
        <v>0.054618</v>
      </c>
    </row>
    <row r="5764" customFormat="false" ht="15" hidden="false" customHeight="false" outlineLevel="0" collapsed="false">
      <c r="A5764" s="28" t="s">
        <v>210</v>
      </c>
      <c r="B5764" s="28" t="s">
        <v>211</v>
      </c>
      <c r="C5764" s="28" t="s">
        <v>209</v>
      </c>
      <c r="D5764" s="23" t="n">
        <v>17</v>
      </c>
      <c r="E5764" s="23" t="n">
        <v>11</v>
      </c>
      <c r="F5764" s="28" t="s">
        <v>910</v>
      </c>
      <c r="G5764" s="19" t="n">
        <v>0.055286</v>
      </c>
    </row>
    <row r="5765" customFormat="false" ht="15" hidden="false" customHeight="false" outlineLevel="0" collapsed="false">
      <c r="A5765" s="28" t="s">
        <v>210</v>
      </c>
      <c r="B5765" s="28" t="s">
        <v>211</v>
      </c>
      <c r="C5765" s="28" t="s">
        <v>209</v>
      </c>
      <c r="D5765" s="23" t="n">
        <v>17</v>
      </c>
      <c r="E5765" s="23" t="n">
        <v>11</v>
      </c>
      <c r="F5765" s="28" t="s">
        <v>911</v>
      </c>
      <c r="G5765" s="19" t="n">
        <v>0.056154</v>
      </c>
    </row>
    <row r="5766" customFormat="false" ht="15" hidden="false" customHeight="false" outlineLevel="0" collapsed="false">
      <c r="A5766" s="28" t="s">
        <v>210</v>
      </c>
      <c r="B5766" s="28" t="s">
        <v>211</v>
      </c>
      <c r="C5766" s="28" t="s">
        <v>209</v>
      </c>
      <c r="D5766" s="23" t="n">
        <v>17</v>
      </c>
      <c r="E5766" s="23" t="n">
        <v>11</v>
      </c>
      <c r="F5766" s="28" t="s">
        <v>912</v>
      </c>
      <c r="G5766" s="19" t="n">
        <v>0.056956</v>
      </c>
    </row>
    <row r="5767" customFormat="false" ht="15" hidden="false" customHeight="false" outlineLevel="0" collapsed="false">
      <c r="A5767" s="28" t="s">
        <v>210</v>
      </c>
      <c r="B5767" s="28" t="s">
        <v>211</v>
      </c>
      <c r="C5767" s="28" t="s">
        <v>209</v>
      </c>
      <c r="D5767" s="23" t="n">
        <v>17</v>
      </c>
      <c r="E5767" s="23" t="n">
        <v>11</v>
      </c>
      <c r="F5767" s="28" t="s">
        <v>913</v>
      </c>
      <c r="G5767" s="19" t="n">
        <v>0.060756</v>
      </c>
    </row>
    <row r="5768" customFormat="false" ht="15" hidden="false" customHeight="false" outlineLevel="0" collapsed="false">
      <c r="A5768" s="28" t="s">
        <v>210</v>
      </c>
      <c r="B5768" s="28" t="s">
        <v>211</v>
      </c>
      <c r="C5768" s="28" t="s">
        <v>209</v>
      </c>
      <c r="D5768" s="23" t="n">
        <v>17</v>
      </c>
      <c r="E5768" s="23" t="n">
        <v>11</v>
      </c>
      <c r="F5768" s="28" t="s">
        <v>914</v>
      </c>
      <c r="G5768" s="19" t="n">
        <v>0.060256</v>
      </c>
    </row>
    <row r="5769" customFormat="false" ht="15" hidden="false" customHeight="false" outlineLevel="0" collapsed="false">
      <c r="A5769" s="28" t="s">
        <v>210</v>
      </c>
      <c r="B5769" s="28" t="s">
        <v>211</v>
      </c>
      <c r="C5769" s="28" t="s">
        <v>209</v>
      </c>
      <c r="D5769" s="23" t="n">
        <v>17</v>
      </c>
      <c r="E5769" s="23" t="n">
        <v>11</v>
      </c>
      <c r="F5769" s="28" t="s">
        <v>915</v>
      </c>
      <c r="G5769" s="19" t="n">
        <v>0.077456</v>
      </c>
    </row>
    <row r="5770" customFormat="false" ht="15" hidden="false" customHeight="false" outlineLevel="0" collapsed="false">
      <c r="A5770" s="28" t="s">
        <v>210</v>
      </c>
      <c r="B5770" s="28" t="s">
        <v>211</v>
      </c>
      <c r="C5770" s="28" t="s">
        <v>209</v>
      </c>
      <c r="D5770" s="23" t="n">
        <v>17</v>
      </c>
      <c r="E5770" s="23" t="n">
        <v>12</v>
      </c>
      <c r="F5770" s="28" t="s">
        <v>904</v>
      </c>
      <c r="G5770" s="19" t="n">
        <v>0.0438</v>
      </c>
    </row>
    <row r="5771" customFormat="false" ht="15" hidden="false" customHeight="false" outlineLevel="0" collapsed="false">
      <c r="A5771" s="28" t="s">
        <v>210</v>
      </c>
      <c r="B5771" s="28" t="s">
        <v>211</v>
      </c>
      <c r="C5771" s="28" t="s">
        <v>209</v>
      </c>
      <c r="D5771" s="23" t="n">
        <v>17</v>
      </c>
      <c r="E5771" s="23" t="n">
        <v>12</v>
      </c>
      <c r="F5771" s="28" t="s">
        <v>551</v>
      </c>
      <c r="G5771" s="19" t="n">
        <v>0.075</v>
      </c>
    </row>
    <row r="5772" customFormat="false" ht="15" hidden="false" customHeight="false" outlineLevel="0" collapsed="false">
      <c r="A5772" s="28" t="s">
        <v>210</v>
      </c>
      <c r="B5772" s="28" t="s">
        <v>211</v>
      </c>
      <c r="C5772" s="28" t="s">
        <v>209</v>
      </c>
      <c r="D5772" s="23" t="n">
        <v>17</v>
      </c>
      <c r="E5772" s="23" t="n">
        <v>12</v>
      </c>
      <c r="F5772" s="28" t="s">
        <v>451</v>
      </c>
      <c r="G5772" s="19" t="n">
        <v>0.0436</v>
      </c>
    </row>
    <row r="5773" customFormat="false" ht="15" hidden="false" customHeight="false" outlineLevel="0" collapsed="false">
      <c r="A5773" s="28" t="s">
        <v>210</v>
      </c>
      <c r="B5773" s="28" t="s">
        <v>211</v>
      </c>
      <c r="C5773" s="28" t="s">
        <v>209</v>
      </c>
      <c r="D5773" s="23" t="n">
        <v>17</v>
      </c>
      <c r="E5773" s="23" t="n">
        <v>12</v>
      </c>
      <c r="F5773" s="28" t="s">
        <v>905</v>
      </c>
      <c r="G5773" s="19" t="n">
        <v>0.0475</v>
      </c>
    </row>
    <row r="5774" customFormat="false" ht="15" hidden="false" customHeight="false" outlineLevel="0" collapsed="false">
      <c r="A5774" s="28" t="s">
        <v>210</v>
      </c>
      <c r="B5774" s="28" t="s">
        <v>211</v>
      </c>
      <c r="C5774" s="28" t="s">
        <v>209</v>
      </c>
      <c r="D5774" s="23" t="n">
        <v>17</v>
      </c>
      <c r="E5774" s="23" t="n">
        <v>12</v>
      </c>
      <c r="F5774" s="28" t="s">
        <v>906</v>
      </c>
      <c r="G5774" s="19" t="n">
        <v>0.048597</v>
      </c>
    </row>
    <row r="5775" customFormat="false" ht="15" hidden="false" customHeight="false" outlineLevel="0" collapsed="false">
      <c r="A5775" s="28" t="s">
        <v>210</v>
      </c>
      <c r="B5775" s="28" t="s">
        <v>211</v>
      </c>
      <c r="C5775" s="28" t="s">
        <v>209</v>
      </c>
      <c r="D5775" s="23" t="n">
        <v>17</v>
      </c>
      <c r="E5775" s="23" t="n">
        <v>12</v>
      </c>
      <c r="F5775" s="28" t="s">
        <v>907</v>
      </c>
      <c r="G5775" s="19" t="n">
        <v>0.050792</v>
      </c>
    </row>
    <row r="5776" customFormat="false" ht="15" hidden="false" customHeight="false" outlineLevel="0" collapsed="false">
      <c r="A5776" s="28" t="s">
        <v>210</v>
      </c>
      <c r="B5776" s="28" t="s">
        <v>211</v>
      </c>
      <c r="C5776" s="28" t="s">
        <v>209</v>
      </c>
      <c r="D5776" s="23" t="n">
        <v>17</v>
      </c>
      <c r="E5776" s="23" t="n">
        <v>12</v>
      </c>
      <c r="F5776" s="28" t="s">
        <v>908</v>
      </c>
      <c r="G5776" s="19" t="n">
        <v>0.053882</v>
      </c>
    </row>
    <row r="5777" customFormat="false" ht="15" hidden="false" customHeight="false" outlineLevel="0" collapsed="false">
      <c r="A5777" s="28" t="s">
        <v>210</v>
      </c>
      <c r="B5777" s="28" t="s">
        <v>211</v>
      </c>
      <c r="C5777" s="28" t="s">
        <v>209</v>
      </c>
      <c r="D5777" s="23" t="n">
        <v>17</v>
      </c>
      <c r="E5777" s="23" t="n">
        <v>12</v>
      </c>
      <c r="F5777" s="28" t="s">
        <v>909</v>
      </c>
      <c r="G5777" s="19" t="n">
        <v>0.054772</v>
      </c>
    </row>
    <row r="5778" customFormat="false" ht="15" hidden="false" customHeight="false" outlineLevel="0" collapsed="false">
      <c r="A5778" s="28" t="s">
        <v>210</v>
      </c>
      <c r="B5778" s="28" t="s">
        <v>211</v>
      </c>
      <c r="C5778" s="28" t="s">
        <v>209</v>
      </c>
      <c r="D5778" s="23" t="n">
        <v>17</v>
      </c>
      <c r="E5778" s="23" t="n">
        <v>12</v>
      </c>
      <c r="F5778" s="28" t="s">
        <v>910</v>
      </c>
      <c r="G5778" s="19" t="n">
        <v>0.055551</v>
      </c>
    </row>
    <row r="5779" customFormat="false" ht="15" hidden="false" customHeight="false" outlineLevel="0" collapsed="false">
      <c r="A5779" s="28" t="s">
        <v>210</v>
      </c>
      <c r="B5779" s="28" t="s">
        <v>211</v>
      </c>
      <c r="C5779" s="28" t="s">
        <v>209</v>
      </c>
      <c r="D5779" s="23" t="n">
        <v>17</v>
      </c>
      <c r="E5779" s="23" t="n">
        <v>12</v>
      </c>
      <c r="F5779" s="28" t="s">
        <v>911</v>
      </c>
      <c r="G5779" s="19" t="n">
        <v>0.056531</v>
      </c>
    </row>
    <row r="5780" customFormat="false" ht="15" hidden="false" customHeight="false" outlineLevel="0" collapsed="false">
      <c r="A5780" s="28" t="s">
        <v>210</v>
      </c>
      <c r="B5780" s="28" t="s">
        <v>211</v>
      </c>
      <c r="C5780" s="28" t="s">
        <v>209</v>
      </c>
      <c r="D5780" s="23" t="n">
        <v>17</v>
      </c>
      <c r="E5780" s="23" t="n">
        <v>12</v>
      </c>
      <c r="F5780" s="28" t="s">
        <v>912</v>
      </c>
      <c r="G5780" s="19" t="n">
        <v>0.0575</v>
      </c>
    </row>
    <row r="5781" customFormat="false" ht="15" hidden="false" customHeight="false" outlineLevel="0" collapsed="false">
      <c r="A5781" s="28" t="s">
        <v>210</v>
      </c>
      <c r="B5781" s="28" t="s">
        <v>211</v>
      </c>
      <c r="C5781" s="28" t="s">
        <v>209</v>
      </c>
      <c r="D5781" s="23" t="n">
        <v>17</v>
      </c>
      <c r="E5781" s="23" t="n">
        <v>12</v>
      </c>
      <c r="F5781" s="28" t="s">
        <v>913</v>
      </c>
      <c r="G5781" s="19" t="n">
        <v>0.0613</v>
      </c>
    </row>
    <row r="5782" customFormat="false" ht="15" hidden="false" customHeight="false" outlineLevel="0" collapsed="false">
      <c r="A5782" s="28" t="s">
        <v>210</v>
      </c>
      <c r="B5782" s="28" t="s">
        <v>211</v>
      </c>
      <c r="C5782" s="28" t="s">
        <v>209</v>
      </c>
      <c r="D5782" s="23" t="n">
        <v>17</v>
      </c>
      <c r="E5782" s="23" t="n">
        <v>12</v>
      </c>
      <c r="F5782" s="28" t="s">
        <v>914</v>
      </c>
      <c r="G5782" s="19" t="n">
        <v>0.0608</v>
      </c>
    </row>
    <row r="5783" customFormat="false" ht="15" hidden="false" customHeight="false" outlineLevel="0" collapsed="false">
      <c r="A5783" s="28" t="s">
        <v>210</v>
      </c>
      <c r="B5783" s="28" t="s">
        <v>211</v>
      </c>
      <c r="C5783" s="28" t="s">
        <v>209</v>
      </c>
      <c r="D5783" s="23" t="n">
        <v>17</v>
      </c>
      <c r="E5783" s="23" t="n">
        <v>12</v>
      </c>
      <c r="F5783" s="28" t="s">
        <v>915</v>
      </c>
      <c r="G5783" s="19" t="n">
        <v>0.078</v>
      </c>
    </row>
    <row r="5784" customFormat="false" ht="15" hidden="false" customHeight="false" outlineLevel="0" collapsed="false">
      <c r="A5784" s="28" t="s">
        <v>210</v>
      </c>
      <c r="B5784" s="28" t="s">
        <v>211</v>
      </c>
      <c r="C5784" s="28" t="s">
        <v>209</v>
      </c>
      <c r="D5784" s="23" t="n">
        <v>17</v>
      </c>
      <c r="E5784" s="23" t="n">
        <v>13</v>
      </c>
      <c r="F5784" s="28" t="s">
        <v>904</v>
      </c>
      <c r="G5784" s="19" t="n">
        <v>0.0438</v>
      </c>
    </row>
    <row r="5785" customFormat="false" ht="15" hidden="false" customHeight="false" outlineLevel="0" collapsed="false">
      <c r="A5785" s="28" t="s">
        <v>210</v>
      </c>
      <c r="B5785" s="28" t="s">
        <v>211</v>
      </c>
      <c r="C5785" s="28" t="s">
        <v>209</v>
      </c>
      <c r="D5785" s="23" t="n">
        <v>17</v>
      </c>
      <c r="E5785" s="23" t="n">
        <v>13</v>
      </c>
      <c r="F5785" s="28" t="s">
        <v>551</v>
      </c>
      <c r="G5785" s="19" t="n">
        <v>0.075</v>
      </c>
    </row>
    <row r="5786" customFormat="false" ht="15" hidden="false" customHeight="false" outlineLevel="0" collapsed="false">
      <c r="A5786" s="28" t="s">
        <v>210</v>
      </c>
      <c r="B5786" s="28" t="s">
        <v>211</v>
      </c>
      <c r="C5786" s="28" t="s">
        <v>209</v>
      </c>
      <c r="D5786" s="23" t="n">
        <v>17</v>
      </c>
      <c r="E5786" s="23" t="n">
        <v>13</v>
      </c>
      <c r="F5786" s="28" t="s">
        <v>451</v>
      </c>
      <c r="G5786" s="19" t="n">
        <v>0.0436</v>
      </c>
    </row>
    <row r="5787" customFormat="false" ht="15" hidden="false" customHeight="false" outlineLevel="0" collapsed="false">
      <c r="A5787" s="28" t="s">
        <v>210</v>
      </c>
      <c r="B5787" s="28" t="s">
        <v>211</v>
      </c>
      <c r="C5787" s="28" t="s">
        <v>209</v>
      </c>
      <c r="D5787" s="23" t="n">
        <v>17</v>
      </c>
      <c r="E5787" s="23" t="n">
        <v>13</v>
      </c>
      <c r="F5787" s="28" t="s">
        <v>905</v>
      </c>
      <c r="G5787" s="19" t="n">
        <v>0.0475</v>
      </c>
    </row>
    <row r="5788" customFormat="false" ht="15" hidden="false" customHeight="false" outlineLevel="0" collapsed="false">
      <c r="A5788" s="28" t="s">
        <v>210</v>
      </c>
      <c r="B5788" s="28" t="s">
        <v>211</v>
      </c>
      <c r="C5788" s="28" t="s">
        <v>209</v>
      </c>
      <c r="D5788" s="23" t="n">
        <v>17</v>
      </c>
      <c r="E5788" s="23" t="n">
        <v>13</v>
      </c>
      <c r="F5788" s="28" t="s">
        <v>906</v>
      </c>
      <c r="G5788" s="19" t="n">
        <v>0.048597</v>
      </c>
    </row>
    <row r="5789" customFormat="false" ht="15" hidden="false" customHeight="false" outlineLevel="0" collapsed="false">
      <c r="A5789" s="28" t="s">
        <v>210</v>
      </c>
      <c r="B5789" s="28" t="s">
        <v>211</v>
      </c>
      <c r="C5789" s="28" t="s">
        <v>209</v>
      </c>
      <c r="D5789" s="23" t="n">
        <v>17</v>
      </c>
      <c r="E5789" s="23" t="n">
        <v>13</v>
      </c>
      <c r="F5789" s="28" t="s">
        <v>907</v>
      </c>
      <c r="G5789" s="19" t="n">
        <v>0.050792</v>
      </c>
    </row>
    <row r="5790" customFormat="false" ht="15" hidden="false" customHeight="false" outlineLevel="0" collapsed="false">
      <c r="A5790" s="28" t="s">
        <v>210</v>
      </c>
      <c r="B5790" s="28" t="s">
        <v>211</v>
      </c>
      <c r="C5790" s="28" t="s">
        <v>209</v>
      </c>
      <c r="D5790" s="23" t="n">
        <v>17</v>
      </c>
      <c r="E5790" s="23" t="n">
        <v>13</v>
      </c>
      <c r="F5790" s="28" t="s">
        <v>908</v>
      </c>
      <c r="G5790" s="19" t="n">
        <v>0.053882</v>
      </c>
    </row>
    <row r="5791" customFormat="false" ht="15" hidden="false" customHeight="false" outlineLevel="0" collapsed="false">
      <c r="A5791" s="28" t="s">
        <v>210</v>
      </c>
      <c r="B5791" s="28" t="s">
        <v>211</v>
      </c>
      <c r="C5791" s="28" t="s">
        <v>209</v>
      </c>
      <c r="D5791" s="23" t="n">
        <v>17</v>
      </c>
      <c r="E5791" s="23" t="n">
        <v>13</v>
      </c>
      <c r="F5791" s="28" t="s">
        <v>909</v>
      </c>
      <c r="G5791" s="19" t="n">
        <v>0.054772</v>
      </c>
    </row>
    <row r="5792" customFormat="false" ht="15" hidden="false" customHeight="false" outlineLevel="0" collapsed="false">
      <c r="A5792" s="28" t="s">
        <v>210</v>
      </c>
      <c r="B5792" s="28" t="s">
        <v>211</v>
      </c>
      <c r="C5792" s="28" t="s">
        <v>209</v>
      </c>
      <c r="D5792" s="23" t="n">
        <v>17</v>
      </c>
      <c r="E5792" s="23" t="n">
        <v>13</v>
      </c>
      <c r="F5792" s="28" t="s">
        <v>910</v>
      </c>
      <c r="G5792" s="19" t="n">
        <v>0.055551</v>
      </c>
    </row>
    <row r="5793" customFormat="false" ht="15" hidden="false" customHeight="false" outlineLevel="0" collapsed="false">
      <c r="A5793" s="28" t="s">
        <v>210</v>
      </c>
      <c r="B5793" s="28" t="s">
        <v>211</v>
      </c>
      <c r="C5793" s="28" t="s">
        <v>209</v>
      </c>
      <c r="D5793" s="23" t="n">
        <v>17</v>
      </c>
      <c r="E5793" s="23" t="n">
        <v>13</v>
      </c>
      <c r="F5793" s="28" t="s">
        <v>911</v>
      </c>
      <c r="G5793" s="19" t="n">
        <v>0.056531</v>
      </c>
    </row>
    <row r="5794" customFormat="false" ht="15" hidden="false" customHeight="false" outlineLevel="0" collapsed="false">
      <c r="A5794" s="28" t="s">
        <v>210</v>
      </c>
      <c r="B5794" s="28" t="s">
        <v>211</v>
      </c>
      <c r="C5794" s="28" t="s">
        <v>209</v>
      </c>
      <c r="D5794" s="23" t="n">
        <v>17</v>
      </c>
      <c r="E5794" s="23" t="n">
        <v>13</v>
      </c>
      <c r="F5794" s="28" t="s">
        <v>912</v>
      </c>
      <c r="G5794" s="19" t="n">
        <v>0.0575</v>
      </c>
    </row>
    <row r="5795" customFormat="false" ht="15" hidden="false" customHeight="false" outlineLevel="0" collapsed="false">
      <c r="A5795" s="28" t="s">
        <v>210</v>
      </c>
      <c r="B5795" s="28" t="s">
        <v>211</v>
      </c>
      <c r="C5795" s="28" t="s">
        <v>209</v>
      </c>
      <c r="D5795" s="23" t="n">
        <v>17</v>
      </c>
      <c r="E5795" s="23" t="n">
        <v>13</v>
      </c>
      <c r="F5795" s="28" t="s">
        <v>913</v>
      </c>
      <c r="G5795" s="19" t="n">
        <v>0.0613</v>
      </c>
    </row>
    <row r="5796" customFormat="false" ht="15" hidden="false" customHeight="false" outlineLevel="0" collapsed="false">
      <c r="A5796" s="28" t="s">
        <v>210</v>
      </c>
      <c r="B5796" s="28" t="s">
        <v>211</v>
      </c>
      <c r="C5796" s="28" t="s">
        <v>209</v>
      </c>
      <c r="D5796" s="23" t="n">
        <v>17</v>
      </c>
      <c r="E5796" s="23" t="n">
        <v>13</v>
      </c>
      <c r="F5796" s="28" t="s">
        <v>914</v>
      </c>
      <c r="G5796" s="19" t="n">
        <v>0.0608</v>
      </c>
    </row>
    <row r="5797" customFormat="false" ht="15" hidden="false" customHeight="false" outlineLevel="0" collapsed="false">
      <c r="A5797" s="28" t="s">
        <v>210</v>
      </c>
      <c r="B5797" s="28" t="s">
        <v>211</v>
      </c>
      <c r="C5797" s="28" t="s">
        <v>209</v>
      </c>
      <c r="D5797" s="23" t="n">
        <v>17</v>
      </c>
      <c r="E5797" s="23" t="n">
        <v>13</v>
      </c>
      <c r="F5797" s="28" t="s">
        <v>915</v>
      </c>
      <c r="G5797" s="19" t="n">
        <v>0.078</v>
      </c>
    </row>
    <row r="5798" customFormat="false" ht="15" hidden="false" customHeight="false" outlineLevel="0" collapsed="false">
      <c r="A5798" s="28" t="s">
        <v>210</v>
      </c>
      <c r="B5798" s="28" t="s">
        <v>211</v>
      </c>
      <c r="C5798" s="28" t="s">
        <v>209</v>
      </c>
      <c r="D5798" s="23" t="n">
        <v>17</v>
      </c>
      <c r="E5798" s="23" t="n">
        <v>14</v>
      </c>
      <c r="F5798" s="28" t="s">
        <v>904</v>
      </c>
      <c r="G5798" s="19" t="n">
        <v>0.0438</v>
      </c>
    </row>
    <row r="5799" customFormat="false" ht="15" hidden="false" customHeight="false" outlineLevel="0" collapsed="false">
      <c r="A5799" s="28" t="s">
        <v>210</v>
      </c>
      <c r="B5799" s="28" t="s">
        <v>211</v>
      </c>
      <c r="C5799" s="28" t="s">
        <v>209</v>
      </c>
      <c r="D5799" s="23" t="n">
        <v>17</v>
      </c>
      <c r="E5799" s="23" t="n">
        <v>14</v>
      </c>
      <c r="F5799" s="28" t="s">
        <v>551</v>
      </c>
      <c r="G5799" s="19" t="n">
        <v>0.075</v>
      </c>
    </row>
    <row r="5800" customFormat="false" ht="15" hidden="false" customHeight="false" outlineLevel="0" collapsed="false">
      <c r="A5800" s="28" t="s">
        <v>210</v>
      </c>
      <c r="B5800" s="28" t="s">
        <v>211</v>
      </c>
      <c r="C5800" s="28" t="s">
        <v>209</v>
      </c>
      <c r="D5800" s="23" t="n">
        <v>17</v>
      </c>
      <c r="E5800" s="23" t="n">
        <v>14</v>
      </c>
      <c r="F5800" s="28" t="s">
        <v>451</v>
      </c>
      <c r="G5800" s="19" t="n">
        <v>0.0436</v>
      </c>
    </row>
    <row r="5801" customFormat="false" ht="15" hidden="false" customHeight="false" outlineLevel="0" collapsed="false">
      <c r="A5801" s="28" t="s">
        <v>210</v>
      </c>
      <c r="B5801" s="28" t="s">
        <v>211</v>
      </c>
      <c r="C5801" s="28" t="s">
        <v>209</v>
      </c>
      <c r="D5801" s="23" t="n">
        <v>17</v>
      </c>
      <c r="E5801" s="23" t="n">
        <v>14</v>
      </c>
      <c r="F5801" s="28" t="s">
        <v>905</v>
      </c>
      <c r="G5801" s="19" t="n">
        <v>0.0475</v>
      </c>
    </row>
    <row r="5802" customFormat="false" ht="15" hidden="false" customHeight="false" outlineLevel="0" collapsed="false">
      <c r="A5802" s="28" t="s">
        <v>210</v>
      </c>
      <c r="B5802" s="28" t="s">
        <v>211</v>
      </c>
      <c r="C5802" s="28" t="s">
        <v>209</v>
      </c>
      <c r="D5802" s="23" t="n">
        <v>17</v>
      </c>
      <c r="E5802" s="23" t="n">
        <v>14</v>
      </c>
      <c r="F5802" s="28" t="s">
        <v>906</v>
      </c>
      <c r="G5802" s="19" t="n">
        <v>0.048597</v>
      </c>
    </row>
    <row r="5803" customFormat="false" ht="15" hidden="false" customHeight="false" outlineLevel="0" collapsed="false">
      <c r="A5803" s="28" t="s">
        <v>210</v>
      </c>
      <c r="B5803" s="28" t="s">
        <v>211</v>
      </c>
      <c r="C5803" s="28" t="s">
        <v>209</v>
      </c>
      <c r="D5803" s="23" t="n">
        <v>17</v>
      </c>
      <c r="E5803" s="23" t="n">
        <v>14</v>
      </c>
      <c r="F5803" s="28" t="s">
        <v>907</v>
      </c>
      <c r="G5803" s="19" t="n">
        <v>0.050792</v>
      </c>
    </row>
    <row r="5804" customFormat="false" ht="15" hidden="false" customHeight="false" outlineLevel="0" collapsed="false">
      <c r="A5804" s="28" t="s">
        <v>210</v>
      </c>
      <c r="B5804" s="28" t="s">
        <v>211</v>
      </c>
      <c r="C5804" s="28" t="s">
        <v>209</v>
      </c>
      <c r="D5804" s="23" t="n">
        <v>17</v>
      </c>
      <c r="E5804" s="23" t="n">
        <v>14</v>
      </c>
      <c r="F5804" s="28" t="s">
        <v>908</v>
      </c>
      <c r="G5804" s="19" t="n">
        <v>0.053882</v>
      </c>
    </row>
    <row r="5805" customFormat="false" ht="15" hidden="false" customHeight="false" outlineLevel="0" collapsed="false">
      <c r="A5805" s="28" t="s">
        <v>210</v>
      </c>
      <c r="B5805" s="28" t="s">
        <v>211</v>
      </c>
      <c r="C5805" s="28" t="s">
        <v>209</v>
      </c>
      <c r="D5805" s="23" t="n">
        <v>17</v>
      </c>
      <c r="E5805" s="23" t="n">
        <v>14</v>
      </c>
      <c r="F5805" s="28" t="s">
        <v>909</v>
      </c>
      <c r="G5805" s="19" t="n">
        <v>0.054772</v>
      </c>
    </row>
    <row r="5806" customFormat="false" ht="15" hidden="false" customHeight="false" outlineLevel="0" collapsed="false">
      <c r="A5806" s="28" t="s">
        <v>210</v>
      </c>
      <c r="B5806" s="28" t="s">
        <v>211</v>
      </c>
      <c r="C5806" s="28" t="s">
        <v>209</v>
      </c>
      <c r="D5806" s="23" t="n">
        <v>17</v>
      </c>
      <c r="E5806" s="23" t="n">
        <v>14</v>
      </c>
      <c r="F5806" s="28" t="s">
        <v>910</v>
      </c>
      <c r="G5806" s="19" t="n">
        <v>0.055551</v>
      </c>
    </row>
    <row r="5807" customFormat="false" ht="15" hidden="false" customHeight="false" outlineLevel="0" collapsed="false">
      <c r="A5807" s="28" t="s">
        <v>210</v>
      </c>
      <c r="B5807" s="28" t="s">
        <v>211</v>
      </c>
      <c r="C5807" s="28" t="s">
        <v>209</v>
      </c>
      <c r="D5807" s="23" t="n">
        <v>17</v>
      </c>
      <c r="E5807" s="23" t="n">
        <v>14</v>
      </c>
      <c r="F5807" s="28" t="s">
        <v>911</v>
      </c>
      <c r="G5807" s="19" t="n">
        <v>0.056531</v>
      </c>
    </row>
    <row r="5808" customFormat="false" ht="15" hidden="false" customHeight="false" outlineLevel="0" collapsed="false">
      <c r="A5808" s="28" t="s">
        <v>210</v>
      </c>
      <c r="B5808" s="28" t="s">
        <v>211</v>
      </c>
      <c r="C5808" s="28" t="s">
        <v>209</v>
      </c>
      <c r="D5808" s="23" t="n">
        <v>17</v>
      </c>
      <c r="E5808" s="23" t="n">
        <v>14</v>
      </c>
      <c r="F5808" s="28" t="s">
        <v>912</v>
      </c>
      <c r="G5808" s="19" t="n">
        <v>0.0575</v>
      </c>
    </row>
    <row r="5809" customFormat="false" ht="15" hidden="false" customHeight="false" outlineLevel="0" collapsed="false">
      <c r="A5809" s="28" t="s">
        <v>210</v>
      </c>
      <c r="B5809" s="28" t="s">
        <v>211</v>
      </c>
      <c r="C5809" s="28" t="s">
        <v>209</v>
      </c>
      <c r="D5809" s="23" t="n">
        <v>17</v>
      </c>
      <c r="E5809" s="23" t="n">
        <v>14</v>
      </c>
      <c r="F5809" s="28" t="s">
        <v>913</v>
      </c>
      <c r="G5809" s="19" t="n">
        <v>0.0613</v>
      </c>
    </row>
    <row r="5810" customFormat="false" ht="15" hidden="false" customHeight="false" outlineLevel="0" collapsed="false">
      <c r="A5810" s="28" t="s">
        <v>210</v>
      </c>
      <c r="B5810" s="28" t="s">
        <v>211</v>
      </c>
      <c r="C5810" s="28" t="s">
        <v>209</v>
      </c>
      <c r="D5810" s="23" t="n">
        <v>17</v>
      </c>
      <c r="E5810" s="23" t="n">
        <v>14</v>
      </c>
      <c r="F5810" s="28" t="s">
        <v>914</v>
      </c>
      <c r="G5810" s="19" t="n">
        <v>0.0608</v>
      </c>
    </row>
    <row r="5811" customFormat="false" ht="15" hidden="false" customHeight="false" outlineLevel="0" collapsed="false">
      <c r="A5811" s="28" t="s">
        <v>210</v>
      </c>
      <c r="B5811" s="28" t="s">
        <v>211</v>
      </c>
      <c r="C5811" s="28" t="s">
        <v>209</v>
      </c>
      <c r="D5811" s="23" t="n">
        <v>17</v>
      </c>
      <c r="E5811" s="23" t="n">
        <v>14</v>
      </c>
      <c r="F5811" s="28" t="s">
        <v>915</v>
      </c>
      <c r="G5811" s="19" t="n">
        <v>0.078</v>
      </c>
    </row>
    <row r="5812" customFormat="false" ht="15" hidden="false" customHeight="false" outlineLevel="0" collapsed="false">
      <c r="A5812" s="28" t="s">
        <v>210</v>
      </c>
      <c r="B5812" s="28" t="s">
        <v>211</v>
      </c>
      <c r="C5812" s="28" t="s">
        <v>209</v>
      </c>
      <c r="D5812" s="23" t="n">
        <v>17</v>
      </c>
      <c r="E5812" s="23" t="n">
        <v>15</v>
      </c>
      <c r="F5812" s="28" t="s">
        <v>904</v>
      </c>
      <c r="G5812" s="19" t="n">
        <v>0.0438</v>
      </c>
    </row>
    <row r="5813" customFormat="false" ht="15" hidden="false" customHeight="false" outlineLevel="0" collapsed="false">
      <c r="A5813" s="28" t="s">
        <v>210</v>
      </c>
      <c r="B5813" s="28" t="s">
        <v>211</v>
      </c>
      <c r="C5813" s="28" t="s">
        <v>209</v>
      </c>
      <c r="D5813" s="23" t="n">
        <v>17</v>
      </c>
      <c r="E5813" s="23" t="n">
        <v>15</v>
      </c>
      <c r="F5813" s="28" t="s">
        <v>551</v>
      </c>
      <c r="G5813" s="19" t="n">
        <v>0.075</v>
      </c>
    </row>
    <row r="5814" customFormat="false" ht="15" hidden="false" customHeight="false" outlineLevel="0" collapsed="false">
      <c r="A5814" s="28" t="s">
        <v>210</v>
      </c>
      <c r="B5814" s="28" t="s">
        <v>211</v>
      </c>
      <c r="C5814" s="28" t="s">
        <v>209</v>
      </c>
      <c r="D5814" s="23" t="n">
        <v>17</v>
      </c>
      <c r="E5814" s="23" t="n">
        <v>15</v>
      </c>
      <c r="F5814" s="28" t="s">
        <v>451</v>
      </c>
      <c r="G5814" s="19" t="n">
        <v>0.0436</v>
      </c>
    </row>
    <row r="5815" customFormat="false" ht="15" hidden="false" customHeight="false" outlineLevel="0" collapsed="false">
      <c r="A5815" s="28" t="s">
        <v>210</v>
      </c>
      <c r="B5815" s="28" t="s">
        <v>211</v>
      </c>
      <c r="C5815" s="28" t="s">
        <v>209</v>
      </c>
      <c r="D5815" s="23" t="n">
        <v>17</v>
      </c>
      <c r="E5815" s="23" t="n">
        <v>15</v>
      </c>
      <c r="F5815" s="28" t="s">
        <v>905</v>
      </c>
      <c r="G5815" s="19" t="n">
        <v>0.0475</v>
      </c>
    </row>
    <row r="5816" customFormat="false" ht="15" hidden="false" customHeight="false" outlineLevel="0" collapsed="false">
      <c r="A5816" s="28" t="s">
        <v>210</v>
      </c>
      <c r="B5816" s="28" t="s">
        <v>211</v>
      </c>
      <c r="C5816" s="28" t="s">
        <v>209</v>
      </c>
      <c r="D5816" s="23" t="n">
        <v>17</v>
      </c>
      <c r="E5816" s="23" t="n">
        <v>15</v>
      </c>
      <c r="F5816" s="28" t="s">
        <v>906</v>
      </c>
      <c r="G5816" s="19" t="n">
        <v>0.048597</v>
      </c>
    </row>
    <row r="5817" customFormat="false" ht="15" hidden="false" customHeight="false" outlineLevel="0" collapsed="false">
      <c r="A5817" s="28" t="s">
        <v>210</v>
      </c>
      <c r="B5817" s="28" t="s">
        <v>211</v>
      </c>
      <c r="C5817" s="28" t="s">
        <v>209</v>
      </c>
      <c r="D5817" s="23" t="n">
        <v>17</v>
      </c>
      <c r="E5817" s="23" t="n">
        <v>15</v>
      </c>
      <c r="F5817" s="28" t="s">
        <v>907</v>
      </c>
      <c r="G5817" s="19" t="n">
        <v>0.050792</v>
      </c>
    </row>
    <row r="5818" customFormat="false" ht="15" hidden="false" customHeight="false" outlineLevel="0" collapsed="false">
      <c r="A5818" s="28" t="s">
        <v>210</v>
      </c>
      <c r="B5818" s="28" t="s">
        <v>211</v>
      </c>
      <c r="C5818" s="28" t="s">
        <v>209</v>
      </c>
      <c r="D5818" s="23" t="n">
        <v>17</v>
      </c>
      <c r="E5818" s="23" t="n">
        <v>15</v>
      </c>
      <c r="F5818" s="28" t="s">
        <v>908</v>
      </c>
      <c r="G5818" s="19" t="n">
        <v>0.053882</v>
      </c>
    </row>
    <row r="5819" customFormat="false" ht="15" hidden="false" customHeight="false" outlineLevel="0" collapsed="false">
      <c r="A5819" s="28" t="s">
        <v>210</v>
      </c>
      <c r="B5819" s="28" t="s">
        <v>211</v>
      </c>
      <c r="C5819" s="28" t="s">
        <v>209</v>
      </c>
      <c r="D5819" s="23" t="n">
        <v>17</v>
      </c>
      <c r="E5819" s="23" t="n">
        <v>15</v>
      </c>
      <c r="F5819" s="28" t="s">
        <v>909</v>
      </c>
      <c r="G5819" s="19" t="n">
        <v>0.054772</v>
      </c>
    </row>
    <row r="5820" customFormat="false" ht="15" hidden="false" customHeight="false" outlineLevel="0" collapsed="false">
      <c r="A5820" s="28" t="s">
        <v>210</v>
      </c>
      <c r="B5820" s="28" t="s">
        <v>211</v>
      </c>
      <c r="C5820" s="28" t="s">
        <v>209</v>
      </c>
      <c r="D5820" s="23" t="n">
        <v>17</v>
      </c>
      <c r="E5820" s="23" t="n">
        <v>15</v>
      </c>
      <c r="F5820" s="28" t="s">
        <v>910</v>
      </c>
      <c r="G5820" s="19" t="n">
        <v>0.055551</v>
      </c>
    </row>
    <row r="5821" customFormat="false" ht="15" hidden="false" customHeight="false" outlineLevel="0" collapsed="false">
      <c r="A5821" s="28" t="s">
        <v>210</v>
      </c>
      <c r="B5821" s="28" t="s">
        <v>211</v>
      </c>
      <c r="C5821" s="28" t="s">
        <v>209</v>
      </c>
      <c r="D5821" s="23" t="n">
        <v>17</v>
      </c>
      <c r="E5821" s="23" t="n">
        <v>15</v>
      </c>
      <c r="F5821" s="28" t="s">
        <v>911</v>
      </c>
      <c r="G5821" s="19" t="n">
        <v>0.056531</v>
      </c>
    </row>
    <row r="5822" customFormat="false" ht="15" hidden="false" customHeight="false" outlineLevel="0" collapsed="false">
      <c r="A5822" s="28" t="s">
        <v>210</v>
      </c>
      <c r="B5822" s="28" t="s">
        <v>211</v>
      </c>
      <c r="C5822" s="28" t="s">
        <v>209</v>
      </c>
      <c r="D5822" s="23" t="n">
        <v>17</v>
      </c>
      <c r="E5822" s="23" t="n">
        <v>15</v>
      </c>
      <c r="F5822" s="28" t="s">
        <v>912</v>
      </c>
      <c r="G5822" s="19" t="n">
        <v>0.0575</v>
      </c>
    </row>
    <row r="5823" customFormat="false" ht="15" hidden="false" customHeight="false" outlineLevel="0" collapsed="false">
      <c r="A5823" s="28" t="s">
        <v>210</v>
      </c>
      <c r="B5823" s="28" t="s">
        <v>211</v>
      </c>
      <c r="C5823" s="28" t="s">
        <v>209</v>
      </c>
      <c r="D5823" s="23" t="n">
        <v>17</v>
      </c>
      <c r="E5823" s="23" t="n">
        <v>15</v>
      </c>
      <c r="F5823" s="28" t="s">
        <v>913</v>
      </c>
      <c r="G5823" s="19" t="n">
        <v>0.0613</v>
      </c>
    </row>
    <row r="5824" customFormat="false" ht="15" hidden="false" customHeight="false" outlineLevel="0" collapsed="false">
      <c r="A5824" s="28" t="s">
        <v>210</v>
      </c>
      <c r="B5824" s="28" t="s">
        <v>211</v>
      </c>
      <c r="C5824" s="28" t="s">
        <v>209</v>
      </c>
      <c r="D5824" s="23" t="n">
        <v>17</v>
      </c>
      <c r="E5824" s="23" t="n">
        <v>15</v>
      </c>
      <c r="F5824" s="28" t="s">
        <v>914</v>
      </c>
      <c r="G5824" s="19" t="n">
        <v>0.0608</v>
      </c>
    </row>
    <row r="5825" customFormat="false" ht="15" hidden="false" customHeight="false" outlineLevel="0" collapsed="false">
      <c r="A5825" s="28" t="s">
        <v>210</v>
      </c>
      <c r="B5825" s="28" t="s">
        <v>211</v>
      </c>
      <c r="C5825" s="28" t="s">
        <v>209</v>
      </c>
      <c r="D5825" s="23" t="n">
        <v>17</v>
      </c>
      <c r="E5825" s="23" t="n">
        <v>15</v>
      </c>
      <c r="F5825" s="28" t="s">
        <v>915</v>
      </c>
      <c r="G5825" s="19" t="n">
        <v>0.078</v>
      </c>
    </row>
    <row r="5826" customFormat="false" ht="15" hidden="false" customHeight="false" outlineLevel="0" collapsed="false">
      <c r="A5826" s="28" t="s">
        <v>210</v>
      </c>
      <c r="B5826" s="28" t="s">
        <v>211</v>
      </c>
      <c r="C5826" s="28" t="s">
        <v>209</v>
      </c>
      <c r="D5826" s="23" t="n">
        <v>17</v>
      </c>
      <c r="E5826" s="23" t="n">
        <v>16</v>
      </c>
      <c r="F5826" s="28" t="s">
        <v>904</v>
      </c>
      <c r="G5826" s="19" t="n">
        <v>0.0438</v>
      </c>
    </row>
    <row r="5827" customFormat="false" ht="15" hidden="false" customHeight="false" outlineLevel="0" collapsed="false">
      <c r="A5827" s="28" t="s">
        <v>210</v>
      </c>
      <c r="B5827" s="28" t="s">
        <v>211</v>
      </c>
      <c r="C5827" s="28" t="s">
        <v>209</v>
      </c>
      <c r="D5827" s="23" t="n">
        <v>17</v>
      </c>
      <c r="E5827" s="23" t="n">
        <v>16</v>
      </c>
      <c r="F5827" s="28" t="s">
        <v>551</v>
      </c>
      <c r="G5827" s="19" t="n">
        <v>0.075</v>
      </c>
    </row>
    <row r="5828" customFormat="false" ht="15" hidden="false" customHeight="false" outlineLevel="0" collapsed="false">
      <c r="A5828" s="28" t="s">
        <v>210</v>
      </c>
      <c r="B5828" s="28" t="s">
        <v>211</v>
      </c>
      <c r="C5828" s="28" t="s">
        <v>209</v>
      </c>
      <c r="D5828" s="23" t="n">
        <v>17</v>
      </c>
      <c r="E5828" s="23" t="n">
        <v>16</v>
      </c>
      <c r="F5828" s="28" t="s">
        <v>451</v>
      </c>
      <c r="G5828" s="19" t="n">
        <v>0.0436</v>
      </c>
    </row>
    <row r="5829" customFormat="false" ht="15" hidden="false" customHeight="false" outlineLevel="0" collapsed="false">
      <c r="A5829" s="28" t="s">
        <v>210</v>
      </c>
      <c r="B5829" s="28" t="s">
        <v>211</v>
      </c>
      <c r="C5829" s="28" t="s">
        <v>209</v>
      </c>
      <c r="D5829" s="23" t="n">
        <v>17</v>
      </c>
      <c r="E5829" s="23" t="n">
        <v>16</v>
      </c>
      <c r="F5829" s="28" t="s">
        <v>905</v>
      </c>
      <c r="G5829" s="19" t="n">
        <v>0.0475</v>
      </c>
    </row>
    <row r="5830" customFormat="false" ht="15" hidden="false" customHeight="false" outlineLevel="0" collapsed="false">
      <c r="A5830" s="28" t="s">
        <v>210</v>
      </c>
      <c r="B5830" s="28" t="s">
        <v>211</v>
      </c>
      <c r="C5830" s="28" t="s">
        <v>209</v>
      </c>
      <c r="D5830" s="23" t="n">
        <v>17</v>
      </c>
      <c r="E5830" s="23" t="n">
        <v>16</v>
      </c>
      <c r="F5830" s="28" t="s">
        <v>906</v>
      </c>
      <c r="G5830" s="19" t="n">
        <v>0.048597</v>
      </c>
    </row>
    <row r="5831" customFormat="false" ht="15" hidden="false" customHeight="false" outlineLevel="0" collapsed="false">
      <c r="A5831" s="28" t="s">
        <v>210</v>
      </c>
      <c r="B5831" s="28" t="s">
        <v>211</v>
      </c>
      <c r="C5831" s="28" t="s">
        <v>209</v>
      </c>
      <c r="D5831" s="23" t="n">
        <v>17</v>
      </c>
      <c r="E5831" s="23" t="n">
        <v>16</v>
      </c>
      <c r="F5831" s="28" t="s">
        <v>907</v>
      </c>
      <c r="G5831" s="19" t="n">
        <v>0.050792</v>
      </c>
    </row>
    <row r="5832" customFormat="false" ht="15" hidden="false" customHeight="false" outlineLevel="0" collapsed="false">
      <c r="A5832" s="28" t="s">
        <v>210</v>
      </c>
      <c r="B5832" s="28" t="s">
        <v>211</v>
      </c>
      <c r="C5832" s="28" t="s">
        <v>209</v>
      </c>
      <c r="D5832" s="23" t="n">
        <v>17</v>
      </c>
      <c r="E5832" s="23" t="n">
        <v>16</v>
      </c>
      <c r="F5832" s="28" t="s">
        <v>908</v>
      </c>
      <c r="G5832" s="19" t="n">
        <v>0.053882</v>
      </c>
    </row>
    <row r="5833" customFormat="false" ht="15" hidden="false" customHeight="false" outlineLevel="0" collapsed="false">
      <c r="A5833" s="28" t="s">
        <v>210</v>
      </c>
      <c r="B5833" s="28" t="s">
        <v>211</v>
      </c>
      <c r="C5833" s="28" t="s">
        <v>209</v>
      </c>
      <c r="D5833" s="23" t="n">
        <v>17</v>
      </c>
      <c r="E5833" s="23" t="n">
        <v>16</v>
      </c>
      <c r="F5833" s="28" t="s">
        <v>909</v>
      </c>
      <c r="G5833" s="19" t="n">
        <v>0.054772</v>
      </c>
    </row>
    <row r="5834" customFormat="false" ht="15" hidden="false" customHeight="false" outlineLevel="0" collapsed="false">
      <c r="A5834" s="28" t="s">
        <v>210</v>
      </c>
      <c r="B5834" s="28" t="s">
        <v>211</v>
      </c>
      <c r="C5834" s="28" t="s">
        <v>209</v>
      </c>
      <c r="D5834" s="23" t="n">
        <v>17</v>
      </c>
      <c r="E5834" s="23" t="n">
        <v>16</v>
      </c>
      <c r="F5834" s="28" t="s">
        <v>910</v>
      </c>
      <c r="G5834" s="19" t="n">
        <v>0.055551</v>
      </c>
    </row>
    <row r="5835" customFormat="false" ht="15" hidden="false" customHeight="false" outlineLevel="0" collapsed="false">
      <c r="A5835" s="28" t="s">
        <v>210</v>
      </c>
      <c r="B5835" s="28" t="s">
        <v>211</v>
      </c>
      <c r="C5835" s="28" t="s">
        <v>209</v>
      </c>
      <c r="D5835" s="23" t="n">
        <v>17</v>
      </c>
      <c r="E5835" s="23" t="n">
        <v>16</v>
      </c>
      <c r="F5835" s="28" t="s">
        <v>911</v>
      </c>
      <c r="G5835" s="19" t="n">
        <v>0.056531</v>
      </c>
    </row>
    <row r="5836" customFormat="false" ht="15" hidden="false" customHeight="false" outlineLevel="0" collapsed="false">
      <c r="A5836" s="28" t="s">
        <v>210</v>
      </c>
      <c r="B5836" s="28" t="s">
        <v>211</v>
      </c>
      <c r="C5836" s="28" t="s">
        <v>209</v>
      </c>
      <c r="D5836" s="23" t="n">
        <v>17</v>
      </c>
      <c r="E5836" s="23" t="n">
        <v>16</v>
      </c>
      <c r="F5836" s="28" t="s">
        <v>912</v>
      </c>
      <c r="G5836" s="19" t="n">
        <v>0.0575</v>
      </c>
    </row>
    <row r="5837" customFormat="false" ht="15" hidden="false" customHeight="false" outlineLevel="0" collapsed="false">
      <c r="A5837" s="28" t="s">
        <v>210</v>
      </c>
      <c r="B5837" s="28" t="s">
        <v>211</v>
      </c>
      <c r="C5837" s="28" t="s">
        <v>209</v>
      </c>
      <c r="D5837" s="23" t="n">
        <v>17</v>
      </c>
      <c r="E5837" s="23" t="n">
        <v>16</v>
      </c>
      <c r="F5837" s="28" t="s">
        <v>913</v>
      </c>
      <c r="G5837" s="19" t="n">
        <v>0.0613</v>
      </c>
    </row>
    <row r="5838" customFormat="false" ht="15" hidden="false" customHeight="false" outlineLevel="0" collapsed="false">
      <c r="A5838" s="28" t="s">
        <v>210</v>
      </c>
      <c r="B5838" s="28" t="s">
        <v>211</v>
      </c>
      <c r="C5838" s="28" t="s">
        <v>209</v>
      </c>
      <c r="D5838" s="23" t="n">
        <v>17</v>
      </c>
      <c r="E5838" s="23" t="n">
        <v>16</v>
      </c>
      <c r="F5838" s="28" t="s">
        <v>914</v>
      </c>
      <c r="G5838" s="19" t="n">
        <v>0.0608</v>
      </c>
    </row>
    <row r="5839" customFormat="false" ht="15" hidden="false" customHeight="false" outlineLevel="0" collapsed="false">
      <c r="A5839" s="28" t="s">
        <v>210</v>
      </c>
      <c r="B5839" s="28" t="s">
        <v>211</v>
      </c>
      <c r="C5839" s="28" t="s">
        <v>209</v>
      </c>
      <c r="D5839" s="23" t="n">
        <v>17</v>
      </c>
      <c r="E5839" s="23" t="n">
        <v>16</v>
      </c>
      <c r="F5839" s="28" t="s">
        <v>915</v>
      </c>
      <c r="G5839" s="19" t="n">
        <v>0.078</v>
      </c>
    </row>
    <row r="5840" customFormat="false" ht="15" hidden="false" customHeight="false" outlineLevel="0" collapsed="false">
      <c r="A5840" s="28" t="s">
        <v>210</v>
      </c>
      <c r="B5840" s="28" t="s">
        <v>211</v>
      </c>
      <c r="C5840" s="28" t="s">
        <v>209</v>
      </c>
      <c r="D5840" s="23" t="n">
        <v>17</v>
      </c>
      <c r="E5840" s="23" t="n">
        <v>17</v>
      </c>
      <c r="F5840" s="28" t="s">
        <v>904</v>
      </c>
      <c r="G5840" s="19" t="n">
        <v>0.0438</v>
      </c>
    </row>
    <row r="5841" customFormat="false" ht="15" hidden="false" customHeight="false" outlineLevel="0" collapsed="false">
      <c r="A5841" s="28" t="s">
        <v>210</v>
      </c>
      <c r="B5841" s="28" t="s">
        <v>211</v>
      </c>
      <c r="C5841" s="28" t="s">
        <v>209</v>
      </c>
      <c r="D5841" s="23" t="n">
        <v>17</v>
      </c>
      <c r="E5841" s="23" t="n">
        <v>17</v>
      </c>
      <c r="F5841" s="28" t="s">
        <v>551</v>
      </c>
      <c r="G5841" s="19" t="n">
        <v>0.075</v>
      </c>
    </row>
    <row r="5842" customFormat="false" ht="15" hidden="false" customHeight="false" outlineLevel="0" collapsed="false">
      <c r="A5842" s="28" t="s">
        <v>210</v>
      </c>
      <c r="B5842" s="28" t="s">
        <v>211</v>
      </c>
      <c r="C5842" s="28" t="s">
        <v>209</v>
      </c>
      <c r="D5842" s="23" t="n">
        <v>17</v>
      </c>
      <c r="E5842" s="23" t="n">
        <v>17</v>
      </c>
      <c r="F5842" s="28" t="s">
        <v>451</v>
      </c>
      <c r="G5842" s="19" t="n">
        <v>0.0436</v>
      </c>
    </row>
    <row r="5843" customFormat="false" ht="15" hidden="false" customHeight="false" outlineLevel="0" collapsed="false">
      <c r="A5843" s="28" t="s">
        <v>210</v>
      </c>
      <c r="B5843" s="28" t="s">
        <v>211</v>
      </c>
      <c r="C5843" s="28" t="s">
        <v>209</v>
      </c>
      <c r="D5843" s="23" t="n">
        <v>17</v>
      </c>
      <c r="E5843" s="23" t="n">
        <v>17</v>
      </c>
      <c r="F5843" s="28" t="s">
        <v>905</v>
      </c>
      <c r="G5843" s="19" t="n">
        <v>0.0475</v>
      </c>
    </row>
    <row r="5844" customFormat="false" ht="15" hidden="false" customHeight="false" outlineLevel="0" collapsed="false">
      <c r="A5844" s="28" t="s">
        <v>210</v>
      </c>
      <c r="B5844" s="28" t="s">
        <v>211</v>
      </c>
      <c r="C5844" s="28" t="s">
        <v>209</v>
      </c>
      <c r="D5844" s="23" t="n">
        <v>17</v>
      </c>
      <c r="E5844" s="23" t="n">
        <v>17</v>
      </c>
      <c r="F5844" s="28" t="s">
        <v>906</v>
      </c>
      <c r="G5844" s="19" t="n">
        <v>0.048597</v>
      </c>
    </row>
    <row r="5845" customFormat="false" ht="15" hidden="false" customHeight="false" outlineLevel="0" collapsed="false">
      <c r="A5845" s="28" t="s">
        <v>210</v>
      </c>
      <c r="B5845" s="28" t="s">
        <v>211</v>
      </c>
      <c r="C5845" s="28" t="s">
        <v>209</v>
      </c>
      <c r="D5845" s="23" t="n">
        <v>17</v>
      </c>
      <c r="E5845" s="23" t="n">
        <v>17</v>
      </c>
      <c r="F5845" s="28" t="s">
        <v>907</v>
      </c>
      <c r="G5845" s="19" t="n">
        <v>0.050792</v>
      </c>
    </row>
    <row r="5846" customFormat="false" ht="15" hidden="false" customHeight="false" outlineLevel="0" collapsed="false">
      <c r="A5846" s="28" t="s">
        <v>210</v>
      </c>
      <c r="B5846" s="28" t="s">
        <v>211</v>
      </c>
      <c r="C5846" s="28" t="s">
        <v>209</v>
      </c>
      <c r="D5846" s="23" t="n">
        <v>17</v>
      </c>
      <c r="E5846" s="23" t="n">
        <v>17</v>
      </c>
      <c r="F5846" s="28" t="s">
        <v>908</v>
      </c>
      <c r="G5846" s="19" t="n">
        <v>0.053882</v>
      </c>
    </row>
    <row r="5847" customFormat="false" ht="15" hidden="false" customHeight="false" outlineLevel="0" collapsed="false">
      <c r="A5847" s="28" t="s">
        <v>210</v>
      </c>
      <c r="B5847" s="28" t="s">
        <v>211</v>
      </c>
      <c r="C5847" s="28" t="s">
        <v>209</v>
      </c>
      <c r="D5847" s="23" t="n">
        <v>17</v>
      </c>
      <c r="E5847" s="23" t="n">
        <v>17</v>
      </c>
      <c r="F5847" s="28" t="s">
        <v>909</v>
      </c>
      <c r="G5847" s="19" t="n">
        <v>0.054772</v>
      </c>
    </row>
    <row r="5848" customFormat="false" ht="15" hidden="false" customHeight="false" outlineLevel="0" collapsed="false">
      <c r="A5848" s="28" t="s">
        <v>210</v>
      </c>
      <c r="B5848" s="28" t="s">
        <v>211</v>
      </c>
      <c r="C5848" s="28" t="s">
        <v>209</v>
      </c>
      <c r="D5848" s="23" t="n">
        <v>17</v>
      </c>
      <c r="E5848" s="23" t="n">
        <v>17</v>
      </c>
      <c r="F5848" s="28" t="s">
        <v>910</v>
      </c>
      <c r="G5848" s="19" t="n">
        <v>0.055551</v>
      </c>
    </row>
    <row r="5849" customFormat="false" ht="15" hidden="false" customHeight="false" outlineLevel="0" collapsed="false">
      <c r="A5849" s="28" t="s">
        <v>210</v>
      </c>
      <c r="B5849" s="28" t="s">
        <v>211</v>
      </c>
      <c r="C5849" s="28" t="s">
        <v>209</v>
      </c>
      <c r="D5849" s="23" t="n">
        <v>17</v>
      </c>
      <c r="E5849" s="23" t="n">
        <v>17</v>
      </c>
      <c r="F5849" s="28" t="s">
        <v>911</v>
      </c>
      <c r="G5849" s="19" t="n">
        <v>0.056531</v>
      </c>
    </row>
    <row r="5850" customFormat="false" ht="15" hidden="false" customHeight="false" outlineLevel="0" collapsed="false">
      <c r="A5850" s="28" t="s">
        <v>210</v>
      </c>
      <c r="B5850" s="28" t="s">
        <v>211</v>
      </c>
      <c r="C5850" s="28" t="s">
        <v>209</v>
      </c>
      <c r="D5850" s="23" t="n">
        <v>17</v>
      </c>
      <c r="E5850" s="23" t="n">
        <v>17</v>
      </c>
      <c r="F5850" s="28" t="s">
        <v>912</v>
      </c>
      <c r="G5850" s="19" t="n">
        <v>0.0575</v>
      </c>
    </row>
    <row r="5851" customFormat="false" ht="15" hidden="false" customHeight="false" outlineLevel="0" collapsed="false">
      <c r="A5851" s="28" t="s">
        <v>210</v>
      </c>
      <c r="B5851" s="28" t="s">
        <v>211</v>
      </c>
      <c r="C5851" s="28" t="s">
        <v>209</v>
      </c>
      <c r="D5851" s="23" t="n">
        <v>17</v>
      </c>
      <c r="E5851" s="23" t="n">
        <v>17</v>
      </c>
      <c r="F5851" s="28" t="s">
        <v>913</v>
      </c>
      <c r="G5851" s="19" t="n">
        <v>0.0613</v>
      </c>
    </row>
    <row r="5852" customFormat="false" ht="15" hidden="false" customHeight="false" outlineLevel="0" collapsed="false">
      <c r="A5852" s="28" t="s">
        <v>210</v>
      </c>
      <c r="B5852" s="28" t="s">
        <v>211</v>
      </c>
      <c r="C5852" s="28" t="s">
        <v>209</v>
      </c>
      <c r="D5852" s="23" t="n">
        <v>17</v>
      </c>
      <c r="E5852" s="23" t="n">
        <v>17</v>
      </c>
      <c r="F5852" s="28" t="s">
        <v>914</v>
      </c>
      <c r="G5852" s="19" t="n">
        <v>0.0608</v>
      </c>
    </row>
    <row r="5853" customFormat="false" ht="15" hidden="false" customHeight="false" outlineLevel="0" collapsed="false">
      <c r="A5853" s="28" t="s">
        <v>210</v>
      </c>
      <c r="B5853" s="28" t="s">
        <v>211</v>
      </c>
      <c r="C5853" s="28" t="s">
        <v>209</v>
      </c>
      <c r="D5853" s="23" t="n">
        <v>17</v>
      </c>
      <c r="E5853" s="23" t="n">
        <v>17</v>
      </c>
      <c r="F5853" s="28" t="s">
        <v>915</v>
      </c>
      <c r="G5853" s="19" t="n">
        <v>0.078</v>
      </c>
    </row>
    <row r="5854" customFormat="false" ht="15" hidden="false" customHeight="false" outlineLevel="0" collapsed="false">
      <c r="A5854" s="28" t="s">
        <v>210</v>
      </c>
      <c r="B5854" s="28" t="s">
        <v>211</v>
      </c>
      <c r="C5854" s="28" t="s">
        <v>209</v>
      </c>
      <c r="D5854" s="23" t="n">
        <v>17</v>
      </c>
      <c r="E5854" s="23" t="n">
        <v>18</v>
      </c>
      <c r="F5854" s="28" t="s">
        <v>904</v>
      </c>
      <c r="G5854" s="19" t="n">
        <v>0.0438</v>
      </c>
    </row>
    <row r="5855" customFormat="false" ht="15" hidden="false" customHeight="false" outlineLevel="0" collapsed="false">
      <c r="A5855" s="28" t="s">
        <v>210</v>
      </c>
      <c r="B5855" s="28" t="s">
        <v>211</v>
      </c>
      <c r="C5855" s="28" t="s">
        <v>209</v>
      </c>
      <c r="D5855" s="23" t="n">
        <v>17</v>
      </c>
      <c r="E5855" s="23" t="n">
        <v>18</v>
      </c>
      <c r="F5855" s="28" t="s">
        <v>551</v>
      </c>
      <c r="G5855" s="19" t="n">
        <v>0.075</v>
      </c>
    </row>
    <row r="5856" customFormat="false" ht="15" hidden="false" customHeight="false" outlineLevel="0" collapsed="false">
      <c r="A5856" s="28" t="s">
        <v>210</v>
      </c>
      <c r="B5856" s="28" t="s">
        <v>211</v>
      </c>
      <c r="C5856" s="28" t="s">
        <v>209</v>
      </c>
      <c r="D5856" s="23" t="n">
        <v>17</v>
      </c>
      <c r="E5856" s="23" t="n">
        <v>18</v>
      </c>
      <c r="F5856" s="28" t="s">
        <v>451</v>
      </c>
      <c r="G5856" s="19" t="n">
        <v>0.0436</v>
      </c>
    </row>
    <row r="5857" customFormat="false" ht="15" hidden="false" customHeight="false" outlineLevel="0" collapsed="false">
      <c r="A5857" s="28" t="s">
        <v>210</v>
      </c>
      <c r="B5857" s="28" t="s">
        <v>211</v>
      </c>
      <c r="C5857" s="28" t="s">
        <v>209</v>
      </c>
      <c r="D5857" s="23" t="n">
        <v>17</v>
      </c>
      <c r="E5857" s="23" t="n">
        <v>18</v>
      </c>
      <c r="F5857" s="28" t="s">
        <v>905</v>
      </c>
      <c r="G5857" s="19" t="n">
        <v>0.0475</v>
      </c>
    </row>
    <row r="5858" customFormat="false" ht="15" hidden="false" customHeight="false" outlineLevel="0" collapsed="false">
      <c r="A5858" s="28" t="s">
        <v>210</v>
      </c>
      <c r="B5858" s="28" t="s">
        <v>211</v>
      </c>
      <c r="C5858" s="28" t="s">
        <v>209</v>
      </c>
      <c r="D5858" s="23" t="n">
        <v>17</v>
      </c>
      <c r="E5858" s="23" t="n">
        <v>18</v>
      </c>
      <c r="F5858" s="28" t="s">
        <v>906</v>
      </c>
      <c r="G5858" s="19" t="n">
        <v>0.048597</v>
      </c>
    </row>
    <row r="5859" customFormat="false" ht="15" hidden="false" customHeight="false" outlineLevel="0" collapsed="false">
      <c r="A5859" s="28" t="s">
        <v>210</v>
      </c>
      <c r="B5859" s="28" t="s">
        <v>211</v>
      </c>
      <c r="C5859" s="28" t="s">
        <v>209</v>
      </c>
      <c r="D5859" s="23" t="n">
        <v>17</v>
      </c>
      <c r="E5859" s="23" t="n">
        <v>18</v>
      </c>
      <c r="F5859" s="28" t="s">
        <v>907</v>
      </c>
      <c r="G5859" s="19" t="n">
        <v>0.050792</v>
      </c>
    </row>
    <row r="5860" customFormat="false" ht="15" hidden="false" customHeight="false" outlineLevel="0" collapsed="false">
      <c r="A5860" s="28" t="s">
        <v>210</v>
      </c>
      <c r="B5860" s="28" t="s">
        <v>211</v>
      </c>
      <c r="C5860" s="28" t="s">
        <v>209</v>
      </c>
      <c r="D5860" s="23" t="n">
        <v>17</v>
      </c>
      <c r="E5860" s="23" t="n">
        <v>18</v>
      </c>
      <c r="F5860" s="28" t="s">
        <v>908</v>
      </c>
      <c r="G5860" s="19" t="n">
        <v>0.053882</v>
      </c>
    </row>
    <row r="5861" customFormat="false" ht="15" hidden="false" customHeight="false" outlineLevel="0" collapsed="false">
      <c r="A5861" s="28" t="s">
        <v>210</v>
      </c>
      <c r="B5861" s="28" t="s">
        <v>211</v>
      </c>
      <c r="C5861" s="28" t="s">
        <v>209</v>
      </c>
      <c r="D5861" s="23" t="n">
        <v>17</v>
      </c>
      <c r="E5861" s="23" t="n">
        <v>18</v>
      </c>
      <c r="F5861" s="28" t="s">
        <v>909</v>
      </c>
      <c r="G5861" s="19" t="n">
        <v>0.054772</v>
      </c>
    </row>
    <row r="5862" customFormat="false" ht="15" hidden="false" customHeight="false" outlineLevel="0" collapsed="false">
      <c r="A5862" s="28" t="s">
        <v>210</v>
      </c>
      <c r="B5862" s="28" t="s">
        <v>211</v>
      </c>
      <c r="C5862" s="28" t="s">
        <v>209</v>
      </c>
      <c r="D5862" s="23" t="n">
        <v>17</v>
      </c>
      <c r="E5862" s="23" t="n">
        <v>18</v>
      </c>
      <c r="F5862" s="28" t="s">
        <v>910</v>
      </c>
      <c r="G5862" s="19" t="n">
        <v>0.055551</v>
      </c>
    </row>
    <row r="5863" customFormat="false" ht="15" hidden="false" customHeight="false" outlineLevel="0" collapsed="false">
      <c r="A5863" s="28" t="s">
        <v>210</v>
      </c>
      <c r="B5863" s="28" t="s">
        <v>211</v>
      </c>
      <c r="C5863" s="28" t="s">
        <v>209</v>
      </c>
      <c r="D5863" s="23" t="n">
        <v>17</v>
      </c>
      <c r="E5863" s="23" t="n">
        <v>18</v>
      </c>
      <c r="F5863" s="28" t="s">
        <v>911</v>
      </c>
      <c r="G5863" s="19" t="n">
        <v>0.056531</v>
      </c>
    </row>
    <row r="5864" customFormat="false" ht="15" hidden="false" customHeight="false" outlineLevel="0" collapsed="false">
      <c r="A5864" s="28" t="s">
        <v>210</v>
      </c>
      <c r="B5864" s="28" t="s">
        <v>211</v>
      </c>
      <c r="C5864" s="28" t="s">
        <v>209</v>
      </c>
      <c r="D5864" s="23" t="n">
        <v>17</v>
      </c>
      <c r="E5864" s="23" t="n">
        <v>18</v>
      </c>
      <c r="F5864" s="28" t="s">
        <v>912</v>
      </c>
      <c r="G5864" s="19" t="n">
        <v>0.0575</v>
      </c>
    </row>
    <row r="5865" customFormat="false" ht="15" hidden="false" customHeight="false" outlineLevel="0" collapsed="false">
      <c r="A5865" s="28" t="s">
        <v>210</v>
      </c>
      <c r="B5865" s="28" t="s">
        <v>211</v>
      </c>
      <c r="C5865" s="28" t="s">
        <v>209</v>
      </c>
      <c r="D5865" s="23" t="n">
        <v>17</v>
      </c>
      <c r="E5865" s="23" t="n">
        <v>18</v>
      </c>
      <c r="F5865" s="28" t="s">
        <v>913</v>
      </c>
      <c r="G5865" s="19" t="n">
        <v>0.0613</v>
      </c>
    </row>
    <row r="5866" customFormat="false" ht="15" hidden="false" customHeight="false" outlineLevel="0" collapsed="false">
      <c r="A5866" s="28" t="s">
        <v>210</v>
      </c>
      <c r="B5866" s="28" t="s">
        <v>211</v>
      </c>
      <c r="C5866" s="28" t="s">
        <v>209</v>
      </c>
      <c r="D5866" s="23" t="n">
        <v>17</v>
      </c>
      <c r="E5866" s="23" t="n">
        <v>18</v>
      </c>
      <c r="F5866" s="28" t="s">
        <v>914</v>
      </c>
      <c r="G5866" s="19" t="n">
        <v>0.0608</v>
      </c>
    </row>
    <row r="5867" customFormat="false" ht="15" hidden="false" customHeight="false" outlineLevel="0" collapsed="false">
      <c r="A5867" s="28" t="s">
        <v>210</v>
      </c>
      <c r="B5867" s="28" t="s">
        <v>211</v>
      </c>
      <c r="C5867" s="28" t="s">
        <v>209</v>
      </c>
      <c r="D5867" s="23" t="n">
        <v>17</v>
      </c>
      <c r="E5867" s="23" t="n">
        <v>18</v>
      </c>
      <c r="F5867" s="28" t="s">
        <v>915</v>
      </c>
      <c r="G5867" s="19" t="n">
        <v>0.078</v>
      </c>
    </row>
    <row r="5868" customFormat="false" ht="15" hidden="false" customHeight="false" outlineLevel="0" collapsed="false">
      <c r="A5868" s="28" t="s">
        <v>210</v>
      </c>
      <c r="B5868" s="28" t="s">
        <v>211</v>
      </c>
      <c r="C5868" s="28" t="s">
        <v>209</v>
      </c>
      <c r="D5868" s="23" t="n">
        <v>17</v>
      </c>
      <c r="E5868" s="23" t="n">
        <v>19</v>
      </c>
      <c r="F5868" s="28" t="s">
        <v>904</v>
      </c>
      <c r="G5868" s="19" t="n">
        <v>0.0438</v>
      </c>
    </row>
    <row r="5869" customFormat="false" ht="15" hidden="false" customHeight="false" outlineLevel="0" collapsed="false">
      <c r="A5869" s="28" t="s">
        <v>210</v>
      </c>
      <c r="B5869" s="28" t="s">
        <v>211</v>
      </c>
      <c r="C5869" s="28" t="s">
        <v>209</v>
      </c>
      <c r="D5869" s="23" t="n">
        <v>17</v>
      </c>
      <c r="E5869" s="23" t="n">
        <v>19</v>
      </c>
      <c r="F5869" s="28" t="s">
        <v>551</v>
      </c>
      <c r="G5869" s="19" t="n">
        <v>0.075</v>
      </c>
    </row>
    <row r="5870" customFormat="false" ht="15" hidden="false" customHeight="false" outlineLevel="0" collapsed="false">
      <c r="A5870" s="28" t="s">
        <v>210</v>
      </c>
      <c r="B5870" s="28" t="s">
        <v>211</v>
      </c>
      <c r="C5870" s="28" t="s">
        <v>209</v>
      </c>
      <c r="D5870" s="23" t="n">
        <v>17</v>
      </c>
      <c r="E5870" s="23" t="n">
        <v>19</v>
      </c>
      <c r="F5870" s="28" t="s">
        <v>451</v>
      </c>
      <c r="G5870" s="19" t="n">
        <v>0.0436</v>
      </c>
    </row>
    <row r="5871" customFormat="false" ht="15" hidden="false" customHeight="false" outlineLevel="0" collapsed="false">
      <c r="A5871" s="28" t="s">
        <v>210</v>
      </c>
      <c r="B5871" s="28" t="s">
        <v>211</v>
      </c>
      <c r="C5871" s="28" t="s">
        <v>209</v>
      </c>
      <c r="D5871" s="23" t="n">
        <v>17</v>
      </c>
      <c r="E5871" s="23" t="n">
        <v>19</v>
      </c>
      <c r="F5871" s="28" t="s">
        <v>905</v>
      </c>
      <c r="G5871" s="19" t="n">
        <v>0.0475</v>
      </c>
    </row>
    <row r="5872" customFormat="false" ht="15" hidden="false" customHeight="false" outlineLevel="0" collapsed="false">
      <c r="A5872" s="28" t="s">
        <v>210</v>
      </c>
      <c r="B5872" s="28" t="s">
        <v>211</v>
      </c>
      <c r="C5872" s="28" t="s">
        <v>209</v>
      </c>
      <c r="D5872" s="23" t="n">
        <v>17</v>
      </c>
      <c r="E5872" s="23" t="n">
        <v>19</v>
      </c>
      <c r="F5872" s="28" t="s">
        <v>906</v>
      </c>
      <c r="G5872" s="19" t="n">
        <v>0.048597</v>
      </c>
    </row>
    <row r="5873" customFormat="false" ht="15" hidden="false" customHeight="false" outlineLevel="0" collapsed="false">
      <c r="A5873" s="28" t="s">
        <v>210</v>
      </c>
      <c r="B5873" s="28" t="s">
        <v>211</v>
      </c>
      <c r="C5873" s="28" t="s">
        <v>209</v>
      </c>
      <c r="D5873" s="23" t="n">
        <v>17</v>
      </c>
      <c r="E5873" s="23" t="n">
        <v>19</v>
      </c>
      <c r="F5873" s="28" t="s">
        <v>907</v>
      </c>
      <c r="G5873" s="19" t="n">
        <v>0.050792</v>
      </c>
    </row>
    <row r="5874" customFormat="false" ht="15" hidden="false" customHeight="false" outlineLevel="0" collapsed="false">
      <c r="A5874" s="28" t="s">
        <v>210</v>
      </c>
      <c r="B5874" s="28" t="s">
        <v>211</v>
      </c>
      <c r="C5874" s="28" t="s">
        <v>209</v>
      </c>
      <c r="D5874" s="23" t="n">
        <v>17</v>
      </c>
      <c r="E5874" s="23" t="n">
        <v>19</v>
      </c>
      <c r="F5874" s="28" t="s">
        <v>908</v>
      </c>
      <c r="G5874" s="19" t="n">
        <v>0.053882</v>
      </c>
    </row>
    <row r="5875" customFormat="false" ht="15" hidden="false" customHeight="false" outlineLevel="0" collapsed="false">
      <c r="A5875" s="28" t="s">
        <v>210</v>
      </c>
      <c r="B5875" s="28" t="s">
        <v>211</v>
      </c>
      <c r="C5875" s="28" t="s">
        <v>209</v>
      </c>
      <c r="D5875" s="23" t="n">
        <v>17</v>
      </c>
      <c r="E5875" s="23" t="n">
        <v>19</v>
      </c>
      <c r="F5875" s="28" t="s">
        <v>909</v>
      </c>
      <c r="G5875" s="19" t="n">
        <v>0.054772</v>
      </c>
    </row>
    <row r="5876" customFormat="false" ht="15" hidden="false" customHeight="false" outlineLevel="0" collapsed="false">
      <c r="A5876" s="28" t="s">
        <v>210</v>
      </c>
      <c r="B5876" s="28" t="s">
        <v>211</v>
      </c>
      <c r="C5876" s="28" t="s">
        <v>209</v>
      </c>
      <c r="D5876" s="23" t="n">
        <v>17</v>
      </c>
      <c r="E5876" s="23" t="n">
        <v>19</v>
      </c>
      <c r="F5876" s="28" t="s">
        <v>910</v>
      </c>
      <c r="G5876" s="19" t="n">
        <v>0.055551</v>
      </c>
    </row>
    <row r="5877" customFormat="false" ht="15" hidden="false" customHeight="false" outlineLevel="0" collapsed="false">
      <c r="A5877" s="28" t="s">
        <v>210</v>
      </c>
      <c r="B5877" s="28" t="s">
        <v>211</v>
      </c>
      <c r="C5877" s="28" t="s">
        <v>209</v>
      </c>
      <c r="D5877" s="23" t="n">
        <v>17</v>
      </c>
      <c r="E5877" s="23" t="n">
        <v>19</v>
      </c>
      <c r="F5877" s="28" t="s">
        <v>911</v>
      </c>
      <c r="G5877" s="19" t="n">
        <v>0.056531</v>
      </c>
    </row>
    <row r="5878" customFormat="false" ht="15" hidden="false" customHeight="false" outlineLevel="0" collapsed="false">
      <c r="A5878" s="28" t="s">
        <v>210</v>
      </c>
      <c r="B5878" s="28" t="s">
        <v>211</v>
      </c>
      <c r="C5878" s="28" t="s">
        <v>209</v>
      </c>
      <c r="D5878" s="23" t="n">
        <v>17</v>
      </c>
      <c r="E5878" s="23" t="n">
        <v>19</v>
      </c>
      <c r="F5878" s="28" t="s">
        <v>912</v>
      </c>
      <c r="G5878" s="19" t="n">
        <v>0.0575</v>
      </c>
    </row>
    <row r="5879" customFormat="false" ht="15" hidden="false" customHeight="false" outlineLevel="0" collapsed="false">
      <c r="A5879" s="28" t="s">
        <v>210</v>
      </c>
      <c r="B5879" s="28" t="s">
        <v>211</v>
      </c>
      <c r="C5879" s="28" t="s">
        <v>209</v>
      </c>
      <c r="D5879" s="23" t="n">
        <v>17</v>
      </c>
      <c r="E5879" s="23" t="n">
        <v>19</v>
      </c>
      <c r="F5879" s="28" t="s">
        <v>913</v>
      </c>
      <c r="G5879" s="19" t="n">
        <v>0.0613</v>
      </c>
    </row>
    <row r="5880" customFormat="false" ht="15" hidden="false" customHeight="false" outlineLevel="0" collapsed="false">
      <c r="A5880" s="28" t="s">
        <v>210</v>
      </c>
      <c r="B5880" s="28" t="s">
        <v>211</v>
      </c>
      <c r="C5880" s="28" t="s">
        <v>209</v>
      </c>
      <c r="D5880" s="23" t="n">
        <v>17</v>
      </c>
      <c r="E5880" s="23" t="n">
        <v>19</v>
      </c>
      <c r="F5880" s="28" t="s">
        <v>914</v>
      </c>
      <c r="G5880" s="19" t="n">
        <v>0.0608</v>
      </c>
    </row>
    <row r="5881" customFormat="false" ht="15" hidden="false" customHeight="false" outlineLevel="0" collapsed="false">
      <c r="A5881" s="28" t="s">
        <v>210</v>
      </c>
      <c r="B5881" s="28" t="s">
        <v>211</v>
      </c>
      <c r="C5881" s="28" t="s">
        <v>209</v>
      </c>
      <c r="D5881" s="23" t="n">
        <v>17</v>
      </c>
      <c r="E5881" s="23" t="n">
        <v>19</v>
      </c>
      <c r="F5881" s="28" t="s">
        <v>915</v>
      </c>
      <c r="G5881" s="19" t="n">
        <v>0.078</v>
      </c>
    </row>
    <row r="5882" customFormat="false" ht="15" hidden="false" customHeight="false" outlineLevel="0" collapsed="false">
      <c r="A5882" s="28" t="s">
        <v>210</v>
      </c>
      <c r="B5882" s="28" t="s">
        <v>211</v>
      </c>
      <c r="C5882" s="28" t="s">
        <v>209</v>
      </c>
      <c r="D5882" s="23" t="n">
        <v>17</v>
      </c>
      <c r="E5882" s="23" t="n">
        <v>20</v>
      </c>
      <c r="F5882" s="28" t="s">
        <v>904</v>
      </c>
      <c r="G5882" s="19" t="n">
        <v>0.0438</v>
      </c>
    </row>
    <row r="5883" customFormat="false" ht="15" hidden="false" customHeight="false" outlineLevel="0" collapsed="false">
      <c r="A5883" s="28" t="s">
        <v>210</v>
      </c>
      <c r="B5883" s="28" t="s">
        <v>211</v>
      </c>
      <c r="C5883" s="28" t="s">
        <v>209</v>
      </c>
      <c r="D5883" s="23" t="n">
        <v>17</v>
      </c>
      <c r="E5883" s="23" t="n">
        <v>20</v>
      </c>
      <c r="F5883" s="28" t="s">
        <v>551</v>
      </c>
      <c r="G5883" s="19" t="n">
        <v>0.075</v>
      </c>
    </row>
    <row r="5884" customFormat="false" ht="15" hidden="false" customHeight="false" outlineLevel="0" collapsed="false">
      <c r="A5884" s="28" t="s">
        <v>210</v>
      </c>
      <c r="B5884" s="28" t="s">
        <v>211</v>
      </c>
      <c r="C5884" s="28" t="s">
        <v>209</v>
      </c>
      <c r="D5884" s="23" t="n">
        <v>17</v>
      </c>
      <c r="E5884" s="23" t="n">
        <v>20</v>
      </c>
      <c r="F5884" s="28" t="s">
        <v>451</v>
      </c>
      <c r="G5884" s="19" t="n">
        <v>0.0436</v>
      </c>
    </row>
    <row r="5885" customFormat="false" ht="15" hidden="false" customHeight="false" outlineLevel="0" collapsed="false">
      <c r="A5885" s="28" t="s">
        <v>210</v>
      </c>
      <c r="B5885" s="28" t="s">
        <v>211</v>
      </c>
      <c r="C5885" s="28" t="s">
        <v>209</v>
      </c>
      <c r="D5885" s="23" t="n">
        <v>17</v>
      </c>
      <c r="E5885" s="23" t="n">
        <v>20</v>
      </c>
      <c r="F5885" s="28" t="s">
        <v>905</v>
      </c>
      <c r="G5885" s="19" t="n">
        <v>0.0475</v>
      </c>
    </row>
    <row r="5886" customFormat="false" ht="15" hidden="false" customHeight="false" outlineLevel="0" collapsed="false">
      <c r="A5886" s="28" t="s">
        <v>210</v>
      </c>
      <c r="B5886" s="28" t="s">
        <v>211</v>
      </c>
      <c r="C5886" s="28" t="s">
        <v>209</v>
      </c>
      <c r="D5886" s="23" t="n">
        <v>17</v>
      </c>
      <c r="E5886" s="23" t="n">
        <v>20</v>
      </c>
      <c r="F5886" s="28" t="s">
        <v>906</v>
      </c>
      <c r="G5886" s="19" t="n">
        <v>0.048597</v>
      </c>
    </row>
    <row r="5887" customFormat="false" ht="15" hidden="false" customHeight="false" outlineLevel="0" collapsed="false">
      <c r="A5887" s="28" t="s">
        <v>210</v>
      </c>
      <c r="B5887" s="28" t="s">
        <v>211</v>
      </c>
      <c r="C5887" s="28" t="s">
        <v>209</v>
      </c>
      <c r="D5887" s="23" t="n">
        <v>17</v>
      </c>
      <c r="E5887" s="23" t="n">
        <v>20</v>
      </c>
      <c r="F5887" s="28" t="s">
        <v>907</v>
      </c>
      <c r="G5887" s="19" t="n">
        <v>0.050792</v>
      </c>
    </row>
    <row r="5888" customFormat="false" ht="15" hidden="false" customHeight="false" outlineLevel="0" collapsed="false">
      <c r="A5888" s="28" t="s">
        <v>210</v>
      </c>
      <c r="B5888" s="28" t="s">
        <v>211</v>
      </c>
      <c r="C5888" s="28" t="s">
        <v>209</v>
      </c>
      <c r="D5888" s="23" t="n">
        <v>17</v>
      </c>
      <c r="E5888" s="23" t="n">
        <v>20</v>
      </c>
      <c r="F5888" s="28" t="s">
        <v>908</v>
      </c>
      <c r="G5888" s="19" t="n">
        <v>0.053882</v>
      </c>
    </row>
    <row r="5889" customFormat="false" ht="15" hidden="false" customHeight="false" outlineLevel="0" collapsed="false">
      <c r="A5889" s="28" t="s">
        <v>210</v>
      </c>
      <c r="B5889" s="28" t="s">
        <v>211</v>
      </c>
      <c r="C5889" s="28" t="s">
        <v>209</v>
      </c>
      <c r="D5889" s="23" t="n">
        <v>17</v>
      </c>
      <c r="E5889" s="23" t="n">
        <v>20</v>
      </c>
      <c r="F5889" s="28" t="s">
        <v>909</v>
      </c>
      <c r="G5889" s="19" t="n">
        <v>0.054772</v>
      </c>
    </row>
    <row r="5890" customFormat="false" ht="15" hidden="false" customHeight="false" outlineLevel="0" collapsed="false">
      <c r="A5890" s="28" t="s">
        <v>210</v>
      </c>
      <c r="B5890" s="28" t="s">
        <v>211</v>
      </c>
      <c r="C5890" s="28" t="s">
        <v>209</v>
      </c>
      <c r="D5890" s="23" t="n">
        <v>17</v>
      </c>
      <c r="E5890" s="23" t="n">
        <v>20</v>
      </c>
      <c r="F5890" s="28" t="s">
        <v>910</v>
      </c>
      <c r="G5890" s="19" t="n">
        <v>0.055551</v>
      </c>
    </row>
    <row r="5891" customFormat="false" ht="15" hidden="false" customHeight="false" outlineLevel="0" collapsed="false">
      <c r="A5891" s="28" t="s">
        <v>210</v>
      </c>
      <c r="B5891" s="28" t="s">
        <v>211</v>
      </c>
      <c r="C5891" s="28" t="s">
        <v>209</v>
      </c>
      <c r="D5891" s="23" t="n">
        <v>17</v>
      </c>
      <c r="E5891" s="23" t="n">
        <v>20</v>
      </c>
      <c r="F5891" s="28" t="s">
        <v>911</v>
      </c>
      <c r="G5891" s="19" t="n">
        <v>0.056531</v>
      </c>
    </row>
    <row r="5892" customFormat="false" ht="15" hidden="false" customHeight="false" outlineLevel="0" collapsed="false">
      <c r="A5892" s="28" t="s">
        <v>210</v>
      </c>
      <c r="B5892" s="28" t="s">
        <v>211</v>
      </c>
      <c r="C5892" s="28" t="s">
        <v>209</v>
      </c>
      <c r="D5892" s="23" t="n">
        <v>17</v>
      </c>
      <c r="E5892" s="23" t="n">
        <v>20</v>
      </c>
      <c r="F5892" s="28" t="s">
        <v>912</v>
      </c>
      <c r="G5892" s="19" t="n">
        <v>0.0575</v>
      </c>
    </row>
    <row r="5893" customFormat="false" ht="15" hidden="false" customHeight="false" outlineLevel="0" collapsed="false">
      <c r="A5893" s="28" t="s">
        <v>210</v>
      </c>
      <c r="B5893" s="28" t="s">
        <v>211</v>
      </c>
      <c r="C5893" s="28" t="s">
        <v>209</v>
      </c>
      <c r="D5893" s="23" t="n">
        <v>17</v>
      </c>
      <c r="E5893" s="23" t="n">
        <v>20</v>
      </c>
      <c r="F5893" s="28" t="s">
        <v>913</v>
      </c>
      <c r="G5893" s="19" t="n">
        <v>0.0613</v>
      </c>
    </row>
    <row r="5894" customFormat="false" ht="15" hidden="false" customHeight="false" outlineLevel="0" collapsed="false">
      <c r="A5894" s="28" t="s">
        <v>210</v>
      </c>
      <c r="B5894" s="28" t="s">
        <v>211</v>
      </c>
      <c r="C5894" s="28" t="s">
        <v>209</v>
      </c>
      <c r="D5894" s="23" t="n">
        <v>17</v>
      </c>
      <c r="E5894" s="23" t="n">
        <v>20</v>
      </c>
      <c r="F5894" s="28" t="s">
        <v>914</v>
      </c>
      <c r="G5894" s="19" t="n">
        <v>0.0608</v>
      </c>
    </row>
    <row r="5895" customFormat="false" ht="15" hidden="false" customHeight="false" outlineLevel="0" collapsed="false">
      <c r="A5895" s="28" t="s">
        <v>210</v>
      </c>
      <c r="B5895" s="28" t="s">
        <v>211</v>
      </c>
      <c r="C5895" s="28" t="s">
        <v>209</v>
      </c>
      <c r="D5895" s="23" t="n">
        <v>17</v>
      </c>
      <c r="E5895" s="23" t="n">
        <v>20</v>
      </c>
      <c r="F5895" s="28" t="s">
        <v>915</v>
      </c>
      <c r="G5895" s="19" t="n">
        <v>0.078</v>
      </c>
    </row>
    <row r="5896" customFormat="false" ht="15" hidden="false" customHeight="false" outlineLevel="0" collapsed="false">
      <c r="A5896" s="28" t="s">
        <v>210</v>
      </c>
      <c r="B5896" s="28" t="s">
        <v>211</v>
      </c>
      <c r="C5896" s="28" t="s">
        <v>209</v>
      </c>
      <c r="D5896" s="23" t="n">
        <v>17</v>
      </c>
      <c r="E5896" s="23" t="n">
        <v>21</v>
      </c>
      <c r="F5896" s="28" t="s">
        <v>904</v>
      </c>
      <c r="G5896" s="19" t="n">
        <v>0.0438</v>
      </c>
    </row>
    <row r="5897" customFormat="false" ht="15" hidden="false" customHeight="false" outlineLevel="0" collapsed="false">
      <c r="A5897" s="28" t="s">
        <v>210</v>
      </c>
      <c r="B5897" s="28" t="s">
        <v>211</v>
      </c>
      <c r="C5897" s="28" t="s">
        <v>209</v>
      </c>
      <c r="D5897" s="23" t="n">
        <v>17</v>
      </c>
      <c r="E5897" s="23" t="n">
        <v>21</v>
      </c>
      <c r="F5897" s="28" t="s">
        <v>551</v>
      </c>
      <c r="G5897" s="19" t="n">
        <v>0.075</v>
      </c>
    </row>
    <row r="5898" customFormat="false" ht="15" hidden="false" customHeight="false" outlineLevel="0" collapsed="false">
      <c r="A5898" s="28" t="s">
        <v>210</v>
      </c>
      <c r="B5898" s="28" t="s">
        <v>211</v>
      </c>
      <c r="C5898" s="28" t="s">
        <v>209</v>
      </c>
      <c r="D5898" s="23" t="n">
        <v>17</v>
      </c>
      <c r="E5898" s="23" t="n">
        <v>21</v>
      </c>
      <c r="F5898" s="28" t="s">
        <v>451</v>
      </c>
      <c r="G5898" s="19" t="n">
        <v>0.0436</v>
      </c>
    </row>
    <row r="5899" customFormat="false" ht="15" hidden="false" customHeight="false" outlineLevel="0" collapsed="false">
      <c r="A5899" s="28" t="s">
        <v>210</v>
      </c>
      <c r="B5899" s="28" t="s">
        <v>211</v>
      </c>
      <c r="C5899" s="28" t="s">
        <v>209</v>
      </c>
      <c r="D5899" s="23" t="n">
        <v>17</v>
      </c>
      <c r="E5899" s="23" t="n">
        <v>21</v>
      </c>
      <c r="F5899" s="28" t="s">
        <v>905</v>
      </c>
      <c r="G5899" s="19" t="n">
        <v>0.0475</v>
      </c>
    </row>
    <row r="5900" customFormat="false" ht="15" hidden="false" customHeight="false" outlineLevel="0" collapsed="false">
      <c r="A5900" s="28" t="s">
        <v>210</v>
      </c>
      <c r="B5900" s="28" t="s">
        <v>211</v>
      </c>
      <c r="C5900" s="28" t="s">
        <v>209</v>
      </c>
      <c r="D5900" s="23" t="n">
        <v>17</v>
      </c>
      <c r="E5900" s="23" t="n">
        <v>21</v>
      </c>
      <c r="F5900" s="28" t="s">
        <v>906</v>
      </c>
      <c r="G5900" s="19" t="n">
        <v>0.048597</v>
      </c>
    </row>
    <row r="5901" customFormat="false" ht="15" hidden="false" customHeight="false" outlineLevel="0" collapsed="false">
      <c r="A5901" s="28" t="s">
        <v>210</v>
      </c>
      <c r="B5901" s="28" t="s">
        <v>211</v>
      </c>
      <c r="C5901" s="28" t="s">
        <v>209</v>
      </c>
      <c r="D5901" s="23" t="n">
        <v>17</v>
      </c>
      <c r="E5901" s="23" t="n">
        <v>21</v>
      </c>
      <c r="F5901" s="28" t="s">
        <v>907</v>
      </c>
      <c r="G5901" s="19" t="n">
        <v>0.050792</v>
      </c>
    </row>
    <row r="5902" customFormat="false" ht="15" hidden="false" customHeight="false" outlineLevel="0" collapsed="false">
      <c r="A5902" s="28" t="s">
        <v>210</v>
      </c>
      <c r="B5902" s="28" t="s">
        <v>211</v>
      </c>
      <c r="C5902" s="28" t="s">
        <v>209</v>
      </c>
      <c r="D5902" s="23" t="n">
        <v>17</v>
      </c>
      <c r="E5902" s="23" t="n">
        <v>21</v>
      </c>
      <c r="F5902" s="28" t="s">
        <v>908</v>
      </c>
      <c r="G5902" s="19" t="n">
        <v>0.053882</v>
      </c>
    </row>
    <row r="5903" customFormat="false" ht="15" hidden="false" customHeight="false" outlineLevel="0" collapsed="false">
      <c r="A5903" s="28" t="s">
        <v>210</v>
      </c>
      <c r="B5903" s="28" t="s">
        <v>211</v>
      </c>
      <c r="C5903" s="28" t="s">
        <v>209</v>
      </c>
      <c r="D5903" s="23" t="n">
        <v>17</v>
      </c>
      <c r="E5903" s="23" t="n">
        <v>21</v>
      </c>
      <c r="F5903" s="28" t="s">
        <v>909</v>
      </c>
      <c r="G5903" s="19" t="n">
        <v>0.054772</v>
      </c>
    </row>
    <row r="5904" customFormat="false" ht="15" hidden="false" customHeight="false" outlineLevel="0" collapsed="false">
      <c r="A5904" s="28" t="s">
        <v>210</v>
      </c>
      <c r="B5904" s="28" t="s">
        <v>211</v>
      </c>
      <c r="C5904" s="28" t="s">
        <v>209</v>
      </c>
      <c r="D5904" s="23" t="n">
        <v>17</v>
      </c>
      <c r="E5904" s="23" t="n">
        <v>21</v>
      </c>
      <c r="F5904" s="28" t="s">
        <v>910</v>
      </c>
      <c r="G5904" s="19" t="n">
        <v>0.055551</v>
      </c>
    </row>
    <row r="5905" customFormat="false" ht="15" hidden="false" customHeight="false" outlineLevel="0" collapsed="false">
      <c r="A5905" s="28" t="s">
        <v>210</v>
      </c>
      <c r="B5905" s="28" t="s">
        <v>211</v>
      </c>
      <c r="C5905" s="28" t="s">
        <v>209</v>
      </c>
      <c r="D5905" s="23" t="n">
        <v>17</v>
      </c>
      <c r="E5905" s="23" t="n">
        <v>21</v>
      </c>
      <c r="F5905" s="28" t="s">
        <v>911</v>
      </c>
      <c r="G5905" s="19" t="n">
        <v>0.056531</v>
      </c>
    </row>
    <row r="5906" customFormat="false" ht="15" hidden="false" customHeight="false" outlineLevel="0" collapsed="false">
      <c r="A5906" s="28" t="s">
        <v>210</v>
      </c>
      <c r="B5906" s="28" t="s">
        <v>211</v>
      </c>
      <c r="C5906" s="28" t="s">
        <v>209</v>
      </c>
      <c r="D5906" s="23" t="n">
        <v>17</v>
      </c>
      <c r="E5906" s="23" t="n">
        <v>21</v>
      </c>
      <c r="F5906" s="28" t="s">
        <v>912</v>
      </c>
      <c r="G5906" s="19" t="n">
        <v>0.0575</v>
      </c>
    </row>
    <row r="5907" customFormat="false" ht="15" hidden="false" customHeight="false" outlineLevel="0" collapsed="false">
      <c r="A5907" s="28" t="s">
        <v>210</v>
      </c>
      <c r="B5907" s="28" t="s">
        <v>211</v>
      </c>
      <c r="C5907" s="28" t="s">
        <v>209</v>
      </c>
      <c r="D5907" s="23" t="n">
        <v>17</v>
      </c>
      <c r="E5907" s="23" t="n">
        <v>21</v>
      </c>
      <c r="F5907" s="28" t="s">
        <v>913</v>
      </c>
      <c r="G5907" s="19" t="n">
        <v>0.0613</v>
      </c>
    </row>
    <row r="5908" customFormat="false" ht="15" hidden="false" customHeight="false" outlineLevel="0" collapsed="false">
      <c r="A5908" s="28" t="s">
        <v>210</v>
      </c>
      <c r="B5908" s="28" t="s">
        <v>211</v>
      </c>
      <c r="C5908" s="28" t="s">
        <v>209</v>
      </c>
      <c r="D5908" s="23" t="n">
        <v>17</v>
      </c>
      <c r="E5908" s="23" t="n">
        <v>21</v>
      </c>
      <c r="F5908" s="28" t="s">
        <v>914</v>
      </c>
      <c r="G5908" s="19" t="n">
        <v>0.0608</v>
      </c>
    </row>
    <row r="5909" customFormat="false" ht="15" hidden="false" customHeight="false" outlineLevel="0" collapsed="false">
      <c r="A5909" s="28" t="s">
        <v>210</v>
      </c>
      <c r="B5909" s="28" t="s">
        <v>211</v>
      </c>
      <c r="C5909" s="28" t="s">
        <v>209</v>
      </c>
      <c r="D5909" s="23" t="n">
        <v>17</v>
      </c>
      <c r="E5909" s="23" t="n">
        <v>21</v>
      </c>
      <c r="F5909" s="28" t="s">
        <v>915</v>
      </c>
      <c r="G5909" s="19" t="n">
        <v>0.078</v>
      </c>
    </row>
    <row r="5910" customFormat="false" ht="15" hidden="false" customHeight="false" outlineLevel="0" collapsed="false">
      <c r="A5910" s="28" t="s">
        <v>210</v>
      </c>
      <c r="B5910" s="28" t="s">
        <v>211</v>
      </c>
      <c r="C5910" s="28" t="s">
        <v>209</v>
      </c>
      <c r="D5910" s="23" t="n">
        <v>17</v>
      </c>
      <c r="E5910" s="23" t="n">
        <v>22</v>
      </c>
      <c r="F5910" s="28" t="s">
        <v>904</v>
      </c>
      <c r="G5910" s="19" t="n">
        <v>0.0438</v>
      </c>
    </row>
    <row r="5911" customFormat="false" ht="15" hidden="false" customHeight="false" outlineLevel="0" collapsed="false">
      <c r="A5911" s="28" t="s">
        <v>210</v>
      </c>
      <c r="B5911" s="28" t="s">
        <v>211</v>
      </c>
      <c r="C5911" s="28" t="s">
        <v>209</v>
      </c>
      <c r="D5911" s="23" t="n">
        <v>17</v>
      </c>
      <c r="E5911" s="23" t="n">
        <v>22</v>
      </c>
      <c r="F5911" s="28" t="s">
        <v>551</v>
      </c>
      <c r="G5911" s="19" t="n">
        <v>0.075</v>
      </c>
    </row>
    <row r="5912" customFormat="false" ht="15" hidden="false" customHeight="false" outlineLevel="0" collapsed="false">
      <c r="A5912" s="28" t="s">
        <v>210</v>
      </c>
      <c r="B5912" s="28" t="s">
        <v>211</v>
      </c>
      <c r="C5912" s="28" t="s">
        <v>209</v>
      </c>
      <c r="D5912" s="23" t="n">
        <v>17</v>
      </c>
      <c r="E5912" s="23" t="n">
        <v>22</v>
      </c>
      <c r="F5912" s="28" t="s">
        <v>451</v>
      </c>
      <c r="G5912" s="19" t="n">
        <v>0.0436</v>
      </c>
    </row>
    <row r="5913" customFormat="false" ht="15" hidden="false" customHeight="false" outlineLevel="0" collapsed="false">
      <c r="A5913" s="28" t="s">
        <v>210</v>
      </c>
      <c r="B5913" s="28" t="s">
        <v>211</v>
      </c>
      <c r="C5913" s="28" t="s">
        <v>209</v>
      </c>
      <c r="D5913" s="23" t="n">
        <v>17</v>
      </c>
      <c r="E5913" s="23" t="n">
        <v>22</v>
      </c>
      <c r="F5913" s="28" t="s">
        <v>905</v>
      </c>
      <c r="G5913" s="19" t="n">
        <v>0.0475</v>
      </c>
    </row>
    <row r="5914" customFormat="false" ht="15" hidden="false" customHeight="false" outlineLevel="0" collapsed="false">
      <c r="A5914" s="28" t="s">
        <v>210</v>
      </c>
      <c r="B5914" s="28" t="s">
        <v>211</v>
      </c>
      <c r="C5914" s="28" t="s">
        <v>209</v>
      </c>
      <c r="D5914" s="23" t="n">
        <v>17</v>
      </c>
      <c r="E5914" s="23" t="n">
        <v>22</v>
      </c>
      <c r="F5914" s="28" t="s">
        <v>906</v>
      </c>
      <c r="G5914" s="19" t="n">
        <v>0.048597</v>
      </c>
    </row>
    <row r="5915" customFormat="false" ht="15" hidden="false" customHeight="false" outlineLevel="0" collapsed="false">
      <c r="A5915" s="28" t="s">
        <v>210</v>
      </c>
      <c r="B5915" s="28" t="s">
        <v>211</v>
      </c>
      <c r="C5915" s="28" t="s">
        <v>209</v>
      </c>
      <c r="D5915" s="23" t="n">
        <v>17</v>
      </c>
      <c r="E5915" s="23" t="n">
        <v>22</v>
      </c>
      <c r="F5915" s="28" t="s">
        <v>907</v>
      </c>
      <c r="G5915" s="19" t="n">
        <v>0.050792</v>
      </c>
    </row>
    <row r="5916" customFormat="false" ht="15" hidden="false" customHeight="false" outlineLevel="0" collapsed="false">
      <c r="A5916" s="28" t="s">
        <v>210</v>
      </c>
      <c r="B5916" s="28" t="s">
        <v>211</v>
      </c>
      <c r="C5916" s="28" t="s">
        <v>209</v>
      </c>
      <c r="D5916" s="23" t="n">
        <v>17</v>
      </c>
      <c r="E5916" s="23" t="n">
        <v>22</v>
      </c>
      <c r="F5916" s="28" t="s">
        <v>908</v>
      </c>
      <c r="G5916" s="19" t="n">
        <v>0.053882</v>
      </c>
    </row>
    <row r="5917" customFormat="false" ht="15" hidden="false" customHeight="false" outlineLevel="0" collapsed="false">
      <c r="A5917" s="28" t="s">
        <v>210</v>
      </c>
      <c r="B5917" s="28" t="s">
        <v>211</v>
      </c>
      <c r="C5917" s="28" t="s">
        <v>209</v>
      </c>
      <c r="D5917" s="23" t="n">
        <v>17</v>
      </c>
      <c r="E5917" s="23" t="n">
        <v>22</v>
      </c>
      <c r="F5917" s="28" t="s">
        <v>909</v>
      </c>
      <c r="G5917" s="19" t="n">
        <v>0.054772</v>
      </c>
    </row>
    <row r="5918" customFormat="false" ht="15" hidden="false" customHeight="false" outlineLevel="0" collapsed="false">
      <c r="A5918" s="28" t="s">
        <v>210</v>
      </c>
      <c r="B5918" s="28" t="s">
        <v>211</v>
      </c>
      <c r="C5918" s="28" t="s">
        <v>209</v>
      </c>
      <c r="D5918" s="23" t="n">
        <v>17</v>
      </c>
      <c r="E5918" s="23" t="n">
        <v>22</v>
      </c>
      <c r="F5918" s="28" t="s">
        <v>910</v>
      </c>
      <c r="G5918" s="19" t="n">
        <v>0.055551</v>
      </c>
    </row>
    <row r="5919" customFormat="false" ht="15" hidden="false" customHeight="false" outlineLevel="0" collapsed="false">
      <c r="A5919" s="28" t="s">
        <v>210</v>
      </c>
      <c r="B5919" s="28" t="s">
        <v>211</v>
      </c>
      <c r="C5919" s="28" t="s">
        <v>209</v>
      </c>
      <c r="D5919" s="23" t="n">
        <v>17</v>
      </c>
      <c r="E5919" s="23" t="n">
        <v>22</v>
      </c>
      <c r="F5919" s="28" t="s">
        <v>911</v>
      </c>
      <c r="G5919" s="19" t="n">
        <v>0.056531</v>
      </c>
    </row>
    <row r="5920" customFormat="false" ht="15" hidden="false" customHeight="false" outlineLevel="0" collapsed="false">
      <c r="A5920" s="28" t="s">
        <v>210</v>
      </c>
      <c r="B5920" s="28" t="s">
        <v>211</v>
      </c>
      <c r="C5920" s="28" t="s">
        <v>209</v>
      </c>
      <c r="D5920" s="23" t="n">
        <v>17</v>
      </c>
      <c r="E5920" s="23" t="n">
        <v>22</v>
      </c>
      <c r="F5920" s="28" t="s">
        <v>912</v>
      </c>
      <c r="G5920" s="19" t="n">
        <v>0.0575</v>
      </c>
    </row>
    <row r="5921" customFormat="false" ht="15" hidden="false" customHeight="false" outlineLevel="0" collapsed="false">
      <c r="A5921" s="28" t="s">
        <v>210</v>
      </c>
      <c r="B5921" s="28" t="s">
        <v>211</v>
      </c>
      <c r="C5921" s="28" t="s">
        <v>209</v>
      </c>
      <c r="D5921" s="23" t="n">
        <v>17</v>
      </c>
      <c r="E5921" s="23" t="n">
        <v>22</v>
      </c>
      <c r="F5921" s="28" t="s">
        <v>913</v>
      </c>
      <c r="G5921" s="19" t="n">
        <v>0.0613</v>
      </c>
    </row>
    <row r="5922" customFormat="false" ht="15" hidden="false" customHeight="false" outlineLevel="0" collapsed="false">
      <c r="A5922" s="28" t="s">
        <v>210</v>
      </c>
      <c r="B5922" s="28" t="s">
        <v>211</v>
      </c>
      <c r="C5922" s="28" t="s">
        <v>209</v>
      </c>
      <c r="D5922" s="23" t="n">
        <v>17</v>
      </c>
      <c r="E5922" s="23" t="n">
        <v>22</v>
      </c>
      <c r="F5922" s="28" t="s">
        <v>914</v>
      </c>
      <c r="G5922" s="19" t="n">
        <v>0.0608</v>
      </c>
    </row>
    <row r="5923" customFormat="false" ht="15" hidden="false" customHeight="false" outlineLevel="0" collapsed="false">
      <c r="A5923" s="28" t="s">
        <v>210</v>
      </c>
      <c r="B5923" s="28" t="s">
        <v>211</v>
      </c>
      <c r="C5923" s="28" t="s">
        <v>209</v>
      </c>
      <c r="D5923" s="23" t="n">
        <v>17</v>
      </c>
      <c r="E5923" s="23" t="n">
        <v>22</v>
      </c>
      <c r="F5923" s="28" t="s">
        <v>915</v>
      </c>
      <c r="G5923" s="19" t="n">
        <v>0.078</v>
      </c>
    </row>
    <row r="5924" customFormat="false" ht="15" hidden="false" customHeight="false" outlineLevel="0" collapsed="false">
      <c r="A5924" s="28" t="s">
        <v>210</v>
      </c>
      <c r="B5924" s="28" t="s">
        <v>211</v>
      </c>
      <c r="C5924" s="28" t="s">
        <v>209</v>
      </c>
      <c r="D5924" s="23" t="n">
        <v>17</v>
      </c>
      <c r="E5924" s="23" t="n">
        <v>23</v>
      </c>
      <c r="F5924" s="28" t="s">
        <v>904</v>
      </c>
      <c r="G5924" s="19" t="n">
        <v>0.0438</v>
      </c>
    </row>
    <row r="5925" customFormat="false" ht="15" hidden="false" customHeight="false" outlineLevel="0" collapsed="false">
      <c r="A5925" s="28" t="s">
        <v>210</v>
      </c>
      <c r="B5925" s="28" t="s">
        <v>211</v>
      </c>
      <c r="C5925" s="28" t="s">
        <v>209</v>
      </c>
      <c r="D5925" s="23" t="n">
        <v>17</v>
      </c>
      <c r="E5925" s="23" t="n">
        <v>23</v>
      </c>
      <c r="F5925" s="28" t="s">
        <v>551</v>
      </c>
      <c r="G5925" s="19" t="n">
        <v>0.075</v>
      </c>
    </row>
    <row r="5926" customFormat="false" ht="15" hidden="false" customHeight="false" outlineLevel="0" collapsed="false">
      <c r="A5926" s="28" t="s">
        <v>210</v>
      </c>
      <c r="B5926" s="28" t="s">
        <v>211</v>
      </c>
      <c r="C5926" s="28" t="s">
        <v>209</v>
      </c>
      <c r="D5926" s="23" t="n">
        <v>17</v>
      </c>
      <c r="E5926" s="23" t="n">
        <v>23</v>
      </c>
      <c r="F5926" s="28" t="s">
        <v>451</v>
      </c>
      <c r="G5926" s="19" t="n">
        <v>0.0436</v>
      </c>
    </row>
    <row r="5927" customFormat="false" ht="15" hidden="false" customHeight="false" outlineLevel="0" collapsed="false">
      <c r="A5927" s="28" t="s">
        <v>210</v>
      </c>
      <c r="B5927" s="28" t="s">
        <v>211</v>
      </c>
      <c r="C5927" s="28" t="s">
        <v>209</v>
      </c>
      <c r="D5927" s="23" t="n">
        <v>17</v>
      </c>
      <c r="E5927" s="23" t="n">
        <v>23</v>
      </c>
      <c r="F5927" s="28" t="s">
        <v>905</v>
      </c>
      <c r="G5927" s="19" t="n">
        <v>0.0475</v>
      </c>
    </row>
    <row r="5928" customFormat="false" ht="15" hidden="false" customHeight="false" outlineLevel="0" collapsed="false">
      <c r="A5928" s="28" t="s">
        <v>210</v>
      </c>
      <c r="B5928" s="28" t="s">
        <v>211</v>
      </c>
      <c r="C5928" s="28" t="s">
        <v>209</v>
      </c>
      <c r="D5928" s="23" t="n">
        <v>17</v>
      </c>
      <c r="E5928" s="23" t="n">
        <v>23</v>
      </c>
      <c r="F5928" s="28" t="s">
        <v>906</v>
      </c>
      <c r="G5928" s="19" t="n">
        <v>0.048597</v>
      </c>
    </row>
    <row r="5929" customFormat="false" ht="15" hidden="false" customHeight="false" outlineLevel="0" collapsed="false">
      <c r="A5929" s="28" t="s">
        <v>210</v>
      </c>
      <c r="B5929" s="28" t="s">
        <v>211</v>
      </c>
      <c r="C5929" s="28" t="s">
        <v>209</v>
      </c>
      <c r="D5929" s="23" t="n">
        <v>17</v>
      </c>
      <c r="E5929" s="23" t="n">
        <v>23</v>
      </c>
      <c r="F5929" s="28" t="s">
        <v>907</v>
      </c>
      <c r="G5929" s="19" t="n">
        <v>0.050792</v>
      </c>
    </row>
    <row r="5930" customFormat="false" ht="15" hidden="false" customHeight="false" outlineLevel="0" collapsed="false">
      <c r="A5930" s="28" t="s">
        <v>210</v>
      </c>
      <c r="B5930" s="28" t="s">
        <v>211</v>
      </c>
      <c r="C5930" s="28" t="s">
        <v>209</v>
      </c>
      <c r="D5930" s="23" t="n">
        <v>17</v>
      </c>
      <c r="E5930" s="23" t="n">
        <v>23</v>
      </c>
      <c r="F5930" s="28" t="s">
        <v>908</v>
      </c>
      <c r="G5930" s="19" t="n">
        <v>0.053882</v>
      </c>
    </row>
    <row r="5931" customFormat="false" ht="15" hidden="false" customHeight="false" outlineLevel="0" collapsed="false">
      <c r="A5931" s="28" t="s">
        <v>210</v>
      </c>
      <c r="B5931" s="28" t="s">
        <v>211</v>
      </c>
      <c r="C5931" s="28" t="s">
        <v>209</v>
      </c>
      <c r="D5931" s="23" t="n">
        <v>17</v>
      </c>
      <c r="E5931" s="23" t="n">
        <v>23</v>
      </c>
      <c r="F5931" s="28" t="s">
        <v>909</v>
      </c>
      <c r="G5931" s="19" t="n">
        <v>0.054772</v>
      </c>
    </row>
    <row r="5932" customFormat="false" ht="15" hidden="false" customHeight="false" outlineLevel="0" collapsed="false">
      <c r="A5932" s="28" t="s">
        <v>210</v>
      </c>
      <c r="B5932" s="28" t="s">
        <v>211</v>
      </c>
      <c r="C5932" s="28" t="s">
        <v>209</v>
      </c>
      <c r="D5932" s="23" t="n">
        <v>17</v>
      </c>
      <c r="E5932" s="23" t="n">
        <v>23</v>
      </c>
      <c r="F5932" s="28" t="s">
        <v>910</v>
      </c>
      <c r="G5932" s="19" t="n">
        <v>0.055551</v>
      </c>
    </row>
    <row r="5933" customFormat="false" ht="15" hidden="false" customHeight="false" outlineLevel="0" collapsed="false">
      <c r="A5933" s="28" t="s">
        <v>210</v>
      </c>
      <c r="B5933" s="28" t="s">
        <v>211</v>
      </c>
      <c r="C5933" s="28" t="s">
        <v>209</v>
      </c>
      <c r="D5933" s="23" t="n">
        <v>17</v>
      </c>
      <c r="E5933" s="23" t="n">
        <v>23</v>
      </c>
      <c r="F5933" s="28" t="s">
        <v>911</v>
      </c>
      <c r="G5933" s="19" t="n">
        <v>0.056531</v>
      </c>
    </row>
    <row r="5934" customFormat="false" ht="15" hidden="false" customHeight="false" outlineLevel="0" collapsed="false">
      <c r="A5934" s="28" t="s">
        <v>210</v>
      </c>
      <c r="B5934" s="28" t="s">
        <v>211</v>
      </c>
      <c r="C5934" s="28" t="s">
        <v>209</v>
      </c>
      <c r="D5934" s="23" t="n">
        <v>17</v>
      </c>
      <c r="E5934" s="23" t="n">
        <v>23</v>
      </c>
      <c r="F5934" s="28" t="s">
        <v>912</v>
      </c>
      <c r="G5934" s="19" t="n">
        <v>0.0575</v>
      </c>
    </row>
    <row r="5935" customFormat="false" ht="15" hidden="false" customHeight="false" outlineLevel="0" collapsed="false">
      <c r="A5935" s="28" t="s">
        <v>210</v>
      </c>
      <c r="B5935" s="28" t="s">
        <v>211</v>
      </c>
      <c r="C5935" s="28" t="s">
        <v>209</v>
      </c>
      <c r="D5935" s="23" t="n">
        <v>17</v>
      </c>
      <c r="E5935" s="23" t="n">
        <v>23</v>
      </c>
      <c r="F5935" s="28" t="s">
        <v>913</v>
      </c>
      <c r="G5935" s="19" t="n">
        <v>0.0613</v>
      </c>
    </row>
    <row r="5936" customFormat="false" ht="15" hidden="false" customHeight="false" outlineLevel="0" collapsed="false">
      <c r="A5936" s="28" t="s">
        <v>210</v>
      </c>
      <c r="B5936" s="28" t="s">
        <v>211</v>
      </c>
      <c r="C5936" s="28" t="s">
        <v>209</v>
      </c>
      <c r="D5936" s="23" t="n">
        <v>17</v>
      </c>
      <c r="E5936" s="23" t="n">
        <v>23</v>
      </c>
      <c r="F5936" s="28" t="s">
        <v>914</v>
      </c>
      <c r="G5936" s="19" t="n">
        <v>0.0608</v>
      </c>
    </row>
    <row r="5937" customFormat="false" ht="15" hidden="false" customHeight="false" outlineLevel="0" collapsed="false">
      <c r="A5937" s="28" t="s">
        <v>210</v>
      </c>
      <c r="B5937" s="28" t="s">
        <v>211</v>
      </c>
      <c r="C5937" s="28" t="s">
        <v>209</v>
      </c>
      <c r="D5937" s="23" t="n">
        <v>17</v>
      </c>
      <c r="E5937" s="23" t="n">
        <v>23</v>
      </c>
      <c r="F5937" s="28" t="s">
        <v>915</v>
      </c>
      <c r="G5937" s="19" t="n">
        <v>0.078</v>
      </c>
    </row>
    <row r="5938" customFormat="false" ht="15" hidden="false" customHeight="false" outlineLevel="0" collapsed="false">
      <c r="A5938" s="28" t="s">
        <v>210</v>
      </c>
      <c r="B5938" s="28" t="s">
        <v>211</v>
      </c>
      <c r="C5938" s="28" t="s">
        <v>209</v>
      </c>
      <c r="D5938" s="23" t="n">
        <v>17</v>
      </c>
      <c r="E5938" s="23" t="n">
        <v>24</v>
      </c>
      <c r="F5938" s="28" t="s">
        <v>904</v>
      </c>
      <c r="G5938" s="19" t="n">
        <v>0.0438</v>
      </c>
    </row>
    <row r="5939" customFormat="false" ht="15" hidden="false" customHeight="false" outlineLevel="0" collapsed="false">
      <c r="A5939" s="28" t="s">
        <v>210</v>
      </c>
      <c r="B5939" s="28" t="s">
        <v>211</v>
      </c>
      <c r="C5939" s="28" t="s">
        <v>209</v>
      </c>
      <c r="D5939" s="23" t="n">
        <v>17</v>
      </c>
      <c r="E5939" s="23" t="n">
        <v>24</v>
      </c>
      <c r="F5939" s="28" t="s">
        <v>551</v>
      </c>
      <c r="G5939" s="19" t="n">
        <v>0.075</v>
      </c>
    </row>
    <row r="5940" customFormat="false" ht="15" hidden="false" customHeight="false" outlineLevel="0" collapsed="false">
      <c r="A5940" s="28" t="s">
        <v>210</v>
      </c>
      <c r="B5940" s="28" t="s">
        <v>211</v>
      </c>
      <c r="C5940" s="28" t="s">
        <v>209</v>
      </c>
      <c r="D5940" s="23" t="n">
        <v>17</v>
      </c>
      <c r="E5940" s="23" t="n">
        <v>24</v>
      </c>
      <c r="F5940" s="28" t="s">
        <v>451</v>
      </c>
      <c r="G5940" s="19" t="n">
        <v>0.0436</v>
      </c>
    </row>
    <row r="5941" customFormat="false" ht="15" hidden="false" customHeight="false" outlineLevel="0" collapsed="false">
      <c r="A5941" s="28" t="s">
        <v>210</v>
      </c>
      <c r="B5941" s="28" t="s">
        <v>211</v>
      </c>
      <c r="C5941" s="28" t="s">
        <v>209</v>
      </c>
      <c r="D5941" s="23" t="n">
        <v>17</v>
      </c>
      <c r="E5941" s="23" t="n">
        <v>24</v>
      </c>
      <c r="F5941" s="28" t="s">
        <v>905</v>
      </c>
      <c r="G5941" s="19" t="n">
        <v>0.0475</v>
      </c>
    </row>
    <row r="5942" customFormat="false" ht="15" hidden="false" customHeight="false" outlineLevel="0" collapsed="false">
      <c r="A5942" s="28" t="s">
        <v>210</v>
      </c>
      <c r="B5942" s="28" t="s">
        <v>211</v>
      </c>
      <c r="C5942" s="28" t="s">
        <v>209</v>
      </c>
      <c r="D5942" s="23" t="n">
        <v>17</v>
      </c>
      <c r="E5942" s="23" t="n">
        <v>24</v>
      </c>
      <c r="F5942" s="28" t="s">
        <v>906</v>
      </c>
      <c r="G5942" s="19" t="n">
        <v>0.048597</v>
      </c>
    </row>
    <row r="5943" customFormat="false" ht="15" hidden="false" customHeight="false" outlineLevel="0" collapsed="false">
      <c r="A5943" s="28" t="s">
        <v>210</v>
      </c>
      <c r="B5943" s="28" t="s">
        <v>211</v>
      </c>
      <c r="C5943" s="28" t="s">
        <v>209</v>
      </c>
      <c r="D5943" s="23" t="n">
        <v>17</v>
      </c>
      <c r="E5943" s="23" t="n">
        <v>24</v>
      </c>
      <c r="F5943" s="28" t="s">
        <v>907</v>
      </c>
      <c r="G5943" s="19" t="n">
        <v>0.050792</v>
      </c>
    </row>
    <row r="5944" customFormat="false" ht="15" hidden="false" customHeight="false" outlineLevel="0" collapsed="false">
      <c r="A5944" s="28" t="s">
        <v>210</v>
      </c>
      <c r="B5944" s="28" t="s">
        <v>211</v>
      </c>
      <c r="C5944" s="28" t="s">
        <v>209</v>
      </c>
      <c r="D5944" s="23" t="n">
        <v>17</v>
      </c>
      <c r="E5944" s="23" t="n">
        <v>24</v>
      </c>
      <c r="F5944" s="28" t="s">
        <v>908</v>
      </c>
      <c r="G5944" s="19" t="n">
        <v>0.053882</v>
      </c>
    </row>
    <row r="5945" customFormat="false" ht="15" hidden="false" customHeight="false" outlineLevel="0" collapsed="false">
      <c r="A5945" s="28" t="s">
        <v>210</v>
      </c>
      <c r="B5945" s="28" t="s">
        <v>211</v>
      </c>
      <c r="C5945" s="28" t="s">
        <v>209</v>
      </c>
      <c r="D5945" s="23" t="n">
        <v>17</v>
      </c>
      <c r="E5945" s="23" t="n">
        <v>24</v>
      </c>
      <c r="F5945" s="28" t="s">
        <v>909</v>
      </c>
      <c r="G5945" s="19" t="n">
        <v>0.054772</v>
      </c>
    </row>
    <row r="5946" customFormat="false" ht="15" hidden="false" customHeight="false" outlineLevel="0" collapsed="false">
      <c r="A5946" s="28" t="s">
        <v>210</v>
      </c>
      <c r="B5946" s="28" t="s">
        <v>211</v>
      </c>
      <c r="C5946" s="28" t="s">
        <v>209</v>
      </c>
      <c r="D5946" s="23" t="n">
        <v>17</v>
      </c>
      <c r="E5946" s="23" t="n">
        <v>24</v>
      </c>
      <c r="F5946" s="28" t="s">
        <v>910</v>
      </c>
      <c r="G5946" s="19" t="n">
        <v>0.055551</v>
      </c>
    </row>
    <row r="5947" customFormat="false" ht="15" hidden="false" customHeight="false" outlineLevel="0" collapsed="false">
      <c r="A5947" s="28" t="s">
        <v>210</v>
      </c>
      <c r="B5947" s="28" t="s">
        <v>211</v>
      </c>
      <c r="C5947" s="28" t="s">
        <v>209</v>
      </c>
      <c r="D5947" s="23" t="n">
        <v>17</v>
      </c>
      <c r="E5947" s="23" t="n">
        <v>24</v>
      </c>
      <c r="F5947" s="28" t="s">
        <v>911</v>
      </c>
      <c r="G5947" s="19" t="n">
        <v>0.056531</v>
      </c>
    </row>
    <row r="5948" customFormat="false" ht="15" hidden="false" customHeight="false" outlineLevel="0" collapsed="false">
      <c r="A5948" s="28" t="s">
        <v>210</v>
      </c>
      <c r="B5948" s="28" t="s">
        <v>211</v>
      </c>
      <c r="C5948" s="28" t="s">
        <v>209</v>
      </c>
      <c r="D5948" s="23" t="n">
        <v>17</v>
      </c>
      <c r="E5948" s="23" t="n">
        <v>24</v>
      </c>
      <c r="F5948" s="28" t="s">
        <v>912</v>
      </c>
      <c r="G5948" s="19" t="n">
        <v>0.0575</v>
      </c>
    </row>
    <row r="5949" customFormat="false" ht="15" hidden="false" customHeight="false" outlineLevel="0" collapsed="false">
      <c r="A5949" s="28" t="s">
        <v>210</v>
      </c>
      <c r="B5949" s="28" t="s">
        <v>211</v>
      </c>
      <c r="C5949" s="28" t="s">
        <v>209</v>
      </c>
      <c r="D5949" s="23" t="n">
        <v>17</v>
      </c>
      <c r="E5949" s="23" t="n">
        <v>24</v>
      </c>
      <c r="F5949" s="28" t="s">
        <v>913</v>
      </c>
      <c r="G5949" s="19" t="n">
        <v>0.0613</v>
      </c>
    </row>
    <row r="5950" customFormat="false" ht="15" hidden="false" customHeight="false" outlineLevel="0" collapsed="false">
      <c r="A5950" s="28" t="s">
        <v>210</v>
      </c>
      <c r="B5950" s="28" t="s">
        <v>211</v>
      </c>
      <c r="C5950" s="28" t="s">
        <v>209</v>
      </c>
      <c r="D5950" s="23" t="n">
        <v>17</v>
      </c>
      <c r="E5950" s="23" t="n">
        <v>24</v>
      </c>
      <c r="F5950" s="28" t="s">
        <v>914</v>
      </c>
      <c r="G5950" s="19" t="n">
        <v>0.0608</v>
      </c>
    </row>
    <row r="5951" customFormat="false" ht="15" hidden="false" customHeight="false" outlineLevel="0" collapsed="false">
      <c r="A5951" s="28" t="s">
        <v>210</v>
      </c>
      <c r="B5951" s="28" t="s">
        <v>211</v>
      </c>
      <c r="C5951" s="28" t="s">
        <v>209</v>
      </c>
      <c r="D5951" s="23" t="n">
        <v>17</v>
      </c>
      <c r="E5951" s="23" t="n">
        <v>24</v>
      </c>
      <c r="F5951" s="28" t="s">
        <v>915</v>
      </c>
      <c r="G5951" s="19" t="n">
        <v>0.078</v>
      </c>
    </row>
    <row r="5952" customFormat="false" ht="15" hidden="false" customHeight="false" outlineLevel="0" collapsed="false">
      <c r="A5952" s="28" t="s">
        <v>212</v>
      </c>
      <c r="B5952" s="28" t="s">
        <v>213</v>
      </c>
      <c r="C5952" s="28" t="s">
        <v>209</v>
      </c>
      <c r="D5952" s="23" t="n">
        <v>18</v>
      </c>
      <c r="E5952" s="23" t="n">
        <v>0</v>
      </c>
      <c r="F5952" s="28" t="s">
        <v>904</v>
      </c>
      <c r="G5952" s="19" t="n">
        <v>0.0363</v>
      </c>
    </row>
    <row r="5953" customFormat="false" ht="15" hidden="false" customHeight="false" outlineLevel="0" collapsed="false">
      <c r="A5953" s="28" t="s">
        <v>212</v>
      </c>
      <c r="B5953" s="28" t="s">
        <v>213</v>
      </c>
      <c r="C5953" s="28" t="s">
        <v>209</v>
      </c>
      <c r="D5953" s="23" t="n">
        <v>18</v>
      </c>
      <c r="E5953" s="23" t="n">
        <v>0</v>
      </c>
      <c r="F5953" s="28" t="s">
        <v>551</v>
      </c>
      <c r="G5953" s="19" t="n">
        <v>0.0675</v>
      </c>
    </row>
    <row r="5954" customFormat="false" ht="15" hidden="false" customHeight="false" outlineLevel="0" collapsed="false">
      <c r="A5954" s="28" t="s">
        <v>212</v>
      </c>
      <c r="B5954" s="28" t="s">
        <v>213</v>
      </c>
      <c r="C5954" s="28" t="s">
        <v>209</v>
      </c>
      <c r="D5954" s="23" t="n">
        <v>18</v>
      </c>
      <c r="E5954" s="23" t="n">
        <v>0</v>
      </c>
      <c r="F5954" s="28" t="s">
        <v>451</v>
      </c>
      <c r="G5954" s="19" t="n">
        <v>0.0361</v>
      </c>
    </row>
    <row r="5955" customFormat="false" ht="15" hidden="false" customHeight="false" outlineLevel="0" collapsed="false">
      <c r="A5955" s="28" t="s">
        <v>212</v>
      </c>
      <c r="B5955" s="28" t="s">
        <v>213</v>
      </c>
      <c r="C5955" s="28" t="s">
        <v>209</v>
      </c>
      <c r="D5955" s="23" t="n">
        <v>18</v>
      </c>
      <c r="E5955" s="23" t="n">
        <v>0</v>
      </c>
      <c r="F5955" s="28" t="s">
        <v>905</v>
      </c>
      <c r="G5955" s="19" t="n">
        <v>0.0387</v>
      </c>
    </row>
    <row r="5956" customFormat="false" ht="15" hidden="false" customHeight="false" outlineLevel="0" collapsed="false">
      <c r="A5956" s="28" t="s">
        <v>212</v>
      </c>
      <c r="B5956" s="28" t="s">
        <v>213</v>
      </c>
      <c r="C5956" s="28" t="s">
        <v>209</v>
      </c>
      <c r="D5956" s="23" t="n">
        <v>18</v>
      </c>
      <c r="E5956" s="23" t="n">
        <v>0</v>
      </c>
      <c r="F5956" s="28" t="s">
        <v>906</v>
      </c>
      <c r="G5956" s="19" t="n">
        <v>0.0401</v>
      </c>
    </row>
    <row r="5957" customFormat="false" ht="15" hidden="false" customHeight="false" outlineLevel="0" collapsed="false">
      <c r="A5957" s="28" t="s">
        <v>212</v>
      </c>
      <c r="B5957" s="28" t="s">
        <v>213</v>
      </c>
      <c r="C5957" s="28" t="s">
        <v>209</v>
      </c>
      <c r="D5957" s="23" t="n">
        <v>18</v>
      </c>
      <c r="E5957" s="23" t="n">
        <v>0</v>
      </c>
      <c r="F5957" s="28" t="s">
        <v>907</v>
      </c>
      <c r="G5957" s="19" t="n">
        <v>0.0398</v>
      </c>
    </row>
    <row r="5958" customFormat="false" ht="15" hidden="false" customHeight="false" outlineLevel="0" collapsed="false">
      <c r="A5958" s="28" t="s">
        <v>212</v>
      </c>
      <c r="B5958" s="28" t="s">
        <v>213</v>
      </c>
      <c r="C5958" s="28" t="s">
        <v>209</v>
      </c>
      <c r="D5958" s="23" t="n">
        <v>18</v>
      </c>
      <c r="E5958" s="23" t="n">
        <v>0</v>
      </c>
      <c r="F5958" s="28" t="s">
        <v>908</v>
      </c>
      <c r="G5958" s="19" t="n">
        <v>0.0414</v>
      </c>
    </row>
    <row r="5959" customFormat="false" ht="15" hidden="false" customHeight="false" outlineLevel="0" collapsed="false">
      <c r="A5959" s="28" t="s">
        <v>212</v>
      </c>
      <c r="B5959" s="28" t="s">
        <v>213</v>
      </c>
      <c r="C5959" s="28" t="s">
        <v>209</v>
      </c>
      <c r="D5959" s="23" t="n">
        <v>18</v>
      </c>
      <c r="E5959" s="23" t="n">
        <v>0</v>
      </c>
      <c r="F5959" s="28" t="s">
        <v>909</v>
      </c>
      <c r="G5959" s="19" t="n">
        <v>0.0415</v>
      </c>
    </row>
    <row r="5960" customFormat="false" ht="15" hidden="false" customHeight="false" outlineLevel="0" collapsed="false">
      <c r="A5960" s="28" t="s">
        <v>212</v>
      </c>
      <c r="B5960" s="28" t="s">
        <v>213</v>
      </c>
      <c r="C5960" s="28" t="s">
        <v>209</v>
      </c>
      <c r="D5960" s="23" t="n">
        <v>18</v>
      </c>
      <c r="E5960" s="23" t="n">
        <v>0</v>
      </c>
      <c r="F5960" s="28" t="s">
        <v>910</v>
      </c>
      <c r="G5960" s="19" t="n">
        <v>0.0419</v>
      </c>
    </row>
    <row r="5961" customFormat="false" ht="15" hidden="false" customHeight="false" outlineLevel="0" collapsed="false">
      <c r="A5961" s="28" t="s">
        <v>212</v>
      </c>
      <c r="B5961" s="28" t="s">
        <v>213</v>
      </c>
      <c r="C5961" s="28" t="s">
        <v>209</v>
      </c>
      <c r="D5961" s="23" t="n">
        <v>18</v>
      </c>
      <c r="E5961" s="23" t="n">
        <v>0</v>
      </c>
      <c r="F5961" s="28" t="s">
        <v>911</v>
      </c>
      <c r="G5961" s="19" t="n">
        <v>0.043</v>
      </c>
    </row>
    <row r="5962" customFormat="false" ht="15" hidden="false" customHeight="false" outlineLevel="0" collapsed="false">
      <c r="A5962" s="28" t="s">
        <v>212</v>
      </c>
      <c r="B5962" s="28" t="s">
        <v>213</v>
      </c>
      <c r="C5962" s="28" t="s">
        <v>209</v>
      </c>
      <c r="D5962" s="23" t="n">
        <v>18</v>
      </c>
      <c r="E5962" s="23" t="n">
        <v>0</v>
      </c>
      <c r="F5962" s="28" t="s">
        <v>912</v>
      </c>
      <c r="G5962" s="19" t="n">
        <v>0.0444</v>
      </c>
    </row>
    <row r="5963" customFormat="false" ht="15" hidden="false" customHeight="false" outlineLevel="0" collapsed="false">
      <c r="A5963" s="28" t="s">
        <v>212</v>
      </c>
      <c r="B5963" s="28" t="s">
        <v>213</v>
      </c>
      <c r="C5963" s="28" t="s">
        <v>209</v>
      </c>
      <c r="D5963" s="23" t="n">
        <v>18</v>
      </c>
      <c r="E5963" s="23" t="n">
        <v>0</v>
      </c>
      <c r="F5963" s="28" t="s">
        <v>913</v>
      </c>
      <c r="G5963" s="19" t="n">
        <v>0.0493</v>
      </c>
    </row>
    <row r="5964" customFormat="false" ht="15" hidden="false" customHeight="false" outlineLevel="0" collapsed="false">
      <c r="A5964" s="28" t="s">
        <v>212</v>
      </c>
      <c r="B5964" s="28" t="s">
        <v>213</v>
      </c>
      <c r="C5964" s="28" t="s">
        <v>209</v>
      </c>
      <c r="D5964" s="23" t="n">
        <v>18</v>
      </c>
      <c r="E5964" s="23" t="n">
        <v>0</v>
      </c>
      <c r="F5964" s="28" t="s">
        <v>914</v>
      </c>
      <c r="G5964" s="19" t="n">
        <v>0.0491</v>
      </c>
    </row>
    <row r="5965" customFormat="false" ht="15" hidden="false" customHeight="false" outlineLevel="0" collapsed="false">
      <c r="A5965" s="28" t="s">
        <v>212</v>
      </c>
      <c r="B5965" s="28" t="s">
        <v>213</v>
      </c>
      <c r="C5965" s="28" t="s">
        <v>209</v>
      </c>
      <c r="D5965" s="23" t="n">
        <v>18</v>
      </c>
      <c r="E5965" s="23" t="n">
        <v>0</v>
      </c>
      <c r="F5965" s="28" t="s">
        <v>915</v>
      </c>
      <c r="G5965" s="19" t="n">
        <v>0.0649</v>
      </c>
    </row>
    <row r="5966" customFormat="false" ht="15" hidden="false" customHeight="false" outlineLevel="0" collapsed="false">
      <c r="A5966" s="28" t="s">
        <v>212</v>
      </c>
      <c r="B5966" s="28" t="s">
        <v>213</v>
      </c>
      <c r="C5966" s="28" t="s">
        <v>209</v>
      </c>
      <c r="D5966" s="23" t="n">
        <v>18</v>
      </c>
      <c r="E5966" s="23" t="n">
        <v>1</v>
      </c>
      <c r="F5966" s="28" t="s">
        <v>904</v>
      </c>
      <c r="G5966" s="19" t="n">
        <v>0.03755</v>
      </c>
    </row>
    <row r="5967" customFormat="false" ht="15" hidden="false" customHeight="false" outlineLevel="0" collapsed="false">
      <c r="A5967" s="28" t="s">
        <v>212</v>
      </c>
      <c r="B5967" s="28" t="s">
        <v>213</v>
      </c>
      <c r="C5967" s="28" t="s">
        <v>209</v>
      </c>
      <c r="D5967" s="23" t="n">
        <v>18</v>
      </c>
      <c r="E5967" s="23" t="n">
        <v>1</v>
      </c>
      <c r="F5967" s="28" t="s">
        <v>551</v>
      </c>
      <c r="G5967" s="19" t="n">
        <v>0.06875</v>
      </c>
    </row>
    <row r="5968" customFormat="false" ht="15" hidden="false" customHeight="false" outlineLevel="0" collapsed="false">
      <c r="A5968" s="28" t="s">
        <v>212</v>
      </c>
      <c r="B5968" s="28" t="s">
        <v>213</v>
      </c>
      <c r="C5968" s="28" t="s">
        <v>209</v>
      </c>
      <c r="D5968" s="23" t="n">
        <v>18</v>
      </c>
      <c r="E5968" s="23" t="n">
        <v>1</v>
      </c>
      <c r="F5968" s="28" t="s">
        <v>451</v>
      </c>
      <c r="G5968" s="19" t="n">
        <v>0.03735</v>
      </c>
    </row>
    <row r="5969" customFormat="false" ht="15" hidden="false" customHeight="false" outlineLevel="0" collapsed="false">
      <c r="A5969" s="28" t="s">
        <v>212</v>
      </c>
      <c r="B5969" s="28" t="s">
        <v>213</v>
      </c>
      <c r="C5969" s="28" t="s">
        <v>209</v>
      </c>
      <c r="D5969" s="23" t="n">
        <v>18</v>
      </c>
      <c r="E5969" s="23" t="n">
        <v>1</v>
      </c>
      <c r="F5969" s="28" t="s">
        <v>905</v>
      </c>
      <c r="G5969" s="19" t="n">
        <v>0.03995</v>
      </c>
    </row>
    <row r="5970" customFormat="false" ht="15" hidden="false" customHeight="false" outlineLevel="0" collapsed="false">
      <c r="A5970" s="28" t="s">
        <v>212</v>
      </c>
      <c r="B5970" s="28" t="s">
        <v>213</v>
      </c>
      <c r="C5970" s="28" t="s">
        <v>209</v>
      </c>
      <c r="D5970" s="23" t="n">
        <v>18</v>
      </c>
      <c r="E5970" s="23" t="n">
        <v>1</v>
      </c>
      <c r="F5970" s="28" t="s">
        <v>906</v>
      </c>
      <c r="G5970" s="19" t="n">
        <v>0.041356</v>
      </c>
    </row>
    <row r="5971" customFormat="false" ht="15" hidden="false" customHeight="false" outlineLevel="0" collapsed="false">
      <c r="A5971" s="28" t="s">
        <v>212</v>
      </c>
      <c r="B5971" s="28" t="s">
        <v>213</v>
      </c>
      <c r="C5971" s="28" t="s">
        <v>209</v>
      </c>
      <c r="D5971" s="23" t="n">
        <v>18</v>
      </c>
      <c r="E5971" s="23" t="n">
        <v>1</v>
      </c>
      <c r="F5971" s="28" t="s">
        <v>907</v>
      </c>
      <c r="G5971" s="19" t="n">
        <v>0.041069</v>
      </c>
    </row>
    <row r="5972" customFormat="false" ht="15" hidden="false" customHeight="false" outlineLevel="0" collapsed="false">
      <c r="A5972" s="28" t="s">
        <v>212</v>
      </c>
      <c r="B5972" s="28" t="s">
        <v>213</v>
      </c>
      <c r="C5972" s="28" t="s">
        <v>209</v>
      </c>
      <c r="D5972" s="23" t="n">
        <v>18</v>
      </c>
      <c r="E5972" s="23" t="n">
        <v>1</v>
      </c>
      <c r="F5972" s="28" t="s">
        <v>908</v>
      </c>
      <c r="G5972" s="19" t="n">
        <v>0.042695</v>
      </c>
    </row>
    <row r="5973" customFormat="false" ht="15" hidden="false" customHeight="false" outlineLevel="0" collapsed="false">
      <c r="A5973" s="28" t="s">
        <v>212</v>
      </c>
      <c r="B5973" s="28" t="s">
        <v>213</v>
      </c>
      <c r="C5973" s="28" t="s">
        <v>209</v>
      </c>
      <c r="D5973" s="23" t="n">
        <v>18</v>
      </c>
      <c r="E5973" s="23" t="n">
        <v>1</v>
      </c>
      <c r="F5973" s="28" t="s">
        <v>909</v>
      </c>
      <c r="G5973" s="19" t="n">
        <v>0.042821</v>
      </c>
    </row>
    <row r="5974" customFormat="false" ht="15" hidden="false" customHeight="false" outlineLevel="0" collapsed="false">
      <c r="A5974" s="28" t="s">
        <v>212</v>
      </c>
      <c r="B5974" s="28" t="s">
        <v>213</v>
      </c>
      <c r="C5974" s="28" t="s">
        <v>209</v>
      </c>
      <c r="D5974" s="23" t="n">
        <v>18</v>
      </c>
      <c r="E5974" s="23" t="n">
        <v>1</v>
      </c>
      <c r="F5974" s="28" t="s">
        <v>910</v>
      </c>
      <c r="G5974" s="19" t="n">
        <v>0.043272</v>
      </c>
    </row>
    <row r="5975" customFormat="false" ht="15" hidden="false" customHeight="false" outlineLevel="0" collapsed="false">
      <c r="A5975" s="28" t="s">
        <v>212</v>
      </c>
      <c r="B5975" s="28" t="s">
        <v>213</v>
      </c>
      <c r="C5975" s="28" t="s">
        <v>209</v>
      </c>
      <c r="D5975" s="23" t="n">
        <v>18</v>
      </c>
      <c r="E5975" s="23" t="n">
        <v>1</v>
      </c>
      <c r="F5975" s="28" t="s">
        <v>911</v>
      </c>
      <c r="G5975" s="19" t="n">
        <v>0.044423</v>
      </c>
    </row>
    <row r="5976" customFormat="false" ht="15" hidden="false" customHeight="false" outlineLevel="0" collapsed="false">
      <c r="A5976" s="28" t="s">
        <v>212</v>
      </c>
      <c r="B5976" s="28" t="s">
        <v>213</v>
      </c>
      <c r="C5976" s="28" t="s">
        <v>209</v>
      </c>
      <c r="D5976" s="23" t="n">
        <v>18</v>
      </c>
      <c r="E5976" s="23" t="n">
        <v>1</v>
      </c>
      <c r="F5976" s="28" t="s">
        <v>912</v>
      </c>
      <c r="G5976" s="19" t="n">
        <v>0.0459</v>
      </c>
    </row>
    <row r="5977" customFormat="false" ht="15" hidden="false" customHeight="false" outlineLevel="0" collapsed="false">
      <c r="A5977" s="28" t="s">
        <v>212</v>
      </c>
      <c r="B5977" s="28" t="s">
        <v>213</v>
      </c>
      <c r="C5977" s="28" t="s">
        <v>209</v>
      </c>
      <c r="D5977" s="23" t="n">
        <v>18</v>
      </c>
      <c r="E5977" s="23" t="n">
        <v>1</v>
      </c>
      <c r="F5977" s="28" t="s">
        <v>913</v>
      </c>
      <c r="G5977" s="19" t="n">
        <v>0.0508</v>
      </c>
    </row>
    <row r="5978" customFormat="false" ht="15" hidden="false" customHeight="false" outlineLevel="0" collapsed="false">
      <c r="A5978" s="28" t="s">
        <v>212</v>
      </c>
      <c r="B5978" s="28" t="s">
        <v>213</v>
      </c>
      <c r="C5978" s="28" t="s">
        <v>209</v>
      </c>
      <c r="D5978" s="23" t="n">
        <v>18</v>
      </c>
      <c r="E5978" s="23" t="n">
        <v>1</v>
      </c>
      <c r="F5978" s="28" t="s">
        <v>914</v>
      </c>
      <c r="G5978" s="19" t="n">
        <v>0.0506</v>
      </c>
    </row>
    <row r="5979" customFormat="false" ht="15" hidden="false" customHeight="false" outlineLevel="0" collapsed="false">
      <c r="A5979" s="28" t="s">
        <v>212</v>
      </c>
      <c r="B5979" s="28" t="s">
        <v>213</v>
      </c>
      <c r="C5979" s="28" t="s">
        <v>209</v>
      </c>
      <c r="D5979" s="23" t="n">
        <v>18</v>
      </c>
      <c r="E5979" s="23" t="n">
        <v>1</v>
      </c>
      <c r="F5979" s="28" t="s">
        <v>915</v>
      </c>
      <c r="G5979" s="19" t="n">
        <v>0.0664</v>
      </c>
    </row>
    <row r="5980" customFormat="false" ht="15" hidden="false" customHeight="false" outlineLevel="0" collapsed="false">
      <c r="A5980" s="28" t="s">
        <v>212</v>
      </c>
      <c r="B5980" s="28" t="s">
        <v>213</v>
      </c>
      <c r="C5980" s="28" t="s">
        <v>209</v>
      </c>
      <c r="D5980" s="23" t="n">
        <v>18</v>
      </c>
      <c r="E5980" s="23" t="n">
        <v>2</v>
      </c>
      <c r="F5980" s="28" t="s">
        <v>904</v>
      </c>
      <c r="G5980" s="19" t="n">
        <v>0.0388</v>
      </c>
    </row>
    <row r="5981" customFormat="false" ht="15" hidden="false" customHeight="false" outlineLevel="0" collapsed="false">
      <c r="A5981" s="28" t="s">
        <v>212</v>
      </c>
      <c r="B5981" s="28" t="s">
        <v>213</v>
      </c>
      <c r="C5981" s="28" t="s">
        <v>209</v>
      </c>
      <c r="D5981" s="23" t="n">
        <v>18</v>
      </c>
      <c r="E5981" s="23" t="n">
        <v>2</v>
      </c>
      <c r="F5981" s="28" t="s">
        <v>551</v>
      </c>
      <c r="G5981" s="19" t="n">
        <v>0.07</v>
      </c>
    </row>
    <row r="5982" customFormat="false" ht="15" hidden="false" customHeight="false" outlineLevel="0" collapsed="false">
      <c r="A5982" s="28" t="s">
        <v>212</v>
      </c>
      <c r="B5982" s="28" t="s">
        <v>213</v>
      </c>
      <c r="C5982" s="28" t="s">
        <v>209</v>
      </c>
      <c r="D5982" s="23" t="n">
        <v>18</v>
      </c>
      <c r="E5982" s="23" t="n">
        <v>2</v>
      </c>
      <c r="F5982" s="28" t="s">
        <v>451</v>
      </c>
      <c r="G5982" s="19" t="n">
        <v>0.0386</v>
      </c>
    </row>
    <row r="5983" customFormat="false" ht="15" hidden="false" customHeight="false" outlineLevel="0" collapsed="false">
      <c r="A5983" s="28" t="s">
        <v>212</v>
      </c>
      <c r="B5983" s="28" t="s">
        <v>213</v>
      </c>
      <c r="C5983" s="28" t="s">
        <v>209</v>
      </c>
      <c r="D5983" s="23" t="n">
        <v>18</v>
      </c>
      <c r="E5983" s="23" t="n">
        <v>2</v>
      </c>
      <c r="F5983" s="28" t="s">
        <v>905</v>
      </c>
      <c r="G5983" s="19" t="n">
        <v>0.0412</v>
      </c>
    </row>
    <row r="5984" customFormat="false" ht="15" hidden="false" customHeight="false" outlineLevel="0" collapsed="false">
      <c r="A5984" s="28" t="s">
        <v>212</v>
      </c>
      <c r="B5984" s="28" t="s">
        <v>213</v>
      </c>
      <c r="C5984" s="28" t="s">
        <v>209</v>
      </c>
      <c r="D5984" s="23" t="n">
        <v>18</v>
      </c>
      <c r="E5984" s="23" t="n">
        <v>2</v>
      </c>
      <c r="F5984" s="28" t="s">
        <v>906</v>
      </c>
      <c r="G5984" s="19" t="n">
        <v>0.042613</v>
      </c>
    </row>
    <row r="5985" customFormat="false" ht="15" hidden="false" customHeight="false" outlineLevel="0" collapsed="false">
      <c r="A5985" s="28" t="s">
        <v>212</v>
      </c>
      <c r="B5985" s="28" t="s">
        <v>213</v>
      </c>
      <c r="C5985" s="28" t="s">
        <v>209</v>
      </c>
      <c r="D5985" s="23" t="n">
        <v>18</v>
      </c>
      <c r="E5985" s="23" t="n">
        <v>2</v>
      </c>
      <c r="F5985" s="28" t="s">
        <v>907</v>
      </c>
      <c r="G5985" s="19" t="n">
        <v>0.042338</v>
      </c>
    </row>
    <row r="5986" customFormat="false" ht="15" hidden="false" customHeight="false" outlineLevel="0" collapsed="false">
      <c r="A5986" s="28" t="s">
        <v>212</v>
      </c>
      <c r="B5986" s="28" t="s">
        <v>213</v>
      </c>
      <c r="C5986" s="28" t="s">
        <v>209</v>
      </c>
      <c r="D5986" s="23" t="n">
        <v>18</v>
      </c>
      <c r="E5986" s="23" t="n">
        <v>2</v>
      </c>
      <c r="F5986" s="28" t="s">
        <v>908</v>
      </c>
      <c r="G5986" s="19" t="n">
        <v>0.04399</v>
      </c>
    </row>
    <row r="5987" customFormat="false" ht="15" hidden="false" customHeight="false" outlineLevel="0" collapsed="false">
      <c r="A5987" s="28" t="s">
        <v>212</v>
      </c>
      <c r="B5987" s="28" t="s">
        <v>213</v>
      </c>
      <c r="C5987" s="28" t="s">
        <v>209</v>
      </c>
      <c r="D5987" s="23" t="n">
        <v>18</v>
      </c>
      <c r="E5987" s="23" t="n">
        <v>2</v>
      </c>
      <c r="F5987" s="28" t="s">
        <v>909</v>
      </c>
      <c r="G5987" s="19" t="n">
        <v>0.044141</v>
      </c>
    </row>
    <row r="5988" customFormat="false" ht="15" hidden="false" customHeight="false" outlineLevel="0" collapsed="false">
      <c r="A5988" s="28" t="s">
        <v>212</v>
      </c>
      <c r="B5988" s="28" t="s">
        <v>213</v>
      </c>
      <c r="C5988" s="28" t="s">
        <v>209</v>
      </c>
      <c r="D5988" s="23" t="n">
        <v>18</v>
      </c>
      <c r="E5988" s="23" t="n">
        <v>2</v>
      </c>
      <c r="F5988" s="28" t="s">
        <v>910</v>
      </c>
      <c r="G5988" s="19" t="n">
        <v>0.044644</v>
      </c>
    </row>
    <row r="5989" customFormat="false" ht="15" hidden="false" customHeight="false" outlineLevel="0" collapsed="false">
      <c r="A5989" s="28" t="s">
        <v>212</v>
      </c>
      <c r="B5989" s="28" t="s">
        <v>213</v>
      </c>
      <c r="C5989" s="28" t="s">
        <v>209</v>
      </c>
      <c r="D5989" s="23" t="n">
        <v>18</v>
      </c>
      <c r="E5989" s="23" t="n">
        <v>2</v>
      </c>
      <c r="F5989" s="28" t="s">
        <v>911</v>
      </c>
      <c r="G5989" s="19" t="n">
        <v>0.045846</v>
      </c>
    </row>
    <row r="5990" customFormat="false" ht="15" hidden="false" customHeight="false" outlineLevel="0" collapsed="false">
      <c r="A5990" s="28" t="s">
        <v>212</v>
      </c>
      <c r="B5990" s="28" t="s">
        <v>213</v>
      </c>
      <c r="C5990" s="28" t="s">
        <v>209</v>
      </c>
      <c r="D5990" s="23" t="n">
        <v>18</v>
      </c>
      <c r="E5990" s="23" t="n">
        <v>2</v>
      </c>
      <c r="F5990" s="28" t="s">
        <v>912</v>
      </c>
      <c r="G5990" s="19" t="n">
        <v>0.0474</v>
      </c>
    </row>
    <row r="5991" customFormat="false" ht="15" hidden="false" customHeight="false" outlineLevel="0" collapsed="false">
      <c r="A5991" s="28" t="s">
        <v>212</v>
      </c>
      <c r="B5991" s="28" t="s">
        <v>213</v>
      </c>
      <c r="C5991" s="28" t="s">
        <v>209</v>
      </c>
      <c r="D5991" s="23" t="n">
        <v>18</v>
      </c>
      <c r="E5991" s="23" t="n">
        <v>2</v>
      </c>
      <c r="F5991" s="28" t="s">
        <v>913</v>
      </c>
      <c r="G5991" s="19" t="n">
        <v>0.0523</v>
      </c>
    </row>
    <row r="5992" customFormat="false" ht="15" hidden="false" customHeight="false" outlineLevel="0" collapsed="false">
      <c r="A5992" s="28" t="s">
        <v>212</v>
      </c>
      <c r="B5992" s="28" t="s">
        <v>213</v>
      </c>
      <c r="C5992" s="28" t="s">
        <v>209</v>
      </c>
      <c r="D5992" s="23" t="n">
        <v>18</v>
      </c>
      <c r="E5992" s="23" t="n">
        <v>2</v>
      </c>
      <c r="F5992" s="28" t="s">
        <v>914</v>
      </c>
      <c r="G5992" s="19" t="n">
        <v>0.0521</v>
      </c>
    </row>
    <row r="5993" customFormat="false" ht="15" hidden="false" customHeight="false" outlineLevel="0" collapsed="false">
      <c r="A5993" s="28" t="s">
        <v>212</v>
      </c>
      <c r="B5993" s="28" t="s">
        <v>213</v>
      </c>
      <c r="C5993" s="28" t="s">
        <v>209</v>
      </c>
      <c r="D5993" s="23" t="n">
        <v>18</v>
      </c>
      <c r="E5993" s="23" t="n">
        <v>2</v>
      </c>
      <c r="F5993" s="28" t="s">
        <v>915</v>
      </c>
      <c r="G5993" s="19" t="n">
        <v>0.0679</v>
      </c>
    </row>
    <row r="5994" customFormat="false" ht="15" hidden="false" customHeight="false" outlineLevel="0" collapsed="false">
      <c r="A5994" s="28" t="s">
        <v>212</v>
      </c>
      <c r="B5994" s="28" t="s">
        <v>213</v>
      </c>
      <c r="C5994" s="28" t="s">
        <v>209</v>
      </c>
      <c r="D5994" s="23" t="n">
        <v>18</v>
      </c>
      <c r="E5994" s="23" t="n">
        <v>3</v>
      </c>
      <c r="F5994" s="28" t="s">
        <v>904</v>
      </c>
      <c r="G5994" s="19" t="n">
        <v>0.04005</v>
      </c>
    </row>
    <row r="5995" customFormat="false" ht="15" hidden="false" customHeight="false" outlineLevel="0" collapsed="false">
      <c r="A5995" s="28" t="s">
        <v>212</v>
      </c>
      <c r="B5995" s="28" t="s">
        <v>213</v>
      </c>
      <c r="C5995" s="28" t="s">
        <v>209</v>
      </c>
      <c r="D5995" s="23" t="n">
        <v>18</v>
      </c>
      <c r="E5995" s="23" t="n">
        <v>3</v>
      </c>
      <c r="F5995" s="28" t="s">
        <v>551</v>
      </c>
      <c r="G5995" s="19" t="n">
        <v>0.07125</v>
      </c>
    </row>
    <row r="5996" customFormat="false" ht="15" hidden="false" customHeight="false" outlineLevel="0" collapsed="false">
      <c r="A5996" s="28" t="s">
        <v>212</v>
      </c>
      <c r="B5996" s="28" t="s">
        <v>213</v>
      </c>
      <c r="C5996" s="28" t="s">
        <v>209</v>
      </c>
      <c r="D5996" s="23" t="n">
        <v>18</v>
      </c>
      <c r="E5996" s="23" t="n">
        <v>3</v>
      </c>
      <c r="F5996" s="28" t="s">
        <v>451</v>
      </c>
      <c r="G5996" s="19" t="n">
        <v>0.03985</v>
      </c>
    </row>
    <row r="5997" customFormat="false" ht="15" hidden="false" customHeight="false" outlineLevel="0" collapsed="false">
      <c r="A5997" s="28" t="s">
        <v>212</v>
      </c>
      <c r="B5997" s="28" t="s">
        <v>213</v>
      </c>
      <c r="C5997" s="28" t="s">
        <v>209</v>
      </c>
      <c r="D5997" s="23" t="n">
        <v>18</v>
      </c>
      <c r="E5997" s="23" t="n">
        <v>3</v>
      </c>
      <c r="F5997" s="28" t="s">
        <v>905</v>
      </c>
      <c r="G5997" s="19" t="n">
        <v>0.04245</v>
      </c>
    </row>
    <row r="5998" customFormat="false" ht="15" hidden="false" customHeight="false" outlineLevel="0" collapsed="false">
      <c r="A5998" s="28" t="s">
        <v>212</v>
      </c>
      <c r="B5998" s="28" t="s">
        <v>213</v>
      </c>
      <c r="C5998" s="28" t="s">
        <v>209</v>
      </c>
      <c r="D5998" s="23" t="n">
        <v>18</v>
      </c>
      <c r="E5998" s="23" t="n">
        <v>3</v>
      </c>
      <c r="F5998" s="28" t="s">
        <v>906</v>
      </c>
      <c r="G5998" s="19" t="n">
        <v>0.043869</v>
      </c>
    </row>
    <row r="5999" customFormat="false" ht="15" hidden="false" customHeight="false" outlineLevel="0" collapsed="false">
      <c r="A5999" s="28" t="s">
        <v>212</v>
      </c>
      <c r="B5999" s="28" t="s">
        <v>213</v>
      </c>
      <c r="C5999" s="28" t="s">
        <v>209</v>
      </c>
      <c r="D5999" s="23" t="n">
        <v>18</v>
      </c>
      <c r="E5999" s="23" t="n">
        <v>3</v>
      </c>
      <c r="F5999" s="28" t="s">
        <v>907</v>
      </c>
      <c r="G5999" s="19" t="n">
        <v>0.043608</v>
      </c>
    </row>
    <row r="6000" customFormat="false" ht="15" hidden="false" customHeight="false" outlineLevel="0" collapsed="false">
      <c r="A6000" s="28" t="s">
        <v>212</v>
      </c>
      <c r="B6000" s="28" t="s">
        <v>213</v>
      </c>
      <c r="C6000" s="28" t="s">
        <v>209</v>
      </c>
      <c r="D6000" s="23" t="n">
        <v>18</v>
      </c>
      <c r="E6000" s="23" t="n">
        <v>3</v>
      </c>
      <c r="F6000" s="28" t="s">
        <v>908</v>
      </c>
      <c r="G6000" s="19" t="n">
        <v>0.045285</v>
      </c>
    </row>
    <row r="6001" customFormat="false" ht="15" hidden="false" customHeight="false" outlineLevel="0" collapsed="false">
      <c r="A6001" s="28" t="s">
        <v>212</v>
      </c>
      <c r="B6001" s="28" t="s">
        <v>213</v>
      </c>
      <c r="C6001" s="28" t="s">
        <v>209</v>
      </c>
      <c r="D6001" s="23" t="n">
        <v>18</v>
      </c>
      <c r="E6001" s="23" t="n">
        <v>3</v>
      </c>
      <c r="F6001" s="28" t="s">
        <v>909</v>
      </c>
      <c r="G6001" s="19" t="n">
        <v>0.045462</v>
      </c>
    </row>
    <row r="6002" customFormat="false" ht="15" hidden="false" customHeight="false" outlineLevel="0" collapsed="false">
      <c r="A6002" s="28" t="s">
        <v>212</v>
      </c>
      <c r="B6002" s="28" t="s">
        <v>213</v>
      </c>
      <c r="C6002" s="28" t="s">
        <v>209</v>
      </c>
      <c r="D6002" s="23" t="n">
        <v>18</v>
      </c>
      <c r="E6002" s="23" t="n">
        <v>3</v>
      </c>
      <c r="F6002" s="28" t="s">
        <v>910</v>
      </c>
      <c r="G6002" s="19" t="n">
        <v>0.046015</v>
      </c>
    </row>
    <row r="6003" customFormat="false" ht="15" hidden="false" customHeight="false" outlineLevel="0" collapsed="false">
      <c r="A6003" s="28" t="s">
        <v>212</v>
      </c>
      <c r="B6003" s="28" t="s">
        <v>213</v>
      </c>
      <c r="C6003" s="28" t="s">
        <v>209</v>
      </c>
      <c r="D6003" s="23" t="n">
        <v>18</v>
      </c>
      <c r="E6003" s="23" t="n">
        <v>3</v>
      </c>
      <c r="F6003" s="28" t="s">
        <v>911</v>
      </c>
      <c r="G6003" s="19" t="n">
        <v>0.047269</v>
      </c>
    </row>
    <row r="6004" customFormat="false" ht="15" hidden="false" customHeight="false" outlineLevel="0" collapsed="false">
      <c r="A6004" s="28" t="s">
        <v>212</v>
      </c>
      <c r="B6004" s="28" t="s">
        <v>213</v>
      </c>
      <c r="C6004" s="28" t="s">
        <v>209</v>
      </c>
      <c r="D6004" s="23" t="n">
        <v>18</v>
      </c>
      <c r="E6004" s="23" t="n">
        <v>3</v>
      </c>
      <c r="F6004" s="28" t="s">
        <v>912</v>
      </c>
      <c r="G6004" s="19" t="n">
        <v>0.0489</v>
      </c>
    </row>
    <row r="6005" customFormat="false" ht="15" hidden="false" customHeight="false" outlineLevel="0" collapsed="false">
      <c r="A6005" s="28" t="s">
        <v>212</v>
      </c>
      <c r="B6005" s="28" t="s">
        <v>213</v>
      </c>
      <c r="C6005" s="28" t="s">
        <v>209</v>
      </c>
      <c r="D6005" s="23" t="n">
        <v>18</v>
      </c>
      <c r="E6005" s="23" t="n">
        <v>3</v>
      </c>
      <c r="F6005" s="28" t="s">
        <v>913</v>
      </c>
      <c r="G6005" s="19" t="n">
        <v>0.0538</v>
      </c>
    </row>
    <row r="6006" customFormat="false" ht="15" hidden="false" customHeight="false" outlineLevel="0" collapsed="false">
      <c r="A6006" s="28" t="s">
        <v>212</v>
      </c>
      <c r="B6006" s="28" t="s">
        <v>213</v>
      </c>
      <c r="C6006" s="28" t="s">
        <v>209</v>
      </c>
      <c r="D6006" s="23" t="n">
        <v>18</v>
      </c>
      <c r="E6006" s="23" t="n">
        <v>3</v>
      </c>
      <c r="F6006" s="28" t="s">
        <v>914</v>
      </c>
      <c r="G6006" s="19" t="n">
        <v>0.0536</v>
      </c>
    </row>
    <row r="6007" customFormat="false" ht="15" hidden="false" customHeight="false" outlineLevel="0" collapsed="false">
      <c r="A6007" s="28" t="s">
        <v>212</v>
      </c>
      <c r="B6007" s="28" t="s">
        <v>213</v>
      </c>
      <c r="C6007" s="28" t="s">
        <v>209</v>
      </c>
      <c r="D6007" s="23" t="n">
        <v>18</v>
      </c>
      <c r="E6007" s="23" t="n">
        <v>3</v>
      </c>
      <c r="F6007" s="28" t="s">
        <v>915</v>
      </c>
      <c r="G6007" s="19" t="n">
        <v>0.0694</v>
      </c>
    </row>
    <row r="6008" customFormat="false" ht="15" hidden="false" customHeight="false" outlineLevel="0" collapsed="false">
      <c r="A6008" s="28" t="s">
        <v>212</v>
      </c>
      <c r="B6008" s="28" t="s">
        <v>213</v>
      </c>
      <c r="C6008" s="28" t="s">
        <v>209</v>
      </c>
      <c r="D6008" s="23" t="n">
        <v>18</v>
      </c>
      <c r="E6008" s="23" t="n">
        <v>4</v>
      </c>
      <c r="F6008" s="28" t="s">
        <v>904</v>
      </c>
      <c r="G6008" s="19" t="n">
        <v>0.0413</v>
      </c>
    </row>
    <row r="6009" customFormat="false" ht="15" hidden="false" customHeight="false" outlineLevel="0" collapsed="false">
      <c r="A6009" s="28" t="s">
        <v>212</v>
      </c>
      <c r="B6009" s="28" t="s">
        <v>213</v>
      </c>
      <c r="C6009" s="28" t="s">
        <v>209</v>
      </c>
      <c r="D6009" s="23" t="n">
        <v>18</v>
      </c>
      <c r="E6009" s="23" t="n">
        <v>4</v>
      </c>
      <c r="F6009" s="28" t="s">
        <v>551</v>
      </c>
      <c r="G6009" s="19" t="n">
        <v>0.0725</v>
      </c>
    </row>
    <row r="6010" customFormat="false" ht="15" hidden="false" customHeight="false" outlineLevel="0" collapsed="false">
      <c r="A6010" s="28" t="s">
        <v>212</v>
      </c>
      <c r="B6010" s="28" t="s">
        <v>213</v>
      </c>
      <c r="C6010" s="28" t="s">
        <v>209</v>
      </c>
      <c r="D6010" s="23" t="n">
        <v>18</v>
      </c>
      <c r="E6010" s="23" t="n">
        <v>4</v>
      </c>
      <c r="F6010" s="28" t="s">
        <v>451</v>
      </c>
      <c r="G6010" s="19" t="n">
        <v>0.0411</v>
      </c>
    </row>
    <row r="6011" customFormat="false" ht="15" hidden="false" customHeight="false" outlineLevel="0" collapsed="false">
      <c r="A6011" s="28" t="s">
        <v>212</v>
      </c>
      <c r="B6011" s="28" t="s">
        <v>213</v>
      </c>
      <c r="C6011" s="28" t="s">
        <v>209</v>
      </c>
      <c r="D6011" s="23" t="n">
        <v>18</v>
      </c>
      <c r="E6011" s="23" t="n">
        <v>4</v>
      </c>
      <c r="F6011" s="28" t="s">
        <v>905</v>
      </c>
      <c r="G6011" s="19" t="n">
        <v>0.0437</v>
      </c>
    </row>
    <row r="6012" customFormat="false" ht="15" hidden="false" customHeight="false" outlineLevel="0" collapsed="false">
      <c r="A6012" s="28" t="s">
        <v>212</v>
      </c>
      <c r="B6012" s="28" t="s">
        <v>213</v>
      </c>
      <c r="C6012" s="28" t="s">
        <v>209</v>
      </c>
      <c r="D6012" s="23" t="n">
        <v>18</v>
      </c>
      <c r="E6012" s="23" t="n">
        <v>4</v>
      </c>
      <c r="F6012" s="28" t="s">
        <v>906</v>
      </c>
      <c r="G6012" s="19" t="n">
        <v>0.045126</v>
      </c>
    </row>
    <row r="6013" customFormat="false" ht="15" hidden="false" customHeight="false" outlineLevel="0" collapsed="false">
      <c r="A6013" s="28" t="s">
        <v>212</v>
      </c>
      <c r="B6013" s="28" t="s">
        <v>213</v>
      </c>
      <c r="C6013" s="28" t="s">
        <v>209</v>
      </c>
      <c r="D6013" s="23" t="n">
        <v>18</v>
      </c>
      <c r="E6013" s="23" t="n">
        <v>4</v>
      </c>
      <c r="F6013" s="28" t="s">
        <v>907</v>
      </c>
      <c r="G6013" s="19" t="n">
        <v>0.044877</v>
      </c>
    </row>
    <row r="6014" customFormat="false" ht="15" hidden="false" customHeight="false" outlineLevel="0" collapsed="false">
      <c r="A6014" s="28" t="s">
        <v>212</v>
      </c>
      <c r="B6014" s="28" t="s">
        <v>213</v>
      </c>
      <c r="C6014" s="28" t="s">
        <v>209</v>
      </c>
      <c r="D6014" s="23" t="n">
        <v>18</v>
      </c>
      <c r="E6014" s="23" t="n">
        <v>4</v>
      </c>
      <c r="F6014" s="28" t="s">
        <v>908</v>
      </c>
      <c r="G6014" s="19" t="n">
        <v>0.046579</v>
      </c>
    </row>
    <row r="6015" customFormat="false" ht="15" hidden="false" customHeight="false" outlineLevel="0" collapsed="false">
      <c r="A6015" s="28" t="s">
        <v>212</v>
      </c>
      <c r="B6015" s="28" t="s">
        <v>213</v>
      </c>
      <c r="C6015" s="28" t="s">
        <v>209</v>
      </c>
      <c r="D6015" s="23" t="n">
        <v>18</v>
      </c>
      <c r="E6015" s="23" t="n">
        <v>4</v>
      </c>
      <c r="F6015" s="28" t="s">
        <v>909</v>
      </c>
      <c r="G6015" s="19" t="n">
        <v>0.046782</v>
      </c>
    </row>
    <row r="6016" customFormat="false" ht="15" hidden="false" customHeight="false" outlineLevel="0" collapsed="false">
      <c r="A6016" s="28" t="s">
        <v>212</v>
      </c>
      <c r="B6016" s="28" t="s">
        <v>213</v>
      </c>
      <c r="C6016" s="28" t="s">
        <v>209</v>
      </c>
      <c r="D6016" s="23" t="n">
        <v>18</v>
      </c>
      <c r="E6016" s="23" t="n">
        <v>4</v>
      </c>
      <c r="F6016" s="28" t="s">
        <v>910</v>
      </c>
      <c r="G6016" s="19" t="n">
        <v>0.047387</v>
      </c>
    </row>
    <row r="6017" customFormat="false" ht="15" hidden="false" customHeight="false" outlineLevel="0" collapsed="false">
      <c r="A6017" s="28" t="s">
        <v>212</v>
      </c>
      <c r="B6017" s="28" t="s">
        <v>213</v>
      </c>
      <c r="C6017" s="28" t="s">
        <v>209</v>
      </c>
      <c r="D6017" s="23" t="n">
        <v>18</v>
      </c>
      <c r="E6017" s="23" t="n">
        <v>4</v>
      </c>
      <c r="F6017" s="28" t="s">
        <v>911</v>
      </c>
      <c r="G6017" s="19" t="n">
        <v>0.048692</v>
      </c>
    </row>
    <row r="6018" customFormat="false" ht="15" hidden="false" customHeight="false" outlineLevel="0" collapsed="false">
      <c r="A6018" s="28" t="s">
        <v>212</v>
      </c>
      <c r="B6018" s="28" t="s">
        <v>213</v>
      </c>
      <c r="C6018" s="28" t="s">
        <v>209</v>
      </c>
      <c r="D6018" s="23" t="n">
        <v>18</v>
      </c>
      <c r="E6018" s="23" t="n">
        <v>4</v>
      </c>
      <c r="F6018" s="28" t="s">
        <v>912</v>
      </c>
      <c r="G6018" s="19" t="n">
        <v>0.0504</v>
      </c>
    </row>
    <row r="6019" customFormat="false" ht="15" hidden="false" customHeight="false" outlineLevel="0" collapsed="false">
      <c r="A6019" s="28" t="s">
        <v>212</v>
      </c>
      <c r="B6019" s="28" t="s">
        <v>213</v>
      </c>
      <c r="C6019" s="28" t="s">
        <v>209</v>
      </c>
      <c r="D6019" s="23" t="n">
        <v>18</v>
      </c>
      <c r="E6019" s="23" t="n">
        <v>4</v>
      </c>
      <c r="F6019" s="28" t="s">
        <v>913</v>
      </c>
      <c r="G6019" s="19" t="n">
        <v>0.0553</v>
      </c>
    </row>
    <row r="6020" customFormat="false" ht="15" hidden="false" customHeight="false" outlineLevel="0" collapsed="false">
      <c r="A6020" s="28" t="s">
        <v>212</v>
      </c>
      <c r="B6020" s="28" t="s">
        <v>213</v>
      </c>
      <c r="C6020" s="28" t="s">
        <v>209</v>
      </c>
      <c r="D6020" s="23" t="n">
        <v>18</v>
      </c>
      <c r="E6020" s="23" t="n">
        <v>4</v>
      </c>
      <c r="F6020" s="28" t="s">
        <v>914</v>
      </c>
      <c r="G6020" s="19" t="n">
        <v>0.0551</v>
      </c>
    </row>
    <row r="6021" customFormat="false" ht="15" hidden="false" customHeight="false" outlineLevel="0" collapsed="false">
      <c r="A6021" s="28" t="s">
        <v>212</v>
      </c>
      <c r="B6021" s="28" t="s">
        <v>213</v>
      </c>
      <c r="C6021" s="28" t="s">
        <v>209</v>
      </c>
      <c r="D6021" s="23" t="n">
        <v>18</v>
      </c>
      <c r="E6021" s="23" t="n">
        <v>4</v>
      </c>
      <c r="F6021" s="28" t="s">
        <v>915</v>
      </c>
      <c r="G6021" s="19" t="n">
        <v>0.0709</v>
      </c>
    </row>
    <row r="6022" customFormat="false" ht="15" hidden="false" customHeight="false" outlineLevel="0" collapsed="false">
      <c r="A6022" s="28" t="s">
        <v>212</v>
      </c>
      <c r="B6022" s="28" t="s">
        <v>213</v>
      </c>
      <c r="C6022" s="28" t="s">
        <v>209</v>
      </c>
      <c r="D6022" s="23" t="n">
        <v>18</v>
      </c>
      <c r="E6022" s="23" t="n">
        <v>5</v>
      </c>
      <c r="F6022" s="28" t="s">
        <v>904</v>
      </c>
      <c r="G6022" s="19" t="n">
        <v>0.04255</v>
      </c>
    </row>
    <row r="6023" customFormat="false" ht="15" hidden="false" customHeight="false" outlineLevel="0" collapsed="false">
      <c r="A6023" s="28" t="s">
        <v>212</v>
      </c>
      <c r="B6023" s="28" t="s">
        <v>213</v>
      </c>
      <c r="C6023" s="28" t="s">
        <v>209</v>
      </c>
      <c r="D6023" s="23" t="n">
        <v>18</v>
      </c>
      <c r="E6023" s="23" t="n">
        <v>5</v>
      </c>
      <c r="F6023" s="28" t="s">
        <v>551</v>
      </c>
      <c r="G6023" s="19" t="n">
        <v>0.07375</v>
      </c>
    </row>
    <row r="6024" customFormat="false" ht="15" hidden="false" customHeight="false" outlineLevel="0" collapsed="false">
      <c r="A6024" s="28" t="s">
        <v>212</v>
      </c>
      <c r="B6024" s="28" t="s">
        <v>213</v>
      </c>
      <c r="C6024" s="28" t="s">
        <v>209</v>
      </c>
      <c r="D6024" s="23" t="n">
        <v>18</v>
      </c>
      <c r="E6024" s="23" t="n">
        <v>5</v>
      </c>
      <c r="F6024" s="28" t="s">
        <v>451</v>
      </c>
      <c r="G6024" s="19" t="n">
        <v>0.04235</v>
      </c>
    </row>
    <row r="6025" customFormat="false" ht="15" hidden="false" customHeight="false" outlineLevel="0" collapsed="false">
      <c r="A6025" s="28" t="s">
        <v>212</v>
      </c>
      <c r="B6025" s="28" t="s">
        <v>213</v>
      </c>
      <c r="C6025" s="28" t="s">
        <v>209</v>
      </c>
      <c r="D6025" s="23" t="n">
        <v>18</v>
      </c>
      <c r="E6025" s="23" t="n">
        <v>5</v>
      </c>
      <c r="F6025" s="28" t="s">
        <v>905</v>
      </c>
      <c r="G6025" s="19" t="n">
        <v>0.04495</v>
      </c>
    </row>
    <row r="6026" customFormat="false" ht="15" hidden="false" customHeight="false" outlineLevel="0" collapsed="false">
      <c r="A6026" s="28" t="s">
        <v>212</v>
      </c>
      <c r="B6026" s="28" t="s">
        <v>213</v>
      </c>
      <c r="C6026" s="28" t="s">
        <v>209</v>
      </c>
      <c r="D6026" s="23" t="n">
        <v>18</v>
      </c>
      <c r="E6026" s="23" t="n">
        <v>5</v>
      </c>
      <c r="F6026" s="28" t="s">
        <v>906</v>
      </c>
      <c r="G6026" s="19" t="n">
        <v>0.046382</v>
      </c>
    </row>
    <row r="6027" customFormat="false" ht="15" hidden="false" customHeight="false" outlineLevel="0" collapsed="false">
      <c r="A6027" s="28" t="s">
        <v>212</v>
      </c>
      <c r="B6027" s="28" t="s">
        <v>213</v>
      </c>
      <c r="C6027" s="28" t="s">
        <v>209</v>
      </c>
      <c r="D6027" s="23" t="n">
        <v>18</v>
      </c>
      <c r="E6027" s="23" t="n">
        <v>5</v>
      </c>
      <c r="F6027" s="28" t="s">
        <v>907</v>
      </c>
      <c r="G6027" s="19" t="n">
        <v>0.046146</v>
      </c>
    </row>
    <row r="6028" customFormat="false" ht="15" hidden="false" customHeight="false" outlineLevel="0" collapsed="false">
      <c r="A6028" s="28" t="s">
        <v>212</v>
      </c>
      <c r="B6028" s="28" t="s">
        <v>213</v>
      </c>
      <c r="C6028" s="28" t="s">
        <v>209</v>
      </c>
      <c r="D6028" s="23" t="n">
        <v>18</v>
      </c>
      <c r="E6028" s="23" t="n">
        <v>5</v>
      </c>
      <c r="F6028" s="28" t="s">
        <v>908</v>
      </c>
      <c r="G6028" s="19" t="n">
        <v>0.047874</v>
      </c>
    </row>
    <row r="6029" customFormat="false" ht="15" hidden="false" customHeight="false" outlineLevel="0" collapsed="false">
      <c r="A6029" s="28" t="s">
        <v>212</v>
      </c>
      <c r="B6029" s="28" t="s">
        <v>213</v>
      </c>
      <c r="C6029" s="28" t="s">
        <v>209</v>
      </c>
      <c r="D6029" s="23" t="n">
        <v>18</v>
      </c>
      <c r="E6029" s="23" t="n">
        <v>5</v>
      </c>
      <c r="F6029" s="28" t="s">
        <v>909</v>
      </c>
      <c r="G6029" s="19" t="n">
        <v>0.048103</v>
      </c>
    </row>
    <row r="6030" customFormat="false" ht="15" hidden="false" customHeight="false" outlineLevel="0" collapsed="false">
      <c r="A6030" s="28" t="s">
        <v>212</v>
      </c>
      <c r="B6030" s="28" t="s">
        <v>213</v>
      </c>
      <c r="C6030" s="28" t="s">
        <v>209</v>
      </c>
      <c r="D6030" s="23" t="n">
        <v>18</v>
      </c>
      <c r="E6030" s="23" t="n">
        <v>5</v>
      </c>
      <c r="F6030" s="28" t="s">
        <v>910</v>
      </c>
      <c r="G6030" s="19" t="n">
        <v>0.048759</v>
      </c>
    </row>
    <row r="6031" customFormat="false" ht="15" hidden="false" customHeight="false" outlineLevel="0" collapsed="false">
      <c r="A6031" s="28" t="s">
        <v>212</v>
      </c>
      <c r="B6031" s="28" t="s">
        <v>213</v>
      </c>
      <c r="C6031" s="28" t="s">
        <v>209</v>
      </c>
      <c r="D6031" s="23" t="n">
        <v>18</v>
      </c>
      <c r="E6031" s="23" t="n">
        <v>5</v>
      </c>
      <c r="F6031" s="28" t="s">
        <v>911</v>
      </c>
      <c r="G6031" s="19" t="n">
        <v>0.050115</v>
      </c>
    </row>
    <row r="6032" customFormat="false" ht="15" hidden="false" customHeight="false" outlineLevel="0" collapsed="false">
      <c r="A6032" s="28" t="s">
        <v>212</v>
      </c>
      <c r="B6032" s="28" t="s">
        <v>213</v>
      </c>
      <c r="C6032" s="28" t="s">
        <v>209</v>
      </c>
      <c r="D6032" s="23" t="n">
        <v>18</v>
      </c>
      <c r="E6032" s="23" t="n">
        <v>5</v>
      </c>
      <c r="F6032" s="28" t="s">
        <v>912</v>
      </c>
      <c r="G6032" s="19" t="n">
        <v>0.0519</v>
      </c>
    </row>
    <row r="6033" customFormat="false" ht="15" hidden="false" customHeight="false" outlineLevel="0" collapsed="false">
      <c r="A6033" s="28" t="s">
        <v>212</v>
      </c>
      <c r="B6033" s="28" t="s">
        <v>213</v>
      </c>
      <c r="C6033" s="28" t="s">
        <v>209</v>
      </c>
      <c r="D6033" s="23" t="n">
        <v>18</v>
      </c>
      <c r="E6033" s="23" t="n">
        <v>5</v>
      </c>
      <c r="F6033" s="28" t="s">
        <v>913</v>
      </c>
      <c r="G6033" s="19" t="n">
        <v>0.0568</v>
      </c>
    </row>
    <row r="6034" customFormat="false" ht="15" hidden="false" customHeight="false" outlineLevel="0" collapsed="false">
      <c r="A6034" s="28" t="s">
        <v>212</v>
      </c>
      <c r="B6034" s="28" t="s">
        <v>213</v>
      </c>
      <c r="C6034" s="28" t="s">
        <v>209</v>
      </c>
      <c r="D6034" s="23" t="n">
        <v>18</v>
      </c>
      <c r="E6034" s="23" t="n">
        <v>5</v>
      </c>
      <c r="F6034" s="28" t="s">
        <v>914</v>
      </c>
      <c r="G6034" s="19" t="n">
        <v>0.0566</v>
      </c>
    </row>
    <row r="6035" customFormat="false" ht="15" hidden="false" customHeight="false" outlineLevel="0" collapsed="false">
      <c r="A6035" s="28" t="s">
        <v>212</v>
      </c>
      <c r="B6035" s="28" t="s">
        <v>213</v>
      </c>
      <c r="C6035" s="28" t="s">
        <v>209</v>
      </c>
      <c r="D6035" s="23" t="n">
        <v>18</v>
      </c>
      <c r="E6035" s="23" t="n">
        <v>5</v>
      </c>
      <c r="F6035" s="28" t="s">
        <v>915</v>
      </c>
      <c r="G6035" s="19" t="n">
        <v>0.0724</v>
      </c>
    </row>
    <row r="6036" customFormat="false" ht="15" hidden="false" customHeight="false" outlineLevel="0" collapsed="false">
      <c r="A6036" s="28" t="s">
        <v>212</v>
      </c>
      <c r="B6036" s="28" t="s">
        <v>213</v>
      </c>
      <c r="C6036" s="28" t="s">
        <v>209</v>
      </c>
      <c r="D6036" s="23" t="n">
        <v>18</v>
      </c>
      <c r="E6036" s="23" t="n">
        <v>6</v>
      </c>
      <c r="F6036" s="28" t="s">
        <v>904</v>
      </c>
      <c r="G6036" s="19" t="n">
        <v>0.0438</v>
      </c>
    </row>
    <row r="6037" customFormat="false" ht="15" hidden="false" customHeight="false" outlineLevel="0" collapsed="false">
      <c r="A6037" s="28" t="s">
        <v>212</v>
      </c>
      <c r="B6037" s="28" t="s">
        <v>213</v>
      </c>
      <c r="C6037" s="28" t="s">
        <v>209</v>
      </c>
      <c r="D6037" s="23" t="n">
        <v>18</v>
      </c>
      <c r="E6037" s="23" t="n">
        <v>6</v>
      </c>
      <c r="F6037" s="28" t="s">
        <v>551</v>
      </c>
      <c r="G6037" s="19" t="n">
        <v>0.075</v>
      </c>
    </row>
    <row r="6038" customFormat="false" ht="15" hidden="false" customHeight="false" outlineLevel="0" collapsed="false">
      <c r="A6038" s="28" t="s">
        <v>212</v>
      </c>
      <c r="B6038" s="28" t="s">
        <v>213</v>
      </c>
      <c r="C6038" s="28" t="s">
        <v>209</v>
      </c>
      <c r="D6038" s="23" t="n">
        <v>18</v>
      </c>
      <c r="E6038" s="23" t="n">
        <v>6</v>
      </c>
      <c r="F6038" s="28" t="s">
        <v>451</v>
      </c>
      <c r="G6038" s="19" t="n">
        <v>0.0436</v>
      </c>
    </row>
    <row r="6039" customFormat="false" ht="15" hidden="false" customHeight="false" outlineLevel="0" collapsed="false">
      <c r="A6039" s="28" t="s">
        <v>212</v>
      </c>
      <c r="B6039" s="28" t="s">
        <v>213</v>
      </c>
      <c r="C6039" s="28" t="s">
        <v>209</v>
      </c>
      <c r="D6039" s="23" t="n">
        <v>18</v>
      </c>
      <c r="E6039" s="23" t="n">
        <v>6</v>
      </c>
      <c r="F6039" s="28" t="s">
        <v>905</v>
      </c>
      <c r="G6039" s="19" t="n">
        <v>0.0462</v>
      </c>
    </row>
    <row r="6040" customFormat="false" ht="15" hidden="false" customHeight="false" outlineLevel="0" collapsed="false">
      <c r="A6040" s="28" t="s">
        <v>212</v>
      </c>
      <c r="B6040" s="28" t="s">
        <v>213</v>
      </c>
      <c r="C6040" s="28" t="s">
        <v>209</v>
      </c>
      <c r="D6040" s="23" t="n">
        <v>18</v>
      </c>
      <c r="E6040" s="23" t="n">
        <v>6</v>
      </c>
      <c r="F6040" s="28" t="s">
        <v>906</v>
      </c>
      <c r="G6040" s="19" t="n">
        <v>0.047638</v>
      </c>
    </row>
    <row r="6041" customFormat="false" ht="15" hidden="false" customHeight="false" outlineLevel="0" collapsed="false">
      <c r="A6041" s="28" t="s">
        <v>212</v>
      </c>
      <c r="B6041" s="28" t="s">
        <v>213</v>
      </c>
      <c r="C6041" s="28" t="s">
        <v>209</v>
      </c>
      <c r="D6041" s="23" t="n">
        <v>18</v>
      </c>
      <c r="E6041" s="23" t="n">
        <v>6</v>
      </c>
      <c r="F6041" s="28" t="s">
        <v>907</v>
      </c>
      <c r="G6041" s="19" t="n">
        <v>0.047415</v>
      </c>
    </row>
    <row r="6042" customFormat="false" ht="15" hidden="false" customHeight="false" outlineLevel="0" collapsed="false">
      <c r="A6042" s="28" t="s">
        <v>212</v>
      </c>
      <c r="B6042" s="28" t="s">
        <v>213</v>
      </c>
      <c r="C6042" s="28" t="s">
        <v>209</v>
      </c>
      <c r="D6042" s="23" t="n">
        <v>18</v>
      </c>
      <c r="E6042" s="23" t="n">
        <v>6</v>
      </c>
      <c r="F6042" s="28" t="s">
        <v>908</v>
      </c>
      <c r="G6042" s="19" t="n">
        <v>0.049169</v>
      </c>
    </row>
    <row r="6043" customFormat="false" ht="15" hidden="false" customHeight="false" outlineLevel="0" collapsed="false">
      <c r="A6043" s="28" t="s">
        <v>212</v>
      </c>
      <c r="B6043" s="28" t="s">
        <v>213</v>
      </c>
      <c r="C6043" s="28" t="s">
        <v>209</v>
      </c>
      <c r="D6043" s="23" t="n">
        <v>18</v>
      </c>
      <c r="E6043" s="23" t="n">
        <v>6</v>
      </c>
      <c r="F6043" s="28" t="s">
        <v>909</v>
      </c>
      <c r="G6043" s="19" t="n">
        <v>0.049423</v>
      </c>
    </row>
    <row r="6044" customFormat="false" ht="15" hidden="false" customHeight="false" outlineLevel="0" collapsed="false">
      <c r="A6044" s="28" t="s">
        <v>212</v>
      </c>
      <c r="B6044" s="28" t="s">
        <v>213</v>
      </c>
      <c r="C6044" s="28" t="s">
        <v>209</v>
      </c>
      <c r="D6044" s="23" t="n">
        <v>18</v>
      </c>
      <c r="E6044" s="23" t="n">
        <v>6</v>
      </c>
      <c r="F6044" s="28" t="s">
        <v>910</v>
      </c>
      <c r="G6044" s="19" t="n">
        <v>0.050131</v>
      </c>
    </row>
    <row r="6045" customFormat="false" ht="15" hidden="false" customHeight="false" outlineLevel="0" collapsed="false">
      <c r="A6045" s="28" t="s">
        <v>212</v>
      </c>
      <c r="B6045" s="28" t="s">
        <v>213</v>
      </c>
      <c r="C6045" s="28" t="s">
        <v>209</v>
      </c>
      <c r="D6045" s="23" t="n">
        <v>18</v>
      </c>
      <c r="E6045" s="23" t="n">
        <v>6</v>
      </c>
      <c r="F6045" s="28" t="s">
        <v>911</v>
      </c>
      <c r="G6045" s="19" t="n">
        <v>0.051538</v>
      </c>
    </row>
    <row r="6046" customFormat="false" ht="15" hidden="false" customHeight="false" outlineLevel="0" collapsed="false">
      <c r="A6046" s="28" t="s">
        <v>212</v>
      </c>
      <c r="B6046" s="28" t="s">
        <v>213</v>
      </c>
      <c r="C6046" s="28" t="s">
        <v>209</v>
      </c>
      <c r="D6046" s="23" t="n">
        <v>18</v>
      </c>
      <c r="E6046" s="23" t="n">
        <v>6</v>
      </c>
      <c r="F6046" s="28" t="s">
        <v>912</v>
      </c>
      <c r="G6046" s="19" t="n">
        <v>0.0534</v>
      </c>
    </row>
    <row r="6047" customFormat="false" ht="15" hidden="false" customHeight="false" outlineLevel="0" collapsed="false">
      <c r="A6047" s="28" t="s">
        <v>212</v>
      </c>
      <c r="B6047" s="28" t="s">
        <v>213</v>
      </c>
      <c r="C6047" s="28" t="s">
        <v>209</v>
      </c>
      <c r="D6047" s="23" t="n">
        <v>18</v>
      </c>
      <c r="E6047" s="23" t="n">
        <v>6</v>
      </c>
      <c r="F6047" s="28" t="s">
        <v>913</v>
      </c>
      <c r="G6047" s="19" t="n">
        <v>0.0583</v>
      </c>
    </row>
    <row r="6048" customFormat="false" ht="15" hidden="false" customHeight="false" outlineLevel="0" collapsed="false">
      <c r="A6048" s="28" t="s">
        <v>212</v>
      </c>
      <c r="B6048" s="28" t="s">
        <v>213</v>
      </c>
      <c r="C6048" s="28" t="s">
        <v>209</v>
      </c>
      <c r="D6048" s="23" t="n">
        <v>18</v>
      </c>
      <c r="E6048" s="23" t="n">
        <v>6</v>
      </c>
      <c r="F6048" s="28" t="s">
        <v>914</v>
      </c>
      <c r="G6048" s="19" t="n">
        <v>0.0581</v>
      </c>
    </row>
    <row r="6049" customFormat="false" ht="15" hidden="false" customHeight="false" outlineLevel="0" collapsed="false">
      <c r="A6049" s="28" t="s">
        <v>212</v>
      </c>
      <c r="B6049" s="28" t="s">
        <v>213</v>
      </c>
      <c r="C6049" s="28" t="s">
        <v>209</v>
      </c>
      <c r="D6049" s="23" t="n">
        <v>18</v>
      </c>
      <c r="E6049" s="23" t="n">
        <v>6</v>
      </c>
      <c r="F6049" s="28" t="s">
        <v>915</v>
      </c>
      <c r="G6049" s="19" t="n">
        <v>0.0739</v>
      </c>
    </row>
    <row r="6050" customFormat="false" ht="15" hidden="false" customHeight="false" outlineLevel="0" collapsed="false">
      <c r="A6050" s="28" t="s">
        <v>212</v>
      </c>
      <c r="B6050" s="28" t="s">
        <v>213</v>
      </c>
      <c r="C6050" s="28" t="s">
        <v>209</v>
      </c>
      <c r="D6050" s="23" t="n">
        <v>18</v>
      </c>
      <c r="E6050" s="23" t="n">
        <v>7</v>
      </c>
      <c r="F6050" s="28" t="s">
        <v>904</v>
      </c>
      <c r="G6050" s="19" t="n">
        <v>0.04505</v>
      </c>
    </row>
    <row r="6051" customFormat="false" ht="15" hidden="false" customHeight="false" outlineLevel="0" collapsed="false">
      <c r="A6051" s="28" t="s">
        <v>212</v>
      </c>
      <c r="B6051" s="28" t="s">
        <v>213</v>
      </c>
      <c r="C6051" s="28" t="s">
        <v>209</v>
      </c>
      <c r="D6051" s="23" t="n">
        <v>18</v>
      </c>
      <c r="E6051" s="23" t="n">
        <v>7</v>
      </c>
      <c r="F6051" s="28" t="s">
        <v>551</v>
      </c>
      <c r="G6051" s="19" t="n">
        <v>0.07625</v>
      </c>
    </row>
    <row r="6052" customFormat="false" ht="15" hidden="false" customHeight="false" outlineLevel="0" collapsed="false">
      <c r="A6052" s="28" t="s">
        <v>212</v>
      </c>
      <c r="B6052" s="28" t="s">
        <v>213</v>
      </c>
      <c r="C6052" s="28" t="s">
        <v>209</v>
      </c>
      <c r="D6052" s="23" t="n">
        <v>18</v>
      </c>
      <c r="E6052" s="23" t="n">
        <v>7</v>
      </c>
      <c r="F6052" s="28" t="s">
        <v>451</v>
      </c>
      <c r="G6052" s="19" t="n">
        <v>0.04485</v>
      </c>
    </row>
    <row r="6053" customFormat="false" ht="15" hidden="false" customHeight="false" outlineLevel="0" collapsed="false">
      <c r="A6053" s="28" t="s">
        <v>212</v>
      </c>
      <c r="B6053" s="28" t="s">
        <v>213</v>
      </c>
      <c r="C6053" s="28" t="s">
        <v>209</v>
      </c>
      <c r="D6053" s="23" t="n">
        <v>18</v>
      </c>
      <c r="E6053" s="23" t="n">
        <v>7</v>
      </c>
      <c r="F6053" s="28" t="s">
        <v>905</v>
      </c>
      <c r="G6053" s="19" t="n">
        <v>0.04745</v>
      </c>
    </row>
    <row r="6054" customFormat="false" ht="15" hidden="false" customHeight="false" outlineLevel="0" collapsed="false">
      <c r="A6054" s="28" t="s">
        <v>212</v>
      </c>
      <c r="B6054" s="28" t="s">
        <v>213</v>
      </c>
      <c r="C6054" s="28" t="s">
        <v>209</v>
      </c>
      <c r="D6054" s="23" t="n">
        <v>18</v>
      </c>
      <c r="E6054" s="23" t="n">
        <v>7</v>
      </c>
      <c r="F6054" s="28" t="s">
        <v>906</v>
      </c>
      <c r="G6054" s="19" t="n">
        <v>0.048895</v>
      </c>
    </row>
    <row r="6055" customFormat="false" ht="15" hidden="false" customHeight="false" outlineLevel="0" collapsed="false">
      <c r="A6055" s="28" t="s">
        <v>212</v>
      </c>
      <c r="B6055" s="28" t="s">
        <v>213</v>
      </c>
      <c r="C6055" s="28" t="s">
        <v>209</v>
      </c>
      <c r="D6055" s="23" t="n">
        <v>18</v>
      </c>
      <c r="E6055" s="23" t="n">
        <v>7</v>
      </c>
      <c r="F6055" s="28" t="s">
        <v>907</v>
      </c>
      <c r="G6055" s="19" t="n">
        <v>0.048685</v>
      </c>
    </row>
    <row r="6056" customFormat="false" ht="15" hidden="false" customHeight="false" outlineLevel="0" collapsed="false">
      <c r="A6056" s="28" t="s">
        <v>212</v>
      </c>
      <c r="B6056" s="28" t="s">
        <v>213</v>
      </c>
      <c r="C6056" s="28" t="s">
        <v>209</v>
      </c>
      <c r="D6056" s="23" t="n">
        <v>18</v>
      </c>
      <c r="E6056" s="23" t="n">
        <v>7</v>
      </c>
      <c r="F6056" s="28" t="s">
        <v>908</v>
      </c>
      <c r="G6056" s="19" t="n">
        <v>0.050464</v>
      </c>
    </row>
    <row r="6057" customFormat="false" ht="15" hidden="false" customHeight="false" outlineLevel="0" collapsed="false">
      <c r="A6057" s="28" t="s">
        <v>212</v>
      </c>
      <c r="B6057" s="28" t="s">
        <v>213</v>
      </c>
      <c r="C6057" s="28" t="s">
        <v>209</v>
      </c>
      <c r="D6057" s="23" t="n">
        <v>18</v>
      </c>
      <c r="E6057" s="23" t="n">
        <v>7</v>
      </c>
      <c r="F6057" s="28" t="s">
        <v>909</v>
      </c>
      <c r="G6057" s="19" t="n">
        <v>0.050744</v>
      </c>
    </row>
    <row r="6058" customFormat="false" ht="15" hidden="false" customHeight="false" outlineLevel="0" collapsed="false">
      <c r="A6058" s="28" t="s">
        <v>212</v>
      </c>
      <c r="B6058" s="28" t="s">
        <v>213</v>
      </c>
      <c r="C6058" s="28" t="s">
        <v>209</v>
      </c>
      <c r="D6058" s="23" t="n">
        <v>18</v>
      </c>
      <c r="E6058" s="23" t="n">
        <v>7</v>
      </c>
      <c r="F6058" s="28" t="s">
        <v>910</v>
      </c>
      <c r="G6058" s="19" t="n">
        <v>0.051503</v>
      </c>
    </row>
    <row r="6059" customFormat="false" ht="15" hidden="false" customHeight="false" outlineLevel="0" collapsed="false">
      <c r="A6059" s="28" t="s">
        <v>212</v>
      </c>
      <c r="B6059" s="28" t="s">
        <v>213</v>
      </c>
      <c r="C6059" s="28" t="s">
        <v>209</v>
      </c>
      <c r="D6059" s="23" t="n">
        <v>18</v>
      </c>
      <c r="E6059" s="23" t="n">
        <v>7</v>
      </c>
      <c r="F6059" s="28" t="s">
        <v>911</v>
      </c>
      <c r="G6059" s="19" t="n">
        <v>0.052962</v>
      </c>
    </row>
    <row r="6060" customFormat="false" ht="15" hidden="false" customHeight="false" outlineLevel="0" collapsed="false">
      <c r="A6060" s="28" t="s">
        <v>212</v>
      </c>
      <c r="B6060" s="28" t="s">
        <v>213</v>
      </c>
      <c r="C6060" s="28" t="s">
        <v>209</v>
      </c>
      <c r="D6060" s="23" t="n">
        <v>18</v>
      </c>
      <c r="E6060" s="23" t="n">
        <v>7</v>
      </c>
      <c r="F6060" s="28" t="s">
        <v>912</v>
      </c>
      <c r="G6060" s="19" t="n">
        <v>0.0549</v>
      </c>
    </row>
    <row r="6061" customFormat="false" ht="15" hidden="false" customHeight="false" outlineLevel="0" collapsed="false">
      <c r="A6061" s="28" t="s">
        <v>212</v>
      </c>
      <c r="B6061" s="28" t="s">
        <v>213</v>
      </c>
      <c r="C6061" s="28" t="s">
        <v>209</v>
      </c>
      <c r="D6061" s="23" t="n">
        <v>18</v>
      </c>
      <c r="E6061" s="23" t="n">
        <v>7</v>
      </c>
      <c r="F6061" s="28" t="s">
        <v>913</v>
      </c>
      <c r="G6061" s="19" t="n">
        <v>0.0598</v>
      </c>
    </row>
    <row r="6062" customFormat="false" ht="15" hidden="false" customHeight="false" outlineLevel="0" collapsed="false">
      <c r="A6062" s="28" t="s">
        <v>212</v>
      </c>
      <c r="B6062" s="28" t="s">
        <v>213</v>
      </c>
      <c r="C6062" s="28" t="s">
        <v>209</v>
      </c>
      <c r="D6062" s="23" t="n">
        <v>18</v>
      </c>
      <c r="E6062" s="23" t="n">
        <v>7</v>
      </c>
      <c r="F6062" s="28" t="s">
        <v>914</v>
      </c>
      <c r="G6062" s="19" t="n">
        <v>0.0596</v>
      </c>
    </row>
    <row r="6063" customFormat="false" ht="15" hidden="false" customHeight="false" outlineLevel="0" collapsed="false">
      <c r="A6063" s="28" t="s">
        <v>212</v>
      </c>
      <c r="B6063" s="28" t="s">
        <v>213</v>
      </c>
      <c r="C6063" s="28" t="s">
        <v>209</v>
      </c>
      <c r="D6063" s="23" t="n">
        <v>18</v>
      </c>
      <c r="E6063" s="23" t="n">
        <v>7</v>
      </c>
      <c r="F6063" s="28" t="s">
        <v>915</v>
      </c>
      <c r="G6063" s="19" t="n">
        <v>0.0754</v>
      </c>
    </row>
    <row r="6064" customFormat="false" ht="15" hidden="false" customHeight="false" outlineLevel="0" collapsed="false">
      <c r="A6064" s="28" t="s">
        <v>212</v>
      </c>
      <c r="B6064" s="28" t="s">
        <v>213</v>
      </c>
      <c r="C6064" s="28" t="s">
        <v>209</v>
      </c>
      <c r="D6064" s="23" t="n">
        <v>18</v>
      </c>
      <c r="E6064" s="23" t="n">
        <v>8</v>
      </c>
      <c r="F6064" s="28" t="s">
        <v>904</v>
      </c>
      <c r="G6064" s="19" t="n">
        <v>0.0463</v>
      </c>
    </row>
    <row r="6065" customFormat="false" ht="15" hidden="false" customHeight="false" outlineLevel="0" collapsed="false">
      <c r="A6065" s="28" t="s">
        <v>212</v>
      </c>
      <c r="B6065" s="28" t="s">
        <v>213</v>
      </c>
      <c r="C6065" s="28" t="s">
        <v>209</v>
      </c>
      <c r="D6065" s="23" t="n">
        <v>18</v>
      </c>
      <c r="E6065" s="23" t="n">
        <v>8</v>
      </c>
      <c r="F6065" s="28" t="s">
        <v>551</v>
      </c>
      <c r="G6065" s="19" t="n">
        <v>0.0775</v>
      </c>
    </row>
    <row r="6066" customFormat="false" ht="15" hidden="false" customHeight="false" outlineLevel="0" collapsed="false">
      <c r="A6066" s="28" t="s">
        <v>212</v>
      </c>
      <c r="B6066" s="28" t="s">
        <v>213</v>
      </c>
      <c r="C6066" s="28" t="s">
        <v>209</v>
      </c>
      <c r="D6066" s="23" t="n">
        <v>18</v>
      </c>
      <c r="E6066" s="23" t="n">
        <v>8</v>
      </c>
      <c r="F6066" s="28" t="s">
        <v>451</v>
      </c>
      <c r="G6066" s="19" t="n">
        <v>0.0461</v>
      </c>
    </row>
    <row r="6067" customFormat="false" ht="15" hidden="false" customHeight="false" outlineLevel="0" collapsed="false">
      <c r="A6067" s="28" t="s">
        <v>212</v>
      </c>
      <c r="B6067" s="28" t="s">
        <v>213</v>
      </c>
      <c r="C6067" s="28" t="s">
        <v>209</v>
      </c>
      <c r="D6067" s="23" t="n">
        <v>18</v>
      </c>
      <c r="E6067" s="23" t="n">
        <v>8</v>
      </c>
      <c r="F6067" s="28" t="s">
        <v>905</v>
      </c>
      <c r="G6067" s="19" t="n">
        <v>0.0487</v>
      </c>
    </row>
    <row r="6068" customFormat="false" ht="15" hidden="false" customHeight="false" outlineLevel="0" collapsed="false">
      <c r="A6068" s="28" t="s">
        <v>212</v>
      </c>
      <c r="B6068" s="28" t="s">
        <v>213</v>
      </c>
      <c r="C6068" s="28" t="s">
        <v>209</v>
      </c>
      <c r="D6068" s="23" t="n">
        <v>18</v>
      </c>
      <c r="E6068" s="23" t="n">
        <v>8</v>
      </c>
      <c r="F6068" s="28" t="s">
        <v>906</v>
      </c>
      <c r="G6068" s="19" t="n">
        <v>0.050151</v>
      </c>
    </row>
    <row r="6069" customFormat="false" ht="15" hidden="false" customHeight="false" outlineLevel="0" collapsed="false">
      <c r="A6069" s="28" t="s">
        <v>212</v>
      </c>
      <c r="B6069" s="28" t="s">
        <v>213</v>
      </c>
      <c r="C6069" s="28" t="s">
        <v>209</v>
      </c>
      <c r="D6069" s="23" t="n">
        <v>18</v>
      </c>
      <c r="E6069" s="23" t="n">
        <v>8</v>
      </c>
      <c r="F6069" s="28" t="s">
        <v>907</v>
      </c>
      <c r="G6069" s="19" t="n">
        <v>0.049954</v>
      </c>
    </row>
    <row r="6070" customFormat="false" ht="15" hidden="false" customHeight="false" outlineLevel="0" collapsed="false">
      <c r="A6070" s="28" t="s">
        <v>212</v>
      </c>
      <c r="B6070" s="28" t="s">
        <v>213</v>
      </c>
      <c r="C6070" s="28" t="s">
        <v>209</v>
      </c>
      <c r="D6070" s="23" t="n">
        <v>18</v>
      </c>
      <c r="E6070" s="23" t="n">
        <v>8</v>
      </c>
      <c r="F6070" s="28" t="s">
        <v>908</v>
      </c>
      <c r="G6070" s="19" t="n">
        <v>0.051759</v>
      </c>
    </row>
    <row r="6071" customFormat="false" ht="15" hidden="false" customHeight="false" outlineLevel="0" collapsed="false">
      <c r="A6071" s="28" t="s">
        <v>212</v>
      </c>
      <c r="B6071" s="28" t="s">
        <v>213</v>
      </c>
      <c r="C6071" s="28" t="s">
        <v>209</v>
      </c>
      <c r="D6071" s="23" t="n">
        <v>18</v>
      </c>
      <c r="E6071" s="23" t="n">
        <v>8</v>
      </c>
      <c r="F6071" s="28" t="s">
        <v>909</v>
      </c>
      <c r="G6071" s="19" t="n">
        <v>0.052064</v>
      </c>
    </row>
    <row r="6072" customFormat="false" ht="15" hidden="false" customHeight="false" outlineLevel="0" collapsed="false">
      <c r="A6072" s="28" t="s">
        <v>212</v>
      </c>
      <c r="B6072" s="28" t="s">
        <v>213</v>
      </c>
      <c r="C6072" s="28" t="s">
        <v>209</v>
      </c>
      <c r="D6072" s="23" t="n">
        <v>18</v>
      </c>
      <c r="E6072" s="23" t="n">
        <v>8</v>
      </c>
      <c r="F6072" s="28" t="s">
        <v>910</v>
      </c>
      <c r="G6072" s="19" t="n">
        <v>0.052874</v>
      </c>
    </row>
    <row r="6073" customFormat="false" ht="15" hidden="false" customHeight="false" outlineLevel="0" collapsed="false">
      <c r="A6073" s="28" t="s">
        <v>212</v>
      </c>
      <c r="B6073" s="28" t="s">
        <v>213</v>
      </c>
      <c r="C6073" s="28" t="s">
        <v>209</v>
      </c>
      <c r="D6073" s="23" t="n">
        <v>18</v>
      </c>
      <c r="E6073" s="23" t="n">
        <v>8</v>
      </c>
      <c r="F6073" s="28" t="s">
        <v>911</v>
      </c>
      <c r="G6073" s="19" t="n">
        <v>0.054385</v>
      </c>
    </row>
    <row r="6074" customFormat="false" ht="15" hidden="false" customHeight="false" outlineLevel="0" collapsed="false">
      <c r="A6074" s="28" t="s">
        <v>212</v>
      </c>
      <c r="B6074" s="28" t="s">
        <v>213</v>
      </c>
      <c r="C6074" s="28" t="s">
        <v>209</v>
      </c>
      <c r="D6074" s="23" t="n">
        <v>18</v>
      </c>
      <c r="E6074" s="23" t="n">
        <v>8</v>
      </c>
      <c r="F6074" s="28" t="s">
        <v>912</v>
      </c>
      <c r="G6074" s="19" t="n">
        <v>0.0564</v>
      </c>
    </row>
    <row r="6075" customFormat="false" ht="15" hidden="false" customHeight="false" outlineLevel="0" collapsed="false">
      <c r="A6075" s="28" t="s">
        <v>212</v>
      </c>
      <c r="B6075" s="28" t="s">
        <v>213</v>
      </c>
      <c r="C6075" s="28" t="s">
        <v>209</v>
      </c>
      <c r="D6075" s="23" t="n">
        <v>18</v>
      </c>
      <c r="E6075" s="23" t="n">
        <v>8</v>
      </c>
      <c r="F6075" s="28" t="s">
        <v>913</v>
      </c>
      <c r="G6075" s="19" t="n">
        <v>0.0613</v>
      </c>
    </row>
    <row r="6076" customFormat="false" ht="15" hidden="false" customHeight="false" outlineLevel="0" collapsed="false">
      <c r="A6076" s="28" t="s">
        <v>212</v>
      </c>
      <c r="B6076" s="28" t="s">
        <v>213</v>
      </c>
      <c r="C6076" s="28" t="s">
        <v>209</v>
      </c>
      <c r="D6076" s="23" t="n">
        <v>18</v>
      </c>
      <c r="E6076" s="23" t="n">
        <v>8</v>
      </c>
      <c r="F6076" s="28" t="s">
        <v>914</v>
      </c>
      <c r="G6076" s="19" t="n">
        <v>0.0611</v>
      </c>
    </row>
    <row r="6077" customFormat="false" ht="15" hidden="false" customHeight="false" outlineLevel="0" collapsed="false">
      <c r="A6077" s="28" t="s">
        <v>212</v>
      </c>
      <c r="B6077" s="28" t="s">
        <v>213</v>
      </c>
      <c r="C6077" s="28" t="s">
        <v>209</v>
      </c>
      <c r="D6077" s="23" t="n">
        <v>18</v>
      </c>
      <c r="E6077" s="23" t="n">
        <v>8</v>
      </c>
      <c r="F6077" s="28" t="s">
        <v>915</v>
      </c>
      <c r="G6077" s="19" t="n">
        <v>0.0769</v>
      </c>
    </row>
    <row r="6078" customFormat="false" ht="15" hidden="false" customHeight="false" outlineLevel="0" collapsed="false">
      <c r="A6078" s="28" t="s">
        <v>212</v>
      </c>
      <c r="B6078" s="28" t="s">
        <v>213</v>
      </c>
      <c r="C6078" s="28" t="s">
        <v>209</v>
      </c>
      <c r="D6078" s="23" t="n">
        <v>18</v>
      </c>
      <c r="E6078" s="23" t="n">
        <v>9</v>
      </c>
      <c r="F6078" s="28" t="s">
        <v>904</v>
      </c>
      <c r="G6078" s="19" t="n">
        <v>0.04755</v>
      </c>
    </row>
    <row r="6079" customFormat="false" ht="15" hidden="false" customHeight="false" outlineLevel="0" collapsed="false">
      <c r="A6079" s="28" t="s">
        <v>212</v>
      </c>
      <c r="B6079" s="28" t="s">
        <v>213</v>
      </c>
      <c r="C6079" s="28" t="s">
        <v>209</v>
      </c>
      <c r="D6079" s="23" t="n">
        <v>18</v>
      </c>
      <c r="E6079" s="23" t="n">
        <v>9</v>
      </c>
      <c r="F6079" s="28" t="s">
        <v>551</v>
      </c>
      <c r="G6079" s="19" t="n">
        <v>0.07875</v>
      </c>
    </row>
    <row r="6080" customFormat="false" ht="15" hidden="false" customHeight="false" outlineLevel="0" collapsed="false">
      <c r="A6080" s="28" t="s">
        <v>212</v>
      </c>
      <c r="B6080" s="28" t="s">
        <v>213</v>
      </c>
      <c r="C6080" s="28" t="s">
        <v>209</v>
      </c>
      <c r="D6080" s="23" t="n">
        <v>18</v>
      </c>
      <c r="E6080" s="23" t="n">
        <v>9</v>
      </c>
      <c r="F6080" s="28" t="s">
        <v>451</v>
      </c>
      <c r="G6080" s="19" t="n">
        <v>0.04735</v>
      </c>
    </row>
    <row r="6081" customFormat="false" ht="15" hidden="false" customHeight="false" outlineLevel="0" collapsed="false">
      <c r="A6081" s="28" t="s">
        <v>212</v>
      </c>
      <c r="B6081" s="28" t="s">
        <v>213</v>
      </c>
      <c r="C6081" s="28" t="s">
        <v>209</v>
      </c>
      <c r="D6081" s="23" t="n">
        <v>18</v>
      </c>
      <c r="E6081" s="23" t="n">
        <v>9</v>
      </c>
      <c r="F6081" s="28" t="s">
        <v>905</v>
      </c>
      <c r="G6081" s="19" t="n">
        <v>0.04995</v>
      </c>
    </row>
    <row r="6082" customFormat="false" ht="15" hidden="false" customHeight="false" outlineLevel="0" collapsed="false">
      <c r="A6082" s="28" t="s">
        <v>212</v>
      </c>
      <c r="B6082" s="28" t="s">
        <v>213</v>
      </c>
      <c r="C6082" s="28" t="s">
        <v>209</v>
      </c>
      <c r="D6082" s="23" t="n">
        <v>18</v>
      </c>
      <c r="E6082" s="23" t="n">
        <v>9</v>
      </c>
      <c r="F6082" s="28" t="s">
        <v>906</v>
      </c>
      <c r="G6082" s="19" t="n">
        <v>0.051408</v>
      </c>
    </row>
    <row r="6083" customFormat="false" ht="15" hidden="false" customHeight="false" outlineLevel="0" collapsed="false">
      <c r="A6083" s="28" t="s">
        <v>212</v>
      </c>
      <c r="B6083" s="28" t="s">
        <v>213</v>
      </c>
      <c r="C6083" s="28" t="s">
        <v>209</v>
      </c>
      <c r="D6083" s="23" t="n">
        <v>18</v>
      </c>
      <c r="E6083" s="23" t="n">
        <v>9</v>
      </c>
      <c r="F6083" s="28" t="s">
        <v>907</v>
      </c>
      <c r="G6083" s="19" t="n">
        <v>0.051223</v>
      </c>
    </row>
    <row r="6084" customFormat="false" ht="15" hidden="false" customHeight="false" outlineLevel="0" collapsed="false">
      <c r="A6084" s="28" t="s">
        <v>212</v>
      </c>
      <c r="B6084" s="28" t="s">
        <v>213</v>
      </c>
      <c r="C6084" s="28" t="s">
        <v>209</v>
      </c>
      <c r="D6084" s="23" t="n">
        <v>18</v>
      </c>
      <c r="E6084" s="23" t="n">
        <v>9</v>
      </c>
      <c r="F6084" s="28" t="s">
        <v>908</v>
      </c>
      <c r="G6084" s="19" t="n">
        <v>0.053054</v>
      </c>
    </row>
    <row r="6085" customFormat="false" ht="15" hidden="false" customHeight="false" outlineLevel="0" collapsed="false">
      <c r="A6085" s="28" t="s">
        <v>212</v>
      </c>
      <c r="B6085" s="28" t="s">
        <v>213</v>
      </c>
      <c r="C6085" s="28" t="s">
        <v>209</v>
      </c>
      <c r="D6085" s="23" t="n">
        <v>18</v>
      </c>
      <c r="E6085" s="23" t="n">
        <v>9</v>
      </c>
      <c r="F6085" s="28" t="s">
        <v>909</v>
      </c>
      <c r="G6085" s="19" t="n">
        <v>0.053385</v>
      </c>
    </row>
    <row r="6086" customFormat="false" ht="15" hidden="false" customHeight="false" outlineLevel="0" collapsed="false">
      <c r="A6086" s="28" t="s">
        <v>212</v>
      </c>
      <c r="B6086" s="28" t="s">
        <v>213</v>
      </c>
      <c r="C6086" s="28" t="s">
        <v>209</v>
      </c>
      <c r="D6086" s="23" t="n">
        <v>18</v>
      </c>
      <c r="E6086" s="23" t="n">
        <v>9</v>
      </c>
      <c r="F6086" s="28" t="s">
        <v>910</v>
      </c>
      <c r="G6086" s="19" t="n">
        <v>0.054246</v>
      </c>
    </row>
    <row r="6087" customFormat="false" ht="15" hidden="false" customHeight="false" outlineLevel="0" collapsed="false">
      <c r="A6087" s="28" t="s">
        <v>212</v>
      </c>
      <c r="B6087" s="28" t="s">
        <v>213</v>
      </c>
      <c r="C6087" s="28" t="s">
        <v>209</v>
      </c>
      <c r="D6087" s="23" t="n">
        <v>18</v>
      </c>
      <c r="E6087" s="23" t="n">
        <v>9</v>
      </c>
      <c r="F6087" s="28" t="s">
        <v>911</v>
      </c>
      <c r="G6087" s="19" t="n">
        <v>0.055808</v>
      </c>
    </row>
    <row r="6088" customFormat="false" ht="15" hidden="false" customHeight="false" outlineLevel="0" collapsed="false">
      <c r="A6088" s="28" t="s">
        <v>212</v>
      </c>
      <c r="B6088" s="28" t="s">
        <v>213</v>
      </c>
      <c r="C6088" s="28" t="s">
        <v>209</v>
      </c>
      <c r="D6088" s="23" t="n">
        <v>18</v>
      </c>
      <c r="E6088" s="23" t="n">
        <v>9</v>
      </c>
      <c r="F6088" s="28" t="s">
        <v>912</v>
      </c>
      <c r="G6088" s="19" t="n">
        <v>0.0579</v>
      </c>
    </row>
    <row r="6089" customFormat="false" ht="15" hidden="false" customHeight="false" outlineLevel="0" collapsed="false">
      <c r="A6089" s="28" t="s">
        <v>212</v>
      </c>
      <c r="B6089" s="28" t="s">
        <v>213</v>
      </c>
      <c r="C6089" s="28" t="s">
        <v>209</v>
      </c>
      <c r="D6089" s="23" t="n">
        <v>18</v>
      </c>
      <c r="E6089" s="23" t="n">
        <v>9</v>
      </c>
      <c r="F6089" s="28" t="s">
        <v>913</v>
      </c>
      <c r="G6089" s="19" t="n">
        <v>0.0628</v>
      </c>
    </row>
    <row r="6090" customFormat="false" ht="15" hidden="false" customHeight="false" outlineLevel="0" collapsed="false">
      <c r="A6090" s="28" t="s">
        <v>212</v>
      </c>
      <c r="B6090" s="28" t="s">
        <v>213</v>
      </c>
      <c r="C6090" s="28" t="s">
        <v>209</v>
      </c>
      <c r="D6090" s="23" t="n">
        <v>18</v>
      </c>
      <c r="E6090" s="23" t="n">
        <v>9</v>
      </c>
      <c r="F6090" s="28" t="s">
        <v>914</v>
      </c>
      <c r="G6090" s="19" t="n">
        <v>0.0626</v>
      </c>
    </row>
    <row r="6091" customFormat="false" ht="15" hidden="false" customHeight="false" outlineLevel="0" collapsed="false">
      <c r="A6091" s="28" t="s">
        <v>212</v>
      </c>
      <c r="B6091" s="28" t="s">
        <v>213</v>
      </c>
      <c r="C6091" s="28" t="s">
        <v>209</v>
      </c>
      <c r="D6091" s="23" t="n">
        <v>18</v>
      </c>
      <c r="E6091" s="23" t="n">
        <v>9</v>
      </c>
      <c r="F6091" s="28" t="s">
        <v>915</v>
      </c>
      <c r="G6091" s="19" t="n">
        <v>0.0784</v>
      </c>
    </row>
    <row r="6092" customFormat="false" ht="15" hidden="false" customHeight="false" outlineLevel="0" collapsed="false">
      <c r="A6092" s="28" t="s">
        <v>212</v>
      </c>
      <c r="B6092" s="28" t="s">
        <v>213</v>
      </c>
      <c r="C6092" s="28" t="s">
        <v>209</v>
      </c>
      <c r="D6092" s="23" t="n">
        <v>18</v>
      </c>
      <c r="E6092" s="23" t="n">
        <v>10</v>
      </c>
      <c r="F6092" s="28" t="s">
        <v>904</v>
      </c>
      <c r="G6092" s="19" t="n">
        <v>0.0488</v>
      </c>
    </row>
    <row r="6093" customFormat="false" ht="15" hidden="false" customHeight="false" outlineLevel="0" collapsed="false">
      <c r="A6093" s="28" t="s">
        <v>212</v>
      </c>
      <c r="B6093" s="28" t="s">
        <v>213</v>
      </c>
      <c r="C6093" s="28" t="s">
        <v>209</v>
      </c>
      <c r="D6093" s="23" t="n">
        <v>18</v>
      </c>
      <c r="E6093" s="23" t="n">
        <v>10</v>
      </c>
      <c r="F6093" s="28" t="s">
        <v>551</v>
      </c>
      <c r="G6093" s="19" t="n">
        <v>0.08</v>
      </c>
    </row>
    <row r="6094" customFormat="false" ht="15" hidden="false" customHeight="false" outlineLevel="0" collapsed="false">
      <c r="A6094" s="28" t="s">
        <v>212</v>
      </c>
      <c r="B6094" s="28" t="s">
        <v>213</v>
      </c>
      <c r="C6094" s="28" t="s">
        <v>209</v>
      </c>
      <c r="D6094" s="23" t="n">
        <v>18</v>
      </c>
      <c r="E6094" s="23" t="n">
        <v>10</v>
      </c>
      <c r="F6094" s="28" t="s">
        <v>451</v>
      </c>
      <c r="G6094" s="19" t="n">
        <v>0.0486</v>
      </c>
    </row>
    <row r="6095" customFormat="false" ht="15" hidden="false" customHeight="false" outlineLevel="0" collapsed="false">
      <c r="A6095" s="28" t="s">
        <v>212</v>
      </c>
      <c r="B6095" s="28" t="s">
        <v>213</v>
      </c>
      <c r="C6095" s="28" t="s">
        <v>209</v>
      </c>
      <c r="D6095" s="23" t="n">
        <v>18</v>
      </c>
      <c r="E6095" s="23" t="n">
        <v>10</v>
      </c>
      <c r="F6095" s="28" t="s">
        <v>905</v>
      </c>
      <c r="G6095" s="19" t="n">
        <v>0.0512</v>
      </c>
    </row>
    <row r="6096" customFormat="false" ht="15" hidden="false" customHeight="false" outlineLevel="0" collapsed="false">
      <c r="A6096" s="28" t="s">
        <v>212</v>
      </c>
      <c r="B6096" s="28" t="s">
        <v>213</v>
      </c>
      <c r="C6096" s="28" t="s">
        <v>209</v>
      </c>
      <c r="D6096" s="23" t="n">
        <v>18</v>
      </c>
      <c r="E6096" s="23" t="n">
        <v>10</v>
      </c>
      <c r="F6096" s="28" t="s">
        <v>906</v>
      </c>
      <c r="G6096" s="19" t="n">
        <v>0.052664</v>
      </c>
    </row>
    <row r="6097" customFormat="false" ht="15" hidden="false" customHeight="false" outlineLevel="0" collapsed="false">
      <c r="A6097" s="28" t="s">
        <v>212</v>
      </c>
      <c r="B6097" s="28" t="s">
        <v>213</v>
      </c>
      <c r="C6097" s="28" t="s">
        <v>209</v>
      </c>
      <c r="D6097" s="23" t="n">
        <v>18</v>
      </c>
      <c r="E6097" s="23" t="n">
        <v>10</v>
      </c>
      <c r="F6097" s="28" t="s">
        <v>907</v>
      </c>
      <c r="G6097" s="19" t="n">
        <v>0.052492</v>
      </c>
    </row>
    <row r="6098" customFormat="false" ht="15" hidden="false" customHeight="false" outlineLevel="0" collapsed="false">
      <c r="A6098" s="28" t="s">
        <v>212</v>
      </c>
      <c r="B6098" s="28" t="s">
        <v>213</v>
      </c>
      <c r="C6098" s="28" t="s">
        <v>209</v>
      </c>
      <c r="D6098" s="23" t="n">
        <v>18</v>
      </c>
      <c r="E6098" s="23" t="n">
        <v>10</v>
      </c>
      <c r="F6098" s="28" t="s">
        <v>908</v>
      </c>
      <c r="G6098" s="19" t="n">
        <v>0.054349</v>
      </c>
    </row>
    <row r="6099" customFormat="false" ht="15" hidden="false" customHeight="false" outlineLevel="0" collapsed="false">
      <c r="A6099" s="28" t="s">
        <v>212</v>
      </c>
      <c r="B6099" s="28" t="s">
        <v>213</v>
      </c>
      <c r="C6099" s="28" t="s">
        <v>209</v>
      </c>
      <c r="D6099" s="23" t="n">
        <v>18</v>
      </c>
      <c r="E6099" s="23" t="n">
        <v>10</v>
      </c>
      <c r="F6099" s="28" t="s">
        <v>909</v>
      </c>
      <c r="G6099" s="19" t="n">
        <v>0.054705</v>
      </c>
    </row>
    <row r="6100" customFormat="false" ht="15" hidden="false" customHeight="false" outlineLevel="0" collapsed="false">
      <c r="A6100" s="28" t="s">
        <v>212</v>
      </c>
      <c r="B6100" s="28" t="s">
        <v>213</v>
      </c>
      <c r="C6100" s="28" t="s">
        <v>209</v>
      </c>
      <c r="D6100" s="23" t="n">
        <v>18</v>
      </c>
      <c r="E6100" s="23" t="n">
        <v>10</v>
      </c>
      <c r="F6100" s="28" t="s">
        <v>910</v>
      </c>
      <c r="G6100" s="19" t="n">
        <v>0.055618</v>
      </c>
    </row>
    <row r="6101" customFormat="false" ht="15" hidden="false" customHeight="false" outlineLevel="0" collapsed="false">
      <c r="A6101" s="28" t="s">
        <v>212</v>
      </c>
      <c r="B6101" s="28" t="s">
        <v>213</v>
      </c>
      <c r="C6101" s="28" t="s">
        <v>209</v>
      </c>
      <c r="D6101" s="23" t="n">
        <v>18</v>
      </c>
      <c r="E6101" s="23" t="n">
        <v>10</v>
      </c>
      <c r="F6101" s="28" t="s">
        <v>911</v>
      </c>
      <c r="G6101" s="19" t="n">
        <v>0.057231</v>
      </c>
    </row>
    <row r="6102" customFormat="false" ht="15" hidden="false" customHeight="false" outlineLevel="0" collapsed="false">
      <c r="A6102" s="28" t="s">
        <v>212</v>
      </c>
      <c r="B6102" s="28" t="s">
        <v>213</v>
      </c>
      <c r="C6102" s="28" t="s">
        <v>209</v>
      </c>
      <c r="D6102" s="23" t="n">
        <v>18</v>
      </c>
      <c r="E6102" s="23" t="n">
        <v>10</v>
      </c>
      <c r="F6102" s="28" t="s">
        <v>912</v>
      </c>
      <c r="G6102" s="19" t="n">
        <v>0.0594</v>
      </c>
    </row>
    <row r="6103" customFormat="false" ht="15" hidden="false" customHeight="false" outlineLevel="0" collapsed="false">
      <c r="A6103" s="28" t="s">
        <v>212</v>
      </c>
      <c r="B6103" s="28" t="s">
        <v>213</v>
      </c>
      <c r="C6103" s="28" t="s">
        <v>209</v>
      </c>
      <c r="D6103" s="23" t="n">
        <v>18</v>
      </c>
      <c r="E6103" s="23" t="n">
        <v>10</v>
      </c>
      <c r="F6103" s="28" t="s">
        <v>913</v>
      </c>
      <c r="G6103" s="19" t="n">
        <v>0.0643</v>
      </c>
    </row>
    <row r="6104" customFormat="false" ht="15" hidden="false" customHeight="false" outlineLevel="0" collapsed="false">
      <c r="A6104" s="28" t="s">
        <v>212</v>
      </c>
      <c r="B6104" s="28" t="s">
        <v>213</v>
      </c>
      <c r="C6104" s="28" t="s">
        <v>209</v>
      </c>
      <c r="D6104" s="23" t="n">
        <v>18</v>
      </c>
      <c r="E6104" s="23" t="n">
        <v>10</v>
      </c>
      <c r="F6104" s="28" t="s">
        <v>914</v>
      </c>
      <c r="G6104" s="19" t="n">
        <v>0.0641</v>
      </c>
    </row>
    <row r="6105" customFormat="false" ht="15" hidden="false" customHeight="false" outlineLevel="0" collapsed="false">
      <c r="A6105" s="28" t="s">
        <v>212</v>
      </c>
      <c r="B6105" s="28" t="s">
        <v>213</v>
      </c>
      <c r="C6105" s="28" t="s">
        <v>209</v>
      </c>
      <c r="D6105" s="23" t="n">
        <v>18</v>
      </c>
      <c r="E6105" s="23" t="n">
        <v>10</v>
      </c>
      <c r="F6105" s="28" t="s">
        <v>915</v>
      </c>
      <c r="G6105" s="19" t="n">
        <v>0.0799</v>
      </c>
    </row>
    <row r="6106" customFormat="false" ht="15" hidden="false" customHeight="false" outlineLevel="0" collapsed="false">
      <c r="A6106" s="28" t="s">
        <v>212</v>
      </c>
      <c r="B6106" s="28" t="s">
        <v>213</v>
      </c>
      <c r="C6106" s="28" t="s">
        <v>209</v>
      </c>
      <c r="D6106" s="23" t="n">
        <v>18</v>
      </c>
      <c r="E6106" s="23" t="n">
        <v>11</v>
      </c>
      <c r="F6106" s="28" t="s">
        <v>904</v>
      </c>
      <c r="G6106" s="19" t="n">
        <v>0.05005</v>
      </c>
    </row>
    <row r="6107" customFormat="false" ht="15" hidden="false" customHeight="false" outlineLevel="0" collapsed="false">
      <c r="A6107" s="28" t="s">
        <v>212</v>
      </c>
      <c r="B6107" s="28" t="s">
        <v>213</v>
      </c>
      <c r="C6107" s="28" t="s">
        <v>209</v>
      </c>
      <c r="D6107" s="23" t="n">
        <v>18</v>
      </c>
      <c r="E6107" s="23" t="n">
        <v>11</v>
      </c>
      <c r="F6107" s="28" t="s">
        <v>551</v>
      </c>
      <c r="G6107" s="19" t="n">
        <v>0.08125</v>
      </c>
    </row>
    <row r="6108" customFormat="false" ht="15" hidden="false" customHeight="false" outlineLevel="0" collapsed="false">
      <c r="A6108" s="28" t="s">
        <v>212</v>
      </c>
      <c r="B6108" s="28" t="s">
        <v>213</v>
      </c>
      <c r="C6108" s="28" t="s">
        <v>209</v>
      </c>
      <c r="D6108" s="23" t="n">
        <v>18</v>
      </c>
      <c r="E6108" s="23" t="n">
        <v>11</v>
      </c>
      <c r="F6108" s="28" t="s">
        <v>451</v>
      </c>
      <c r="G6108" s="19" t="n">
        <v>0.04985</v>
      </c>
    </row>
    <row r="6109" customFormat="false" ht="15" hidden="false" customHeight="false" outlineLevel="0" collapsed="false">
      <c r="A6109" s="28" t="s">
        <v>212</v>
      </c>
      <c r="B6109" s="28" t="s">
        <v>213</v>
      </c>
      <c r="C6109" s="28" t="s">
        <v>209</v>
      </c>
      <c r="D6109" s="23" t="n">
        <v>18</v>
      </c>
      <c r="E6109" s="23" t="n">
        <v>11</v>
      </c>
      <c r="F6109" s="28" t="s">
        <v>905</v>
      </c>
      <c r="G6109" s="19" t="n">
        <v>0.05245</v>
      </c>
    </row>
    <row r="6110" customFormat="false" ht="15" hidden="false" customHeight="false" outlineLevel="0" collapsed="false">
      <c r="A6110" s="28" t="s">
        <v>212</v>
      </c>
      <c r="B6110" s="28" t="s">
        <v>213</v>
      </c>
      <c r="C6110" s="28" t="s">
        <v>209</v>
      </c>
      <c r="D6110" s="23" t="n">
        <v>18</v>
      </c>
      <c r="E6110" s="23" t="n">
        <v>11</v>
      </c>
      <c r="F6110" s="28" t="s">
        <v>906</v>
      </c>
      <c r="G6110" s="19" t="n">
        <v>0.053921</v>
      </c>
    </row>
    <row r="6111" customFormat="false" ht="15" hidden="false" customHeight="false" outlineLevel="0" collapsed="false">
      <c r="A6111" s="28" t="s">
        <v>212</v>
      </c>
      <c r="B6111" s="28" t="s">
        <v>213</v>
      </c>
      <c r="C6111" s="28" t="s">
        <v>209</v>
      </c>
      <c r="D6111" s="23" t="n">
        <v>18</v>
      </c>
      <c r="E6111" s="23" t="n">
        <v>11</v>
      </c>
      <c r="F6111" s="28" t="s">
        <v>907</v>
      </c>
      <c r="G6111" s="19" t="n">
        <v>0.053762</v>
      </c>
    </row>
    <row r="6112" customFormat="false" ht="15" hidden="false" customHeight="false" outlineLevel="0" collapsed="false">
      <c r="A6112" s="28" t="s">
        <v>212</v>
      </c>
      <c r="B6112" s="28" t="s">
        <v>213</v>
      </c>
      <c r="C6112" s="28" t="s">
        <v>209</v>
      </c>
      <c r="D6112" s="23" t="n">
        <v>18</v>
      </c>
      <c r="E6112" s="23" t="n">
        <v>11</v>
      </c>
      <c r="F6112" s="28" t="s">
        <v>908</v>
      </c>
      <c r="G6112" s="19" t="n">
        <v>0.055644</v>
      </c>
    </row>
    <row r="6113" customFormat="false" ht="15" hidden="false" customHeight="false" outlineLevel="0" collapsed="false">
      <c r="A6113" s="28" t="s">
        <v>212</v>
      </c>
      <c r="B6113" s="28" t="s">
        <v>213</v>
      </c>
      <c r="C6113" s="28" t="s">
        <v>209</v>
      </c>
      <c r="D6113" s="23" t="n">
        <v>18</v>
      </c>
      <c r="E6113" s="23" t="n">
        <v>11</v>
      </c>
      <c r="F6113" s="28" t="s">
        <v>909</v>
      </c>
      <c r="G6113" s="19" t="n">
        <v>0.056026</v>
      </c>
    </row>
    <row r="6114" customFormat="false" ht="15" hidden="false" customHeight="false" outlineLevel="0" collapsed="false">
      <c r="A6114" s="28" t="s">
        <v>212</v>
      </c>
      <c r="B6114" s="28" t="s">
        <v>213</v>
      </c>
      <c r="C6114" s="28" t="s">
        <v>209</v>
      </c>
      <c r="D6114" s="23" t="n">
        <v>18</v>
      </c>
      <c r="E6114" s="23" t="n">
        <v>11</v>
      </c>
      <c r="F6114" s="28" t="s">
        <v>910</v>
      </c>
      <c r="G6114" s="19" t="n">
        <v>0.05699</v>
      </c>
    </row>
    <row r="6115" customFormat="false" ht="15" hidden="false" customHeight="false" outlineLevel="0" collapsed="false">
      <c r="A6115" s="28" t="s">
        <v>212</v>
      </c>
      <c r="B6115" s="28" t="s">
        <v>213</v>
      </c>
      <c r="C6115" s="28" t="s">
        <v>209</v>
      </c>
      <c r="D6115" s="23" t="n">
        <v>18</v>
      </c>
      <c r="E6115" s="23" t="n">
        <v>11</v>
      </c>
      <c r="F6115" s="28" t="s">
        <v>911</v>
      </c>
      <c r="G6115" s="19" t="n">
        <v>0.058654</v>
      </c>
    </row>
    <row r="6116" customFormat="false" ht="15" hidden="false" customHeight="false" outlineLevel="0" collapsed="false">
      <c r="A6116" s="28" t="s">
        <v>212</v>
      </c>
      <c r="B6116" s="28" t="s">
        <v>213</v>
      </c>
      <c r="C6116" s="28" t="s">
        <v>209</v>
      </c>
      <c r="D6116" s="23" t="n">
        <v>18</v>
      </c>
      <c r="E6116" s="23" t="n">
        <v>11</v>
      </c>
      <c r="F6116" s="28" t="s">
        <v>912</v>
      </c>
      <c r="G6116" s="19" t="n">
        <v>0.0609</v>
      </c>
    </row>
    <row r="6117" customFormat="false" ht="15" hidden="false" customHeight="false" outlineLevel="0" collapsed="false">
      <c r="A6117" s="28" t="s">
        <v>212</v>
      </c>
      <c r="B6117" s="28" t="s">
        <v>213</v>
      </c>
      <c r="C6117" s="28" t="s">
        <v>209</v>
      </c>
      <c r="D6117" s="23" t="n">
        <v>18</v>
      </c>
      <c r="E6117" s="23" t="n">
        <v>11</v>
      </c>
      <c r="F6117" s="28" t="s">
        <v>913</v>
      </c>
      <c r="G6117" s="19" t="n">
        <v>0.0658</v>
      </c>
    </row>
    <row r="6118" customFormat="false" ht="15" hidden="false" customHeight="false" outlineLevel="0" collapsed="false">
      <c r="A6118" s="28" t="s">
        <v>212</v>
      </c>
      <c r="B6118" s="28" t="s">
        <v>213</v>
      </c>
      <c r="C6118" s="28" t="s">
        <v>209</v>
      </c>
      <c r="D6118" s="23" t="n">
        <v>18</v>
      </c>
      <c r="E6118" s="23" t="n">
        <v>11</v>
      </c>
      <c r="F6118" s="28" t="s">
        <v>914</v>
      </c>
      <c r="G6118" s="19" t="n">
        <v>0.0656</v>
      </c>
    </row>
    <row r="6119" customFormat="false" ht="15" hidden="false" customHeight="false" outlineLevel="0" collapsed="false">
      <c r="A6119" s="28" t="s">
        <v>212</v>
      </c>
      <c r="B6119" s="28" t="s">
        <v>213</v>
      </c>
      <c r="C6119" s="28" t="s">
        <v>209</v>
      </c>
      <c r="D6119" s="23" t="n">
        <v>18</v>
      </c>
      <c r="E6119" s="23" t="n">
        <v>11</v>
      </c>
      <c r="F6119" s="28" t="s">
        <v>915</v>
      </c>
      <c r="G6119" s="19" t="n">
        <v>0.0814</v>
      </c>
    </row>
    <row r="6120" customFormat="false" ht="15" hidden="false" customHeight="false" outlineLevel="0" collapsed="false">
      <c r="A6120" s="28" t="s">
        <v>212</v>
      </c>
      <c r="B6120" s="28" t="s">
        <v>213</v>
      </c>
      <c r="C6120" s="28" t="s">
        <v>209</v>
      </c>
      <c r="D6120" s="23" t="n">
        <v>18</v>
      </c>
      <c r="E6120" s="23" t="n">
        <v>12</v>
      </c>
      <c r="F6120" s="28" t="s">
        <v>904</v>
      </c>
      <c r="G6120" s="19" t="n">
        <v>0.0513</v>
      </c>
    </row>
    <row r="6121" customFormat="false" ht="15" hidden="false" customHeight="false" outlineLevel="0" collapsed="false">
      <c r="A6121" s="28" t="s">
        <v>212</v>
      </c>
      <c r="B6121" s="28" t="s">
        <v>213</v>
      </c>
      <c r="C6121" s="28" t="s">
        <v>209</v>
      </c>
      <c r="D6121" s="23" t="n">
        <v>18</v>
      </c>
      <c r="E6121" s="23" t="n">
        <v>12</v>
      </c>
      <c r="F6121" s="28" t="s">
        <v>551</v>
      </c>
      <c r="G6121" s="19" t="n">
        <v>0.0825</v>
      </c>
    </row>
    <row r="6122" customFormat="false" ht="15" hidden="false" customHeight="false" outlineLevel="0" collapsed="false">
      <c r="A6122" s="28" t="s">
        <v>212</v>
      </c>
      <c r="B6122" s="28" t="s">
        <v>213</v>
      </c>
      <c r="C6122" s="28" t="s">
        <v>209</v>
      </c>
      <c r="D6122" s="23" t="n">
        <v>18</v>
      </c>
      <c r="E6122" s="23" t="n">
        <v>12</v>
      </c>
      <c r="F6122" s="28" t="s">
        <v>451</v>
      </c>
      <c r="G6122" s="19" t="n">
        <v>0.0511</v>
      </c>
    </row>
    <row r="6123" customFormat="false" ht="15" hidden="false" customHeight="false" outlineLevel="0" collapsed="false">
      <c r="A6123" s="28" t="s">
        <v>212</v>
      </c>
      <c r="B6123" s="28" t="s">
        <v>213</v>
      </c>
      <c r="C6123" s="28" t="s">
        <v>209</v>
      </c>
      <c r="D6123" s="23" t="n">
        <v>18</v>
      </c>
      <c r="E6123" s="23" t="n">
        <v>12</v>
      </c>
      <c r="F6123" s="28" t="s">
        <v>905</v>
      </c>
      <c r="G6123" s="19" t="n">
        <v>0.0537</v>
      </c>
    </row>
    <row r="6124" customFormat="false" ht="15" hidden="false" customHeight="false" outlineLevel="0" collapsed="false">
      <c r="A6124" s="28" t="s">
        <v>212</v>
      </c>
      <c r="B6124" s="28" t="s">
        <v>213</v>
      </c>
      <c r="C6124" s="28" t="s">
        <v>209</v>
      </c>
      <c r="D6124" s="23" t="n">
        <v>18</v>
      </c>
      <c r="E6124" s="23" t="n">
        <v>12</v>
      </c>
      <c r="F6124" s="28" t="s">
        <v>906</v>
      </c>
      <c r="G6124" s="19" t="n">
        <v>0.055177</v>
      </c>
    </row>
    <row r="6125" customFormat="false" ht="15" hidden="false" customHeight="false" outlineLevel="0" collapsed="false">
      <c r="A6125" s="28" t="s">
        <v>212</v>
      </c>
      <c r="B6125" s="28" t="s">
        <v>213</v>
      </c>
      <c r="C6125" s="28" t="s">
        <v>209</v>
      </c>
      <c r="D6125" s="23" t="n">
        <v>18</v>
      </c>
      <c r="E6125" s="23" t="n">
        <v>12</v>
      </c>
      <c r="F6125" s="28" t="s">
        <v>907</v>
      </c>
      <c r="G6125" s="19" t="n">
        <v>0.055031</v>
      </c>
    </row>
    <row r="6126" customFormat="false" ht="15" hidden="false" customHeight="false" outlineLevel="0" collapsed="false">
      <c r="A6126" s="28" t="s">
        <v>212</v>
      </c>
      <c r="B6126" s="28" t="s">
        <v>213</v>
      </c>
      <c r="C6126" s="28" t="s">
        <v>209</v>
      </c>
      <c r="D6126" s="23" t="n">
        <v>18</v>
      </c>
      <c r="E6126" s="23" t="n">
        <v>12</v>
      </c>
      <c r="F6126" s="28" t="s">
        <v>908</v>
      </c>
      <c r="G6126" s="19" t="n">
        <v>0.056938</v>
      </c>
    </row>
    <row r="6127" customFormat="false" ht="15" hidden="false" customHeight="false" outlineLevel="0" collapsed="false">
      <c r="A6127" s="28" t="s">
        <v>212</v>
      </c>
      <c r="B6127" s="28" t="s">
        <v>213</v>
      </c>
      <c r="C6127" s="28" t="s">
        <v>209</v>
      </c>
      <c r="D6127" s="23" t="n">
        <v>18</v>
      </c>
      <c r="E6127" s="23" t="n">
        <v>12</v>
      </c>
      <c r="F6127" s="28" t="s">
        <v>909</v>
      </c>
      <c r="G6127" s="19" t="n">
        <v>0.057346</v>
      </c>
    </row>
    <row r="6128" customFormat="false" ht="15" hidden="false" customHeight="false" outlineLevel="0" collapsed="false">
      <c r="A6128" s="28" t="s">
        <v>212</v>
      </c>
      <c r="B6128" s="28" t="s">
        <v>213</v>
      </c>
      <c r="C6128" s="28" t="s">
        <v>209</v>
      </c>
      <c r="D6128" s="23" t="n">
        <v>18</v>
      </c>
      <c r="E6128" s="23" t="n">
        <v>12</v>
      </c>
      <c r="F6128" s="28" t="s">
        <v>910</v>
      </c>
      <c r="G6128" s="19" t="n">
        <v>0.058362</v>
      </c>
    </row>
    <row r="6129" customFormat="false" ht="15" hidden="false" customHeight="false" outlineLevel="0" collapsed="false">
      <c r="A6129" s="28" t="s">
        <v>212</v>
      </c>
      <c r="B6129" s="28" t="s">
        <v>213</v>
      </c>
      <c r="C6129" s="28" t="s">
        <v>209</v>
      </c>
      <c r="D6129" s="23" t="n">
        <v>18</v>
      </c>
      <c r="E6129" s="23" t="n">
        <v>12</v>
      </c>
      <c r="F6129" s="28" t="s">
        <v>911</v>
      </c>
      <c r="G6129" s="19" t="n">
        <v>0.060077</v>
      </c>
    </row>
    <row r="6130" customFormat="false" ht="15" hidden="false" customHeight="false" outlineLevel="0" collapsed="false">
      <c r="A6130" s="28" t="s">
        <v>212</v>
      </c>
      <c r="B6130" s="28" t="s">
        <v>213</v>
      </c>
      <c r="C6130" s="28" t="s">
        <v>209</v>
      </c>
      <c r="D6130" s="23" t="n">
        <v>18</v>
      </c>
      <c r="E6130" s="23" t="n">
        <v>12</v>
      </c>
      <c r="F6130" s="28" t="s">
        <v>912</v>
      </c>
      <c r="G6130" s="19" t="n">
        <v>0.0624</v>
      </c>
    </row>
    <row r="6131" customFormat="false" ht="15" hidden="false" customHeight="false" outlineLevel="0" collapsed="false">
      <c r="A6131" s="28" t="s">
        <v>212</v>
      </c>
      <c r="B6131" s="28" t="s">
        <v>213</v>
      </c>
      <c r="C6131" s="28" t="s">
        <v>209</v>
      </c>
      <c r="D6131" s="23" t="n">
        <v>18</v>
      </c>
      <c r="E6131" s="23" t="n">
        <v>12</v>
      </c>
      <c r="F6131" s="28" t="s">
        <v>913</v>
      </c>
      <c r="G6131" s="19" t="n">
        <v>0.0673</v>
      </c>
    </row>
    <row r="6132" customFormat="false" ht="15" hidden="false" customHeight="false" outlineLevel="0" collapsed="false">
      <c r="A6132" s="28" t="s">
        <v>212</v>
      </c>
      <c r="B6132" s="28" t="s">
        <v>213</v>
      </c>
      <c r="C6132" s="28" t="s">
        <v>209</v>
      </c>
      <c r="D6132" s="23" t="n">
        <v>18</v>
      </c>
      <c r="E6132" s="23" t="n">
        <v>12</v>
      </c>
      <c r="F6132" s="28" t="s">
        <v>914</v>
      </c>
      <c r="G6132" s="19" t="n">
        <v>0.0671</v>
      </c>
    </row>
    <row r="6133" customFormat="false" ht="15" hidden="false" customHeight="false" outlineLevel="0" collapsed="false">
      <c r="A6133" s="28" t="s">
        <v>212</v>
      </c>
      <c r="B6133" s="28" t="s">
        <v>213</v>
      </c>
      <c r="C6133" s="28" t="s">
        <v>209</v>
      </c>
      <c r="D6133" s="23" t="n">
        <v>18</v>
      </c>
      <c r="E6133" s="23" t="n">
        <v>12</v>
      </c>
      <c r="F6133" s="28" t="s">
        <v>915</v>
      </c>
      <c r="G6133" s="19" t="n">
        <v>0.0829</v>
      </c>
    </row>
    <row r="6134" customFormat="false" ht="15" hidden="false" customHeight="false" outlineLevel="0" collapsed="false">
      <c r="A6134" s="28" t="s">
        <v>212</v>
      </c>
      <c r="B6134" s="28" t="s">
        <v>213</v>
      </c>
      <c r="C6134" s="28" t="s">
        <v>209</v>
      </c>
      <c r="D6134" s="23" t="n">
        <v>18</v>
      </c>
      <c r="E6134" s="23" t="n">
        <v>13</v>
      </c>
      <c r="F6134" s="28" t="s">
        <v>904</v>
      </c>
      <c r="G6134" s="19" t="n">
        <v>0.0513</v>
      </c>
    </row>
    <row r="6135" customFormat="false" ht="15" hidden="false" customHeight="false" outlineLevel="0" collapsed="false">
      <c r="A6135" s="28" t="s">
        <v>212</v>
      </c>
      <c r="B6135" s="28" t="s">
        <v>213</v>
      </c>
      <c r="C6135" s="28" t="s">
        <v>209</v>
      </c>
      <c r="D6135" s="23" t="n">
        <v>18</v>
      </c>
      <c r="E6135" s="23" t="n">
        <v>13</v>
      </c>
      <c r="F6135" s="28" t="s">
        <v>551</v>
      </c>
      <c r="G6135" s="19" t="n">
        <v>0.0825</v>
      </c>
    </row>
    <row r="6136" customFormat="false" ht="15" hidden="false" customHeight="false" outlineLevel="0" collapsed="false">
      <c r="A6136" s="28" t="s">
        <v>212</v>
      </c>
      <c r="B6136" s="28" t="s">
        <v>213</v>
      </c>
      <c r="C6136" s="28" t="s">
        <v>209</v>
      </c>
      <c r="D6136" s="23" t="n">
        <v>18</v>
      </c>
      <c r="E6136" s="23" t="n">
        <v>13</v>
      </c>
      <c r="F6136" s="28" t="s">
        <v>451</v>
      </c>
      <c r="G6136" s="19" t="n">
        <v>0.0511</v>
      </c>
    </row>
    <row r="6137" customFormat="false" ht="15" hidden="false" customHeight="false" outlineLevel="0" collapsed="false">
      <c r="A6137" s="28" t="s">
        <v>212</v>
      </c>
      <c r="B6137" s="28" t="s">
        <v>213</v>
      </c>
      <c r="C6137" s="28" t="s">
        <v>209</v>
      </c>
      <c r="D6137" s="23" t="n">
        <v>18</v>
      </c>
      <c r="E6137" s="23" t="n">
        <v>13</v>
      </c>
      <c r="F6137" s="28" t="s">
        <v>905</v>
      </c>
      <c r="G6137" s="19" t="n">
        <v>0.0537</v>
      </c>
    </row>
    <row r="6138" customFormat="false" ht="15" hidden="false" customHeight="false" outlineLevel="0" collapsed="false">
      <c r="A6138" s="28" t="s">
        <v>212</v>
      </c>
      <c r="B6138" s="28" t="s">
        <v>213</v>
      </c>
      <c r="C6138" s="28" t="s">
        <v>209</v>
      </c>
      <c r="D6138" s="23" t="n">
        <v>18</v>
      </c>
      <c r="E6138" s="23" t="n">
        <v>13</v>
      </c>
      <c r="F6138" s="28" t="s">
        <v>906</v>
      </c>
      <c r="G6138" s="19" t="n">
        <v>0.055177</v>
      </c>
    </row>
    <row r="6139" customFormat="false" ht="15" hidden="false" customHeight="false" outlineLevel="0" collapsed="false">
      <c r="A6139" s="28" t="s">
        <v>212</v>
      </c>
      <c r="B6139" s="28" t="s">
        <v>213</v>
      </c>
      <c r="C6139" s="28" t="s">
        <v>209</v>
      </c>
      <c r="D6139" s="23" t="n">
        <v>18</v>
      </c>
      <c r="E6139" s="23" t="n">
        <v>13</v>
      </c>
      <c r="F6139" s="28" t="s">
        <v>907</v>
      </c>
      <c r="G6139" s="19" t="n">
        <v>0.055031</v>
      </c>
    </row>
    <row r="6140" customFormat="false" ht="15" hidden="false" customHeight="false" outlineLevel="0" collapsed="false">
      <c r="A6140" s="28" t="s">
        <v>212</v>
      </c>
      <c r="B6140" s="28" t="s">
        <v>213</v>
      </c>
      <c r="C6140" s="28" t="s">
        <v>209</v>
      </c>
      <c r="D6140" s="23" t="n">
        <v>18</v>
      </c>
      <c r="E6140" s="23" t="n">
        <v>13</v>
      </c>
      <c r="F6140" s="28" t="s">
        <v>908</v>
      </c>
      <c r="G6140" s="19" t="n">
        <v>0.056938</v>
      </c>
    </row>
    <row r="6141" customFormat="false" ht="15" hidden="false" customHeight="false" outlineLevel="0" collapsed="false">
      <c r="A6141" s="28" t="s">
        <v>212</v>
      </c>
      <c r="B6141" s="28" t="s">
        <v>213</v>
      </c>
      <c r="C6141" s="28" t="s">
        <v>209</v>
      </c>
      <c r="D6141" s="23" t="n">
        <v>18</v>
      </c>
      <c r="E6141" s="23" t="n">
        <v>13</v>
      </c>
      <c r="F6141" s="28" t="s">
        <v>909</v>
      </c>
      <c r="G6141" s="19" t="n">
        <v>0.057346</v>
      </c>
    </row>
    <row r="6142" customFormat="false" ht="15" hidden="false" customHeight="false" outlineLevel="0" collapsed="false">
      <c r="A6142" s="28" t="s">
        <v>212</v>
      </c>
      <c r="B6142" s="28" t="s">
        <v>213</v>
      </c>
      <c r="C6142" s="28" t="s">
        <v>209</v>
      </c>
      <c r="D6142" s="23" t="n">
        <v>18</v>
      </c>
      <c r="E6142" s="23" t="n">
        <v>13</v>
      </c>
      <c r="F6142" s="28" t="s">
        <v>910</v>
      </c>
      <c r="G6142" s="19" t="n">
        <v>0.058362</v>
      </c>
    </row>
    <row r="6143" customFormat="false" ht="15" hidden="false" customHeight="false" outlineLevel="0" collapsed="false">
      <c r="A6143" s="28" t="s">
        <v>212</v>
      </c>
      <c r="B6143" s="28" t="s">
        <v>213</v>
      </c>
      <c r="C6143" s="28" t="s">
        <v>209</v>
      </c>
      <c r="D6143" s="23" t="n">
        <v>18</v>
      </c>
      <c r="E6143" s="23" t="n">
        <v>13</v>
      </c>
      <c r="F6143" s="28" t="s">
        <v>911</v>
      </c>
      <c r="G6143" s="19" t="n">
        <v>0.060077</v>
      </c>
    </row>
    <row r="6144" customFormat="false" ht="15" hidden="false" customHeight="false" outlineLevel="0" collapsed="false">
      <c r="A6144" s="28" t="s">
        <v>212</v>
      </c>
      <c r="B6144" s="28" t="s">
        <v>213</v>
      </c>
      <c r="C6144" s="28" t="s">
        <v>209</v>
      </c>
      <c r="D6144" s="23" t="n">
        <v>18</v>
      </c>
      <c r="E6144" s="23" t="n">
        <v>13</v>
      </c>
      <c r="F6144" s="28" t="s">
        <v>912</v>
      </c>
      <c r="G6144" s="19" t="n">
        <v>0.0624</v>
      </c>
    </row>
    <row r="6145" customFormat="false" ht="15" hidden="false" customHeight="false" outlineLevel="0" collapsed="false">
      <c r="A6145" s="28" t="s">
        <v>212</v>
      </c>
      <c r="B6145" s="28" t="s">
        <v>213</v>
      </c>
      <c r="C6145" s="28" t="s">
        <v>209</v>
      </c>
      <c r="D6145" s="23" t="n">
        <v>18</v>
      </c>
      <c r="E6145" s="23" t="n">
        <v>13</v>
      </c>
      <c r="F6145" s="28" t="s">
        <v>913</v>
      </c>
      <c r="G6145" s="19" t="n">
        <v>0.0673</v>
      </c>
    </row>
    <row r="6146" customFormat="false" ht="15" hidden="false" customHeight="false" outlineLevel="0" collapsed="false">
      <c r="A6146" s="28" t="s">
        <v>212</v>
      </c>
      <c r="B6146" s="28" t="s">
        <v>213</v>
      </c>
      <c r="C6146" s="28" t="s">
        <v>209</v>
      </c>
      <c r="D6146" s="23" t="n">
        <v>18</v>
      </c>
      <c r="E6146" s="23" t="n">
        <v>13</v>
      </c>
      <c r="F6146" s="28" t="s">
        <v>914</v>
      </c>
      <c r="G6146" s="19" t="n">
        <v>0.0671</v>
      </c>
    </row>
    <row r="6147" customFormat="false" ht="15" hidden="false" customHeight="false" outlineLevel="0" collapsed="false">
      <c r="A6147" s="28" t="s">
        <v>212</v>
      </c>
      <c r="B6147" s="28" t="s">
        <v>213</v>
      </c>
      <c r="C6147" s="28" t="s">
        <v>209</v>
      </c>
      <c r="D6147" s="23" t="n">
        <v>18</v>
      </c>
      <c r="E6147" s="23" t="n">
        <v>13</v>
      </c>
      <c r="F6147" s="28" t="s">
        <v>915</v>
      </c>
      <c r="G6147" s="19" t="n">
        <v>0.0829</v>
      </c>
    </row>
    <row r="6148" customFormat="false" ht="15" hidden="false" customHeight="false" outlineLevel="0" collapsed="false">
      <c r="A6148" s="28" t="s">
        <v>212</v>
      </c>
      <c r="B6148" s="28" t="s">
        <v>213</v>
      </c>
      <c r="C6148" s="28" t="s">
        <v>209</v>
      </c>
      <c r="D6148" s="23" t="n">
        <v>18</v>
      </c>
      <c r="E6148" s="23" t="n">
        <v>14</v>
      </c>
      <c r="F6148" s="28" t="s">
        <v>904</v>
      </c>
      <c r="G6148" s="19" t="n">
        <v>0.0513</v>
      </c>
    </row>
    <row r="6149" customFormat="false" ht="15" hidden="false" customHeight="false" outlineLevel="0" collapsed="false">
      <c r="A6149" s="28" t="s">
        <v>212</v>
      </c>
      <c r="B6149" s="28" t="s">
        <v>213</v>
      </c>
      <c r="C6149" s="28" t="s">
        <v>209</v>
      </c>
      <c r="D6149" s="23" t="n">
        <v>18</v>
      </c>
      <c r="E6149" s="23" t="n">
        <v>14</v>
      </c>
      <c r="F6149" s="28" t="s">
        <v>551</v>
      </c>
      <c r="G6149" s="19" t="n">
        <v>0.0825</v>
      </c>
    </row>
    <row r="6150" customFormat="false" ht="15" hidden="false" customHeight="false" outlineLevel="0" collapsed="false">
      <c r="A6150" s="28" t="s">
        <v>212</v>
      </c>
      <c r="B6150" s="28" t="s">
        <v>213</v>
      </c>
      <c r="C6150" s="28" t="s">
        <v>209</v>
      </c>
      <c r="D6150" s="23" t="n">
        <v>18</v>
      </c>
      <c r="E6150" s="23" t="n">
        <v>14</v>
      </c>
      <c r="F6150" s="28" t="s">
        <v>451</v>
      </c>
      <c r="G6150" s="19" t="n">
        <v>0.0511</v>
      </c>
    </row>
    <row r="6151" customFormat="false" ht="15" hidden="false" customHeight="false" outlineLevel="0" collapsed="false">
      <c r="A6151" s="28" t="s">
        <v>212</v>
      </c>
      <c r="B6151" s="28" t="s">
        <v>213</v>
      </c>
      <c r="C6151" s="28" t="s">
        <v>209</v>
      </c>
      <c r="D6151" s="23" t="n">
        <v>18</v>
      </c>
      <c r="E6151" s="23" t="n">
        <v>14</v>
      </c>
      <c r="F6151" s="28" t="s">
        <v>905</v>
      </c>
      <c r="G6151" s="19" t="n">
        <v>0.0537</v>
      </c>
    </row>
    <row r="6152" customFormat="false" ht="15" hidden="false" customHeight="false" outlineLevel="0" collapsed="false">
      <c r="A6152" s="28" t="s">
        <v>212</v>
      </c>
      <c r="B6152" s="28" t="s">
        <v>213</v>
      </c>
      <c r="C6152" s="28" t="s">
        <v>209</v>
      </c>
      <c r="D6152" s="23" t="n">
        <v>18</v>
      </c>
      <c r="E6152" s="23" t="n">
        <v>14</v>
      </c>
      <c r="F6152" s="28" t="s">
        <v>906</v>
      </c>
      <c r="G6152" s="19" t="n">
        <v>0.055177</v>
      </c>
    </row>
    <row r="6153" customFormat="false" ht="15" hidden="false" customHeight="false" outlineLevel="0" collapsed="false">
      <c r="A6153" s="28" t="s">
        <v>212</v>
      </c>
      <c r="B6153" s="28" t="s">
        <v>213</v>
      </c>
      <c r="C6153" s="28" t="s">
        <v>209</v>
      </c>
      <c r="D6153" s="23" t="n">
        <v>18</v>
      </c>
      <c r="E6153" s="23" t="n">
        <v>14</v>
      </c>
      <c r="F6153" s="28" t="s">
        <v>907</v>
      </c>
      <c r="G6153" s="19" t="n">
        <v>0.055031</v>
      </c>
    </row>
    <row r="6154" customFormat="false" ht="15" hidden="false" customHeight="false" outlineLevel="0" collapsed="false">
      <c r="A6154" s="28" t="s">
        <v>212</v>
      </c>
      <c r="B6154" s="28" t="s">
        <v>213</v>
      </c>
      <c r="C6154" s="28" t="s">
        <v>209</v>
      </c>
      <c r="D6154" s="23" t="n">
        <v>18</v>
      </c>
      <c r="E6154" s="23" t="n">
        <v>14</v>
      </c>
      <c r="F6154" s="28" t="s">
        <v>908</v>
      </c>
      <c r="G6154" s="19" t="n">
        <v>0.056938</v>
      </c>
    </row>
    <row r="6155" customFormat="false" ht="15" hidden="false" customHeight="false" outlineLevel="0" collapsed="false">
      <c r="A6155" s="28" t="s">
        <v>212</v>
      </c>
      <c r="B6155" s="28" t="s">
        <v>213</v>
      </c>
      <c r="C6155" s="28" t="s">
        <v>209</v>
      </c>
      <c r="D6155" s="23" t="n">
        <v>18</v>
      </c>
      <c r="E6155" s="23" t="n">
        <v>14</v>
      </c>
      <c r="F6155" s="28" t="s">
        <v>909</v>
      </c>
      <c r="G6155" s="19" t="n">
        <v>0.057346</v>
      </c>
    </row>
    <row r="6156" customFormat="false" ht="15" hidden="false" customHeight="false" outlineLevel="0" collapsed="false">
      <c r="A6156" s="28" t="s">
        <v>212</v>
      </c>
      <c r="B6156" s="28" t="s">
        <v>213</v>
      </c>
      <c r="C6156" s="28" t="s">
        <v>209</v>
      </c>
      <c r="D6156" s="23" t="n">
        <v>18</v>
      </c>
      <c r="E6156" s="23" t="n">
        <v>14</v>
      </c>
      <c r="F6156" s="28" t="s">
        <v>910</v>
      </c>
      <c r="G6156" s="19" t="n">
        <v>0.058362</v>
      </c>
    </row>
    <row r="6157" customFormat="false" ht="15" hidden="false" customHeight="false" outlineLevel="0" collapsed="false">
      <c r="A6157" s="28" t="s">
        <v>212</v>
      </c>
      <c r="B6157" s="28" t="s">
        <v>213</v>
      </c>
      <c r="C6157" s="28" t="s">
        <v>209</v>
      </c>
      <c r="D6157" s="23" t="n">
        <v>18</v>
      </c>
      <c r="E6157" s="23" t="n">
        <v>14</v>
      </c>
      <c r="F6157" s="28" t="s">
        <v>911</v>
      </c>
      <c r="G6157" s="19" t="n">
        <v>0.060077</v>
      </c>
    </row>
    <row r="6158" customFormat="false" ht="15" hidden="false" customHeight="false" outlineLevel="0" collapsed="false">
      <c r="A6158" s="28" t="s">
        <v>212</v>
      </c>
      <c r="B6158" s="28" t="s">
        <v>213</v>
      </c>
      <c r="C6158" s="28" t="s">
        <v>209</v>
      </c>
      <c r="D6158" s="23" t="n">
        <v>18</v>
      </c>
      <c r="E6158" s="23" t="n">
        <v>14</v>
      </c>
      <c r="F6158" s="28" t="s">
        <v>912</v>
      </c>
      <c r="G6158" s="19" t="n">
        <v>0.0624</v>
      </c>
    </row>
    <row r="6159" customFormat="false" ht="15" hidden="false" customHeight="false" outlineLevel="0" collapsed="false">
      <c r="A6159" s="28" t="s">
        <v>212</v>
      </c>
      <c r="B6159" s="28" t="s">
        <v>213</v>
      </c>
      <c r="C6159" s="28" t="s">
        <v>209</v>
      </c>
      <c r="D6159" s="23" t="n">
        <v>18</v>
      </c>
      <c r="E6159" s="23" t="n">
        <v>14</v>
      </c>
      <c r="F6159" s="28" t="s">
        <v>913</v>
      </c>
      <c r="G6159" s="19" t="n">
        <v>0.0673</v>
      </c>
    </row>
    <row r="6160" customFormat="false" ht="15" hidden="false" customHeight="false" outlineLevel="0" collapsed="false">
      <c r="A6160" s="28" t="s">
        <v>212</v>
      </c>
      <c r="B6160" s="28" t="s">
        <v>213</v>
      </c>
      <c r="C6160" s="28" t="s">
        <v>209</v>
      </c>
      <c r="D6160" s="23" t="n">
        <v>18</v>
      </c>
      <c r="E6160" s="23" t="n">
        <v>14</v>
      </c>
      <c r="F6160" s="28" t="s">
        <v>914</v>
      </c>
      <c r="G6160" s="19" t="n">
        <v>0.0671</v>
      </c>
    </row>
    <row r="6161" customFormat="false" ht="15" hidden="false" customHeight="false" outlineLevel="0" collapsed="false">
      <c r="A6161" s="28" t="s">
        <v>212</v>
      </c>
      <c r="B6161" s="28" t="s">
        <v>213</v>
      </c>
      <c r="C6161" s="28" t="s">
        <v>209</v>
      </c>
      <c r="D6161" s="23" t="n">
        <v>18</v>
      </c>
      <c r="E6161" s="23" t="n">
        <v>14</v>
      </c>
      <c r="F6161" s="28" t="s">
        <v>915</v>
      </c>
      <c r="G6161" s="19" t="n">
        <v>0.0829</v>
      </c>
    </row>
    <row r="6162" customFormat="false" ht="15" hidden="false" customHeight="false" outlineLevel="0" collapsed="false">
      <c r="A6162" s="28" t="s">
        <v>212</v>
      </c>
      <c r="B6162" s="28" t="s">
        <v>213</v>
      </c>
      <c r="C6162" s="28" t="s">
        <v>209</v>
      </c>
      <c r="D6162" s="23" t="n">
        <v>18</v>
      </c>
      <c r="E6162" s="23" t="n">
        <v>15</v>
      </c>
      <c r="F6162" s="28" t="s">
        <v>904</v>
      </c>
      <c r="G6162" s="19" t="n">
        <v>0.0513</v>
      </c>
    </row>
    <row r="6163" customFormat="false" ht="15" hidden="false" customHeight="false" outlineLevel="0" collapsed="false">
      <c r="A6163" s="28" t="s">
        <v>212</v>
      </c>
      <c r="B6163" s="28" t="s">
        <v>213</v>
      </c>
      <c r="C6163" s="28" t="s">
        <v>209</v>
      </c>
      <c r="D6163" s="23" t="n">
        <v>18</v>
      </c>
      <c r="E6163" s="23" t="n">
        <v>15</v>
      </c>
      <c r="F6163" s="28" t="s">
        <v>551</v>
      </c>
      <c r="G6163" s="19" t="n">
        <v>0.0825</v>
      </c>
    </row>
    <row r="6164" customFormat="false" ht="15" hidden="false" customHeight="false" outlineLevel="0" collapsed="false">
      <c r="A6164" s="28" t="s">
        <v>212</v>
      </c>
      <c r="B6164" s="28" t="s">
        <v>213</v>
      </c>
      <c r="C6164" s="28" t="s">
        <v>209</v>
      </c>
      <c r="D6164" s="23" t="n">
        <v>18</v>
      </c>
      <c r="E6164" s="23" t="n">
        <v>15</v>
      </c>
      <c r="F6164" s="28" t="s">
        <v>451</v>
      </c>
      <c r="G6164" s="19" t="n">
        <v>0.0511</v>
      </c>
    </row>
    <row r="6165" customFormat="false" ht="15" hidden="false" customHeight="false" outlineLevel="0" collapsed="false">
      <c r="A6165" s="28" t="s">
        <v>212</v>
      </c>
      <c r="B6165" s="28" t="s">
        <v>213</v>
      </c>
      <c r="C6165" s="28" t="s">
        <v>209</v>
      </c>
      <c r="D6165" s="23" t="n">
        <v>18</v>
      </c>
      <c r="E6165" s="23" t="n">
        <v>15</v>
      </c>
      <c r="F6165" s="28" t="s">
        <v>905</v>
      </c>
      <c r="G6165" s="19" t="n">
        <v>0.0537</v>
      </c>
    </row>
    <row r="6166" customFormat="false" ht="15" hidden="false" customHeight="false" outlineLevel="0" collapsed="false">
      <c r="A6166" s="28" t="s">
        <v>212</v>
      </c>
      <c r="B6166" s="28" t="s">
        <v>213</v>
      </c>
      <c r="C6166" s="28" t="s">
        <v>209</v>
      </c>
      <c r="D6166" s="23" t="n">
        <v>18</v>
      </c>
      <c r="E6166" s="23" t="n">
        <v>15</v>
      </c>
      <c r="F6166" s="28" t="s">
        <v>906</v>
      </c>
      <c r="G6166" s="19" t="n">
        <v>0.055177</v>
      </c>
    </row>
    <row r="6167" customFormat="false" ht="15" hidden="false" customHeight="false" outlineLevel="0" collapsed="false">
      <c r="A6167" s="28" t="s">
        <v>212</v>
      </c>
      <c r="B6167" s="28" t="s">
        <v>213</v>
      </c>
      <c r="C6167" s="28" t="s">
        <v>209</v>
      </c>
      <c r="D6167" s="23" t="n">
        <v>18</v>
      </c>
      <c r="E6167" s="23" t="n">
        <v>15</v>
      </c>
      <c r="F6167" s="28" t="s">
        <v>907</v>
      </c>
      <c r="G6167" s="19" t="n">
        <v>0.055031</v>
      </c>
    </row>
    <row r="6168" customFormat="false" ht="15" hidden="false" customHeight="false" outlineLevel="0" collapsed="false">
      <c r="A6168" s="28" t="s">
        <v>212</v>
      </c>
      <c r="B6168" s="28" t="s">
        <v>213</v>
      </c>
      <c r="C6168" s="28" t="s">
        <v>209</v>
      </c>
      <c r="D6168" s="23" t="n">
        <v>18</v>
      </c>
      <c r="E6168" s="23" t="n">
        <v>15</v>
      </c>
      <c r="F6168" s="28" t="s">
        <v>908</v>
      </c>
      <c r="G6168" s="19" t="n">
        <v>0.056938</v>
      </c>
    </row>
    <row r="6169" customFormat="false" ht="15" hidden="false" customHeight="false" outlineLevel="0" collapsed="false">
      <c r="A6169" s="28" t="s">
        <v>212</v>
      </c>
      <c r="B6169" s="28" t="s">
        <v>213</v>
      </c>
      <c r="C6169" s="28" t="s">
        <v>209</v>
      </c>
      <c r="D6169" s="23" t="n">
        <v>18</v>
      </c>
      <c r="E6169" s="23" t="n">
        <v>15</v>
      </c>
      <c r="F6169" s="28" t="s">
        <v>909</v>
      </c>
      <c r="G6169" s="19" t="n">
        <v>0.057346</v>
      </c>
    </row>
    <row r="6170" customFormat="false" ht="15" hidden="false" customHeight="false" outlineLevel="0" collapsed="false">
      <c r="A6170" s="28" t="s">
        <v>212</v>
      </c>
      <c r="B6170" s="28" t="s">
        <v>213</v>
      </c>
      <c r="C6170" s="28" t="s">
        <v>209</v>
      </c>
      <c r="D6170" s="23" t="n">
        <v>18</v>
      </c>
      <c r="E6170" s="23" t="n">
        <v>15</v>
      </c>
      <c r="F6170" s="28" t="s">
        <v>910</v>
      </c>
      <c r="G6170" s="19" t="n">
        <v>0.058362</v>
      </c>
    </row>
    <row r="6171" customFormat="false" ht="15" hidden="false" customHeight="false" outlineLevel="0" collapsed="false">
      <c r="A6171" s="28" t="s">
        <v>212</v>
      </c>
      <c r="B6171" s="28" t="s">
        <v>213</v>
      </c>
      <c r="C6171" s="28" t="s">
        <v>209</v>
      </c>
      <c r="D6171" s="23" t="n">
        <v>18</v>
      </c>
      <c r="E6171" s="23" t="n">
        <v>15</v>
      </c>
      <c r="F6171" s="28" t="s">
        <v>911</v>
      </c>
      <c r="G6171" s="19" t="n">
        <v>0.060077</v>
      </c>
    </row>
    <row r="6172" customFormat="false" ht="15" hidden="false" customHeight="false" outlineLevel="0" collapsed="false">
      <c r="A6172" s="28" t="s">
        <v>212</v>
      </c>
      <c r="B6172" s="28" t="s">
        <v>213</v>
      </c>
      <c r="C6172" s="28" t="s">
        <v>209</v>
      </c>
      <c r="D6172" s="23" t="n">
        <v>18</v>
      </c>
      <c r="E6172" s="23" t="n">
        <v>15</v>
      </c>
      <c r="F6172" s="28" t="s">
        <v>912</v>
      </c>
      <c r="G6172" s="19" t="n">
        <v>0.0624</v>
      </c>
    </row>
    <row r="6173" customFormat="false" ht="15" hidden="false" customHeight="false" outlineLevel="0" collapsed="false">
      <c r="A6173" s="28" t="s">
        <v>212</v>
      </c>
      <c r="B6173" s="28" t="s">
        <v>213</v>
      </c>
      <c r="C6173" s="28" t="s">
        <v>209</v>
      </c>
      <c r="D6173" s="23" t="n">
        <v>18</v>
      </c>
      <c r="E6173" s="23" t="n">
        <v>15</v>
      </c>
      <c r="F6173" s="28" t="s">
        <v>913</v>
      </c>
      <c r="G6173" s="19" t="n">
        <v>0.0673</v>
      </c>
    </row>
    <row r="6174" customFormat="false" ht="15" hidden="false" customHeight="false" outlineLevel="0" collapsed="false">
      <c r="A6174" s="28" t="s">
        <v>212</v>
      </c>
      <c r="B6174" s="28" t="s">
        <v>213</v>
      </c>
      <c r="C6174" s="28" t="s">
        <v>209</v>
      </c>
      <c r="D6174" s="23" t="n">
        <v>18</v>
      </c>
      <c r="E6174" s="23" t="n">
        <v>15</v>
      </c>
      <c r="F6174" s="28" t="s">
        <v>914</v>
      </c>
      <c r="G6174" s="19" t="n">
        <v>0.0671</v>
      </c>
    </row>
    <row r="6175" customFormat="false" ht="15" hidden="false" customHeight="false" outlineLevel="0" collapsed="false">
      <c r="A6175" s="28" t="s">
        <v>212</v>
      </c>
      <c r="B6175" s="28" t="s">
        <v>213</v>
      </c>
      <c r="C6175" s="28" t="s">
        <v>209</v>
      </c>
      <c r="D6175" s="23" t="n">
        <v>18</v>
      </c>
      <c r="E6175" s="23" t="n">
        <v>15</v>
      </c>
      <c r="F6175" s="28" t="s">
        <v>915</v>
      </c>
      <c r="G6175" s="19" t="n">
        <v>0.0829</v>
      </c>
    </row>
    <row r="6176" customFormat="false" ht="15" hidden="false" customHeight="false" outlineLevel="0" collapsed="false">
      <c r="A6176" s="28" t="s">
        <v>212</v>
      </c>
      <c r="B6176" s="28" t="s">
        <v>213</v>
      </c>
      <c r="C6176" s="28" t="s">
        <v>209</v>
      </c>
      <c r="D6176" s="23" t="n">
        <v>18</v>
      </c>
      <c r="E6176" s="23" t="n">
        <v>16</v>
      </c>
      <c r="F6176" s="28" t="s">
        <v>904</v>
      </c>
      <c r="G6176" s="19" t="n">
        <v>0.0513</v>
      </c>
    </row>
    <row r="6177" customFormat="false" ht="15" hidden="false" customHeight="false" outlineLevel="0" collapsed="false">
      <c r="A6177" s="28" t="s">
        <v>212</v>
      </c>
      <c r="B6177" s="28" t="s">
        <v>213</v>
      </c>
      <c r="C6177" s="28" t="s">
        <v>209</v>
      </c>
      <c r="D6177" s="23" t="n">
        <v>18</v>
      </c>
      <c r="E6177" s="23" t="n">
        <v>16</v>
      </c>
      <c r="F6177" s="28" t="s">
        <v>551</v>
      </c>
      <c r="G6177" s="19" t="n">
        <v>0.0825</v>
      </c>
    </row>
    <row r="6178" customFormat="false" ht="15" hidden="false" customHeight="false" outlineLevel="0" collapsed="false">
      <c r="A6178" s="28" t="s">
        <v>212</v>
      </c>
      <c r="B6178" s="28" t="s">
        <v>213</v>
      </c>
      <c r="C6178" s="28" t="s">
        <v>209</v>
      </c>
      <c r="D6178" s="23" t="n">
        <v>18</v>
      </c>
      <c r="E6178" s="23" t="n">
        <v>16</v>
      </c>
      <c r="F6178" s="28" t="s">
        <v>451</v>
      </c>
      <c r="G6178" s="19" t="n">
        <v>0.0511</v>
      </c>
    </row>
    <row r="6179" customFormat="false" ht="15" hidden="false" customHeight="false" outlineLevel="0" collapsed="false">
      <c r="A6179" s="28" t="s">
        <v>212</v>
      </c>
      <c r="B6179" s="28" t="s">
        <v>213</v>
      </c>
      <c r="C6179" s="28" t="s">
        <v>209</v>
      </c>
      <c r="D6179" s="23" t="n">
        <v>18</v>
      </c>
      <c r="E6179" s="23" t="n">
        <v>16</v>
      </c>
      <c r="F6179" s="28" t="s">
        <v>905</v>
      </c>
      <c r="G6179" s="19" t="n">
        <v>0.0537</v>
      </c>
    </row>
    <row r="6180" customFormat="false" ht="15" hidden="false" customHeight="false" outlineLevel="0" collapsed="false">
      <c r="A6180" s="28" t="s">
        <v>212</v>
      </c>
      <c r="B6180" s="28" t="s">
        <v>213</v>
      </c>
      <c r="C6180" s="28" t="s">
        <v>209</v>
      </c>
      <c r="D6180" s="23" t="n">
        <v>18</v>
      </c>
      <c r="E6180" s="23" t="n">
        <v>16</v>
      </c>
      <c r="F6180" s="28" t="s">
        <v>906</v>
      </c>
      <c r="G6180" s="19" t="n">
        <v>0.055177</v>
      </c>
    </row>
    <row r="6181" customFormat="false" ht="15" hidden="false" customHeight="false" outlineLevel="0" collapsed="false">
      <c r="A6181" s="28" t="s">
        <v>212</v>
      </c>
      <c r="B6181" s="28" t="s">
        <v>213</v>
      </c>
      <c r="C6181" s="28" t="s">
        <v>209</v>
      </c>
      <c r="D6181" s="23" t="n">
        <v>18</v>
      </c>
      <c r="E6181" s="23" t="n">
        <v>16</v>
      </c>
      <c r="F6181" s="28" t="s">
        <v>907</v>
      </c>
      <c r="G6181" s="19" t="n">
        <v>0.055031</v>
      </c>
    </row>
    <row r="6182" customFormat="false" ht="15" hidden="false" customHeight="false" outlineLevel="0" collapsed="false">
      <c r="A6182" s="28" t="s">
        <v>212</v>
      </c>
      <c r="B6182" s="28" t="s">
        <v>213</v>
      </c>
      <c r="C6182" s="28" t="s">
        <v>209</v>
      </c>
      <c r="D6182" s="23" t="n">
        <v>18</v>
      </c>
      <c r="E6182" s="23" t="n">
        <v>16</v>
      </c>
      <c r="F6182" s="28" t="s">
        <v>908</v>
      </c>
      <c r="G6182" s="19" t="n">
        <v>0.056938</v>
      </c>
    </row>
    <row r="6183" customFormat="false" ht="15" hidden="false" customHeight="false" outlineLevel="0" collapsed="false">
      <c r="A6183" s="28" t="s">
        <v>212</v>
      </c>
      <c r="B6183" s="28" t="s">
        <v>213</v>
      </c>
      <c r="C6183" s="28" t="s">
        <v>209</v>
      </c>
      <c r="D6183" s="23" t="n">
        <v>18</v>
      </c>
      <c r="E6183" s="23" t="n">
        <v>16</v>
      </c>
      <c r="F6183" s="28" t="s">
        <v>909</v>
      </c>
      <c r="G6183" s="19" t="n">
        <v>0.057346</v>
      </c>
    </row>
    <row r="6184" customFormat="false" ht="15" hidden="false" customHeight="false" outlineLevel="0" collapsed="false">
      <c r="A6184" s="28" t="s">
        <v>212</v>
      </c>
      <c r="B6184" s="28" t="s">
        <v>213</v>
      </c>
      <c r="C6184" s="28" t="s">
        <v>209</v>
      </c>
      <c r="D6184" s="23" t="n">
        <v>18</v>
      </c>
      <c r="E6184" s="23" t="n">
        <v>16</v>
      </c>
      <c r="F6184" s="28" t="s">
        <v>910</v>
      </c>
      <c r="G6184" s="19" t="n">
        <v>0.058362</v>
      </c>
    </row>
    <row r="6185" customFormat="false" ht="15" hidden="false" customHeight="false" outlineLevel="0" collapsed="false">
      <c r="A6185" s="28" t="s">
        <v>212</v>
      </c>
      <c r="B6185" s="28" t="s">
        <v>213</v>
      </c>
      <c r="C6185" s="28" t="s">
        <v>209</v>
      </c>
      <c r="D6185" s="23" t="n">
        <v>18</v>
      </c>
      <c r="E6185" s="23" t="n">
        <v>16</v>
      </c>
      <c r="F6185" s="28" t="s">
        <v>911</v>
      </c>
      <c r="G6185" s="19" t="n">
        <v>0.060077</v>
      </c>
    </row>
    <row r="6186" customFormat="false" ht="15" hidden="false" customHeight="false" outlineLevel="0" collapsed="false">
      <c r="A6186" s="28" t="s">
        <v>212</v>
      </c>
      <c r="B6186" s="28" t="s">
        <v>213</v>
      </c>
      <c r="C6186" s="28" t="s">
        <v>209</v>
      </c>
      <c r="D6186" s="23" t="n">
        <v>18</v>
      </c>
      <c r="E6186" s="23" t="n">
        <v>16</v>
      </c>
      <c r="F6186" s="28" t="s">
        <v>912</v>
      </c>
      <c r="G6186" s="19" t="n">
        <v>0.0624</v>
      </c>
    </row>
    <row r="6187" customFormat="false" ht="15" hidden="false" customHeight="false" outlineLevel="0" collapsed="false">
      <c r="A6187" s="28" t="s">
        <v>212</v>
      </c>
      <c r="B6187" s="28" t="s">
        <v>213</v>
      </c>
      <c r="C6187" s="28" t="s">
        <v>209</v>
      </c>
      <c r="D6187" s="23" t="n">
        <v>18</v>
      </c>
      <c r="E6187" s="23" t="n">
        <v>16</v>
      </c>
      <c r="F6187" s="28" t="s">
        <v>913</v>
      </c>
      <c r="G6187" s="19" t="n">
        <v>0.0673</v>
      </c>
    </row>
    <row r="6188" customFormat="false" ht="15" hidden="false" customHeight="false" outlineLevel="0" collapsed="false">
      <c r="A6188" s="28" t="s">
        <v>212</v>
      </c>
      <c r="B6188" s="28" t="s">
        <v>213</v>
      </c>
      <c r="C6188" s="28" t="s">
        <v>209</v>
      </c>
      <c r="D6188" s="23" t="n">
        <v>18</v>
      </c>
      <c r="E6188" s="23" t="n">
        <v>16</v>
      </c>
      <c r="F6188" s="28" t="s">
        <v>914</v>
      </c>
      <c r="G6188" s="19" t="n">
        <v>0.0671</v>
      </c>
    </row>
    <row r="6189" customFormat="false" ht="15" hidden="false" customHeight="false" outlineLevel="0" collapsed="false">
      <c r="A6189" s="28" t="s">
        <v>212</v>
      </c>
      <c r="B6189" s="28" t="s">
        <v>213</v>
      </c>
      <c r="C6189" s="28" t="s">
        <v>209</v>
      </c>
      <c r="D6189" s="23" t="n">
        <v>18</v>
      </c>
      <c r="E6189" s="23" t="n">
        <v>16</v>
      </c>
      <c r="F6189" s="28" t="s">
        <v>915</v>
      </c>
      <c r="G6189" s="19" t="n">
        <v>0.0829</v>
      </c>
    </row>
    <row r="6190" customFormat="false" ht="15" hidden="false" customHeight="false" outlineLevel="0" collapsed="false">
      <c r="A6190" s="28" t="s">
        <v>212</v>
      </c>
      <c r="B6190" s="28" t="s">
        <v>213</v>
      </c>
      <c r="C6190" s="28" t="s">
        <v>209</v>
      </c>
      <c r="D6190" s="23" t="n">
        <v>18</v>
      </c>
      <c r="E6190" s="23" t="n">
        <v>17</v>
      </c>
      <c r="F6190" s="28" t="s">
        <v>904</v>
      </c>
      <c r="G6190" s="19" t="n">
        <v>0.0513</v>
      </c>
    </row>
    <row r="6191" customFormat="false" ht="15" hidden="false" customHeight="false" outlineLevel="0" collapsed="false">
      <c r="A6191" s="28" t="s">
        <v>212</v>
      </c>
      <c r="B6191" s="28" t="s">
        <v>213</v>
      </c>
      <c r="C6191" s="28" t="s">
        <v>209</v>
      </c>
      <c r="D6191" s="23" t="n">
        <v>18</v>
      </c>
      <c r="E6191" s="23" t="n">
        <v>17</v>
      </c>
      <c r="F6191" s="28" t="s">
        <v>551</v>
      </c>
      <c r="G6191" s="19" t="n">
        <v>0.0825</v>
      </c>
    </row>
    <row r="6192" customFormat="false" ht="15" hidden="false" customHeight="false" outlineLevel="0" collapsed="false">
      <c r="A6192" s="28" t="s">
        <v>212</v>
      </c>
      <c r="B6192" s="28" t="s">
        <v>213</v>
      </c>
      <c r="C6192" s="28" t="s">
        <v>209</v>
      </c>
      <c r="D6192" s="23" t="n">
        <v>18</v>
      </c>
      <c r="E6192" s="23" t="n">
        <v>17</v>
      </c>
      <c r="F6192" s="28" t="s">
        <v>451</v>
      </c>
      <c r="G6192" s="19" t="n">
        <v>0.0511</v>
      </c>
    </row>
    <row r="6193" customFormat="false" ht="15" hidden="false" customHeight="false" outlineLevel="0" collapsed="false">
      <c r="A6193" s="28" t="s">
        <v>212</v>
      </c>
      <c r="B6193" s="28" t="s">
        <v>213</v>
      </c>
      <c r="C6193" s="28" t="s">
        <v>209</v>
      </c>
      <c r="D6193" s="23" t="n">
        <v>18</v>
      </c>
      <c r="E6193" s="23" t="n">
        <v>17</v>
      </c>
      <c r="F6193" s="28" t="s">
        <v>905</v>
      </c>
      <c r="G6193" s="19" t="n">
        <v>0.0537</v>
      </c>
    </row>
    <row r="6194" customFormat="false" ht="15" hidden="false" customHeight="false" outlineLevel="0" collapsed="false">
      <c r="A6194" s="28" t="s">
        <v>212</v>
      </c>
      <c r="B6194" s="28" t="s">
        <v>213</v>
      </c>
      <c r="C6194" s="28" t="s">
        <v>209</v>
      </c>
      <c r="D6194" s="23" t="n">
        <v>18</v>
      </c>
      <c r="E6194" s="23" t="n">
        <v>17</v>
      </c>
      <c r="F6194" s="28" t="s">
        <v>906</v>
      </c>
      <c r="G6194" s="19" t="n">
        <v>0.055177</v>
      </c>
    </row>
    <row r="6195" customFormat="false" ht="15" hidden="false" customHeight="false" outlineLevel="0" collapsed="false">
      <c r="A6195" s="28" t="s">
        <v>212</v>
      </c>
      <c r="B6195" s="28" t="s">
        <v>213</v>
      </c>
      <c r="C6195" s="28" t="s">
        <v>209</v>
      </c>
      <c r="D6195" s="23" t="n">
        <v>18</v>
      </c>
      <c r="E6195" s="23" t="n">
        <v>17</v>
      </c>
      <c r="F6195" s="28" t="s">
        <v>907</v>
      </c>
      <c r="G6195" s="19" t="n">
        <v>0.055031</v>
      </c>
    </row>
    <row r="6196" customFormat="false" ht="15" hidden="false" customHeight="false" outlineLevel="0" collapsed="false">
      <c r="A6196" s="28" t="s">
        <v>212</v>
      </c>
      <c r="B6196" s="28" t="s">
        <v>213</v>
      </c>
      <c r="C6196" s="28" t="s">
        <v>209</v>
      </c>
      <c r="D6196" s="23" t="n">
        <v>18</v>
      </c>
      <c r="E6196" s="23" t="n">
        <v>17</v>
      </c>
      <c r="F6196" s="28" t="s">
        <v>908</v>
      </c>
      <c r="G6196" s="19" t="n">
        <v>0.056938</v>
      </c>
    </row>
    <row r="6197" customFormat="false" ht="15" hidden="false" customHeight="false" outlineLevel="0" collapsed="false">
      <c r="A6197" s="28" t="s">
        <v>212</v>
      </c>
      <c r="B6197" s="28" t="s">
        <v>213</v>
      </c>
      <c r="C6197" s="28" t="s">
        <v>209</v>
      </c>
      <c r="D6197" s="23" t="n">
        <v>18</v>
      </c>
      <c r="E6197" s="23" t="n">
        <v>17</v>
      </c>
      <c r="F6197" s="28" t="s">
        <v>909</v>
      </c>
      <c r="G6197" s="19" t="n">
        <v>0.057346</v>
      </c>
    </row>
    <row r="6198" customFormat="false" ht="15" hidden="false" customHeight="false" outlineLevel="0" collapsed="false">
      <c r="A6198" s="28" t="s">
        <v>212</v>
      </c>
      <c r="B6198" s="28" t="s">
        <v>213</v>
      </c>
      <c r="C6198" s="28" t="s">
        <v>209</v>
      </c>
      <c r="D6198" s="23" t="n">
        <v>18</v>
      </c>
      <c r="E6198" s="23" t="n">
        <v>17</v>
      </c>
      <c r="F6198" s="28" t="s">
        <v>910</v>
      </c>
      <c r="G6198" s="19" t="n">
        <v>0.058362</v>
      </c>
    </row>
    <row r="6199" customFormat="false" ht="15" hidden="false" customHeight="false" outlineLevel="0" collapsed="false">
      <c r="A6199" s="28" t="s">
        <v>212</v>
      </c>
      <c r="B6199" s="28" t="s">
        <v>213</v>
      </c>
      <c r="C6199" s="28" t="s">
        <v>209</v>
      </c>
      <c r="D6199" s="23" t="n">
        <v>18</v>
      </c>
      <c r="E6199" s="23" t="n">
        <v>17</v>
      </c>
      <c r="F6199" s="28" t="s">
        <v>911</v>
      </c>
      <c r="G6199" s="19" t="n">
        <v>0.060077</v>
      </c>
    </row>
    <row r="6200" customFormat="false" ht="15" hidden="false" customHeight="false" outlineLevel="0" collapsed="false">
      <c r="A6200" s="28" t="s">
        <v>212</v>
      </c>
      <c r="B6200" s="28" t="s">
        <v>213</v>
      </c>
      <c r="C6200" s="28" t="s">
        <v>209</v>
      </c>
      <c r="D6200" s="23" t="n">
        <v>18</v>
      </c>
      <c r="E6200" s="23" t="n">
        <v>17</v>
      </c>
      <c r="F6200" s="28" t="s">
        <v>912</v>
      </c>
      <c r="G6200" s="19" t="n">
        <v>0.0624</v>
      </c>
    </row>
    <row r="6201" customFormat="false" ht="15" hidden="false" customHeight="false" outlineLevel="0" collapsed="false">
      <c r="A6201" s="28" t="s">
        <v>212</v>
      </c>
      <c r="B6201" s="28" t="s">
        <v>213</v>
      </c>
      <c r="C6201" s="28" t="s">
        <v>209</v>
      </c>
      <c r="D6201" s="23" t="n">
        <v>18</v>
      </c>
      <c r="E6201" s="23" t="n">
        <v>17</v>
      </c>
      <c r="F6201" s="28" t="s">
        <v>913</v>
      </c>
      <c r="G6201" s="19" t="n">
        <v>0.0673</v>
      </c>
    </row>
    <row r="6202" customFormat="false" ht="15" hidden="false" customHeight="false" outlineLevel="0" collapsed="false">
      <c r="A6202" s="28" t="s">
        <v>212</v>
      </c>
      <c r="B6202" s="28" t="s">
        <v>213</v>
      </c>
      <c r="C6202" s="28" t="s">
        <v>209</v>
      </c>
      <c r="D6202" s="23" t="n">
        <v>18</v>
      </c>
      <c r="E6202" s="23" t="n">
        <v>17</v>
      </c>
      <c r="F6202" s="28" t="s">
        <v>914</v>
      </c>
      <c r="G6202" s="19" t="n">
        <v>0.0671</v>
      </c>
    </row>
    <row r="6203" customFormat="false" ht="15" hidden="false" customHeight="false" outlineLevel="0" collapsed="false">
      <c r="A6203" s="28" t="s">
        <v>212</v>
      </c>
      <c r="B6203" s="28" t="s">
        <v>213</v>
      </c>
      <c r="C6203" s="28" t="s">
        <v>209</v>
      </c>
      <c r="D6203" s="23" t="n">
        <v>18</v>
      </c>
      <c r="E6203" s="23" t="n">
        <v>17</v>
      </c>
      <c r="F6203" s="28" t="s">
        <v>915</v>
      </c>
      <c r="G6203" s="19" t="n">
        <v>0.0829</v>
      </c>
    </row>
    <row r="6204" customFormat="false" ht="15" hidden="false" customHeight="false" outlineLevel="0" collapsed="false">
      <c r="A6204" s="28" t="s">
        <v>212</v>
      </c>
      <c r="B6204" s="28" t="s">
        <v>213</v>
      </c>
      <c r="C6204" s="28" t="s">
        <v>209</v>
      </c>
      <c r="D6204" s="23" t="n">
        <v>18</v>
      </c>
      <c r="E6204" s="23" t="n">
        <v>18</v>
      </c>
      <c r="F6204" s="28" t="s">
        <v>904</v>
      </c>
      <c r="G6204" s="19" t="n">
        <v>0.0513</v>
      </c>
    </row>
    <row r="6205" customFormat="false" ht="15" hidden="false" customHeight="false" outlineLevel="0" collapsed="false">
      <c r="A6205" s="28" t="s">
        <v>212</v>
      </c>
      <c r="B6205" s="28" t="s">
        <v>213</v>
      </c>
      <c r="C6205" s="28" t="s">
        <v>209</v>
      </c>
      <c r="D6205" s="23" t="n">
        <v>18</v>
      </c>
      <c r="E6205" s="23" t="n">
        <v>18</v>
      </c>
      <c r="F6205" s="28" t="s">
        <v>551</v>
      </c>
      <c r="G6205" s="19" t="n">
        <v>0.0825</v>
      </c>
    </row>
    <row r="6206" customFormat="false" ht="15" hidden="false" customHeight="false" outlineLevel="0" collapsed="false">
      <c r="A6206" s="28" t="s">
        <v>212</v>
      </c>
      <c r="B6206" s="28" t="s">
        <v>213</v>
      </c>
      <c r="C6206" s="28" t="s">
        <v>209</v>
      </c>
      <c r="D6206" s="23" t="n">
        <v>18</v>
      </c>
      <c r="E6206" s="23" t="n">
        <v>18</v>
      </c>
      <c r="F6206" s="28" t="s">
        <v>451</v>
      </c>
      <c r="G6206" s="19" t="n">
        <v>0.0511</v>
      </c>
    </row>
    <row r="6207" customFormat="false" ht="15" hidden="false" customHeight="false" outlineLevel="0" collapsed="false">
      <c r="A6207" s="28" t="s">
        <v>212</v>
      </c>
      <c r="B6207" s="28" t="s">
        <v>213</v>
      </c>
      <c r="C6207" s="28" t="s">
        <v>209</v>
      </c>
      <c r="D6207" s="23" t="n">
        <v>18</v>
      </c>
      <c r="E6207" s="23" t="n">
        <v>18</v>
      </c>
      <c r="F6207" s="28" t="s">
        <v>905</v>
      </c>
      <c r="G6207" s="19" t="n">
        <v>0.0537</v>
      </c>
    </row>
    <row r="6208" customFormat="false" ht="15" hidden="false" customHeight="false" outlineLevel="0" collapsed="false">
      <c r="A6208" s="28" t="s">
        <v>212</v>
      </c>
      <c r="B6208" s="28" t="s">
        <v>213</v>
      </c>
      <c r="C6208" s="28" t="s">
        <v>209</v>
      </c>
      <c r="D6208" s="23" t="n">
        <v>18</v>
      </c>
      <c r="E6208" s="23" t="n">
        <v>18</v>
      </c>
      <c r="F6208" s="28" t="s">
        <v>906</v>
      </c>
      <c r="G6208" s="19" t="n">
        <v>0.055177</v>
      </c>
    </row>
    <row r="6209" customFormat="false" ht="15" hidden="false" customHeight="false" outlineLevel="0" collapsed="false">
      <c r="A6209" s="28" t="s">
        <v>212</v>
      </c>
      <c r="B6209" s="28" t="s">
        <v>213</v>
      </c>
      <c r="C6209" s="28" t="s">
        <v>209</v>
      </c>
      <c r="D6209" s="23" t="n">
        <v>18</v>
      </c>
      <c r="E6209" s="23" t="n">
        <v>18</v>
      </c>
      <c r="F6209" s="28" t="s">
        <v>907</v>
      </c>
      <c r="G6209" s="19" t="n">
        <v>0.055031</v>
      </c>
    </row>
    <row r="6210" customFormat="false" ht="15" hidden="false" customHeight="false" outlineLevel="0" collapsed="false">
      <c r="A6210" s="28" t="s">
        <v>212</v>
      </c>
      <c r="B6210" s="28" t="s">
        <v>213</v>
      </c>
      <c r="C6210" s="28" t="s">
        <v>209</v>
      </c>
      <c r="D6210" s="23" t="n">
        <v>18</v>
      </c>
      <c r="E6210" s="23" t="n">
        <v>18</v>
      </c>
      <c r="F6210" s="28" t="s">
        <v>908</v>
      </c>
      <c r="G6210" s="19" t="n">
        <v>0.056938</v>
      </c>
    </row>
    <row r="6211" customFormat="false" ht="15" hidden="false" customHeight="false" outlineLevel="0" collapsed="false">
      <c r="A6211" s="28" t="s">
        <v>212</v>
      </c>
      <c r="B6211" s="28" t="s">
        <v>213</v>
      </c>
      <c r="C6211" s="28" t="s">
        <v>209</v>
      </c>
      <c r="D6211" s="23" t="n">
        <v>18</v>
      </c>
      <c r="E6211" s="23" t="n">
        <v>18</v>
      </c>
      <c r="F6211" s="28" t="s">
        <v>909</v>
      </c>
      <c r="G6211" s="19" t="n">
        <v>0.057346</v>
      </c>
    </row>
    <row r="6212" customFormat="false" ht="15" hidden="false" customHeight="false" outlineLevel="0" collapsed="false">
      <c r="A6212" s="28" t="s">
        <v>212</v>
      </c>
      <c r="B6212" s="28" t="s">
        <v>213</v>
      </c>
      <c r="C6212" s="28" t="s">
        <v>209</v>
      </c>
      <c r="D6212" s="23" t="n">
        <v>18</v>
      </c>
      <c r="E6212" s="23" t="n">
        <v>18</v>
      </c>
      <c r="F6212" s="28" t="s">
        <v>910</v>
      </c>
      <c r="G6212" s="19" t="n">
        <v>0.058362</v>
      </c>
    </row>
    <row r="6213" customFormat="false" ht="15" hidden="false" customHeight="false" outlineLevel="0" collapsed="false">
      <c r="A6213" s="28" t="s">
        <v>212</v>
      </c>
      <c r="B6213" s="28" t="s">
        <v>213</v>
      </c>
      <c r="C6213" s="28" t="s">
        <v>209</v>
      </c>
      <c r="D6213" s="23" t="n">
        <v>18</v>
      </c>
      <c r="E6213" s="23" t="n">
        <v>18</v>
      </c>
      <c r="F6213" s="28" t="s">
        <v>911</v>
      </c>
      <c r="G6213" s="19" t="n">
        <v>0.060077</v>
      </c>
    </row>
    <row r="6214" customFormat="false" ht="15" hidden="false" customHeight="false" outlineLevel="0" collapsed="false">
      <c r="A6214" s="28" t="s">
        <v>212</v>
      </c>
      <c r="B6214" s="28" t="s">
        <v>213</v>
      </c>
      <c r="C6214" s="28" t="s">
        <v>209</v>
      </c>
      <c r="D6214" s="23" t="n">
        <v>18</v>
      </c>
      <c r="E6214" s="23" t="n">
        <v>18</v>
      </c>
      <c r="F6214" s="28" t="s">
        <v>912</v>
      </c>
      <c r="G6214" s="19" t="n">
        <v>0.0624</v>
      </c>
    </row>
    <row r="6215" customFormat="false" ht="15" hidden="false" customHeight="false" outlineLevel="0" collapsed="false">
      <c r="A6215" s="28" t="s">
        <v>212</v>
      </c>
      <c r="B6215" s="28" t="s">
        <v>213</v>
      </c>
      <c r="C6215" s="28" t="s">
        <v>209</v>
      </c>
      <c r="D6215" s="23" t="n">
        <v>18</v>
      </c>
      <c r="E6215" s="23" t="n">
        <v>18</v>
      </c>
      <c r="F6215" s="28" t="s">
        <v>913</v>
      </c>
      <c r="G6215" s="19" t="n">
        <v>0.0673</v>
      </c>
    </row>
    <row r="6216" customFormat="false" ht="15" hidden="false" customHeight="false" outlineLevel="0" collapsed="false">
      <c r="A6216" s="28" t="s">
        <v>212</v>
      </c>
      <c r="B6216" s="28" t="s">
        <v>213</v>
      </c>
      <c r="C6216" s="28" t="s">
        <v>209</v>
      </c>
      <c r="D6216" s="23" t="n">
        <v>18</v>
      </c>
      <c r="E6216" s="23" t="n">
        <v>18</v>
      </c>
      <c r="F6216" s="28" t="s">
        <v>914</v>
      </c>
      <c r="G6216" s="19" t="n">
        <v>0.0671</v>
      </c>
    </row>
    <row r="6217" customFormat="false" ht="15" hidden="false" customHeight="false" outlineLevel="0" collapsed="false">
      <c r="A6217" s="28" t="s">
        <v>212</v>
      </c>
      <c r="B6217" s="28" t="s">
        <v>213</v>
      </c>
      <c r="C6217" s="28" t="s">
        <v>209</v>
      </c>
      <c r="D6217" s="23" t="n">
        <v>18</v>
      </c>
      <c r="E6217" s="23" t="n">
        <v>18</v>
      </c>
      <c r="F6217" s="28" t="s">
        <v>915</v>
      </c>
      <c r="G6217" s="19" t="n">
        <v>0.0829</v>
      </c>
    </row>
    <row r="6218" customFormat="false" ht="15" hidden="false" customHeight="false" outlineLevel="0" collapsed="false">
      <c r="A6218" s="28" t="s">
        <v>212</v>
      </c>
      <c r="B6218" s="28" t="s">
        <v>213</v>
      </c>
      <c r="C6218" s="28" t="s">
        <v>209</v>
      </c>
      <c r="D6218" s="23" t="n">
        <v>18</v>
      </c>
      <c r="E6218" s="23" t="n">
        <v>19</v>
      </c>
      <c r="F6218" s="28" t="s">
        <v>904</v>
      </c>
      <c r="G6218" s="19" t="n">
        <v>0.0513</v>
      </c>
    </row>
    <row r="6219" customFormat="false" ht="15" hidden="false" customHeight="false" outlineLevel="0" collapsed="false">
      <c r="A6219" s="28" t="s">
        <v>212</v>
      </c>
      <c r="B6219" s="28" t="s">
        <v>213</v>
      </c>
      <c r="C6219" s="28" t="s">
        <v>209</v>
      </c>
      <c r="D6219" s="23" t="n">
        <v>18</v>
      </c>
      <c r="E6219" s="23" t="n">
        <v>19</v>
      </c>
      <c r="F6219" s="28" t="s">
        <v>551</v>
      </c>
      <c r="G6219" s="19" t="n">
        <v>0.0825</v>
      </c>
    </row>
    <row r="6220" customFormat="false" ht="15" hidden="false" customHeight="false" outlineLevel="0" collapsed="false">
      <c r="A6220" s="28" t="s">
        <v>212</v>
      </c>
      <c r="B6220" s="28" t="s">
        <v>213</v>
      </c>
      <c r="C6220" s="28" t="s">
        <v>209</v>
      </c>
      <c r="D6220" s="23" t="n">
        <v>18</v>
      </c>
      <c r="E6220" s="23" t="n">
        <v>19</v>
      </c>
      <c r="F6220" s="28" t="s">
        <v>451</v>
      </c>
      <c r="G6220" s="19" t="n">
        <v>0.0511</v>
      </c>
    </row>
    <row r="6221" customFormat="false" ht="15" hidden="false" customHeight="false" outlineLevel="0" collapsed="false">
      <c r="A6221" s="28" t="s">
        <v>212</v>
      </c>
      <c r="B6221" s="28" t="s">
        <v>213</v>
      </c>
      <c r="C6221" s="28" t="s">
        <v>209</v>
      </c>
      <c r="D6221" s="23" t="n">
        <v>18</v>
      </c>
      <c r="E6221" s="23" t="n">
        <v>19</v>
      </c>
      <c r="F6221" s="28" t="s">
        <v>905</v>
      </c>
      <c r="G6221" s="19" t="n">
        <v>0.0537</v>
      </c>
    </row>
    <row r="6222" customFormat="false" ht="15" hidden="false" customHeight="false" outlineLevel="0" collapsed="false">
      <c r="A6222" s="28" t="s">
        <v>212</v>
      </c>
      <c r="B6222" s="28" t="s">
        <v>213</v>
      </c>
      <c r="C6222" s="28" t="s">
        <v>209</v>
      </c>
      <c r="D6222" s="23" t="n">
        <v>18</v>
      </c>
      <c r="E6222" s="23" t="n">
        <v>19</v>
      </c>
      <c r="F6222" s="28" t="s">
        <v>906</v>
      </c>
      <c r="G6222" s="19" t="n">
        <v>0.055177</v>
      </c>
    </row>
    <row r="6223" customFormat="false" ht="15" hidden="false" customHeight="false" outlineLevel="0" collapsed="false">
      <c r="A6223" s="28" t="s">
        <v>212</v>
      </c>
      <c r="B6223" s="28" t="s">
        <v>213</v>
      </c>
      <c r="C6223" s="28" t="s">
        <v>209</v>
      </c>
      <c r="D6223" s="23" t="n">
        <v>18</v>
      </c>
      <c r="E6223" s="23" t="n">
        <v>19</v>
      </c>
      <c r="F6223" s="28" t="s">
        <v>907</v>
      </c>
      <c r="G6223" s="19" t="n">
        <v>0.055031</v>
      </c>
    </row>
    <row r="6224" customFormat="false" ht="15" hidden="false" customHeight="false" outlineLevel="0" collapsed="false">
      <c r="A6224" s="28" t="s">
        <v>212</v>
      </c>
      <c r="B6224" s="28" t="s">
        <v>213</v>
      </c>
      <c r="C6224" s="28" t="s">
        <v>209</v>
      </c>
      <c r="D6224" s="23" t="n">
        <v>18</v>
      </c>
      <c r="E6224" s="23" t="n">
        <v>19</v>
      </c>
      <c r="F6224" s="28" t="s">
        <v>908</v>
      </c>
      <c r="G6224" s="19" t="n">
        <v>0.056938</v>
      </c>
    </row>
    <row r="6225" customFormat="false" ht="15" hidden="false" customHeight="false" outlineLevel="0" collapsed="false">
      <c r="A6225" s="28" t="s">
        <v>212</v>
      </c>
      <c r="B6225" s="28" t="s">
        <v>213</v>
      </c>
      <c r="C6225" s="28" t="s">
        <v>209</v>
      </c>
      <c r="D6225" s="23" t="n">
        <v>18</v>
      </c>
      <c r="E6225" s="23" t="n">
        <v>19</v>
      </c>
      <c r="F6225" s="28" t="s">
        <v>909</v>
      </c>
      <c r="G6225" s="19" t="n">
        <v>0.057346</v>
      </c>
    </row>
    <row r="6226" customFormat="false" ht="15" hidden="false" customHeight="false" outlineLevel="0" collapsed="false">
      <c r="A6226" s="28" t="s">
        <v>212</v>
      </c>
      <c r="B6226" s="28" t="s">
        <v>213</v>
      </c>
      <c r="C6226" s="28" t="s">
        <v>209</v>
      </c>
      <c r="D6226" s="23" t="n">
        <v>18</v>
      </c>
      <c r="E6226" s="23" t="n">
        <v>19</v>
      </c>
      <c r="F6226" s="28" t="s">
        <v>910</v>
      </c>
      <c r="G6226" s="19" t="n">
        <v>0.058362</v>
      </c>
    </row>
    <row r="6227" customFormat="false" ht="15" hidden="false" customHeight="false" outlineLevel="0" collapsed="false">
      <c r="A6227" s="28" t="s">
        <v>212</v>
      </c>
      <c r="B6227" s="28" t="s">
        <v>213</v>
      </c>
      <c r="C6227" s="28" t="s">
        <v>209</v>
      </c>
      <c r="D6227" s="23" t="n">
        <v>18</v>
      </c>
      <c r="E6227" s="23" t="n">
        <v>19</v>
      </c>
      <c r="F6227" s="28" t="s">
        <v>911</v>
      </c>
      <c r="G6227" s="19" t="n">
        <v>0.060077</v>
      </c>
    </row>
    <row r="6228" customFormat="false" ht="15" hidden="false" customHeight="false" outlineLevel="0" collapsed="false">
      <c r="A6228" s="28" t="s">
        <v>212</v>
      </c>
      <c r="B6228" s="28" t="s">
        <v>213</v>
      </c>
      <c r="C6228" s="28" t="s">
        <v>209</v>
      </c>
      <c r="D6228" s="23" t="n">
        <v>18</v>
      </c>
      <c r="E6228" s="23" t="n">
        <v>19</v>
      </c>
      <c r="F6228" s="28" t="s">
        <v>912</v>
      </c>
      <c r="G6228" s="19" t="n">
        <v>0.0624</v>
      </c>
    </row>
    <row r="6229" customFormat="false" ht="15" hidden="false" customHeight="false" outlineLevel="0" collapsed="false">
      <c r="A6229" s="28" t="s">
        <v>212</v>
      </c>
      <c r="B6229" s="28" t="s">
        <v>213</v>
      </c>
      <c r="C6229" s="28" t="s">
        <v>209</v>
      </c>
      <c r="D6229" s="23" t="n">
        <v>18</v>
      </c>
      <c r="E6229" s="23" t="n">
        <v>19</v>
      </c>
      <c r="F6229" s="28" t="s">
        <v>913</v>
      </c>
      <c r="G6229" s="19" t="n">
        <v>0.0673</v>
      </c>
    </row>
    <row r="6230" customFormat="false" ht="15" hidden="false" customHeight="false" outlineLevel="0" collapsed="false">
      <c r="A6230" s="28" t="s">
        <v>212</v>
      </c>
      <c r="B6230" s="28" t="s">
        <v>213</v>
      </c>
      <c r="C6230" s="28" t="s">
        <v>209</v>
      </c>
      <c r="D6230" s="23" t="n">
        <v>18</v>
      </c>
      <c r="E6230" s="23" t="n">
        <v>19</v>
      </c>
      <c r="F6230" s="28" t="s">
        <v>914</v>
      </c>
      <c r="G6230" s="19" t="n">
        <v>0.0671</v>
      </c>
    </row>
    <row r="6231" customFormat="false" ht="15" hidden="false" customHeight="false" outlineLevel="0" collapsed="false">
      <c r="A6231" s="28" t="s">
        <v>212</v>
      </c>
      <c r="B6231" s="28" t="s">
        <v>213</v>
      </c>
      <c r="C6231" s="28" t="s">
        <v>209</v>
      </c>
      <c r="D6231" s="23" t="n">
        <v>18</v>
      </c>
      <c r="E6231" s="23" t="n">
        <v>19</v>
      </c>
      <c r="F6231" s="28" t="s">
        <v>915</v>
      </c>
      <c r="G6231" s="19" t="n">
        <v>0.0829</v>
      </c>
    </row>
    <row r="6232" customFormat="false" ht="15" hidden="false" customHeight="false" outlineLevel="0" collapsed="false">
      <c r="A6232" s="28" t="s">
        <v>212</v>
      </c>
      <c r="B6232" s="28" t="s">
        <v>213</v>
      </c>
      <c r="C6232" s="28" t="s">
        <v>209</v>
      </c>
      <c r="D6232" s="23" t="n">
        <v>18</v>
      </c>
      <c r="E6232" s="23" t="n">
        <v>20</v>
      </c>
      <c r="F6232" s="28" t="s">
        <v>904</v>
      </c>
      <c r="G6232" s="19" t="n">
        <v>0.0513</v>
      </c>
    </row>
    <row r="6233" customFormat="false" ht="15" hidden="false" customHeight="false" outlineLevel="0" collapsed="false">
      <c r="A6233" s="28" t="s">
        <v>212</v>
      </c>
      <c r="B6233" s="28" t="s">
        <v>213</v>
      </c>
      <c r="C6233" s="28" t="s">
        <v>209</v>
      </c>
      <c r="D6233" s="23" t="n">
        <v>18</v>
      </c>
      <c r="E6233" s="23" t="n">
        <v>20</v>
      </c>
      <c r="F6233" s="28" t="s">
        <v>551</v>
      </c>
      <c r="G6233" s="19" t="n">
        <v>0.0825</v>
      </c>
    </row>
    <row r="6234" customFormat="false" ht="15" hidden="false" customHeight="false" outlineLevel="0" collapsed="false">
      <c r="A6234" s="28" t="s">
        <v>212</v>
      </c>
      <c r="B6234" s="28" t="s">
        <v>213</v>
      </c>
      <c r="C6234" s="28" t="s">
        <v>209</v>
      </c>
      <c r="D6234" s="23" t="n">
        <v>18</v>
      </c>
      <c r="E6234" s="23" t="n">
        <v>20</v>
      </c>
      <c r="F6234" s="28" t="s">
        <v>451</v>
      </c>
      <c r="G6234" s="19" t="n">
        <v>0.0511</v>
      </c>
    </row>
    <row r="6235" customFormat="false" ht="15" hidden="false" customHeight="false" outlineLevel="0" collapsed="false">
      <c r="A6235" s="28" t="s">
        <v>212</v>
      </c>
      <c r="B6235" s="28" t="s">
        <v>213</v>
      </c>
      <c r="C6235" s="28" t="s">
        <v>209</v>
      </c>
      <c r="D6235" s="23" t="n">
        <v>18</v>
      </c>
      <c r="E6235" s="23" t="n">
        <v>20</v>
      </c>
      <c r="F6235" s="28" t="s">
        <v>905</v>
      </c>
      <c r="G6235" s="19" t="n">
        <v>0.0537</v>
      </c>
    </row>
    <row r="6236" customFormat="false" ht="15" hidden="false" customHeight="false" outlineLevel="0" collapsed="false">
      <c r="A6236" s="28" t="s">
        <v>212</v>
      </c>
      <c r="B6236" s="28" t="s">
        <v>213</v>
      </c>
      <c r="C6236" s="28" t="s">
        <v>209</v>
      </c>
      <c r="D6236" s="23" t="n">
        <v>18</v>
      </c>
      <c r="E6236" s="23" t="n">
        <v>20</v>
      </c>
      <c r="F6236" s="28" t="s">
        <v>906</v>
      </c>
      <c r="G6236" s="19" t="n">
        <v>0.055177</v>
      </c>
    </row>
    <row r="6237" customFormat="false" ht="15" hidden="false" customHeight="false" outlineLevel="0" collapsed="false">
      <c r="A6237" s="28" t="s">
        <v>212</v>
      </c>
      <c r="B6237" s="28" t="s">
        <v>213</v>
      </c>
      <c r="C6237" s="28" t="s">
        <v>209</v>
      </c>
      <c r="D6237" s="23" t="n">
        <v>18</v>
      </c>
      <c r="E6237" s="23" t="n">
        <v>20</v>
      </c>
      <c r="F6237" s="28" t="s">
        <v>907</v>
      </c>
      <c r="G6237" s="19" t="n">
        <v>0.055031</v>
      </c>
    </row>
    <row r="6238" customFormat="false" ht="15" hidden="false" customHeight="false" outlineLevel="0" collapsed="false">
      <c r="A6238" s="28" t="s">
        <v>212</v>
      </c>
      <c r="B6238" s="28" t="s">
        <v>213</v>
      </c>
      <c r="C6238" s="28" t="s">
        <v>209</v>
      </c>
      <c r="D6238" s="23" t="n">
        <v>18</v>
      </c>
      <c r="E6238" s="23" t="n">
        <v>20</v>
      </c>
      <c r="F6238" s="28" t="s">
        <v>908</v>
      </c>
      <c r="G6238" s="19" t="n">
        <v>0.056938</v>
      </c>
    </row>
    <row r="6239" customFormat="false" ht="15" hidden="false" customHeight="false" outlineLevel="0" collapsed="false">
      <c r="A6239" s="28" t="s">
        <v>212</v>
      </c>
      <c r="B6239" s="28" t="s">
        <v>213</v>
      </c>
      <c r="C6239" s="28" t="s">
        <v>209</v>
      </c>
      <c r="D6239" s="23" t="n">
        <v>18</v>
      </c>
      <c r="E6239" s="23" t="n">
        <v>20</v>
      </c>
      <c r="F6239" s="28" t="s">
        <v>909</v>
      </c>
      <c r="G6239" s="19" t="n">
        <v>0.057346</v>
      </c>
    </row>
    <row r="6240" customFormat="false" ht="15" hidden="false" customHeight="false" outlineLevel="0" collapsed="false">
      <c r="A6240" s="28" t="s">
        <v>212</v>
      </c>
      <c r="B6240" s="28" t="s">
        <v>213</v>
      </c>
      <c r="C6240" s="28" t="s">
        <v>209</v>
      </c>
      <c r="D6240" s="23" t="n">
        <v>18</v>
      </c>
      <c r="E6240" s="23" t="n">
        <v>20</v>
      </c>
      <c r="F6240" s="28" t="s">
        <v>910</v>
      </c>
      <c r="G6240" s="19" t="n">
        <v>0.058362</v>
      </c>
    </row>
    <row r="6241" customFormat="false" ht="15" hidden="false" customHeight="false" outlineLevel="0" collapsed="false">
      <c r="A6241" s="28" t="s">
        <v>212</v>
      </c>
      <c r="B6241" s="28" t="s">
        <v>213</v>
      </c>
      <c r="C6241" s="28" t="s">
        <v>209</v>
      </c>
      <c r="D6241" s="23" t="n">
        <v>18</v>
      </c>
      <c r="E6241" s="23" t="n">
        <v>20</v>
      </c>
      <c r="F6241" s="28" t="s">
        <v>911</v>
      </c>
      <c r="G6241" s="19" t="n">
        <v>0.060077</v>
      </c>
    </row>
    <row r="6242" customFormat="false" ht="15" hidden="false" customHeight="false" outlineLevel="0" collapsed="false">
      <c r="A6242" s="28" t="s">
        <v>212</v>
      </c>
      <c r="B6242" s="28" t="s">
        <v>213</v>
      </c>
      <c r="C6242" s="28" t="s">
        <v>209</v>
      </c>
      <c r="D6242" s="23" t="n">
        <v>18</v>
      </c>
      <c r="E6242" s="23" t="n">
        <v>20</v>
      </c>
      <c r="F6242" s="28" t="s">
        <v>912</v>
      </c>
      <c r="G6242" s="19" t="n">
        <v>0.0624</v>
      </c>
    </row>
    <row r="6243" customFormat="false" ht="15" hidden="false" customHeight="false" outlineLevel="0" collapsed="false">
      <c r="A6243" s="28" t="s">
        <v>212</v>
      </c>
      <c r="B6243" s="28" t="s">
        <v>213</v>
      </c>
      <c r="C6243" s="28" t="s">
        <v>209</v>
      </c>
      <c r="D6243" s="23" t="n">
        <v>18</v>
      </c>
      <c r="E6243" s="23" t="n">
        <v>20</v>
      </c>
      <c r="F6243" s="28" t="s">
        <v>913</v>
      </c>
      <c r="G6243" s="19" t="n">
        <v>0.0673</v>
      </c>
    </row>
    <row r="6244" customFormat="false" ht="15" hidden="false" customHeight="false" outlineLevel="0" collapsed="false">
      <c r="A6244" s="28" t="s">
        <v>212</v>
      </c>
      <c r="B6244" s="28" t="s">
        <v>213</v>
      </c>
      <c r="C6244" s="28" t="s">
        <v>209</v>
      </c>
      <c r="D6244" s="23" t="n">
        <v>18</v>
      </c>
      <c r="E6244" s="23" t="n">
        <v>20</v>
      </c>
      <c r="F6244" s="28" t="s">
        <v>914</v>
      </c>
      <c r="G6244" s="19" t="n">
        <v>0.0671</v>
      </c>
    </row>
    <row r="6245" customFormat="false" ht="15" hidden="false" customHeight="false" outlineLevel="0" collapsed="false">
      <c r="A6245" s="28" t="s">
        <v>212</v>
      </c>
      <c r="B6245" s="28" t="s">
        <v>213</v>
      </c>
      <c r="C6245" s="28" t="s">
        <v>209</v>
      </c>
      <c r="D6245" s="23" t="n">
        <v>18</v>
      </c>
      <c r="E6245" s="23" t="n">
        <v>20</v>
      </c>
      <c r="F6245" s="28" t="s">
        <v>915</v>
      </c>
      <c r="G6245" s="19" t="n">
        <v>0.0829</v>
      </c>
    </row>
    <row r="6246" customFormat="false" ht="15" hidden="false" customHeight="false" outlineLevel="0" collapsed="false">
      <c r="A6246" s="28" t="s">
        <v>212</v>
      </c>
      <c r="B6246" s="28" t="s">
        <v>213</v>
      </c>
      <c r="C6246" s="28" t="s">
        <v>209</v>
      </c>
      <c r="D6246" s="23" t="n">
        <v>18</v>
      </c>
      <c r="E6246" s="23" t="n">
        <v>21</v>
      </c>
      <c r="F6246" s="28" t="s">
        <v>904</v>
      </c>
      <c r="G6246" s="19" t="n">
        <v>0.0513</v>
      </c>
    </row>
    <row r="6247" customFormat="false" ht="15" hidden="false" customHeight="false" outlineLevel="0" collapsed="false">
      <c r="A6247" s="28" t="s">
        <v>212</v>
      </c>
      <c r="B6247" s="28" t="s">
        <v>213</v>
      </c>
      <c r="C6247" s="28" t="s">
        <v>209</v>
      </c>
      <c r="D6247" s="23" t="n">
        <v>18</v>
      </c>
      <c r="E6247" s="23" t="n">
        <v>21</v>
      </c>
      <c r="F6247" s="28" t="s">
        <v>551</v>
      </c>
      <c r="G6247" s="19" t="n">
        <v>0.0825</v>
      </c>
    </row>
    <row r="6248" customFormat="false" ht="15" hidden="false" customHeight="false" outlineLevel="0" collapsed="false">
      <c r="A6248" s="28" t="s">
        <v>212</v>
      </c>
      <c r="B6248" s="28" t="s">
        <v>213</v>
      </c>
      <c r="C6248" s="28" t="s">
        <v>209</v>
      </c>
      <c r="D6248" s="23" t="n">
        <v>18</v>
      </c>
      <c r="E6248" s="23" t="n">
        <v>21</v>
      </c>
      <c r="F6248" s="28" t="s">
        <v>451</v>
      </c>
      <c r="G6248" s="19" t="n">
        <v>0.0511</v>
      </c>
    </row>
    <row r="6249" customFormat="false" ht="15" hidden="false" customHeight="false" outlineLevel="0" collapsed="false">
      <c r="A6249" s="28" t="s">
        <v>212</v>
      </c>
      <c r="B6249" s="28" t="s">
        <v>213</v>
      </c>
      <c r="C6249" s="28" t="s">
        <v>209</v>
      </c>
      <c r="D6249" s="23" t="n">
        <v>18</v>
      </c>
      <c r="E6249" s="23" t="n">
        <v>21</v>
      </c>
      <c r="F6249" s="28" t="s">
        <v>905</v>
      </c>
      <c r="G6249" s="19" t="n">
        <v>0.0537</v>
      </c>
    </row>
    <row r="6250" customFormat="false" ht="15" hidden="false" customHeight="false" outlineLevel="0" collapsed="false">
      <c r="A6250" s="28" t="s">
        <v>212</v>
      </c>
      <c r="B6250" s="28" t="s">
        <v>213</v>
      </c>
      <c r="C6250" s="28" t="s">
        <v>209</v>
      </c>
      <c r="D6250" s="23" t="n">
        <v>18</v>
      </c>
      <c r="E6250" s="23" t="n">
        <v>21</v>
      </c>
      <c r="F6250" s="28" t="s">
        <v>906</v>
      </c>
      <c r="G6250" s="19" t="n">
        <v>0.055177</v>
      </c>
    </row>
    <row r="6251" customFormat="false" ht="15" hidden="false" customHeight="false" outlineLevel="0" collapsed="false">
      <c r="A6251" s="28" t="s">
        <v>212</v>
      </c>
      <c r="B6251" s="28" t="s">
        <v>213</v>
      </c>
      <c r="C6251" s="28" t="s">
        <v>209</v>
      </c>
      <c r="D6251" s="23" t="n">
        <v>18</v>
      </c>
      <c r="E6251" s="23" t="n">
        <v>21</v>
      </c>
      <c r="F6251" s="28" t="s">
        <v>907</v>
      </c>
      <c r="G6251" s="19" t="n">
        <v>0.055031</v>
      </c>
    </row>
    <row r="6252" customFormat="false" ht="15" hidden="false" customHeight="false" outlineLevel="0" collapsed="false">
      <c r="A6252" s="28" t="s">
        <v>212</v>
      </c>
      <c r="B6252" s="28" t="s">
        <v>213</v>
      </c>
      <c r="C6252" s="28" t="s">
        <v>209</v>
      </c>
      <c r="D6252" s="23" t="n">
        <v>18</v>
      </c>
      <c r="E6252" s="23" t="n">
        <v>21</v>
      </c>
      <c r="F6252" s="28" t="s">
        <v>908</v>
      </c>
      <c r="G6252" s="19" t="n">
        <v>0.056938</v>
      </c>
    </row>
    <row r="6253" customFormat="false" ht="15" hidden="false" customHeight="false" outlineLevel="0" collapsed="false">
      <c r="A6253" s="28" t="s">
        <v>212</v>
      </c>
      <c r="B6253" s="28" t="s">
        <v>213</v>
      </c>
      <c r="C6253" s="28" t="s">
        <v>209</v>
      </c>
      <c r="D6253" s="23" t="n">
        <v>18</v>
      </c>
      <c r="E6253" s="23" t="n">
        <v>21</v>
      </c>
      <c r="F6253" s="28" t="s">
        <v>909</v>
      </c>
      <c r="G6253" s="19" t="n">
        <v>0.057346</v>
      </c>
    </row>
    <row r="6254" customFormat="false" ht="15" hidden="false" customHeight="false" outlineLevel="0" collapsed="false">
      <c r="A6254" s="28" t="s">
        <v>212</v>
      </c>
      <c r="B6254" s="28" t="s">
        <v>213</v>
      </c>
      <c r="C6254" s="28" t="s">
        <v>209</v>
      </c>
      <c r="D6254" s="23" t="n">
        <v>18</v>
      </c>
      <c r="E6254" s="23" t="n">
        <v>21</v>
      </c>
      <c r="F6254" s="28" t="s">
        <v>910</v>
      </c>
      <c r="G6254" s="19" t="n">
        <v>0.058362</v>
      </c>
    </row>
    <row r="6255" customFormat="false" ht="15" hidden="false" customHeight="false" outlineLevel="0" collapsed="false">
      <c r="A6255" s="28" t="s">
        <v>212</v>
      </c>
      <c r="B6255" s="28" t="s">
        <v>213</v>
      </c>
      <c r="C6255" s="28" t="s">
        <v>209</v>
      </c>
      <c r="D6255" s="23" t="n">
        <v>18</v>
      </c>
      <c r="E6255" s="23" t="n">
        <v>21</v>
      </c>
      <c r="F6255" s="28" t="s">
        <v>911</v>
      </c>
      <c r="G6255" s="19" t="n">
        <v>0.060077</v>
      </c>
    </row>
    <row r="6256" customFormat="false" ht="15" hidden="false" customHeight="false" outlineLevel="0" collapsed="false">
      <c r="A6256" s="28" t="s">
        <v>212</v>
      </c>
      <c r="B6256" s="28" t="s">
        <v>213</v>
      </c>
      <c r="C6256" s="28" t="s">
        <v>209</v>
      </c>
      <c r="D6256" s="23" t="n">
        <v>18</v>
      </c>
      <c r="E6256" s="23" t="n">
        <v>21</v>
      </c>
      <c r="F6256" s="28" t="s">
        <v>912</v>
      </c>
      <c r="G6256" s="19" t="n">
        <v>0.0624</v>
      </c>
    </row>
    <row r="6257" customFormat="false" ht="15" hidden="false" customHeight="false" outlineLevel="0" collapsed="false">
      <c r="A6257" s="28" t="s">
        <v>212</v>
      </c>
      <c r="B6257" s="28" t="s">
        <v>213</v>
      </c>
      <c r="C6257" s="28" t="s">
        <v>209</v>
      </c>
      <c r="D6257" s="23" t="n">
        <v>18</v>
      </c>
      <c r="E6257" s="23" t="n">
        <v>21</v>
      </c>
      <c r="F6257" s="28" t="s">
        <v>913</v>
      </c>
      <c r="G6257" s="19" t="n">
        <v>0.0673</v>
      </c>
    </row>
    <row r="6258" customFormat="false" ht="15" hidden="false" customHeight="false" outlineLevel="0" collapsed="false">
      <c r="A6258" s="28" t="s">
        <v>212</v>
      </c>
      <c r="B6258" s="28" t="s">
        <v>213</v>
      </c>
      <c r="C6258" s="28" t="s">
        <v>209</v>
      </c>
      <c r="D6258" s="23" t="n">
        <v>18</v>
      </c>
      <c r="E6258" s="23" t="n">
        <v>21</v>
      </c>
      <c r="F6258" s="28" t="s">
        <v>914</v>
      </c>
      <c r="G6258" s="19" t="n">
        <v>0.0671</v>
      </c>
    </row>
    <row r="6259" customFormat="false" ht="15" hidden="false" customHeight="false" outlineLevel="0" collapsed="false">
      <c r="A6259" s="28" t="s">
        <v>212</v>
      </c>
      <c r="B6259" s="28" t="s">
        <v>213</v>
      </c>
      <c r="C6259" s="28" t="s">
        <v>209</v>
      </c>
      <c r="D6259" s="23" t="n">
        <v>18</v>
      </c>
      <c r="E6259" s="23" t="n">
        <v>21</v>
      </c>
      <c r="F6259" s="28" t="s">
        <v>915</v>
      </c>
      <c r="G6259" s="19" t="n">
        <v>0.0829</v>
      </c>
    </row>
    <row r="6260" customFormat="false" ht="15" hidden="false" customHeight="false" outlineLevel="0" collapsed="false">
      <c r="A6260" s="28" t="s">
        <v>212</v>
      </c>
      <c r="B6260" s="28" t="s">
        <v>213</v>
      </c>
      <c r="C6260" s="28" t="s">
        <v>209</v>
      </c>
      <c r="D6260" s="23" t="n">
        <v>18</v>
      </c>
      <c r="E6260" s="23" t="n">
        <v>22</v>
      </c>
      <c r="F6260" s="28" t="s">
        <v>904</v>
      </c>
      <c r="G6260" s="19" t="n">
        <v>0.0513</v>
      </c>
    </row>
    <row r="6261" customFormat="false" ht="15" hidden="false" customHeight="false" outlineLevel="0" collapsed="false">
      <c r="A6261" s="28" t="s">
        <v>212</v>
      </c>
      <c r="B6261" s="28" t="s">
        <v>213</v>
      </c>
      <c r="C6261" s="28" t="s">
        <v>209</v>
      </c>
      <c r="D6261" s="23" t="n">
        <v>18</v>
      </c>
      <c r="E6261" s="23" t="n">
        <v>22</v>
      </c>
      <c r="F6261" s="28" t="s">
        <v>551</v>
      </c>
      <c r="G6261" s="19" t="n">
        <v>0.0825</v>
      </c>
    </row>
    <row r="6262" customFormat="false" ht="15" hidden="false" customHeight="false" outlineLevel="0" collapsed="false">
      <c r="A6262" s="28" t="s">
        <v>212</v>
      </c>
      <c r="B6262" s="28" t="s">
        <v>213</v>
      </c>
      <c r="C6262" s="28" t="s">
        <v>209</v>
      </c>
      <c r="D6262" s="23" t="n">
        <v>18</v>
      </c>
      <c r="E6262" s="23" t="n">
        <v>22</v>
      </c>
      <c r="F6262" s="28" t="s">
        <v>451</v>
      </c>
      <c r="G6262" s="19" t="n">
        <v>0.0511</v>
      </c>
    </row>
    <row r="6263" customFormat="false" ht="15" hidden="false" customHeight="false" outlineLevel="0" collapsed="false">
      <c r="A6263" s="28" t="s">
        <v>212</v>
      </c>
      <c r="B6263" s="28" t="s">
        <v>213</v>
      </c>
      <c r="C6263" s="28" t="s">
        <v>209</v>
      </c>
      <c r="D6263" s="23" t="n">
        <v>18</v>
      </c>
      <c r="E6263" s="23" t="n">
        <v>22</v>
      </c>
      <c r="F6263" s="28" t="s">
        <v>905</v>
      </c>
      <c r="G6263" s="19" t="n">
        <v>0.0537</v>
      </c>
    </row>
    <row r="6264" customFormat="false" ht="15" hidden="false" customHeight="false" outlineLevel="0" collapsed="false">
      <c r="A6264" s="28" t="s">
        <v>212</v>
      </c>
      <c r="B6264" s="28" t="s">
        <v>213</v>
      </c>
      <c r="C6264" s="28" t="s">
        <v>209</v>
      </c>
      <c r="D6264" s="23" t="n">
        <v>18</v>
      </c>
      <c r="E6264" s="23" t="n">
        <v>22</v>
      </c>
      <c r="F6264" s="28" t="s">
        <v>906</v>
      </c>
      <c r="G6264" s="19" t="n">
        <v>0.055177</v>
      </c>
    </row>
    <row r="6265" customFormat="false" ht="15" hidden="false" customHeight="false" outlineLevel="0" collapsed="false">
      <c r="A6265" s="28" t="s">
        <v>212</v>
      </c>
      <c r="B6265" s="28" t="s">
        <v>213</v>
      </c>
      <c r="C6265" s="28" t="s">
        <v>209</v>
      </c>
      <c r="D6265" s="23" t="n">
        <v>18</v>
      </c>
      <c r="E6265" s="23" t="n">
        <v>22</v>
      </c>
      <c r="F6265" s="28" t="s">
        <v>907</v>
      </c>
      <c r="G6265" s="19" t="n">
        <v>0.055031</v>
      </c>
    </row>
    <row r="6266" customFormat="false" ht="15" hidden="false" customHeight="false" outlineLevel="0" collapsed="false">
      <c r="A6266" s="28" t="s">
        <v>212</v>
      </c>
      <c r="B6266" s="28" t="s">
        <v>213</v>
      </c>
      <c r="C6266" s="28" t="s">
        <v>209</v>
      </c>
      <c r="D6266" s="23" t="n">
        <v>18</v>
      </c>
      <c r="E6266" s="23" t="n">
        <v>22</v>
      </c>
      <c r="F6266" s="28" t="s">
        <v>908</v>
      </c>
      <c r="G6266" s="19" t="n">
        <v>0.056938</v>
      </c>
    </row>
    <row r="6267" customFormat="false" ht="15" hidden="false" customHeight="false" outlineLevel="0" collapsed="false">
      <c r="A6267" s="28" t="s">
        <v>212</v>
      </c>
      <c r="B6267" s="28" t="s">
        <v>213</v>
      </c>
      <c r="C6267" s="28" t="s">
        <v>209</v>
      </c>
      <c r="D6267" s="23" t="n">
        <v>18</v>
      </c>
      <c r="E6267" s="23" t="n">
        <v>22</v>
      </c>
      <c r="F6267" s="28" t="s">
        <v>909</v>
      </c>
      <c r="G6267" s="19" t="n">
        <v>0.057346</v>
      </c>
    </row>
    <row r="6268" customFormat="false" ht="15" hidden="false" customHeight="false" outlineLevel="0" collapsed="false">
      <c r="A6268" s="28" t="s">
        <v>212</v>
      </c>
      <c r="B6268" s="28" t="s">
        <v>213</v>
      </c>
      <c r="C6268" s="28" t="s">
        <v>209</v>
      </c>
      <c r="D6268" s="23" t="n">
        <v>18</v>
      </c>
      <c r="E6268" s="23" t="n">
        <v>22</v>
      </c>
      <c r="F6268" s="28" t="s">
        <v>910</v>
      </c>
      <c r="G6268" s="19" t="n">
        <v>0.058362</v>
      </c>
    </row>
    <row r="6269" customFormat="false" ht="15" hidden="false" customHeight="false" outlineLevel="0" collapsed="false">
      <c r="A6269" s="28" t="s">
        <v>212</v>
      </c>
      <c r="B6269" s="28" t="s">
        <v>213</v>
      </c>
      <c r="C6269" s="28" t="s">
        <v>209</v>
      </c>
      <c r="D6269" s="23" t="n">
        <v>18</v>
      </c>
      <c r="E6269" s="23" t="n">
        <v>22</v>
      </c>
      <c r="F6269" s="28" t="s">
        <v>911</v>
      </c>
      <c r="G6269" s="19" t="n">
        <v>0.060077</v>
      </c>
    </row>
    <row r="6270" customFormat="false" ht="15" hidden="false" customHeight="false" outlineLevel="0" collapsed="false">
      <c r="A6270" s="28" t="s">
        <v>212</v>
      </c>
      <c r="B6270" s="28" t="s">
        <v>213</v>
      </c>
      <c r="C6270" s="28" t="s">
        <v>209</v>
      </c>
      <c r="D6270" s="23" t="n">
        <v>18</v>
      </c>
      <c r="E6270" s="23" t="n">
        <v>22</v>
      </c>
      <c r="F6270" s="28" t="s">
        <v>912</v>
      </c>
      <c r="G6270" s="19" t="n">
        <v>0.0624</v>
      </c>
    </row>
    <row r="6271" customFormat="false" ht="15" hidden="false" customHeight="false" outlineLevel="0" collapsed="false">
      <c r="A6271" s="28" t="s">
        <v>212</v>
      </c>
      <c r="B6271" s="28" t="s">
        <v>213</v>
      </c>
      <c r="C6271" s="28" t="s">
        <v>209</v>
      </c>
      <c r="D6271" s="23" t="n">
        <v>18</v>
      </c>
      <c r="E6271" s="23" t="n">
        <v>22</v>
      </c>
      <c r="F6271" s="28" t="s">
        <v>913</v>
      </c>
      <c r="G6271" s="19" t="n">
        <v>0.0673</v>
      </c>
    </row>
    <row r="6272" customFormat="false" ht="15" hidden="false" customHeight="false" outlineLevel="0" collapsed="false">
      <c r="A6272" s="28" t="s">
        <v>212</v>
      </c>
      <c r="B6272" s="28" t="s">
        <v>213</v>
      </c>
      <c r="C6272" s="28" t="s">
        <v>209</v>
      </c>
      <c r="D6272" s="23" t="n">
        <v>18</v>
      </c>
      <c r="E6272" s="23" t="n">
        <v>22</v>
      </c>
      <c r="F6272" s="28" t="s">
        <v>914</v>
      </c>
      <c r="G6272" s="19" t="n">
        <v>0.0671</v>
      </c>
    </row>
    <row r="6273" customFormat="false" ht="15" hidden="false" customHeight="false" outlineLevel="0" collapsed="false">
      <c r="A6273" s="28" t="s">
        <v>212</v>
      </c>
      <c r="B6273" s="28" t="s">
        <v>213</v>
      </c>
      <c r="C6273" s="28" t="s">
        <v>209</v>
      </c>
      <c r="D6273" s="23" t="n">
        <v>18</v>
      </c>
      <c r="E6273" s="23" t="n">
        <v>22</v>
      </c>
      <c r="F6273" s="28" t="s">
        <v>915</v>
      </c>
      <c r="G6273" s="19" t="n">
        <v>0.0829</v>
      </c>
    </row>
    <row r="6274" customFormat="false" ht="15" hidden="false" customHeight="false" outlineLevel="0" collapsed="false">
      <c r="A6274" s="28" t="s">
        <v>212</v>
      </c>
      <c r="B6274" s="28" t="s">
        <v>213</v>
      </c>
      <c r="C6274" s="28" t="s">
        <v>209</v>
      </c>
      <c r="D6274" s="23" t="n">
        <v>18</v>
      </c>
      <c r="E6274" s="23" t="n">
        <v>23</v>
      </c>
      <c r="F6274" s="28" t="s">
        <v>904</v>
      </c>
      <c r="G6274" s="19" t="n">
        <v>0.0513</v>
      </c>
    </row>
    <row r="6275" customFormat="false" ht="15" hidden="false" customHeight="false" outlineLevel="0" collapsed="false">
      <c r="A6275" s="28" t="s">
        <v>212</v>
      </c>
      <c r="B6275" s="28" t="s">
        <v>213</v>
      </c>
      <c r="C6275" s="28" t="s">
        <v>209</v>
      </c>
      <c r="D6275" s="23" t="n">
        <v>18</v>
      </c>
      <c r="E6275" s="23" t="n">
        <v>23</v>
      </c>
      <c r="F6275" s="28" t="s">
        <v>551</v>
      </c>
      <c r="G6275" s="19" t="n">
        <v>0.0825</v>
      </c>
    </row>
    <row r="6276" customFormat="false" ht="15" hidden="false" customHeight="false" outlineLevel="0" collapsed="false">
      <c r="A6276" s="28" t="s">
        <v>212</v>
      </c>
      <c r="B6276" s="28" t="s">
        <v>213</v>
      </c>
      <c r="C6276" s="28" t="s">
        <v>209</v>
      </c>
      <c r="D6276" s="23" t="n">
        <v>18</v>
      </c>
      <c r="E6276" s="23" t="n">
        <v>23</v>
      </c>
      <c r="F6276" s="28" t="s">
        <v>451</v>
      </c>
      <c r="G6276" s="19" t="n">
        <v>0.0511</v>
      </c>
    </row>
    <row r="6277" customFormat="false" ht="15" hidden="false" customHeight="false" outlineLevel="0" collapsed="false">
      <c r="A6277" s="28" t="s">
        <v>212</v>
      </c>
      <c r="B6277" s="28" t="s">
        <v>213</v>
      </c>
      <c r="C6277" s="28" t="s">
        <v>209</v>
      </c>
      <c r="D6277" s="23" t="n">
        <v>18</v>
      </c>
      <c r="E6277" s="23" t="n">
        <v>23</v>
      </c>
      <c r="F6277" s="28" t="s">
        <v>905</v>
      </c>
      <c r="G6277" s="19" t="n">
        <v>0.0537</v>
      </c>
    </row>
    <row r="6278" customFormat="false" ht="15" hidden="false" customHeight="false" outlineLevel="0" collapsed="false">
      <c r="A6278" s="28" t="s">
        <v>212</v>
      </c>
      <c r="B6278" s="28" t="s">
        <v>213</v>
      </c>
      <c r="C6278" s="28" t="s">
        <v>209</v>
      </c>
      <c r="D6278" s="23" t="n">
        <v>18</v>
      </c>
      <c r="E6278" s="23" t="n">
        <v>23</v>
      </c>
      <c r="F6278" s="28" t="s">
        <v>906</v>
      </c>
      <c r="G6278" s="19" t="n">
        <v>0.055177</v>
      </c>
    </row>
    <row r="6279" customFormat="false" ht="15" hidden="false" customHeight="false" outlineLevel="0" collapsed="false">
      <c r="A6279" s="28" t="s">
        <v>212</v>
      </c>
      <c r="B6279" s="28" t="s">
        <v>213</v>
      </c>
      <c r="C6279" s="28" t="s">
        <v>209</v>
      </c>
      <c r="D6279" s="23" t="n">
        <v>18</v>
      </c>
      <c r="E6279" s="23" t="n">
        <v>23</v>
      </c>
      <c r="F6279" s="28" t="s">
        <v>907</v>
      </c>
      <c r="G6279" s="19" t="n">
        <v>0.055031</v>
      </c>
    </row>
    <row r="6280" customFormat="false" ht="15" hidden="false" customHeight="false" outlineLevel="0" collapsed="false">
      <c r="A6280" s="28" t="s">
        <v>212</v>
      </c>
      <c r="B6280" s="28" t="s">
        <v>213</v>
      </c>
      <c r="C6280" s="28" t="s">
        <v>209</v>
      </c>
      <c r="D6280" s="23" t="n">
        <v>18</v>
      </c>
      <c r="E6280" s="23" t="n">
        <v>23</v>
      </c>
      <c r="F6280" s="28" t="s">
        <v>908</v>
      </c>
      <c r="G6280" s="19" t="n">
        <v>0.056938</v>
      </c>
    </row>
    <row r="6281" customFormat="false" ht="15" hidden="false" customHeight="false" outlineLevel="0" collapsed="false">
      <c r="A6281" s="28" t="s">
        <v>212</v>
      </c>
      <c r="B6281" s="28" t="s">
        <v>213</v>
      </c>
      <c r="C6281" s="28" t="s">
        <v>209</v>
      </c>
      <c r="D6281" s="23" t="n">
        <v>18</v>
      </c>
      <c r="E6281" s="23" t="n">
        <v>23</v>
      </c>
      <c r="F6281" s="28" t="s">
        <v>909</v>
      </c>
      <c r="G6281" s="19" t="n">
        <v>0.057346</v>
      </c>
    </row>
    <row r="6282" customFormat="false" ht="15" hidden="false" customHeight="false" outlineLevel="0" collapsed="false">
      <c r="A6282" s="28" t="s">
        <v>212</v>
      </c>
      <c r="B6282" s="28" t="s">
        <v>213</v>
      </c>
      <c r="C6282" s="28" t="s">
        <v>209</v>
      </c>
      <c r="D6282" s="23" t="n">
        <v>18</v>
      </c>
      <c r="E6282" s="23" t="n">
        <v>23</v>
      </c>
      <c r="F6282" s="28" t="s">
        <v>910</v>
      </c>
      <c r="G6282" s="19" t="n">
        <v>0.058362</v>
      </c>
    </row>
    <row r="6283" customFormat="false" ht="15" hidden="false" customHeight="false" outlineLevel="0" collapsed="false">
      <c r="A6283" s="28" t="s">
        <v>212</v>
      </c>
      <c r="B6283" s="28" t="s">
        <v>213</v>
      </c>
      <c r="C6283" s="28" t="s">
        <v>209</v>
      </c>
      <c r="D6283" s="23" t="n">
        <v>18</v>
      </c>
      <c r="E6283" s="23" t="n">
        <v>23</v>
      </c>
      <c r="F6283" s="28" t="s">
        <v>911</v>
      </c>
      <c r="G6283" s="19" t="n">
        <v>0.060077</v>
      </c>
    </row>
    <row r="6284" customFormat="false" ht="15" hidden="false" customHeight="false" outlineLevel="0" collapsed="false">
      <c r="A6284" s="28" t="s">
        <v>212</v>
      </c>
      <c r="B6284" s="28" t="s">
        <v>213</v>
      </c>
      <c r="C6284" s="28" t="s">
        <v>209</v>
      </c>
      <c r="D6284" s="23" t="n">
        <v>18</v>
      </c>
      <c r="E6284" s="23" t="n">
        <v>23</v>
      </c>
      <c r="F6284" s="28" t="s">
        <v>912</v>
      </c>
      <c r="G6284" s="19" t="n">
        <v>0.0624</v>
      </c>
    </row>
    <row r="6285" customFormat="false" ht="15" hidden="false" customHeight="false" outlineLevel="0" collapsed="false">
      <c r="A6285" s="28" t="s">
        <v>212</v>
      </c>
      <c r="B6285" s="28" t="s">
        <v>213</v>
      </c>
      <c r="C6285" s="28" t="s">
        <v>209</v>
      </c>
      <c r="D6285" s="23" t="n">
        <v>18</v>
      </c>
      <c r="E6285" s="23" t="n">
        <v>23</v>
      </c>
      <c r="F6285" s="28" t="s">
        <v>913</v>
      </c>
      <c r="G6285" s="19" t="n">
        <v>0.0673</v>
      </c>
    </row>
    <row r="6286" customFormat="false" ht="15" hidden="false" customHeight="false" outlineLevel="0" collapsed="false">
      <c r="A6286" s="28" t="s">
        <v>212</v>
      </c>
      <c r="B6286" s="28" t="s">
        <v>213</v>
      </c>
      <c r="C6286" s="28" t="s">
        <v>209</v>
      </c>
      <c r="D6286" s="23" t="n">
        <v>18</v>
      </c>
      <c r="E6286" s="23" t="n">
        <v>23</v>
      </c>
      <c r="F6286" s="28" t="s">
        <v>914</v>
      </c>
      <c r="G6286" s="19" t="n">
        <v>0.0671</v>
      </c>
    </row>
    <row r="6287" customFormat="false" ht="15" hidden="false" customHeight="false" outlineLevel="0" collapsed="false">
      <c r="A6287" s="28" t="s">
        <v>212</v>
      </c>
      <c r="B6287" s="28" t="s">
        <v>213</v>
      </c>
      <c r="C6287" s="28" t="s">
        <v>209</v>
      </c>
      <c r="D6287" s="23" t="n">
        <v>18</v>
      </c>
      <c r="E6287" s="23" t="n">
        <v>23</v>
      </c>
      <c r="F6287" s="28" t="s">
        <v>915</v>
      </c>
      <c r="G6287" s="19" t="n">
        <v>0.0829</v>
      </c>
    </row>
    <row r="6288" customFormat="false" ht="15" hidden="false" customHeight="false" outlineLevel="0" collapsed="false">
      <c r="A6288" s="28" t="s">
        <v>212</v>
      </c>
      <c r="B6288" s="28" t="s">
        <v>213</v>
      </c>
      <c r="C6288" s="28" t="s">
        <v>209</v>
      </c>
      <c r="D6288" s="23" t="n">
        <v>18</v>
      </c>
      <c r="E6288" s="23" t="n">
        <v>24</v>
      </c>
      <c r="F6288" s="28" t="s">
        <v>904</v>
      </c>
      <c r="G6288" s="19" t="n">
        <v>0.0513</v>
      </c>
    </row>
    <row r="6289" customFormat="false" ht="15" hidden="false" customHeight="false" outlineLevel="0" collapsed="false">
      <c r="A6289" s="28" t="s">
        <v>212</v>
      </c>
      <c r="B6289" s="28" t="s">
        <v>213</v>
      </c>
      <c r="C6289" s="28" t="s">
        <v>209</v>
      </c>
      <c r="D6289" s="23" t="n">
        <v>18</v>
      </c>
      <c r="E6289" s="23" t="n">
        <v>24</v>
      </c>
      <c r="F6289" s="28" t="s">
        <v>551</v>
      </c>
      <c r="G6289" s="19" t="n">
        <v>0.0825</v>
      </c>
    </row>
    <row r="6290" customFormat="false" ht="15" hidden="false" customHeight="false" outlineLevel="0" collapsed="false">
      <c r="A6290" s="28" t="s">
        <v>212</v>
      </c>
      <c r="B6290" s="28" t="s">
        <v>213</v>
      </c>
      <c r="C6290" s="28" t="s">
        <v>209</v>
      </c>
      <c r="D6290" s="23" t="n">
        <v>18</v>
      </c>
      <c r="E6290" s="23" t="n">
        <v>24</v>
      </c>
      <c r="F6290" s="28" t="s">
        <v>451</v>
      </c>
      <c r="G6290" s="19" t="n">
        <v>0.0511</v>
      </c>
    </row>
    <row r="6291" customFormat="false" ht="15" hidden="false" customHeight="false" outlineLevel="0" collapsed="false">
      <c r="A6291" s="28" t="s">
        <v>212</v>
      </c>
      <c r="B6291" s="28" t="s">
        <v>213</v>
      </c>
      <c r="C6291" s="28" t="s">
        <v>209</v>
      </c>
      <c r="D6291" s="23" t="n">
        <v>18</v>
      </c>
      <c r="E6291" s="23" t="n">
        <v>24</v>
      </c>
      <c r="F6291" s="28" t="s">
        <v>905</v>
      </c>
      <c r="G6291" s="19" t="n">
        <v>0.0537</v>
      </c>
    </row>
    <row r="6292" customFormat="false" ht="15" hidden="false" customHeight="false" outlineLevel="0" collapsed="false">
      <c r="A6292" s="28" t="s">
        <v>212</v>
      </c>
      <c r="B6292" s="28" t="s">
        <v>213</v>
      </c>
      <c r="C6292" s="28" t="s">
        <v>209</v>
      </c>
      <c r="D6292" s="23" t="n">
        <v>18</v>
      </c>
      <c r="E6292" s="23" t="n">
        <v>24</v>
      </c>
      <c r="F6292" s="28" t="s">
        <v>906</v>
      </c>
      <c r="G6292" s="19" t="n">
        <v>0.055177</v>
      </c>
    </row>
    <row r="6293" customFormat="false" ht="15" hidden="false" customHeight="false" outlineLevel="0" collapsed="false">
      <c r="A6293" s="28" t="s">
        <v>212</v>
      </c>
      <c r="B6293" s="28" t="s">
        <v>213</v>
      </c>
      <c r="C6293" s="28" t="s">
        <v>209</v>
      </c>
      <c r="D6293" s="23" t="n">
        <v>18</v>
      </c>
      <c r="E6293" s="23" t="n">
        <v>24</v>
      </c>
      <c r="F6293" s="28" t="s">
        <v>907</v>
      </c>
      <c r="G6293" s="19" t="n">
        <v>0.055031</v>
      </c>
    </row>
    <row r="6294" customFormat="false" ht="15" hidden="false" customHeight="false" outlineLevel="0" collapsed="false">
      <c r="A6294" s="28" t="s">
        <v>212</v>
      </c>
      <c r="B6294" s="28" t="s">
        <v>213</v>
      </c>
      <c r="C6294" s="28" t="s">
        <v>209</v>
      </c>
      <c r="D6294" s="23" t="n">
        <v>18</v>
      </c>
      <c r="E6294" s="23" t="n">
        <v>24</v>
      </c>
      <c r="F6294" s="28" t="s">
        <v>908</v>
      </c>
      <c r="G6294" s="19" t="n">
        <v>0.056938</v>
      </c>
    </row>
    <row r="6295" customFormat="false" ht="15" hidden="false" customHeight="false" outlineLevel="0" collapsed="false">
      <c r="A6295" s="28" t="s">
        <v>212</v>
      </c>
      <c r="B6295" s="28" t="s">
        <v>213</v>
      </c>
      <c r="C6295" s="28" t="s">
        <v>209</v>
      </c>
      <c r="D6295" s="23" t="n">
        <v>18</v>
      </c>
      <c r="E6295" s="23" t="n">
        <v>24</v>
      </c>
      <c r="F6295" s="28" t="s">
        <v>909</v>
      </c>
      <c r="G6295" s="19" t="n">
        <v>0.057346</v>
      </c>
    </row>
    <row r="6296" customFormat="false" ht="15" hidden="false" customHeight="false" outlineLevel="0" collapsed="false">
      <c r="A6296" s="28" t="s">
        <v>212</v>
      </c>
      <c r="B6296" s="28" t="s">
        <v>213</v>
      </c>
      <c r="C6296" s="28" t="s">
        <v>209</v>
      </c>
      <c r="D6296" s="23" t="n">
        <v>18</v>
      </c>
      <c r="E6296" s="23" t="n">
        <v>24</v>
      </c>
      <c r="F6296" s="28" t="s">
        <v>910</v>
      </c>
      <c r="G6296" s="19" t="n">
        <v>0.058362</v>
      </c>
    </row>
    <row r="6297" customFormat="false" ht="15" hidden="false" customHeight="false" outlineLevel="0" collapsed="false">
      <c r="A6297" s="28" t="s">
        <v>212</v>
      </c>
      <c r="B6297" s="28" t="s">
        <v>213</v>
      </c>
      <c r="C6297" s="28" t="s">
        <v>209</v>
      </c>
      <c r="D6297" s="23" t="n">
        <v>18</v>
      </c>
      <c r="E6297" s="23" t="n">
        <v>24</v>
      </c>
      <c r="F6297" s="28" t="s">
        <v>911</v>
      </c>
      <c r="G6297" s="19" t="n">
        <v>0.060077</v>
      </c>
    </row>
    <row r="6298" customFormat="false" ht="15" hidden="false" customHeight="false" outlineLevel="0" collapsed="false">
      <c r="A6298" s="28" t="s">
        <v>212</v>
      </c>
      <c r="B6298" s="28" t="s">
        <v>213</v>
      </c>
      <c r="C6298" s="28" t="s">
        <v>209</v>
      </c>
      <c r="D6298" s="23" t="n">
        <v>18</v>
      </c>
      <c r="E6298" s="23" t="n">
        <v>24</v>
      </c>
      <c r="F6298" s="28" t="s">
        <v>912</v>
      </c>
      <c r="G6298" s="19" t="n">
        <v>0.0624</v>
      </c>
    </row>
    <row r="6299" customFormat="false" ht="15" hidden="false" customHeight="false" outlineLevel="0" collapsed="false">
      <c r="A6299" s="28" t="s">
        <v>212</v>
      </c>
      <c r="B6299" s="28" t="s">
        <v>213</v>
      </c>
      <c r="C6299" s="28" t="s">
        <v>209</v>
      </c>
      <c r="D6299" s="23" t="n">
        <v>18</v>
      </c>
      <c r="E6299" s="23" t="n">
        <v>24</v>
      </c>
      <c r="F6299" s="28" t="s">
        <v>913</v>
      </c>
      <c r="G6299" s="19" t="n">
        <v>0.0673</v>
      </c>
    </row>
    <row r="6300" customFormat="false" ht="15" hidden="false" customHeight="false" outlineLevel="0" collapsed="false">
      <c r="A6300" s="28" t="s">
        <v>212</v>
      </c>
      <c r="B6300" s="28" t="s">
        <v>213</v>
      </c>
      <c r="C6300" s="28" t="s">
        <v>209</v>
      </c>
      <c r="D6300" s="23" t="n">
        <v>18</v>
      </c>
      <c r="E6300" s="23" t="n">
        <v>24</v>
      </c>
      <c r="F6300" s="28" t="s">
        <v>914</v>
      </c>
      <c r="G6300" s="19" t="n">
        <v>0.0671</v>
      </c>
    </row>
    <row r="6301" customFormat="false" ht="15" hidden="false" customHeight="false" outlineLevel="0" collapsed="false">
      <c r="A6301" s="28" t="s">
        <v>212</v>
      </c>
      <c r="B6301" s="28" t="s">
        <v>213</v>
      </c>
      <c r="C6301" s="28" t="s">
        <v>209</v>
      </c>
      <c r="D6301" s="23" t="n">
        <v>18</v>
      </c>
      <c r="E6301" s="23" t="n">
        <v>24</v>
      </c>
      <c r="F6301" s="28" t="s">
        <v>915</v>
      </c>
      <c r="G6301" s="19" t="n">
        <v>0.0829</v>
      </c>
    </row>
    <row r="6302" customFormat="false" ht="15" hidden="false" customHeight="false" outlineLevel="0" collapsed="false">
      <c r="A6302" s="28" t="s">
        <v>214</v>
      </c>
      <c r="B6302" s="28" t="s">
        <v>215</v>
      </c>
      <c r="C6302" s="28" t="s">
        <v>209</v>
      </c>
      <c r="D6302" s="23" t="n">
        <v>19</v>
      </c>
      <c r="E6302" s="23" t="n">
        <v>0</v>
      </c>
      <c r="F6302" s="28" t="s">
        <v>904</v>
      </c>
      <c r="G6302" s="19" t="n">
        <v>0.0363</v>
      </c>
    </row>
    <row r="6303" customFormat="false" ht="15" hidden="false" customHeight="false" outlineLevel="0" collapsed="false">
      <c r="A6303" s="28" t="s">
        <v>214</v>
      </c>
      <c r="B6303" s="28" t="s">
        <v>215</v>
      </c>
      <c r="C6303" s="28" t="s">
        <v>209</v>
      </c>
      <c r="D6303" s="23" t="n">
        <v>19</v>
      </c>
      <c r="E6303" s="23" t="n">
        <v>0</v>
      </c>
      <c r="F6303" s="28" t="s">
        <v>551</v>
      </c>
      <c r="G6303" s="19" t="n">
        <v>0.0675</v>
      </c>
    </row>
    <row r="6304" customFormat="false" ht="15" hidden="false" customHeight="false" outlineLevel="0" collapsed="false">
      <c r="A6304" s="28" t="s">
        <v>214</v>
      </c>
      <c r="B6304" s="28" t="s">
        <v>215</v>
      </c>
      <c r="C6304" s="28" t="s">
        <v>209</v>
      </c>
      <c r="D6304" s="23" t="n">
        <v>19</v>
      </c>
      <c r="E6304" s="23" t="n">
        <v>0</v>
      </c>
      <c r="F6304" s="28" t="s">
        <v>451</v>
      </c>
      <c r="G6304" s="19" t="n">
        <v>0.0361</v>
      </c>
    </row>
    <row r="6305" customFormat="false" ht="15" hidden="false" customHeight="false" outlineLevel="0" collapsed="false">
      <c r="A6305" s="28" t="s">
        <v>214</v>
      </c>
      <c r="B6305" s="28" t="s">
        <v>215</v>
      </c>
      <c r="C6305" s="28" t="s">
        <v>209</v>
      </c>
      <c r="D6305" s="23" t="n">
        <v>19</v>
      </c>
      <c r="E6305" s="23" t="n">
        <v>0</v>
      </c>
      <c r="F6305" s="28" t="s">
        <v>905</v>
      </c>
      <c r="G6305" s="19" t="n">
        <v>0.0387</v>
      </c>
    </row>
    <row r="6306" customFormat="false" ht="15" hidden="false" customHeight="false" outlineLevel="0" collapsed="false">
      <c r="A6306" s="28" t="s">
        <v>214</v>
      </c>
      <c r="B6306" s="28" t="s">
        <v>215</v>
      </c>
      <c r="C6306" s="28" t="s">
        <v>209</v>
      </c>
      <c r="D6306" s="23" t="n">
        <v>19</v>
      </c>
      <c r="E6306" s="23" t="n">
        <v>0</v>
      </c>
      <c r="F6306" s="28" t="s">
        <v>906</v>
      </c>
      <c r="G6306" s="19" t="n">
        <v>0.0401</v>
      </c>
    </row>
    <row r="6307" customFormat="false" ht="15" hidden="false" customHeight="false" outlineLevel="0" collapsed="false">
      <c r="A6307" s="28" t="s">
        <v>214</v>
      </c>
      <c r="B6307" s="28" t="s">
        <v>215</v>
      </c>
      <c r="C6307" s="28" t="s">
        <v>209</v>
      </c>
      <c r="D6307" s="23" t="n">
        <v>19</v>
      </c>
      <c r="E6307" s="23" t="n">
        <v>0</v>
      </c>
      <c r="F6307" s="28" t="s">
        <v>907</v>
      </c>
      <c r="G6307" s="19" t="n">
        <v>0.0398</v>
      </c>
    </row>
    <row r="6308" customFormat="false" ht="15" hidden="false" customHeight="false" outlineLevel="0" collapsed="false">
      <c r="A6308" s="28" t="s">
        <v>214</v>
      </c>
      <c r="B6308" s="28" t="s">
        <v>215</v>
      </c>
      <c r="C6308" s="28" t="s">
        <v>209</v>
      </c>
      <c r="D6308" s="23" t="n">
        <v>19</v>
      </c>
      <c r="E6308" s="23" t="n">
        <v>0</v>
      </c>
      <c r="F6308" s="28" t="s">
        <v>908</v>
      </c>
      <c r="G6308" s="19" t="n">
        <v>0.0414</v>
      </c>
    </row>
    <row r="6309" customFormat="false" ht="15" hidden="false" customHeight="false" outlineLevel="0" collapsed="false">
      <c r="A6309" s="28" t="s">
        <v>214</v>
      </c>
      <c r="B6309" s="28" t="s">
        <v>215</v>
      </c>
      <c r="C6309" s="28" t="s">
        <v>209</v>
      </c>
      <c r="D6309" s="23" t="n">
        <v>19</v>
      </c>
      <c r="E6309" s="23" t="n">
        <v>0</v>
      </c>
      <c r="F6309" s="28" t="s">
        <v>909</v>
      </c>
      <c r="G6309" s="19" t="n">
        <v>0.0415</v>
      </c>
    </row>
    <row r="6310" customFormat="false" ht="15" hidden="false" customHeight="false" outlineLevel="0" collapsed="false">
      <c r="A6310" s="28" t="s">
        <v>214</v>
      </c>
      <c r="B6310" s="28" t="s">
        <v>215</v>
      </c>
      <c r="C6310" s="28" t="s">
        <v>209</v>
      </c>
      <c r="D6310" s="23" t="n">
        <v>19</v>
      </c>
      <c r="E6310" s="23" t="n">
        <v>0</v>
      </c>
      <c r="F6310" s="28" t="s">
        <v>910</v>
      </c>
      <c r="G6310" s="19" t="n">
        <v>0.0419</v>
      </c>
    </row>
    <row r="6311" customFormat="false" ht="15" hidden="false" customHeight="false" outlineLevel="0" collapsed="false">
      <c r="A6311" s="28" t="s">
        <v>214</v>
      </c>
      <c r="B6311" s="28" t="s">
        <v>215</v>
      </c>
      <c r="C6311" s="28" t="s">
        <v>209</v>
      </c>
      <c r="D6311" s="23" t="n">
        <v>19</v>
      </c>
      <c r="E6311" s="23" t="n">
        <v>0</v>
      </c>
      <c r="F6311" s="28" t="s">
        <v>911</v>
      </c>
      <c r="G6311" s="19" t="n">
        <v>0.043</v>
      </c>
    </row>
    <row r="6312" customFormat="false" ht="15" hidden="false" customHeight="false" outlineLevel="0" collapsed="false">
      <c r="A6312" s="28" t="s">
        <v>214</v>
      </c>
      <c r="B6312" s="28" t="s">
        <v>215</v>
      </c>
      <c r="C6312" s="28" t="s">
        <v>209</v>
      </c>
      <c r="D6312" s="23" t="n">
        <v>19</v>
      </c>
      <c r="E6312" s="23" t="n">
        <v>0</v>
      </c>
      <c r="F6312" s="28" t="s">
        <v>912</v>
      </c>
      <c r="G6312" s="19" t="n">
        <v>0.0444</v>
      </c>
    </row>
    <row r="6313" customFormat="false" ht="15" hidden="false" customHeight="false" outlineLevel="0" collapsed="false">
      <c r="A6313" s="28" t="s">
        <v>214</v>
      </c>
      <c r="B6313" s="28" t="s">
        <v>215</v>
      </c>
      <c r="C6313" s="28" t="s">
        <v>209</v>
      </c>
      <c r="D6313" s="23" t="n">
        <v>19</v>
      </c>
      <c r="E6313" s="23" t="n">
        <v>0</v>
      </c>
      <c r="F6313" s="28" t="s">
        <v>913</v>
      </c>
      <c r="G6313" s="19" t="n">
        <v>0.0493</v>
      </c>
    </row>
    <row r="6314" customFormat="false" ht="15" hidden="false" customHeight="false" outlineLevel="0" collapsed="false">
      <c r="A6314" s="28" t="s">
        <v>214</v>
      </c>
      <c r="B6314" s="28" t="s">
        <v>215</v>
      </c>
      <c r="C6314" s="28" t="s">
        <v>209</v>
      </c>
      <c r="D6314" s="23" t="n">
        <v>19</v>
      </c>
      <c r="E6314" s="23" t="n">
        <v>0</v>
      </c>
      <c r="F6314" s="28" t="s">
        <v>914</v>
      </c>
      <c r="G6314" s="19" t="n">
        <v>0.0491</v>
      </c>
    </row>
    <row r="6315" customFormat="false" ht="15" hidden="false" customHeight="false" outlineLevel="0" collapsed="false">
      <c r="A6315" s="28" t="s">
        <v>214</v>
      </c>
      <c r="B6315" s="28" t="s">
        <v>215</v>
      </c>
      <c r="C6315" s="28" t="s">
        <v>209</v>
      </c>
      <c r="D6315" s="23" t="n">
        <v>19</v>
      </c>
      <c r="E6315" s="23" t="n">
        <v>0</v>
      </c>
      <c r="F6315" s="28" t="s">
        <v>915</v>
      </c>
      <c r="G6315" s="19" t="n">
        <v>0.0649</v>
      </c>
    </row>
    <row r="6316" customFormat="false" ht="15" hidden="false" customHeight="false" outlineLevel="0" collapsed="false">
      <c r="A6316" s="28" t="s">
        <v>214</v>
      </c>
      <c r="B6316" s="28" t="s">
        <v>215</v>
      </c>
      <c r="C6316" s="28" t="s">
        <v>209</v>
      </c>
      <c r="D6316" s="23" t="n">
        <v>19</v>
      </c>
      <c r="E6316" s="23" t="n">
        <v>1</v>
      </c>
      <c r="F6316" s="28" t="s">
        <v>904</v>
      </c>
      <c r="G6316" s="19" t="n">
        <v>0.034633</v>
      </c>
    </row>
    <row r="6317" customFormat="false" ht="15" hidden="false" customHeight="false" outlineLevel="0" collapsed="false">
      <c r="A6317" s="28" t="s">
        <v>214</v>
      </c>
      <c r="B6317" s="28" t="s">
        <v>215</v>
      </c>
      <c r="C6317" s="28" t="s">
        <v>209</v>
      </c>
      <c r="D6317" s="23" t="n">
        <v>19</v>
      </c>
      <c r="E6317" s="23" t="n">
        <v>1</v>
      </c>
      <c r="F6317" s="28" t="s">
        <v>551</v>
      </c>
      <c r="G6317" s="19" t="n">
        <v>0.065833</v>
      </c>
    </row>
    <row r="6318" customFormat="false" ht="15" hidden="false" customHeight="false" outlineLevel="0" collapsed="false">
      <c r="A6318" s="28" t="s">
        <v>214</v>
      </c>
      <c r="B6318" s="28" t="s">
        <v>215</v>
      </c>
      <c r="C6318" s="28" t="s">
        <v>209</v>
      </c>
      <c r="D6318" s="23" t="n">
        <v>19</v>
      </c>
      <c r="E6318" s="23" t="n">
        <v>1</v>
      </c>
      <c r="F6318" s="28" t="s">
        <v>451</v>
      </c>
      <c r="G6318" s="19" t="n">
        <v>0.034433</v>
      </c>
    </row>
    <row r="6319" customFormat="false" ht="15" hidden="false" customHeight="false" outlineLevel="0" collapsed="false">
      <c r="A6319" s="28" t="s">
        <v>214</v>
      </c>
      <c r="B6319" s="28" t="s">
        <v>215</v>
      </c>
      <c r="C6319" s="28" t="s">
        <v>209</v>
      </c>
      <c r="D6319" s="23" t="n">
        <v>19</v>
      </c>
      <c r="E6319" s="23" t="n">
        <v>1</v>
      </c>
      <c r="F6319" s="28" t="s">
        <v>905</v>
      </c>
      <c r="G6319" s="19" t="n">
        <v>0.037033</v>
      </c>
    </row>
    <row r="6320" customFormat="false" ht="15" hidden="false" customHeight="false" outlineLevel="0" collapsed="false">
      <c r="A6320" s="28" t="s">
        <v>214</v>
      </c>
      <c r="B6320" s="28" t="s">
        <v>215</v>
      </c>
      <c r="C6320" s="28" t="s">
        <v>209</v>
      </c>
      <c r="D6320" s="23" t="n">
        <v>19</v>
      </c>
      <c r="E6320" s="23" t="n">
        <v>1</v>
      </c>
      <c r="F6320" s="28" t="s">
        <v>906</v>
      </c>
      <c r="G6320" s="19" t="n">
        <v>0.038455</v>
      </c>
    </row>
    <row r="6321" customFormat="false" ht="15" hidden="false" customHeight="false" outlineLevel="0" collapsed="false">
      <c r="A6321" s="28" t="s">
        <v>214</v>
      </c>
      <c r="B6321" s="28" t="s">
        <v>215</v>
      </c>
      <c r="C6321" s="28" t="s">
        <v>209</v>
      </c>
      <c r="D6321" s="23" t="n">
        <v>19</v>
      </c>
      <c r="E6321" s="23" t="n">
        <v>1</v>
      </c>
      <c r="F6321" s="28" t="s">
        <v>907</v>
      </c>
      <c r="G6321" s="19" t="n">
        <v>0.038197</v>
      </c>
    </row>
    <row r="6322" customFormat="false" ht="15" hidden="false" customHeight="false" outlineLevel="0" collapsed="false">
      <c r="A6322" s="28" t="s">
        <v>214</v>
      </c>
      <c r="B6322" s="28" t="s">
        <v>215</v>
      </c>
      <c r="C6322" s="28" t="s">
        <v>209</v>
      </c>
      <c r="D6322" s="23" t="n">
        <v>19</v>
      </c>
      <c r="E6322" s="23" t="n">
        <v>1</v>
      </c>
      <c r="F6322" s="28" t="s">
        <v>908</v>
      </c>
      <c r="G6322" s="19" t="n">
        <v>0.039883</v>
      </c>
    </row>
    <row r="6323" customFormat="false" ht="15" hidden="false" customHeight="false" outlineLevel="0" collapsed="false">
      <c r="A6323" s="28" t="s">
        <v>214</v>
      </c>
      <c r="B6323" s="28" t="s">
        <v>215</v>
      </c>
      <c r="C6323" s="28" t="s">
        <v>209</v>
      </c>
      <c r="D6323" s="23" t="n">
        <v>19</v>
      </c>
      <c r="E6323" s="23" t="n">
        <v>1</v>
      </c>
      <c r="F6323" s="28" t="s">
        <v>909</v>
      </c>
      <c r="G6323" s="19" t="n">
        <v>0.040068</v>
      </c>
    </row>
    <row r="6324" customFormat="false" ht="15" hidden="false" customHeight="false" outlineLevel="0" collapsed="false">
      <c r="A6324" s="28" t="s">
        <v>214</v>
      </c>
      <c r="B6324" s="28" t="s">
        <v>215</v>
      </c>
      <c r="C6324" s="28" t="s">
        <v>209</v>
      </c>
      <c r="D6324" s="23" t="n">
        <v>19</v>
      </c>
      <c r="E6324" s="23" t="n">
        <v>1</v>
      </c>
      <c r="F6324" s="28" t="s">
        <v>910</v>
      </c>
      <c r="G6324" s="19" t="n">
        <v>0.040639</v>
      </c>
    </row>
    <row r="6325" customFormat="false" ht="15" hidden="false" customHeight="false" outlineLevel="0" collapsed="false">
      <c r="A6325" s="28" t="s">
        <v>214</v>
      </c>
      <c r="B6325" s="28" t="s">
        <v>215</v>
      </c>
      <c r="C6325" s="28" t="s">
        <v>209</v>
      </c>
      <c r="D6325" s="23" t="n">
        <v>19</v>
      </c>
      <c r="E6325" s="23" t="n">
        <v>1</v>
      </c>
      <c r="F6325" s="28" t="s">
        <v>911</v>
      </c>
      <c r="G6325" s="19" t="n">
        <v>0.04191</v>
      </c>
    </row>
    <row r="6326" customFormat="false" ht="15" hidden="false" customHeight="false" outlineLevel="0" collapsed="false">
      <c r="A6326" s="28" t="s">
        <v>214</v>
      </c>
      <c r="B6326" s="28" t="s">
        <v>215</v>
      </c>
      <c r="C6326" s="28" t="s">
        <v>209</v>
      </c>
      <c r="D6326" s="23" t="n">
        <v>19</v>
      </c>
      <c r="E6326" s="23" t="n">
        <v>1</v>
      </c>
      <c r="F6326" s="28" t="s">
        <v>912</v>
      </c>
      <c r="G6326" s="19" t="n">
        <v>0.043567</v>
      </c>
    </row>
    <row r="6327" customFormat="false" ht="15" hidden="false" customHeight="false" outlineLevel="0" collapsed="false">
      <c r="A6327" s="28" t="s">
        <v>214</v>
      </c>
      <c r="B6327" s="28" t="s">
        <v>215</v>
      </c>
      <c r="C6327" s="28" t="s">
        <v>209</v>
      </c>
      <c r="D6327" s="23" t="n">
        <v>19</v>
      </c>
      <c r="E6327" s="23" t="n">
        <v>1</v>
      </c>
      <c r="F6327" s="28" t="s">
        <v>913</v>
      </c>
      <c r="G6327" s="19" t="n">
        <v>0.048467</v>
      </c>
    </row>
    <row r="6328" customFormat="false" ht="15" hidden="false" customHeight="false" outlineLevel="0" collapsed="false">
      <c r="A6328" s="28" t="s">
        <v>214</v>
      </c>
      <c r="B6328" s="28" t="s">
        <v>215</v>
      </c>
      <c r="C6328" s="28" t="s">
        <v>209</v>
      </c>
      <c r="D6328" s="23" t="n">
        <v>19</v>
      </c>
      <c r="E6328" s="23" t="n">
        <v>1</v>
      </c>
      <c r="F6328" s="28" t="s">
        <v>914</v>
      </c>
      <c r="G6328" s="19" t="n">
        <v>0.048267</v>
      </c>
    </row>
    <row r="6329" customFormat="false" ht="15" hidden="false" customHeight="false" outlineLevel="0" collapsed="false">
      <c r="A6329" s="28" t="s">
        <v>214</v>
      </c>
      <c r="B6329" s="28" t="s">
        <v>215</v>
      </c>
      <c r="C6329" s="28" t="s">
        <v>209</v>
      </c>
      <c r="D6329" s="23" t="n">
        <v>19</v>
      </c>
      <c r="E6329" s="23" t="n">
        <v>1</v>
      </c>
      <c r="F6329" s="28" t="s">
        <v>915</v>
      </c>
      <c r="G6329" s="19" t="n">
        <v>0.064067</v>
      </c>
    </row>
    <row r="6330" customFormat="false" ht="15" hidden="false" customHeight="false" outlineLevel="0" collapsed="false">
      <c r="A6330" s="28" t="s">
        <v>214</v>
      </c>
      <c r="B6330" s="28" t="s">
        <v>215</v>
      </c>
      <c r="C6330" s="28" t="s">
        <v>209</v>
      </c>
      <c r="D6330" s="23" t="n">
        <v>19</v>
      </c>
      <c r="E6330" s="23" t="n">
        <v>2</v>
      </c>
      <c r="F6330" s="28" t="s">
        <v>904</v>
      </c>
      <c r="G6330" s="19" t="n">
        <v>0.032967</v>
      </c>
    </row>
    <row r="6331" customFormat="false" ht="15" hidden="false" customHeight="false" outlineLevel="0" collapsed="false">
      <c r="A6331" s="28" t="s">
        <v>214</v>
      </c>
      <c r="B6331" s="28" t="s">
        <v>215</v>
      </c>
      <c r="C6331" s="28" t="s">
        <v>209</v>
      </c>
      <c r="D6331" s="23" t="n">
        <v>19</v>
      </c>
      <c r="E6331" s="23" t="n">
        <v>2</v>
      </c>
      <c r="F6331" s="28" t="s">
        <v>551</v>
      </c>
      <c r="G6331" s="19" t="n">
        <v>0.064167</v>
      </c>
    </row>
    <row r="6332" customFormat="false" ht="15" hidden="false" customHeight="false" outlineLevel="0" collapsed="false">
      <c r="A6332" s="28" t="s">
        <v>214</v>
      </c>
      <c r="B6332" s="28" t="s">
        <v>215</v>
      </c>
      <c r="C6332" s="28" t="s">
        <v>209</v>
      </c>
      <c r="D6332" s="23" t="n">
        <v>19</v>
      </c>
      <c r="E6332" s="23" t="n">
        <v>2</v>
      </c>
      <c r="F6332" s="28" t="s">
        <v>451</v>
      </c>
      <c r="G6332" s="19" t="n">
        <v>0.032767</v>
      </c>
    </row>
    <row r="6333" customFormat="false" ht="15" hidden="false" customHeight="false" outlineLevel="0" collapsed="false">
      <c r="A6333" s="28" t="s">
        <v>214</v>
      </c>
      <c r="B6333" s="28" t="s">
        <v>215</v>
      </c>
      <c r="C6333" s="28" t="s">
        <v>209</v>
      </c>
      <c r="D6333" s="23" t="n">
        <v>19</v>
      </c>
      <c r="E6333" s="23" t="n">
        <v>2</v>
      </c>
      <c r="F6333" s="28" t="s">
        <v>905</v>
      </c>
      <c r="G6333" s="19" t="n">
        <v>0.035367</v>
      </c>
    </row>
    <row r="6334" customFormat="false" ht="15" hidden="false" customHeight="false" outlineLevel="0" collapsed="false">
      <c r="A6334" s="28" t="s">
        <v>214</v>
      </c>
      <c r="B6334" s="28" t="s">
        <v>215</v>
      </c>
      <c r="C6334" s="28" t="s">
        <v>209</v>
      </c>
      <c r="D6334" s="23" t="n">
        <v>19</v>
      </c>
      <c r="E6334" s="23" t="n">
        <v>2</v>
      </c>
      <c r="F6334" s="28" t="s">
        <v>906</v>
      </c>
      <c r="G6334" s="19" t="n">
        <v>0.036809</v>
      </c>
    </row>
    <row r="6335" customFormat="false" ht="15" hidden="false" customHeight="false" outlineLevel="0" collapsed="false">
      <c r="A6335" s="28" t="s">
        <v>214</v>
      </c>
      <c r="B6335" s="28" t="s">
        <v>215</v>
      </c>
      <c r="C6335" s="28" t="s">
        <v>209</v>
      </c>
      <c r="D6335" s="23" t="n">
        <v>19</v>
      </c>
      <c r="E6335" s="23" t="n">
        <v>2</v>
      </c>
      <c r="F6335" s="28" t="s">
        <v>907</v>
      </c>
      <c r="G6335" s="19" t="n">
        <v>0.036595</v>
      </c>
    </row>
    <row r="6336" customFormat="false" ht="15" hidden="false" customHeight="false" outlineLevel="0" collapsed="false">
      <c r="A6336" s="28" t="s">
        <v>214</v>
      </c>
      <c r="B6336" s="28" t="s">
        <v>215</v>
      </c>
      <c r="C6336" s="28" t="s">
        <v>209</v>
      </c>
      <c r="D6336" s="23" t="n">
        <v>19</v>
      </c>
      <c r="E6336" s="23" t="n">
        <v>2</v>
      </c>
      <c r="F6336" s="28" t="s">
        <v>908</v>
      </c>
      <c r="G6336" s="19" t="n">
        <v>0.038366</v>
      </c>
    </row>
    <row r="6337" customFormat="false" ht="15" hidden="false" customHeight="false" outlineLevel="0" collapsed="false">
      <c r="A6337" s="28" t="s">
        <v>214</v>
      </c>
      <c r="B6337" s="28" t="s">
        <v>215</v>
      </c>
      <c r="C6337" s="28" t="s">
        <v>209</v>
      </c>
      <c r="D6337" s="23" t="n">
        <v>19</v>
      </c>
      <c r="E6337" s="23" t="n">
        <v>2</v>
      </c>
      <c r="F6337" s="28" t="s">
        <v>909</v>
      </c>
      <c r="G6337" s="19" t="n">
        <v>0.038637</v>
      </c>
    </row>
    <row r="6338" customFormat="false" ht="15" hidden="false" customHeight="false" outlineLevel="0" collapsed="false">
      <c r="A6338" s="28" t="s">
        <v>214</v>
      </c>
      <c r="B6338" s="28" t="s">
        <v>215</v>
      </c>
      <c r="C6338" s="28" t="s">
        <v>209</v>
      </c>
      <c r="D6338" s="23" t="n">
        <v>19</v>
      </c>
      <c r="E6338" s="23" t="n">
        <v>2</v>
      </c>
      <c r="F6338" s="28" t="s">
        <v>910</v>
      </c>
      <c r="G6338" s="19" t="n">
        <v>0.039379</v>
      </c>
    </row>
    <row r="6339" customFormat="false" ht="15" hidden="false" customHeight="false" outlineLevel="0" collapsed="false">
      <c r="A6339" s="28" t="s">
        <v>214</v>
      </c>
      <c r="B6339" s="28" t="s">
        <v>215</v>
      </c>
      <c r="C6339" s="28" t="s">
        <v>209</v>
      </c>
      <c r="D6339" s="23" t="n">
        <v>19</v>
      </c>
      <c r="E6339" s="23" t="n">
        <v>2</v>
      </c>
      <c r="F6339" s="28" t="s">
        <v>911</v>
      </c>
      <c r="G6339" s="19" t="n">
        <v>0.040821</v>
      </c>
    </row>
    <row r="6340" customFormat="false" ht="15" hidden="false" customHeight="false" outlineLevel="0" collapsed="false">
      <c r="A6340" s="28" t="s">
        <v>214</v>
      </c>
      <c r="B6340" s="28" t="s">
        <v>215</v>
      </c>
      <c r="C6340" s="28" t="s">
        <v>209</v>
      </c>
      <c r="D6340" s="23" t="n">
        <v>19</v>
      </c>
      <c r="E6340" s="23" t="n">
        <v>2</v>
      </c>
      <c r="F6340" s="28" t="s">
        <v>912</v>
      </c>
      <c r="G6340" s="19" t="n">
        <v>0.042733</v>
      </c>
    </row>
    <row r="6341" customFormat="false" ht="15" hidden="false" customHeight="false" outlineLevel="0" collapsed="false">
      <c r="A6341" s="28" t="s">
        <v>214</v>
      </c>
      <c r="B6341" s="28" t="s">
        <v>215</v>
      </c>
      <c r="C6341" s="28" t="s">
        <v>209</v>
      </c>
      <c r="D6341" s="23" t="n">
        <v>19</v>
      </c>
      <c r="E6341" s="23" t="n">
        <v>2</v>
      </c>
      <c r="F6341" s="28" t="s">
        <v>913</v>
      </c>
      <c r="G6341" s="19" t="n">
        <v>0.047633</v>
      </c>
    </row>
    <row r="6342" customFormat="false" ht="15" hidden="false" customHeight="false" outlineLevel="0" collapsed="false">
      <c r="A6342" s="28" t="s">
        <v>214</v>
      </c>
      <c r="B6342" s="28" t="s">
        <v>215</v>
      </c>
      <c r="C6342" s="28" t="s">
        <v>209</v>
      </c>
      <c r="D6342" s="23" t="n">
        <v>19</v>
      </c>
      <c r="E6342" s="23" t="n">
        <v>2</v>
      </c>
      <c r="F6342" s="28" t="s">
        <v>914</v>
      </c>
      <c r="G6342" s="19" t="n">
        <v>0.047433</v>
      </c>
    </row>
    <row r="6343" customFormat="false" ht="15" hidden="false" customHeight="false" outlineLevel="0" collapsed="false">
      <c r="A6343" s="28" t="s">
        <v>214</v>
      </c>
      <c r="B6343" s="28" t="s">
        <v>215</v>
      </c>
      <c r="C6343" s="28" t="s">
        <v>209</v>
      </c>
      <c r="D6343" s="23" t="n">
        <v>19</v>
      </c>
      <c r="E6343" s="23" t="n">
        <v>2</v>
      </c>
      <c r="F6343" s="28" t="s">
        <v>915</v>
      </c>
      <c r="G6343" s="19" t="n">
        <v>0.063233</v>
      </c>
    </row>
    <row r="6344" customFormat="false" ht="15" hidden="false" customHeight="false" outlineLevel="0" collapsed="false">
      <c r="A6344" s="28" t="s">
        <v>214</v>
      </c>
      <c r="B6344" s="28" t="s">
        <v>215</v>
      </c>
      <c r="C6344" s="28" t="s">
        <v>209</v>
      </c>
      <c r="D6344" s="23" t="n">
        <v>19</v>
      </c>
      <c r="E6344" s="23" t="n">
        <v>3</v>
      </c>
      <c r="F6344" s="28" t="s">
        <v>904</v>
      </c>
      <c r="G6344" s="19" t="n">
        <v>0.0313</v>
      </c>
    </row>
    <row r="6345" customFormat="false" ht="15" hidden="false" customHeight="false" outlineLevel="0" collapsed="false">
      <c r="A6345" s="28" t="s">
        <v>214</v>
      </c>
      <c r="B6345" s="28" t="s">
        <v>215</v>
      </c>
      <c r="C6345" s="28" t="s">
        <v>209</v>
      </c>
      <c r="D6345" s="23" t="n">
        <v>19</v>
      </c>
      <c r="E6345" s="23" t="n">
        <v>3</v>
      </c>
      <c r="F6345" s="28" t="s">
        <v>551</v>
      </c>
      <c r="G6345" s="19" t="n">
        <v>0.0625</v>
      </c>
    </row>
    <row r="6346" customFormat="false" ht="15" hidden="false" customHeight="false" outlineLevel="0" collapsed="false">
      <c r="A6346" s="28" t="s">
        <v>214</v>
      </c>
      <c r="B6346" s="28" t="s">
        <v>215</v>
      </c>
      <c r="C6346" s="28" t="s">
        <v>209</v>
      </c>
      <c r="D6346" s="23" t="n">
        <v>19</v>
      </c>
      <c r="E6346" s="23" t="n">
        <v>3</v>
      </c>
      <c r="F6346" s="28" t="s">
        <v>451</v>
      </c>
      <c r="G6346" s="19" t="n">
        <v>0.0311</v>
      </c>
    </row>
    <row r="6347" customFormat="false" ht="15" hidden="false" customHeight="false" outlineLevel="0" collapsed="false">
      <c r="A6347" s="28" t="s">
        <v>214</v>
      </c>
      <c r="B6347" s="28" t="s">
        <v>215</v>
      </c>
      <c r="C6347" s="28" t="s">
        <v>209</v>
      </c>
      <c r="D6347" s="23" t="n">
        <v>19</v>
      </c>
      <c r="E6347" s="23" t="n">
        <v>3</v>
      </c>
      <c r="F6347" s="28" t="s">
        <v>905</v>
      </c>
      <c r="G6347" s="19" t="n">
        <v>0.0337</v>
      </c>
    </row>
    <row r="6348" customFormat="false" ht="15" hidden="false" customHeight="false" outlineLevel="0" collapsed="false">
      <c r="A6348" s="28" t="s">
        <v>214</v>
      </c>
      <c r="B6348" s="28" t="s">
        <v>215</v>
      </c>
      <c r="C6348" s="28" t="s">
        <v>209</v>
      </c>
      <c r="D6348" s="23" t="n">
        <v>19</v>
      </c>
      <c r="E6348" s="23" t="n">
        <v>3</v>
      </c>
      <c r="F6348" s="28" t="s">
        <v>906</v>
      </c>
      <c r="G6348" s="19" t="n">
        <v>0.035164</v>
      </c>
    </row>
    <row r="6349" customFormat="false" ht="15" hidden="false" customHeight="false" outlineLevel="0" collapsed="false">
      <c r="A6349" s="28" t="s">
        <v>214</v>
      </c>
      <c r="B6349" s="28" t="s">
        <v>215</v>
      </c>
      <c r="C6349" s="28" t="s">
        <v>209</v>
      </c>
      <c r="D6349" s="23" t="n">
        <v>19</v>
      </c>
      <c r="E6349" s="23" t="n">
        <v>3</v>
      </c>
      <c r="F6349" s="28" t="s">
        <v>907</v>
      </c>
      <c r="G6349" s="19" t="n">
        <v>0.034992</v>
      </c>
    </row>
    <row r="6350" customFormat="false" ht="15" hidden="false" customHeight="false" outlineLevel="0" collapsed="false">
      <c r="A6350" s="28" t="s">
        <v>214</v>
      </c>
      <c r="B6350" s="28" t="s">
        <v>215</v>
      </c>
      <c r="C6350" s="28" t="s">
        <v>209</v>
      </c>
      <c r="D6350" s="23" t="n">
        <v>19</v>
      </c>
      <c r="E6350" s="23" t="n">
        <v>3</v>
      </c>
      <c r="F6350" s="28" t="s">
        <v>908</v>
      </c>
      <c r="G6350" s="19" t="n">
        <v>0.036849</v>
      </c>
    </row>
    <row r="6351" customFormat="false" ht="15" hidden="false" customHeight="false" outlineLevel="0" collapsed="false">
      <c r="A6351" s="28" t="s">
        <v>214</v>
      </c>
      <c r="B6351" s="28" t="s">
        <v>215</v>
      </c>
      <c r="C6351" s="28" t="s">
        <v>209</v>
      </c>
      <c r="D6351" s="23" t="n">
        <v>19</v>
      </c>
      <c r="E6351" s="23" t="n">
        <v>3</v>
      </c>
      <c r="F6351" s="28" t="s">
        <v>909</v>
      </c>
      <c r="G6351" s="19" t="n">
        <v>0.037205</v>
      </c>
    </row>
    <row r="6352" customFormat="false" ht="15" hidden="false" customHeight="false" outlineLevel="0" collapsed="false">
      <c r="A6352" s="28" t="s">
        <v>214</v>
      </c>
      <c r="B6352" s="28" t="s">
        <v>215</v>
      </c>
      <c r="C6352" s="28" t="s">
        <v>209</v>
      </c>
      <c r="D6352" s="23" t="n">
        <v>19</v>
      </c>
      <c r="E6352" s="23" t="n">
        <v>3</v>
      </c>
      <c r="F6352" s="28" t="s">
        <v>910</v>
      </c>
      <c r="G6352" s="19" t="n">
        <v>0.038118</v>
      </c>
    </row>
    <row r="6353" customFormat="false" ht="15" hidden="false" customHeight="false" outlineLevel="0" collapsed="false">
      <c r="A6353" s="28" t="s">
        <v>214</v>
      </c>
      <c r="B6353" s="28" t="s">
        <v>215</v>
      </c>
      <c r="C6353" s="28" t="s">
        <v>209</v>
      </c>
      <c r="D6353" s="23" t="n">
        <v>19</v>
      </c>
      <c r="E6353" s="23" t="n">
        <v>3</v>
      </c>
      <c r="F6353" s="28" t="s">
        <v>911</v>
      </c>
      <c r="G6353" s="19" t="n">
        <v>0.039731</v>
      </c>
    </row>
    <row r="6354" customFormat="false" ht="15" hidden="false" customHeight="false" outlineLevel="0" collapsed="false">
      <c r="A6354" s="28" t="s">
        <v>214</v>
      </c>
      <c r="B6354" s="28" t="s">
        <v>215</v>
      </c>
      <c r="C6354" s="28" t="s">
        <v>209</v>
      </c>
      <c r="D6354" s="23" t="n">
        <v>19</v>
      </c>
      <c r="E6354" s="23" t="n">
        <v>3</v>
      </c>
      <c r="F6354" s="28" t="s">
        <v>912</v>
      </c>
      <c r="G6354" s="19" t="n">
        <v>0.0419</v>
      </c>
    </row>
    <row r="6355" customFormat="false" ht="15" hidden="false" customHeight="false" outlineLevel="0" collapsed="false">
      <c r="A6355" s="28" t="s">
        <v>214</v>
      </c>
      <c r="B6355" s="28" t="s">
        <v>215</v>
      </c>
      <c r="C6355" s="28" t="s">
        <v>209</v>
      </c>
      <c r="D6355" s="23" t="n">
        <v>19</v>
      </c>
      <c r="E6355" s="23" t="n">
        <v>3</v>
      </c>
      <c r="F6355" s="28" t="s">
        <v>913</v>
      </c>
      <c r="G6355" s="19" t="n">
        <v>0.0468</v>
      </c>
    </row>
    <row r="6356" customFormat="false" ht="15" hidden="false" customHeight="false" outlineLevel="0" collapsed="false">
      <c r="A6356" s="28" t="s">
        <v>214</v>
      </c>
      <c r="B6356" s="28" t="s">
        <v>215</v>
      </c>
      <c r="C6356" s="28" t="s">
        <v>209</v>
      </c>
      <c r="D6356" s="23" t="n">
        <v>19</v>
      </c>
      <c r="E6356" s="23" t="n">
        <v>3</v>
      </c>
      <c r="F6356" s="28" t="s">
        <v>914</v>
      </c>
      <c r="G6356" s="19" t="n">
        <v>0.0466</v>
      </c>
    </row>
    <row r="6357" customFormat="false" ht="15" hidden="false" customHeight="false" outlineLevel="0" collapsed="false">
      <c r="A6357" s="28" t="s">
        <v>214</v>
      </c>
      <c r="B6357" s="28" t="s">
        <v>215</v>
      </c>
      <c r="C6357" s="28" t="s">
        <v>209</v>
      </c>
      <c r="D6357" s="23" t="n">
        <v>19</v>
      </c>
      <c r="E6357" s="23" t="n">
        <v>3</v>
      </c>
      <c r="F6357" s="28" t="s">
        <v>915</v>
      </c>
      <c r="G6357" s="19" t="n">
        <v>0.0624</v>
      </c>
    </row>
    <row r="6358" customFormat="false" ht="15" hidden="false" customHeight="false" outlineLevel="0" collapsed="false">
      <c r="A6358" s="28" t="s">
        <v>214</v>
      </c>
      <c r="B6358" s="28" t="s">
        <v>215</v>
      </c>
      <c r="C6358" s="28" t="s">
        <v>209</v>
      </c>
      <c r="D6358" s="23" t="n">
        <v>19</v>
      </c>
      <c r="E6358" s="23" t="n">
        <v>4</v>
      </c>
      <c r="F6358" s="28" t="s">
        <v>904</v>
      </c>
      <c r="G6358" s="19" t="n">
        <v>0.029633</v>
      </c>
    </row>
    <row r="6359" customFormat="false" ht="15" hidden="false" customHeight="false" outlineLevel="0" collapsed="false">
      <c r="A6359" s="28" t="s">
        <v>214</v>
      </c>
      <c r="B6359" s="28" t="s">
        <v>215</v>
      </c>
      <c r="C6359" s="28" t="s">
        <v>209</v>
      </c>
      <c r="D6359" s="23" t="n">
        <v>19</v>
      </c>
      <c r="E6359" s="23" t="n">
        <v>4</v>
      </c>
      <c r="F6359" s="28" t="s">
        <v>551</v>
      </c>
      <c r="G6359" s="19" t="n">
        <v>0.060833</v>
      </c>
    </row>
    <row r="6360" customFormat="false" ht="15" hidden="false" customHeight="false" outlineLevel="0" collapsed="false">
      <c r="A6360" s="28" t="s">
        <v>214</v>
      </c>
      <c r="B6360" s="28" t="s">
        <v>215</v>
      </c>
      <c r="C6360" s="28" t="s">
        <v>209</v>
      </c>
      <c r="D6360" s="23" t="n">
        <v>19</v>
      </c>
      <c r="E6360" s="23" t="n">
        <v>4</v>
      </c>
      <c r="F6360" s="28" t="s">
        <v>451</v>
      </c>
      <c r="G6360" s="19" t="n">
        <v>0.029433</v>
      </c>
    </row>
    <row r="6361" customFormat="false" ht="15" hidden="false" customHeight="false" outlineLevel="0" collapsed="false">
      <c r="A6361" s="28" t="s">
        <v>214</v>
      </c>
      <c r="B6361" s="28" t="s">
        <v>215</v>
      </c>
      <c r="C6361" s="28" t="s">
        <v>209</v>
      </c>
      <c r="D6361" s="23" t="n">
        <v>19</v>
      </c>
      <c r="E6361" s="23" t="n">
        <v>4</v>
      </c>
      <c r="F6361" s="28" t="s">
        <v>905</v>
      </c>
      <c r="G6361" s="19" t="n">
        <v>0.032033</v>
      </c>
    </row>
    <row r="6362" customFormat="false" ht="15" hidden="false" customHeight="false" outlineLevel="0" collapsed="false">
      <c r="A6362" s="28" t="s">
        <v>214</v>
      </c>
      <c r="B6362" s="28" t="s">
        <v>215</v>
      </c>
      <c r="C6362" s="28" t="s">
        <v>209</v>
      </c>
      <c r="D6362" s="23" t="n">
        <v>19</v>
      </c>
      <c r="E6362" s="23" t="n">
        <v>4</v>
      </c>
      <c r="F6362" s="28" t="s">
        <v>906</v>
      </c>
      <c r="G6362" s="19" t="n">
        <v>0.033519</v>
      </c>
    </row>
    <row r="6363" customFormat="false" ht="15" hidden="false" customHeight="false" outlineLevel="0" collapsed="false">
      <c r="A6363" s="28" t="s">
        <v>214</v>
      </c>
      <c r="B6363" s="28" t="s">
        <v>215</v>
      </c>
      <c r="C6363" s="28" t="s">
        <v>209</v>
      </c>
      <c r="D6363" s="23" t="n">
        <v>19</v>
      </c>
      <c r="E6363" s="23" t="n">
        <v>4</v>
      </c>
      <c r="F6363" s="28" t="s">
        <v>907</v>
      </c>
      <c r="G6363" s="19" t="n">
        <v>0.03339</v>
      </c>
    </row>
    <row r="6364" customFormat="false" ht="15" hidden="false" customHeight="false" outlineLevel="0" collapsed="false">
      <c r="A6364" s="28" t="s">
        <v>214</v>
      </c>
      <c r="B6364" s="28" t="s">
        <v>215</v>
      </c>
      <c r="C6364" s="28" t="s">
        <v>209</v>
      </c>
      <c r="D6364" s="23" t="n">
        <v>19</v>
      </c>
      <c r="E6364" s="23" t="n">
        <v>4</v>
      </c>
      <c r="F6364" s="28" t="s">
        <v>908</v>
      </c>
      <c r="G6364" s="19" t="n">
        <v>0.035332</v>
      </c>
    </row>
    <row r="6365" customFormat="false" ht="15" hidden="false" customHeight="false" outlineLevel="0" collapsed="false">
      <c r="A6365" s="28" t="s">
        <v>214</v>
      </c>
      <c r="B6365" s="28" t="s">
        <v>215</v>
      </c>
      <c r="C6365" s="28" t="s">
        <v>209</v>
      </c>
      <c r="D6365" s="23" t="n">
        <v>19</v>
      </c>
      <c r="E6365" s="23" t="n">
        <v>4</v>
      </c>
      <c r="F6365" s="28" t="s">
        <v>909</v>
      </c>
      <c r="G6365" s="19" t="n">
        <v>0.035774</v>
      </c>
    </row>
    <row r="6366" customFormat="false" ht="15" hidden="false" customHeight="false" outlineLevel="0" collapsed="false">
      <c r="A6366" s="28" t="s">
        <v>214</v>
      </c>
      <c r="B6366" s="28" t="s">
        <v>215</v>
      </c>
      <c r="C6366" s="28" t="s">
        <v>209</v>
      </c>
      <c r="D6366" s="23" t="n">
        <v>19</v>
      </c>
      <c r="E6366" s="23" t="n">
        <v>4</v>
      </c>
      <c r="F6366" s="28" t="s">
        <v>910</v>
      </c>
      <c r="G6366" s="19" t="n">
        <v>0.036857</v>
      </c>
    </row>
    <row r="6367" customFormat="false" ht="15" hidden="false" customHeight="false" outlineLevel="0" collapsed="false">
      <c r="A6367" s="28" t="s">
        <v>214</v>
      </c>
      <c r="B6367" s="28" t="s">
        <v>215</v>
      </c>
      <c r="C6367" s="28" t="s">
        <v>209</v>
      </c>
      <c r="D6367" s="23" t="n">
        <v>19</v>
      </c>
      <c r="E6367" s="23" t="n">
        <v>4</v>
      </c>
      <c r="F6367" s="28" t="s">
        <v>911</v>
      </c>
      <c r="G6367" s="19" t="n">
        <v>0.038641</v>
      </c>
    </row>
    <row r="6368" customFormat="false" ht="15" hidden="false" customHeight="false" outlineLevel="0" collapsed="false">
      <c r="A6368" s="28" t="s">
        <v>214</v>
      </c>
      <c r="B6368" s="28" t="s">
        <v>215</v>
      </c>
      <c r="C6368" s="28" t="s">
        <v>209</v>
      </c>
      <c r="D6368" s="23" t="n">
        <v>19</v>
      </c>
      <c r="E6368" s="23" t="n">
        <v>4</v>
      </c>
      <c r="F6368" s="28" t="s">
        <v>912</v>
      </c>
      <c r="G6368" s="19" t="n">
        <v>0.041067</v>
      </c>
    </row>
    <row r="6369" customFormat="false" ht="15" hidden="false" customHeight="false" outlineLevel="0" collapsed="false">
      <c r="A6369" s="28" t="s">
        <v>214</v>
      </c>
      <c r="B6369" s="28" t="s">
        <v>215</v>
      </c>
      <c r="C6369" s="28" t="s">
        <v>209</v>
      </c>
      <c r="D6369" s="23" t="n">
        <v>19</v>
      </c>
      <c r="E6369" s="23" t="n">
        <v>4</v>
      </c>
      <c r="F6369" s="28" t="s">
        <v>913</v>
      </c>
      <c r="G6369" s="19" t="n">
        <v>0.045967</v>
      </c>
    </row>
    <row r="6370" customFormat="false" ht="15" hidden="false" customHeight="false" outlineLevel="0" collapsed="false">
      <c r="A6370" s="28" t="s">
        <v>214</v>
      </c>
      <c r="B6370" s="28" t="s">
        <v>215</v>
      </c>
      <c r="C6370" s="28" t="s">
        <v>209</v>
      </c>
      <c r="D6370" s="23" t="n">
        <v>19</v>
      </c>
      <c r="E6370" s="23" t="n">
        <v>4</v>
      </c>
      <c r="F6370" s="28" t="s">
        <v>914</v>
      </c>
      <c r="G6370" s="19" t="n">
        <v>0.045767</v>
      </c>
    </row>
    <row r="6371" customFormat="false" ht="15" hidden="false" customHeight="false" outlineLevel="0" collapsed="false">
      <c r="A6371" s="28" t="s">
        <v>214</v>
      </c>
      <c r="B6371" s="28" t="s">
        <v>215</v>
      </c>
      <c r="C6371" s="28" t="s">
        <v>209</v>
      </c>
      <c r="D6371" s="23" t="n">
        <v>19</v>
      </c>
      <c r="E6371" s="23" t="n">
        <v>4</v>
      </c>
      <c r="F6371" s="28" t="s">
        <v>915</v>
      </c>
      <c r="G6371" s="19" t="n">
        <v>0.061567</v>
      </c>
    </row>
    <row r="6372" customFormat="false" ht="15" hidden="false" customHeight="false" outlineLevel="0" collapsed="false">
      <c r="A6372" s="28" t="s">
        <v>214</v>
      </c>
      <c r="B6372" s="28" t="s">
        <v>215</v>
      </c>
      <c r="C6372" s="28" t="s">
        <v>209</v>
      </c>
      <c r="D6372" s="23" t="n">
        <v>19</v>
      </c>
      <c r="E6372" s="23" t="n">
        <v>5</v>
      </c>
      <c r="F6372" s="28" t="s">
        <v>904</v>
      </c>
      <c r="G6372" s="19" t="n">
        <v>0.027967</v>
      </c>
    </row>
    <row r="6373" customFormat="false" ht="15" hidden="false" customHeight="false" outlineLevel="0" collapsed="false">
      <c r="A6373" s="28" t="s">
        <v>214</v>
      </c>
      <c r="B6373" s="28" t="s">
        <v>215</v>
      </c>
      <c r="C6373" s="28" t="s">
        <v>209</v>
      </c>
      <c r="D6373" s="23" t="n">
        <v>19</v>
      </c>
      <c r="E6373" s="23" t="n">
        <v>5</v>
      </c>
      <c r="F6373" s="28" t="s">
        <v>551</v>
      </c>
      <c r="G6373" s="19" t="n">
        <v>0.059167</v>
      </c>
    </row>
    <row r="6374" customFormat="false" ht="15" hidden="false" customHeight="false" outlineLevel="0" collapsed="false">
      <c r="A6374" s="28" t="s">
        <v>214</v>
      </c>
      <c r="B6374" s="28" t="s">
        <v>215</v>
      </c>
      <c r="C6374" s="28" t="s">
        <v>209</v>
      </c>
      <c r="D6374" s="23" t="n">
        <v>19</v>
      </c>
      <c r="E6374" s="23" t="n">
        <v>5</v>
      </c>
      <c r="F6374" s="28" t="s">
        <v>451</v>
      </c>
      <c r="G6374" s="19" t="n">
        <v>0.027767</v>
      </c>
    </row>
    <row r="6375" customFormat="false" ht="15" hidden="false" customHeight="false" outlineLevel="0" collapsed="false">
      <c r="A6375" s="28" t="s">
        <v>214</v>
      </c>
      <c r="B6375" s="28" t="s">
        <v>215</v>
      </c>
      <c r="C6375" s="28" t="s">
        <v>209</v>
      </c>
      <c r="D6375" s="23" t="n">
        <v>19</v>
      </c>
      <c r="E6375" s="23" t="n">
        <v>5</v>
      </c>
      <c r="F6375" s="28" t="s">
        <v>905</v>
      </c>
      <c r="G6375" s="19" t="n">
        <v>0.030367</v>
      </c>
    </row>
    <row r="6376" customFormat="false" ht="15" hidden="false" customHeight="false" outlineLevel="0" collapsed="false">
      <c r="A6376" s="28" t="s">
        <v>214</v>
      </c>
      <c r="B6376" s="28" t="s">
        <v>215</v>
      </c>
      <c r="C6376" s="28" t="s">
        <v>209</v>
      </c>
      <c r="D6376" s="23" t="n">
        <v>19</v>
      </c>
      <c r="E6376" s="23" t="n">
        <v>5</v>
      </c>
      <c r="F6376" s="28" t="s">
        <v>906</v>
      </c>
      <c r="G6376" s="19" t="n">
        <v>0.031874</v>
      </c>
    </row>
    <row r="6377" customFormat="false" ht="15" hidden="false" customHeight="false" outlineLevel="0" collapsed="false">
      <c r="A6377" s="28" t="s">
        <v>214</v>
      </c>
      <c r="B6377" s="28" t="s">
        <v>215</v>
      </c>
      <c r="C6377" s="28" t="s">
        <v>209</v>
      </c>
      <c r="D6377" s="23" t="n">
        <v>19</v>
      </c>
      <c r="E6377" s="23" t="n">
        <v>5</v>
      </c>
      <c r="F6377" s="28" t="s">
        <v>907</v>
      </c>
      <c r="G6377" s="19" t="n">
        <v>0.031787</v>
      </c>
    </row>
    <row r="6378" customFormat="false" ht="15" hidden="false" customHeight="false" outlineLevel="0" collapsed="false">
      <c r="A6378" s="28" t="s">
        <v>214</v>
      </c>
      <c r="B6378" s="28" t="s">
        <v>215</v>
      </c>
      <c r="C6378" s="28" t="s">
        <v>209</v>
      </c>
      <c r="D6378" s="23" t="n">
        <v>19</v>
      </c>
      <c r="E6378" s="23" t="n">
        <v>5</v>
      </c>
      <c r="F6378" s="28" t="s">
        <v>908</v>
      </c>
      <c r="G6378" s="19" t="n">
        <v>0.033815</v>
      </c>
    </row>
    <row r="6379" customFormat="false" ht="15" hidden="false" customHeight="false" outlineLevel="0" collapsed="false">
      <c r="A6379" s="28" t="s">
        <v>214</v>
      </c>
      <c r="B6379" s="28" t="s">
        <v>215</v>
      </c>
      <c r="C6379" s="28" t="s">
        <v>209</v>
      </c>
      <c r="D6379" s="23" t="n">
        <v>19</v>
      </c>
      <c r="E6379" s="23" t="n">
        <v>5</v>
      </c>
      <c r="F6379" s="28" t="s">
        <v>909</v>
      </c>
      <c r="G6379" s="19" t="n">
        <v>0.034342</v>
      </c>
    </row>
    <row r="6380" customFormat="false" ht="15" hidden="false" customHeight="false" outlineLevel="0" collapsed="false">
      <c r="A6380" s="28" t="s">
        <v>214</v>
      </c>
      <c r="B6380" s="28" t="s">
        <v>215</v>
      </c>
      <c r="C6380" s="28" t="s">
        <v>209</v>
      </c>
      <c r="D6380" s="23" t="n">
        <v>19</v>
      </c>
      <c r="E6380" s="23" t="n">
        <v>5</v>
      </c>
      <c r="F6380" s="28" t="s">
        <v>910</v>
      </c>
      <c r="G6380" s="19" t="n">
        <v>0.035597</v>
      </c>
    </row>
    <row r="6381" customFormat="false" ht="15" hidden="false" customHeight="false" outlineLevel="0" collapsed="false">
      <c r="A6381" s="28" t="s">
        <v>214</v>
      </c>
      <c r="B6381" s="28" t="s">
        <v>215</v>
      </c>
      <c r="C6381" s="28" t="s">
        <v>209</v>
      </c>
      <c r="D6381" s="23" t="n">
        <v>19</v>
      </c>
      <c r="E6381" s="23" t="n">
        <v>5</v>
      </c>
      <c r="F6381" s="28" t="s">
        <v>911</v>
      </c>
      <c r="G6381" s="19" t="n">
        <v>0.037551</v>
      </c>
    </row>
    <row r="6382" customFormat="false" ht="15" hidden="false" customHeight="false" outlineLevel="0" collapsed="false">
      <c r="A6382" s="28" t="s">
        <v>214</v>
      </c>
      <c r="B6382" s="28" t="s">
        <v>215</v>
      </c>
      <c r="C6382" s="28" t="s">
        <v>209</v>
      </c>
      <c r="D6382" s="23" t="n">
        <v>19</v>
      </c>
      <c r="E6382" s="23" t="n">
        <v>5</v>
      </c>
      <c r="F6382" s="28" t="s">
        <v>912</v>
      </c>
      <c r="G6382" s="19" t="n">
        <v>0.040233</v>
      </c>
    </row>
    <row r="6383" customFormat="false" ht="15" hidden="false" customHeight="false" outlineLevel="0" collapsed="false">
      <c r="A6383" s="28" t="s">
        <v>214</v>
      </c>
      <c r="B6383" s="28" t="s">
        <v>215</v>
      </c>
      <c r="C6383" s="28" t="s">
        <v>209</v>
      </c>
      <c r="D6383" s="23" t="n">
        <v>19</v>
      </c>
      <c r="E6383" s="23" t="n">
        <v>5</v>
      </c>
      <c r="F6383" s="28" t="s">
        <v>913</v>
      </c>
      <c r="G6383" s="19" t="n">
        <v>0.045133</v>
      </c>
    </row>
    <row r="6384" customFormat="false" ht="15" hidden="false" customHeight="false" outlineLevel="0" collapsed="false">
      <c r="A6384" s="28" t="s">
        <v>214</v>
      </c>
      <c r="B6384" s="28" t="s">
        <v>215</v>
      </c>
      <c r="C6384" s="28" t="s">
        <v>209</v>
      </c>
      <c r="D6384" s="23" t="n">
        <v>19</v>
      </c>
      <c r="E6384" s="23" t="n">
        <v>5</v>
      </c>
      <c r="F6384" s="28" t="s">
        <v>914</v>
      </c>
      <c r="G6384" s="19" t="n">
        <v>0.044933</v>
      </c>
    </row>
    <row r="6385" customFormat="false" ht="15" hidden="false" customHeight="false" outlineLevel="0" collapsed="false">
      <c r="A6385" s="28" t="s">
        <v>214</v>
      </c>
      <c r="B6385" s="28" t="s">
        <v>215</v>
      </c>
      <c r="C6385" s="28" t="s">
        <v>209</v>
      </c>
      <c r="D6385" s="23" t="n">
        <v>19</v>
      </c>
      <c r="E6385" s="23" t="n">
        <v>5</v>
      </c>
      <c r="F6385" s="28" t="s">
        <v>915</v>
      </c>
      <c r="G6385" s="19" t="n">
        <v>0.060733</v>
      </c>
    </row>
    <row r="6386" customFormat="false" ht="15" hidden="false" customHeight="false" outlineLevel="0" collapsed="false">
      <c r="A6386" s="28" t="s">
        <v>214</v>
      </c>
      <c r="B6386" s="28" t="s">
        <v>215</v>
      </c>
      <c r="C6386" s="28" t="s">
        <v>209</v>
      </c>
      <c r="D6386" s="23" t="n">
        <v>19</v>
      </c>
      <c r="E6386" s="23" t="n">
        <v>6</v>
      </c>
      <c r="F6386" s="28" t="s">
        <v>904</v>
      </c>
      <c r="G6386" s="19" t="n">
        <v>0.0263</v>
      </c>
    </row>
    <row r="6387" customFormat="false" ht="15" hidden="false" customHeight="false" outlineLevel="0" collapsed="false">
      <c r="A6387" s="28" t="s">
        <v>214</v>
      </c>
      <c r="B6387" s="28" t="s">
        <v>215</v>
      </c>
      <c r="C6387" s="28" t="s">
        <v>209</v>
      </c>
      <c r="D6387" s="23" t="n">
        <v>19</v>
      </c>
      <c r="E6387" s="23" t="n">
        <v>6</v>
      </c>
      <c r="F6387" s="28" t="s">
        <v>551</v>
      </c>
      <c r="G6387" s="19" t="n">
        <v>0.0575</v>
      </c>
    </row>
    <row r="6388" customFormat="false" ht="15" hidden="false" customHeight="false" outlineLevel="0" collapsed="false">
      <c r="A6388" s="28" t="s">
        <v>214</v>
      </c>
      <c r="B6388" s="28" t="s">
        <v>215</v>
      </c>
      <c r="C6388" s="28" t="s">
        <v>209</v>
      </c>
      <c r="D6388" s="23" t="n">
        <v>19</v>
      </c>
      <c r="E6388" s="23" t="n">
        <v>6</v>
      </c>
      <c r="F6388" s="28" t="s">
        <v>451</v>
      </c>
      <c r="G6388" s="19" t="n">
        <v>0.0261</v>
      </c>
    </row>
    <row r="6389" customFormat="false" ht="15" hidden="false" customHeight="false" outlineLevel="0" collapsed="false">
      <c r="A6389" s="28" t="s">
        <v>214</v>
      </c>
      <c r="B6389" s="28" t="s">
        <v>215</v>
      </c>
      <c r="C6389" s="28" t="s">
        <v>209</v>
      </c>
      <c r="D6389" s="23" t="n">
        <v>19</v>
      </c>
      <c r="E6389" s="23" t="n">
        <v>6</v>
      </c>
      <c r="F6389" s="28" t="s">
        <v>905</v>
      </c>
      <c r="G6389" s="19" t="n">
        <v>0.0287</v>
      </c>
    </row>
    <row r="6390" customFormat="false" ht="15" hidden="false" customHeight="false" outlineLevel="0" collapsed="false">
      <c r="A6390" s="28" t="s">
        <v>214</v>
      </c>
      <c r="B6390" s="28" t="s">
        <v>215</v>
      </c>
      <c r="C6390" s="28" t="s">
        <v>209</v>
      </c>
      <c r="D6390" s="23" t="n">
        <v>19</v>
      </c>
      <c r="E6390" s="23" t="n">
        <v>6</v>
      </c>
      <c r="F6390" s="28" t="s">
        <v>906</v>
      </c>
      <c r="G6390" s="19" t="n">
        <v>0.030228</v>
      </c>
    </row>
    <row r="6391" customFormat="false" ht="15" hidden="false" customHeight="false" outlineLevel="0" collapsed="false">
      <c r="A6391" s="28" t="s">
        <v>214</v>
      </c>
      <c r="B6391" s="28" t="s">
        <v>215</v>
      </c>
      <c r="C6391" s="28" t="s">
        <v>209</v>
      </c>
      <c r="D6391" s="23" t="n">
        <v>19</v>
      </c>
      <c r="E6391" s="23" t="n">
        <v>6</v>
      </c>
      <c r="F6391" s="28" t="s">
        <v>907</v>
      </c>
      <c r="G6391" s="19" t="n">
        <v>0.030185</v>
      </c>
    </row>
    <row r="6392" customFormat="false" ht="15" hidden="false" customHeight="false" outlineLevel="0" collapsed="false">
      <c r="A6392" s="28" t="s">
        <v>214</v>
      </c>
      <c r="B6392" s="28" t="s">
        <v>215</v>
      </c>
      <c r="C6392" s="28" t="s">
        <v>209</v>
      </c>
      <c r="D6392" s="23" t="n">
        <v>19</v>
      </c>
      <c r="E6392" s="23" t="n">
        <v>6</v>
      </c>
      <c r="F6392" s="28" t="s">
        <v>908</v>
      </c>
      <c r="G6392" s="19" t="n">
        <v>0.032297</v>
      </c>
    </row>
    <row r="6393" customFormat="false" ht="15" hidden="false" customHeight="false" outlineLevel="0" collapsed="false">
      <c r="A6393" s="28" t="s">
        <v>214</v>
      </c>
      <c r="B6393" s="28" t="s">
        <v>215</v>
      </c>
      <c r="C6393" s="28" t="s">
        <v>209</v>
      </c>
      <c r="D6393" s="23" t="n">
        <v>19</v>
      </c>
      <c r="E6393" s="23" t="n">
        <v>6</v>
      </c>
      <c r="F6393" s="28" t="s">
        <v>909</v>
      </c>
      <c r="G6393" s="19" t="n">
        <v>0.03291</v>
      </c>
    </row>
    <row r="6394" customFormat="false" ht="15" hidden="false" customHeight="false" outlineLevel="0" collapsed="false">
      <c r="A6394" s="28" t="s">
        <v>214</v>
      </c>
      <c r="B6394" s="28" t="s">
        <v>215</v>
      </c>
      <c r="C6394" s="28" t="s">
        <v>209</v>
      </c>
      <c r="D6394" s="23" t="n">
        <v>19</v>
      </c>
      <c r="E6394" s="23" t="n">
        <v>6</v>
      </c>
      <c r="F6394" s="28" t="s">
        <v>910</v>
      </c>
      <c r="G6394" s="19" t="n">
        <v>0.034336</v>
      </c>
    </row>
    <row r="6395" customFormat="false" ht="15" hidden="false" customHeight="false" outlineLevel="0" collapsed="false">
      <c r="A6395" s="28" t="s">
        <v>214</v>
      </c>
      <c r="B6395" s="28" t="s">
        <v>215</v>
      </c>
      <c r="C6395" s="28" t="s">
        <v>209</v>
      </c>
      <c r="D6395" s="23" t="n">
        <v>19</v>
      </c>
      <c r="E6395" s="23" t="n">
        <v>6</v>
      </c>
      <c r="F6395" s="28" t="s">
        <v>911</v>
      </c>
      <c r="G6395" s="19" t="n">
        <v>0.036462</v>
      </c>
    </row>
    <row r="6396" customFormat="false" ht="15" hidden="false" customHeight="false" outlineLevel="0" collapsed="false">
      <c r="A6396" s="28" t="s">
        <v>214</v>
      </c>
      <c r="B6396" s="28" t="s">
        <v>215</v>
      </c>
      <c r="C6396" s="28" t="s">
        <v>209</v>
      </c>
      <c r="D6396" s="23" t="n">
        <v>19</v>
      </c>
      <c r="E6396" s="23" t="n">
        <v>6</v>
      </c>
      <c r="F6396" s="28" t="s">
        <v>912</v>
      </c>
      <c r="G6396" s="19" t="n">
        <v>0.0394</v>
      </c>
    </row>
    <row r="6397" customFormat="false" ht="15" hidden="false" customHeight="false" outlineLevel="0" collapsed="false">
      <c r="A6397" s="28" t="s">
        <v>214</v>
      </c>
      <c r="B6397" s="28" t="s">
        <v>215</v>
      </c>
      <c r="C6397" s="28" t="s">
        <v>209</v>
      </c>
      <c r="D6397" s="23" t="n">
        <v>19</v>
      </c>
      <c r="E6397" s="23" t="n">
        <v>6</v>
      </c>
      <c r="F6397" s="28" t="s">
        <v>913</v>
      </c>
      <c r="G6397" s="19" t="n">
        <v>0.0443</v>
      </c>
    </row>
    <row r="6398" customFormat="false" ht="15" hidden="false" customHeight="false" outlineLevel="0" collapsed="false">
      <c r="A6398" s="28" t="s">
        <v>214</v>
      </c>
      <c r="B6398" s="28" t="s">
        <v>215</v>
      </c>
      <c r="C6398" s="28" t="s">
        <v>209</v>
      </c>
      <c r="D6398" s="23" t="n">
        <v>19</v>
      </c>
      <c r="E6398" s="23" t="n">
        <v>6</v>
      </c>
      <c r="F6398" s="28" t="s">
        <v>914</v>
      </c>
      <c r="G6398" s="19" t="n">
        <v>0.0441</v>
      </c>
    </row>
    <row r="6399" customFormat="false" ht="15" hidden="false" customHeight="false" outlineLevel="0" collapsed="false">
      <c r="A6399" s="28" t="s">
        <v>214</v>
      </c>
      <c r="B6399" s="28" t="s">
        <v>215</v>
      </c>
      <c r="C6399" s="28" t="s">
        <v>209</v>
      </c>
      <c r="D6399" s="23" t="n">
        <v>19</v>
      </c>
      <c r="E6399" s="23" t="n">
        <v>6</v>
      </c>
      <c r="F6399" s="28" t="s">
        <v>915</v>
      </c>
      <c r="G6399" s="19" t="n">
        <v>0.0599</v>
      </c>
    </row>
    <row r="6400" customFormat="false" ht="15" hidden="false" customHeight="false" outlineLevel="0" collapsed="false">
      <c r="A6400" s="28" t="s">
        <v>214</v>
      </c>
      <c r="B6400" s="28" t="s">
        <v>215</v>
      </c>
      <c r="C6400" s="28" t="s">
        <v>209</v>
      </c>
      <c r="D6400" s="23" t="n">
        <v>19</v>
      </c>
      <c r="E6400" s="23" t="n">
        <v>7</v>
      </c>
      <c r="F6400" s="28" t="s">
        <v>904</v>
      </c>
      <c r="G6400" s="19" t="n">
        <v>0.024633</v>
      </c>
    </row>
    <row r="6401" customFormat="false" ht="15" hidden="false" customHeight="false" outlineLevel="0" collapsed="false">
      <c r="A6401" s="28" t="s">
        <v>214</v>
      </c>
      <c r="B6401" s="28" t="s">
        <v>215</v>
      </c>
      <c r="C6401" s="28" t="s">
        <v>209</v>
      </c>
      <c r="D6401" s="23" t="n">
        <v>19</v>
      </c>
      <c r="E6401" s="23" t="n">
        <v>7</v>
      </c>
      <c r="F6401" s="28" t="s">
        <v>551</v>
      </c>
      <c r="G6401" s="19" t="n">
        <v>0.055833</v>
      </c>
    </row>
    <row r="6402" customFormat="false" ht="15" hidden="false" customHeight="false" outlineLevel="0" collapsed="false">
      <c r="A6402" s="28" t="s">
        <v>214</v>
      </c>
      <c r="B6402" s="28" t="s">
        <v>215</v>
      </c>
      <c r="C6402" s="28" t="s">
        <v>209</v>
      </c>
      <c r="D6402" s="23" t="n">
        <v>19</v>
      </c>
      <c r="E6402" s="23" t="n">
        <v>7</v>
      </c>
      <c r="F6402" s="28" t="s">
        <v>451</v>
      </c>
      <c r="G6402" s="19" t="n">
        <v>0.024433</v>
      </c>
    </row>
    <row r="6403" customFormat="false" ht="15" hidden="false" customHeight="false" outlineLevel="0" collapsed="false">
      <c r="A6403" s="28" t="s">
        <v>214</v>
      </c>
      <c r="B6403" s="28" t="s">
        <v>215</v>
      </c>
      <c r="C6403" s="28" t="s">
        <v>209</v>
      </c>
      <c r="D6403" s="23" t="n">
        <v>19</v>
      </c>
      <c r="E6403" s="23" t="n">
        <v>7</v>
      </c>
      <c r="F6403" s="28" t="s">
        <v>905</v>
      </c>
      <c r="G6403" s="19" t="n">
        <v>0.027033</v>
      </c>
    </row>
    <row r="6404" customFormat="false" ht="15" hidden="false" customHeight="false" outlineLevel="0" collapsed="false">
      <c r="A6404" s="28" t="s">
        <v>214</v>
      </c>
      <c r="B6404" s="28" t="s">
        <v>215</v>
      </c>
      <c r="C6404" s="28" t="s">
        <v>209</v>
      </c>
      <c r="D6404" s="23" t="n">
        <v>19</v>
      </c>
      <c r="E6404" s="23" t="n">
        <v>7</v>
      </c>
      <c r="F6404" s="28" t="s">
        <v>906</v>
      </c>
      <c r="G6404" s="19" t="n">
        <v>0.028583</v>
      </c>
    </row>
    <row r="6405" customFormat="false" ht="15" hidden="false" customHeight="false" outlineLevel="0" collapsed="false">
      <c r="A6405" s="28" t="s">
        <v>214</v>
      </c>
      <c r="B6405" s="28" t="s">
        <v>215</v>
      </c>
      <c r="C6405" s="28" t="s">
        <v>209</v>
      </c>
      <c r="D6405" s="23" t="n">
        <v>19</v>
      </c>
      <c r="E6405" s="23" t="n">
        <v>7</v>
      </c>
      <c r="F6405" s="28" t="s">
        <v>907</v>
      </c>
      <c r="G6405" s="19" t="n">
        <v>0.028582</v>
      </c>
    </row>
    <row r="6406" customFormat="false" ht="15" hidden="false" customHeight="false" outlineLevel="0" collapsed="false">
      <c r="A6406" s="28" t="s">
        <v>214</v>
      </c>
      <c r="B6406" s="28" t="s">
        <v>215</v>
      </c>
      <c r="C6406" s="28" t="s">
        <v>209</v>
      </c>
      <c r="D6406" s="23" t="n">
        <v>19</v>
      </c>
      <c r="E6406" s="23" t="n">
        <v>7</v>
      </c>
      <c r="F6406" s="28" t="s">
        <v>908</v>
      </c>
      <c r="G6406" s="19" t="n">
        <v>0.03078</v>
      </c>
    </row>
    <row r="6407" customFormat="false" ht="15" hidden="false" customHeight="false" outlineLevel="0" collapsed="false">
      <c r="A6407" s="28" t="s">
        <v>214</v>
      </c>
      <c r="B6407" s="28" t="s">
        <v>215</v>
      </c>
      <c r="C6407" s="28" t="s">
        <v>209</v>
      </c>
      <c r="D6407" s="23" t="n">
        <v>19</v>
      </c>
      <c r="E6407" s="23" t="n">
        <v>7</v>
      </c>
      <c r="F6407" s="28" t="s">
        <v>909</v>
      </c>
      <c r="G6407" s="19" t="n">
        <v>0.031479</v>
      </c>
    </row>
    <row r="6408" customFormat="false" ht="15" hidden="false" customHeight="false" outlineLevel="0" collapsed="false">
      <c r="A6408" s="28" t="s">
        <v>214</v>
      </c>
      <c r="B6408" s="28" t="s">
        <v>215</v>
      </c>
      <c r="C6408" s="28" t="s">
        <v>209</v>
      </c>
      <c r="D6408" s="23" t="n">
        <v>19</v>
      </c>
      <c r="E6408" s="23" t="n">
        <v>7</v>
      </c>
      <c r="F6408" s="28" t="s">
        <v>910</v>
      </c>
      <c r="G6408" s="19" t="n">
        <v>0.033075</v>
      </c>
    </row>
    <row r="6409" customFormat="false" ht="15" hidden="false" customHeight="false" outlineLevel="0" collapsed="false">
      <c r="A6409" s="28" t="s">
        <v>214</v>
      </c>
      <c r="B6409" s="28" t="s">
        <v>215</v>
      </c>
      <c r="C6409" s="28" t="s">
        <v>209</v>
      </c>
      <c r="D6409" s="23" t="n">
        <v>19</v>
      </c>
      <c r="E6409" s="23" t="n">
        <v>7</v>
      </c>
      <c r="F6409" s="28" t="s">
        <v>911</v>
      </c>
      <c r="G6409" s="19" t="n">
        <v>0.035372</v>
      </c>
    </row>
    <row r="6410" customFormat="false" ht="15" hidden="false" customHeight="false" outlineLevel="0" collapsed="false">
      <c r="A6410" s="28" t="s">
        <v>214</v>
      </c>
      <c r="B6410" s="28" t="s">
        <v>215</v>
      </c>
      <c r="C6410" s="28" t="s">
        <v>209</v>
      </c>
      <c r="D6410" s="23" t="n">
        <v>19</v>
      </c>
      <c r="E6410" s="23" t="n">
        <v>7</v>
      </c>
      <c r="F6410" s="28" t="s">
        <v>912</v>
      </c>
      <c r="G6410" s="19" t="n">
        <v>0.038567</v>
      </c>
    </row>
    <row r="6411" customFormat="false" ht="15" hidden="false" customHeight="false" outlineLevel="0" collapsed="false">
      <c r="A6411" s="28" t="s">
        <v>214</v>
      </c>
      <c r="B6411" s="28" t="s">
        <v>215</v>
      </c>
      <c r="C6411" s="28" t="s">
        <v>209</v>
      </c>
      <c r="D6411" s="23" t="n">
        <v>19</v>
      </c>
      <c r="E6411" s="23" t="n">
        <v>7</v>
      </c>
      <c r="F6411" s="28" t="s">
        <v>913</v>
      </c>
      <c r="G6411" s="19" t="n">
        <v>0.043467</v>
      </c>
    </row>
    <row r="6412" customFormat="false" ht="15" hidden="false" customHeight="false" outlineLevel="0" collapsed="false">
      <c r="A6412" s="28" t="s">
        <v>214</v>
      </c>
      <c r="B6412" s="28" t="s">
        <v>215</v>
      </c>
      <c r="C6412" s="28" t="s">
        <v>209</v>
      </c>
      <c r="D6412" s="23" t="n">
        <v>19</v>
      </c>
      <c r="E6412" s="23" t="n">
        <v>7</v>
      </c>
      <c r="F6412" s="28" t="s">
        <v>914</v>
      </c>
      <c r="G6412" s="19" t="n">
        <v>0.043267</v>
      </c>
    </row>
    <row r="6413" customFormat="false" ht="15" hidden="false" customHeight="false" outlineLevel="0" collapsed="false">
      <c r="A6413" s="28" t="s">
        <v>214</v>
      </c>
      <c r="B6413" s="28" t="s">
        <v>215</v>
      </c>
      <c r="C6413" s="28" t="s">
        <v>209</v>
      </c>
      <c r="D6413" s="23" t="n">
        <v>19</v>
      </c>
      <c r="E6413" s="23" t="n">
        <v>7</v>
      </c>
      <c r="F6413" s="28" t="s">
        <v>915</v>
      </c>
      <c r="G6413" s="19" t="n">
        <v>0.059067</v>
      </c>
    </row>
    <row r="6414" customFormat="false" ht="15" hidden="false" customHeight="false" outlineLevel="0" collapsed="false">
      <c r="A6414" s="28" t="s">
        <v>214</v>
      </c>
      <c r="B6414" s="28" t="s">
        <v>215</v>
      </c>
      <c r="C6414" s="28" t="s">
        <v>209</v>
      </c>
      <c r="D6414" s="23" t="n">
        <v>19</v>
      </c>
      <c r="E6414" s="23" t="n">
        <v>8</v>
      </c>
      <c r="F6414" s="28" t="s">
        <v>904</v>
      </c>
      <c r="G6414" s="19" t="n">
        <v>0.022967</v>
      </c>
    </row>
    <row r="6415" customFormat="false" ht="15" hidden="false" customHeight="false" outlineLevel="0" collapsed="false">
      <c r="A6415" s="28" t="s">
        <v>214</v>
      </c>
      <c r="B6415" s="28" t="s">
        <v>215</v>
      </c>
      <c r="C6415" s="28" t="s">
        <v>209</v>
      </c>
      <c r="D6415" s="23" t="n">
        <v>19</v>
      </c>
      <c r="E6415" s="23" t="n">
        <v>8</v>
      </c>
      <c r="F6415" s="28" t="s">
        <v>551</v>
      </c>
      <c r="G6415" s="19" t="n">
        <v>0.054167</v>
      </c>
    </row>
    <row r="6416" customFormat="false" ht="15" hidden="false" customHeight="false" outlineLevel="0" collapsed="false">
      <c r="A6416" s="28" t="s">
        <v>214</v>
      </c>
      <c r="B6416" s="28" t="s">
        <v>215</v>
      </c>
      <c r="C6416" s="28" t="s">
        <v>209</v>
      </c>
      <c r="D6416" s="23" t="n">
        <v>19</v>
      </c>
      <c r="E6416" s="23" t="n">
        <v>8</v>
      </c>
      <c r="F6416" s="28" t="s">
        <v>451</v>
      </c>
      <c r="G6416" s="19" t="n">
        <v>0.022767</v>
      </c>
    </row>
    <row r="6417" customFormat="false" ht="15" hidden="false" customHeight="false" outlineLevel="0" collapsed="false">
      <c r="A6417" s="28" t="s">
        <v>214</v>
      </c>
      <c r="B6417" s="28" t="s">
        <v>215</v>
      </c>
      <c r="C6417" s="28" t="s">
        <v>209</v>
      </c>
      <c r="D6417" s="23" t="n">
        <v>19</v>
      </c>
      <c r="E6417" s="23" t="n">
        <v>8</v>
      </c>
      <c r="F6417" s="28" t="s">
        <v>905</v>
      </c>
      <c r="G6417" s="19" t="n">
        <v>0.025367</v>
      </c>
    </row>
    <row r="6418" customFormat="false" ht="15" hidden="false" customHeight="false" outlineLevel="0" collapsed="false">
      <c r="A6418" s="28" t="s">
        <v>214</v>
      </c>
      <c r="B6418" s="28" t="s">
        <v>215</v>
      </c>
      <c r="C6418" s="28" t="s">
        <v>209</v>
      </c>
      <c r="D6418" s="23" t="n">
        <v>19</v>
      </c>
      <c r="E6418" s="23" t="n">
        <v>8</v>
      </c>
      <c r="F6418" s="28" t="s">
        <v>906</v>
      </c>
      <c r="G6418" s="19" t="n">
        <v>0.026938</v>
      </c>
    </row>
    <row r="6419" customFormat="false" ht="15" hidden="false" customHeight="false" outlineLevel="0" collapsed="false">
      <c r="A6419" s="28" t="s">
        <v>214</v>
      </c>
      <c r="B6419" s="28" t="s">
        <v>215</v>
      </c>
      <c r="C6419" s="28" t="s">
        <v>209</v>
      </c>
      <c r="D6419" s="23" t="n">
        <v>19</v>
      </c>
      <c r="E6419" s="23" t="n">
        <v>8</v>
      </c>
      <c r="F6419" s="28" t="s">
        <v>907</v>
      </c>
      <c r="G6419" s="19" t="n">
        <v>0.026979</v>
      </c>
    </row>
    <row r="6420" customFormat="false" ht="15" hidden="false" customHeight="false" outlineLevel="0" collapsed="false">
      <c r="A6420" s="28" t="s">
        <v>214</v>
      </c>
      <c r="B6420" s="28" t="s">
        <v>215</v>
      </c>
      <c r="C6420" s="28" t="s">
        <v>209</v>
      </c>
      <c r="D6420" s="23" t="n">
        <v>19</v>
      </c>
      <c r="E6420" s="23" t="n">
        <v>8</v>
      </c>
      <c r="F6420" s="28" t="s">
        <v>908</v>
      </c>
      <c r="G6420" s="19" t="n">
        <v>0.029263</v>
      </c>
    </row>
    <row r="6421" customFormat="false" ht="15" hidden="false" customHeight="false" outlineLevel="0" collapsed="false">
      <c r="A6421" s="28" t="s">
        <v>214</v>
      </c>
      <c r="B6421" s="28" t="s">
        <v>215</v>
      </c>
      <c r="C6421" s="28" t="s">
        <v>209</v>
      </c>
      <c r="D6421" s="23" t="n">
        <v>19</v>
      </c>
      <c r="E6421" s="23" t="n">
        <v>8</v>
      </c>
      <c r="F6421" s="28" t="s">
        <v>909</v>
      </c>
      <c r="G6421" s="19" t="n">
        <v>0.030047</v>
      </c>
    </row>
    <row r="6422" customFormat="false" ht="15" hidden="false" customHeight="false" outlineLevel="0" collapsed="false">
      <c r="A6422" s="28" t="s">
        <v>214</v>
      </c>
      <c r="B6422" s="28" t="s">
        <v>215</v>
      </c>
      <c r="C6422" s="28" t="s">
        <v>209</v>
      </c>
      <c r="D6422" s="23" t="n">
        <v>19</v>
      </c>
      <c r="E6422" s="23" t="n">
        <v>8</v>
      </c>
      <c r="F6422" s="28" t="s">
        <v>910</v>
      </c>
      <c r="G6422" s="19" t="n">
        <v>0.031815</v>
      </c>
    </row>
    <row r="6423" customFormat="false" ht="15" hidden="false" customHeight="false" outlineLevel="0" collapsed="false">
      <c r="A6423" s="28" t="s">
        <v>214</v>
      </c>
      <c r="B6423" s="28" t="s">
        <v>215</v>
      </c>
      <c r="C6423" s="28" t="s">
        <v>209</v>
      </c>
      <c r="D6423" s="23" t="n">
        <v>19</v>
      </c>
      <c r="E6423" s="23" t="n">
        <v>8</v>
      </c>
      <c r="F6423" s="28" t="s">
        <v>911</v>
      </c>
      <c r="G6423" s="19" t="n">
        <v>0.034282</v>
      </c>
    </row>
    <row r="6424" customFormat="false" ht="15" hidden="false" customHeight="false" outlineLevel="0" collapsed="false">
      <c r="A6424" s="28" t="s">
        <v>214</v>
      </c>
      <c r="B6424" s="28" t="s">
        <v>215</v>
      </c>
      <c r="C6424" s="28" t="s">
        <v>209</v>
      </c>
      <c r="D6424" s="23" t="n">
        <v>19</v>
      </c>
      <c r="E6424" s="23" t="n">
        <v>8</v>
      </c>
      <c r="F6424" s="28" t="s">
        <v>912</v>
      </c>
      <c r="G6424" s="19" t="n">
        <v>0.037733</v>
      </c>
    </row>
    <row r="6425" customFormat="false" ht="15" hidden="false" customHeight="false" outlineLevel="0" collapsed="false">
      <c r="A6425" s="28" t="s">
        <v>214</v>
      </c>
      <c r="B6425" s="28" t="s">
        <v>215</v>
      </c>
      <c r="C6425" s="28" t="s">
        <v>209</v>
      </c>
      <c r="D6425" s="23" t="n">
        <v>19</v>
      </c>
      <c r="E6425" s="23" t="n">
        <v>8</v>
      </c>
      <c r="F6425" s="28" t="s">
        <v>913</v>
      </c>
      <c r="G6425" s="19" t="n">
        <v>0.042633</v>
      </c>
    </row>
    <row r="6426" customFormat="false" ht="15" hidden="false" customHeight="false" outlineLevel="0" collapsed="false">
      <c r="A6426" s="28" t="s">
        <v>214</v>
      </c>
      <c r="B6426" s="28" t="s">
        <v>215</v>
      </c>
      <c r="C6426" s="28" t="s">
        <v>209</v>
      </c>
      <c r="D6426" s="23" t="n">
        <v>19</v>
      </c>
      <c r="E6426" s="23" t="n">
        <v>8</v>
      </c>
      <c r="F6426" s="28" t="s">
        <v>914</v>
      </c>
      <c r="G6426" s="19" t="n">
        <v>0.042433</v>
      </c>
    </row>
    <row r="6427" customFormat="false" ht="15" hidden="false" customHeight="false" outlineLevel="0" collapsed="false">
      <c r="A6427" s="28" t="s">
        <v>214</v>
      </c>
      <c r="B6427" s="28" t="s">
        <v>215</v>
      </c>
      <c r="C6427" s="28" t="s">
        <v>209</v>
      </c>
      <c r="D6427" s="23" t="n">
        <v>19</v>
      </c>
      <c r="E6427" s="23" t="n">
        <v>8</v>
      </c>
      <c r="F6427" s="28" t="s">
        <v>915</v>
      </c>
      <c r="G6427" s="19" t="n">
        <v>0.058233</v>
      </c>
    </row>
    <row r="6428" customFormat="false" ht="15" hidden="false" customHeight="false" outlineLevel="0" collapsed="false">
      <c r="A6428" s="28" t="s">
        <v>214</v>
      </c>
      <c r="B6428" s="28" t="s">
        <v>215</v>
      </c>
      <c r="C6428" s="28" t="s">
        <v>209</v>
      </c>
      <c r="D6428" s="23" t="n">
        <v>19</v>
      </c>
      <c r="E6428" s="23" t="n">
        <v>9</v>
      </c>
      <c r="F6428" s="28" t="s">
        <v>904</v>
      </c>
      <c r="G6428" s="19" t="n">
        <v>0.0213</v>
      </c>
    </row>
    <row r="6429" customFormat="false" ht="15" hidden="false" customHeight="false" outlineLevel="0" collapsed="false">
      <c r="A6429" s="28" t="s">
        <v>214</v>
      </c>
      <c r="B6429" s="28" t="s">
        <v>215</v>
      </c>
      <c r="C6429" s="28" t="s">
        <v>209</v>
      </c>
      <c r="D6429" s="23" t="n">
        <v>19</v>
      </c>
      <c r="E6429" s="23" t="n">
        <v>9</v>
      </c>
      <c r="F6429" s="28" t="s">
        <v>551</v>
      </c>
      <c r="G6429" s="19" t="n">
        <v>0.0525</v>
      </c>
    </row>
    <row r="6430" customFormat="false" ht="15" hidden="false" customHeight="false" outlineLevel="0" collapsed="false">
      <c r="A6430" s="28" t="s">
        <v>214</v>
      </c>
      <c r="B6430" s="28" t="s">
        <v>215</v>
      </c>
      <c r="C6430" s="28" t="s">
        <v>209</v>
      </c>
      <c r="D6430" s="23" t="n">
        <v>19</v>
      </c>
      <c r="E6430" s="23" t="n">
        <v>9</v>
      </c>
      <c r="F6430" s="28" t="s">
        <v>451</v>
      </c>
      <c r="G6430" s="19" t="n">
        <v>0.0211</v>
      </c>
    </row>
    <row r="6431" customFormat="false" ht="15" hidden="false" customHeight="false" outlineLevel="0" collapsed="false">
      <c r="A6431" s="28" t="s">
        <v>214</v>
      </c>
      <c r="B6431" s="28" t="s">
        <v>215</v>
      </c>
      <c r="C6431" s="28" t="s">
        <v>209</v>
      </c>
      <c r="D6431" s="23" t="n">
        <v>19</v>
      </c>
      <c r="E6431" s="23" t="n">
        <v>9</v>
      </c>
      <c r="F6431" s="28" t="s">
        <v>905</v>
      </c>
      <c r="G6431" s="19" t="n">
        <v>0.0237</v>
      </c>
    </row>
    <row r="6432" customFormat="false" ht="15" hidden="false" customHeight="false" outlineLevel="0" collapsed="false">
      <c r="A6432" s="28" t="s">
        <v>214</v>
      </c>
      <c r="B6432" s="28" t="s">
        <v>215</v>
      </c>
      <c r="C6432" s="28" t="s">
        <v>209</v>
      </c>
      <c r="D6432" s="23" t="n">
        <v>19</v>
      </c>
      <c r="E6432" s="23" t="n">
        <v>9</v>
      </c>
      <c r="F6432" s="28" t="s">
        <v>906</v>
      </c>
      <c r="G6432" s="19" t="n">
        <v>0.025292</v>
      </c>
    </row>
    <row r="6433" customFormat="false" ht="15" hidden="false" customHeight="false" outlineLevel="0" collapsed="false">
      <c r="A6433" s="28" t="s">
        <v>214</v>
      </c>
      <c r="B6433" s="28" t="s">
        <v>215</v>
      </c>
      <c r="C6433" s="28" t="s">
        <v>209</v>
      </c>
      <c r="D6433" s="23" t="n">
        <v>19</v>
      </c>
      <c r="E6433" s="23" t="n">
        <v>9</v>
      </c>
      <c r="F6433" s="28" t="s">
        <v>907</v>
      </c>
      <c r="G6433" s="19" t="n">
        <v>0.025377</v>
      </c>
    </row>
    <row r="6434" customFormat="false" ht="15" hidden="false" customHeight="false" outlineLevel="0" collapsed="false">
      <c r="A6434" s="28" t="s">
        <v>214</v>
      </c>
      <c r="B6434" s="28" t="s">
        <v>215</v>
      </c>
      <c r="C6434" s="28" t="s">
        <v>209</v>
      </c>
      <c r="D6434" s="23" t="n">
        <v>19</v>
      </c>
      <c r="E6434" s="23" t="n">
        <v>9</v>
      </c>
      <c r="F6434" s="28" t="s">
        <v>908</v>
      </c>
      <c r="G6434" s="19" t="n">
        <v>0.027746</v>
      </c>
    </row>
    <row r="6435" customFormat="false" ht="15" hidden="false" customHeight="false" outlineLevel="0" collapsed="false">
      <c r="A6435" s="28" t="s">
        <v>214</v>
      </c>
      <c r="B6435" s="28" t="s">
        <v>215</v>
      </c>
      <c r="C6435" s="28" t="s">
        <v>209</v>
      </c>
      <c r="D6435" s="23" t="n">
        <v>19</v>
      </c>
      <c r="E6435" s="23" t="n">
        <v>9</v>
      </c>
      <c r="F6435" s="28" t="s">
        <v>909</v>
      </c>
      <c r="G6435" s="19" t="n">
        <v>0.028615</v>
      </c>
    </row>
    <row r="6436" customFormat="false" ht="15" hidden="false" customHeight="false" outlineLevel="0" collapsed="false">
      <c r="A6436" s="28" t="s">
        <v>214</v>
      </c>
      <c r="B6436" s="28" t="s">
        <v>215</v>
      </c>
      <c r="C6436" s="28" t="s">
        <v>209</v>
      </c>
      <c r="D6436" s="23" t="n">
        <v>19</v>
      </c>
      <c r="E6436" s="23" t="n">
        <v>9</v>
      </c>
      <c r="F6436" s="28" t="s">
        <v>910</v>
      </c>
      <c r="G6436" s="19" t="n">
        <v>0.030554</v>
      </c>
    </row>
    <row r="6437" customFormat="false" ht="15" hidden="false" customHeight="false" outlineLevel="0" collapsed="false">
      <c r="A6437" s="28" t="s">
        <v>214</v>
      </c>
      <c r="B6437" s="28" t="s">
        <v>215</v>
      </c>
      <c r="C6437" s="28" t="s">
        <v>209</v>
      </c>
      <c r="D6437" s="23" t="n">
        <v>19</v>
      </c>
      <c r="E6437" s="23" t="n">
        <v>9</v>
      </c>
      <c r="F6437" s="28" t="s">
        <v>911</v>
      </c>
      <c r="G6437" s="19" t="n">
        <v>0.033192</v>
      </c>
    </row>
    <row r="6438" customFormat="false" ht="15" hidden="false" customHeight="false" outlineLevel="0" collapsed="false">
      <c r="A6438" s="28" t="s">
        <v>214</v>
      </c>
      <c r="B6438" s="28" t="s">
        <v>215</v>
      </c>
      <c r="C6438" s="28" t="s">
        <v>209</v>
      </c>
      <c r="D6438" s="23" t="n">
        <v>19</v>
      </c>
      <c r="E6438" s="23" t="n">
        <v>9</v>
      </c>
      <c r="F6438" s="28" t="s">
        <v>912</v>
      </c>
      <c r="G6438" s="19" t="n">
        <v>0.0369</v>
      </c>
    </row>
    <row r="6439" customFormat="false" ht="15" hidden="false" customHeight="false" outlineLevel="0" collapsed="false">
      <c r="A6439" s="28" t="s">
        <v>214</v>
      </c>
      <c r="B6439" s="28" t="s">
        <v>215</v>
      </c>
      <c r="C6439" s="28" t="s">
        <v>209</v>
      </c>
      <c r="D6439" s="23" t="n">
        <v>19</v>
      </c>
      <c r="E6439" s="23" t="n">
        <v>9</v>
      </c>
      <c r="F6439" s="28" t="s">
        <v>913</v>
      </c>
      <c r="G6439" s="19" t="n">
        <v>0.0418</v>
      </c>
    </row>
    <row r="6440" customFormat="false" ht="15" hidden="false" customHeight="false" outlineLevel="0" collapsed="false">
      <c r="A6440" s="28" t="s">
        <v>214</v>
      </c>
      <c r="B6440" s="28" t="s">
        <v>215</v>
      </c>
      <c r="C6440" s="28" t="s">
        <v>209</v>
      </c>
      <c r="D6440" s="23" t="n">
        <v>19</v>
      </c>
      <c r="E6440" s="23" t="n">
        <v>9</v>
      </c>
      <c r="F6440" s="28" t="s">
        <v>914</v>
      </c>
      <c r="G6440" s="19" t="n">
        <v>0.0416</v>
      </c>
    </row>
    <row r="6441" customFormat="false" ht="15" hidden="false" customHeight="false" outlineLevel="0" collapsed="false">
      <c r="A6441" s="28" t="s">
        <v>214</v>
      </c>
      <c r="B6441" s="28" t="s">
        <v>215</v>
      </c>
      <c r="C6441" s="28" t="s">
        <v>209</v>
      </c>
      <c r="D6441" s="23" t="n">
        <v>19</v>
      </c>
      <c r="E6441" s="23" t="n">
        <v>9</v>
      </c>
      <c r="F6441" s="28" t="s">
        <v>915</v>
      </c>
      <c r="G6441" s="19" t="n">
        <v>0.0574</v>
      </c>
    </row>
    <row r="6442" customFormat="false" ht="15" hidden="false" customHeight="false" outlineLevel="0" collapsed="false">
      <c r="A6442" s="28" t="s">
        <v>214</v>
      </c>
      <c r="B6442" s="28" t="s">
        <v>215</v>
      </c>
      <c r="C6442" s="28" t="s">
        <v>209</v>
      </c>
      <c r="D6442" s="23" t="n">
        <v>19</v>
      </c>
      <c r="E6442" s="23" t="n">
        <v>10</v>
      </c>
      <c r="F6442" s="28" t="s">
        <v>904</v>
      </c>
      <c r="G6442" s="19" t="n">
        <v>0.019633</v>
      </c>
    </row>
    <row r="6443" customFormat="false" ht="15" hidden="false" customHeight="false" outlineLevel="0" collapsed="false">
      <c r="A6443" s="28" t="s">
        <v>214</v>
      </c>
      <c r="B6443" s="28" t="s">
        <v>215</v>
      </c>
      <c r="C6443" s="28" t="s">
        <v>209</v>
      </c>
      <c r="D6443" s="23" t="n">
        <v>19</v>
      </c>
      <c r="E6443" s="23" t="n">
        <v>10</v>
      </c>
      <c r="F6443" s="28" t="s">
        <v>551</v>
      </c>
      <c r="G6443" s="19" t="n">
        <v>0.050833</v>
      </c>
    </row>
    <row r="6444" customFormat="false" ht="15" hidden="false" customHeight="false" outlineLevel="0" collapsed="false">
      <c r="A6444" s="28" t="s">
        <v>214</v>
      </c>
      <c r="B6444" s="28" t="s">
        <v>215</v>
      </c>
      <c r="C6444" s="28" t="s">
        <v>209</v>
      </c>
      <c r="D6444" s="23" t="n">
        <v>19</v>
      </c>
      <c r="E6444" s="23" t="n">
        <v>10</v>
      </c>
      <c r="F6444" s="28" t="s">
        <v>451</v>
      </c>
      <c r="G6444" s="19" t="n">
        <v>0.019433</v>
      </c>
    </row>
    <row r="6445" customFormat="false" ht="15" hidden="false" customHeight="false" outlineLevel="0" collapsed="false">
      <c r="A6445" s="28" t="s">
        <v>214</v>
      </c>
      <c r="B6445" s="28" t="s">
        <v>215</v>
      </c>
      <c r="C6445" s="28" t="s">
        <v>209</v>
      </c>
      <c r="D6445" s="23" t="n">
        <v>19</v>
      </c>
      <c r="E6445" s="23" t="n">
        <v>10</v>
      </c>
      <c r="F6445" s="28" t="s">
        <v>905</v>
      </c>
      <c r="G6445" s="19" t="n">
        <v>0.022033</v>
      </c>
    </row>
    <row r="6446" customFormat="false" ht="15" hidden="false" customHeight="false" outlineLevel="0" collapsed="false">
      <c r="A6446" s="28" t="s">
        <v>214</v>
      </c>
      <c r="B6446" s="28" t="s">
        <v>215</v>
      </c>
      <c r="C6446" s="28" t="s">
        <v>209</v>
      </c>
      <c r="D6446" s="23" t="n">
        <v>19</v>
      </c>
      <c r="E6446" s="23" t="n">
        <v>10</v>
      </c>
      <c r="F6446" s="28" t="s">
        <v>906</v>
      </c>
      <c r="G6446" s="19" t="n">
        <v>0.023647</v>
      </c>
    </row>
    <row r="6447" customFormat="false" ht="15" hidden="false" customHeight="false" outlineLevel="0" collapsed="false">
      <c r="A6447" s="28" t="s">
        <v>214</v>
      </c>
      <c r="B6447" s="28" t="s">
        <v>215</v>
      </c>
      <c r="C6447" s="28" t="s">
        <v>209</v>
      </c>
      <c r="D6447" s="23" t="n">
        <v>19</v>
      </c>
      <c r="E6447" s="23" t="n">
        <v>10</v>
      </c>
      <c r="F6447" s="28" t="s">
        <v>907</v>
      </c>
      <c r="G6447" s="19" t="n">
        <v>0.023774</v>
      </c>
    </row>
    <row r="6448" customFormat="false" ht="15" hidden="false" customHeight="false" outlineLevel="0" collapsed="false">
      <c r="A6448" s="28" t="s">
        <v>214</v>
      </c>
      <c r="B6448" s="28" t="s">
        <v>215</v>
      </c>
      <c r="C6448" s="28" t="s">
        <v>209</v>
      </c>
      <c r="D6448" s="23" t="n">
        <v>19</v>
      </c>
      <c r="E6448" s="23" t="n">
        <v>10</v>
      </c>
      <c r="F6448" s="28" t="s">
        <v>908</v>
      </c>
      <c r="G6448" s="19" t="n">
        <v>0.026229</v>
      </c>
    </row>
    <row r="6449" customFormat="false" ht="15" hidden="false" customHeight="false" outlineLevel="0" collapsed="false">
      <c r="A6449" s="28" t="s">
        <v>214</v>
      </c>
      <c r="B6449" s="28" t="s">
        <v>215</v>
      </c>
      <c r="C6449" s="28" t="s">
        <v>209</v>
      </c>
      <c r="D6449" s="23" t="n">
        <v>19</v>
      </c>
      <c r="E6449" s="23" t="n">
        <v>10</v>
      </c>
      <c r="F6449" s="28" t="s">
        <v>909</v>
      </c>
      <c r="G6449" s="19" t="n">
        <v>0.027184</v>
      </c>
    </row>
    <row r="6450" customFormat="false" ht="15" hidden="false" customHeight="false" outlineLevel="0" collapsed="false">
      <c r="A6450" s="28" t="s">
        <v>214</v>
      </c>
      <c r="B6450" s="28" t="s">
        <v>215</v>
      </c>
      <c r="C6450" s="28" t="s">
        <v>209</v>
      </c>
      <c r="D6450" s="23" t="n">
        <v>19</v>
      </c>
      <c r="E6450" s="23" t="n">
        <v>10</v>
      </c>
      <c r="F6450" s="28" t="s">
        <v>910</v>
      </c>
      <c r="G6450" s="19" t="n">
        <v>0.029293</v>
      </c>
    </row>
    <row r="6451" customFormat="false" ht="15" hidden="false" customHeight="false" outlineLevel="0" collapsed="false">
      <c r="A6451" s="28" t="s">
        <v>214</v>
      </c>
      <c r="B6451" s="28" t="s">
        <v>215</v>
      </c>
      <c r="C6451" s="28" t="s">
        <v>209</v>
      </c>
      <c r="D6451" s="23" t="n">
        <v>19</v>
      </c>
      <c r="E6451" s="23" t="n">
        <v>10</v>
      </c>
      <c r="F6451" s="28" t="s">
        <v>911</v>
      </c>
      <c r="G6451" s="19" t="n">
        <v>0.032103</v>
      </c>
    </row>
    <row r="6452" customFormat="false" ht="15" hidden="false" customHeight="false" outlineLevel="0" collapsed="false">
      <c r="A6452" s="28" t="s">
        <v>214</v>
      </c>
      <c r="B6452" s="28" t="s">
        <v>215</v>
      </c>
      <c r="C6452" s="28" t="s">
        <v>209</v>
      </c>
      <c r="D6452" s="23" t="n">
        <v>19</v>
      </c>
      <c r="E6452" s="23" t="n">
        <v>10</v>
      </c>
      <c r="F6452" s="28" t="s">
        <v>912</v>
      </c>
      <c r="G6452" s="19" t="n">
        <v>0.036067</v>
      </c>
    </row>
    <row r="6453" customFormat="false" ht="15" hidden="false" customHeight="false" outlineLevel="0" collapsed="false">
      <c r="A6453" s="28" t="s">
        <v>214</v>
      </c>
      <c r="B6453" s="28" t="s">
        <v>215</v>
      </c>
      <c r="C6453" s="28" t="s">
        <v>209</v>
      </c>
      <c r="D6453" s="23" t="n">
        <v>19</v>
      </c>
      <c r="E6453" s="23" t="n">
        <v>10</v>
      </c>
      <c r="F6453" s="28" t="s">
        <v>913</v>
      </c>
      <c r="G6453" s="19" t="n">
        <v>0.040967</v>
      </c>
    </row>
    <row r="6454" customFormat="false" ht="15" hidden="false" customHeight="false" outlineLevel="0" collapsed="false">
      <c r="A6454" s="28" t="s">
        <v>214</v>
      </c>
      <c r="B6454" s="28" t="s">
        <v>215</v>
      </c>
      <c r="C6454" s="28" t="s">
        <v>209</v>
      </c>
      <c r="D6454" s="23" t="n">
        <v>19</v>
      </c>
      <c r="E6454" s="23" t="n">
        <v>10</v>
      </c>
      <c r="F6454" s="28" t="s">
        <v>914</v>
      </c>
      <c r="G6454" s="19" t="n">
        <v>0.040767</v>
      </c>
    </row>
    <row r="6455" customFormat="false" ht="15" hidden="false" customHeight="false" outlineLevel="0" collapsed="false">
      <c r="A6455" s="28" t="s">
        <v>214</v>
      </c>
      <c r="B6455" s="28" t="s">
        <v>215</v>
      </c>
      <c r="C6455" s="28" t="s">
        <v>209</v>
      </c>
      <c r="D6455" s="23" t="n">
        <v>19</v>
      </c>
      <c r="E6455" s="23" t="n">
        <v>10</v>
      </c>
      <c r="F6455" s="28" t="s">
        <v>915</v>
      </c>
      <c r="G6455" s="19" t="n">
        <v>0.056567</v>
      </c>
    </row>
    <row r="6456" customFormat="false" ht="15" hidden="false" customHeight="false" outlineLevel="0" collapsed="false">
      <c r="A6456" s="28" t="s">
        <v>214</v>
      </c>
      <c r="B6456" s="28" t="s">
        <v>215</v>
      </c>
      <c r="C6456" s="28" t="s">
        <v>209</v>
      </c>
      <c r="D6456" s="23" t="n">
        <v>19</v>
      </c>
      <c r="E6456" s="23" t="n">
        <v>11</v>
      </c>
      <c r="F6456" s="28" t="s">
        <v>904</v>
      </c>
      <c r="G6456" s="19" t="n">
        <v>0.017967</v>
      </c>
    </row>
    <row r="6457" customFormat="false" ht="15" hidden="false" customHeight="false" outlineLevel="0" collapsed="false">
      <c r="A6457" s="28" t="s">
        <v>214</v>
      </c>
      <c r="B6457" s="28" t="s">
        <v>215</v>
      </c>
      <c r="C6457" s="28" t="s">
        <v>209</v>
      </c>
      <c r="D6457" s="23" t="n">
        <v>19</v>
      </c>
      <c r="E6457" s="23" t="n">
        <v>11</v>
      </c>
      <c r="F6457" s="28" t="s">
        <v>551</v>
      </c>
      <c r="G6457" s="19" t="n">
        <v>0.049167</v>
      </c>
    </row>
    <row r="6458" customFormat="false" ht="15" hidden="false" customHeight="false" outlineLevel="0" collapsed="false">
      <c r="A6458" s="28" t="s">
        <v>214</v>
      </c>
      <c r="B6458" s="28" t="s">
        <v>215</v>
      </c>
      <c r="C6458" s="28" t="s">
        <v>209</v>
      </c>
      <c r="D6458" s="23" t="n">
        <v>19</v>
      </c>
      <c r="E6458" s="23" t="n">
        <v>11</v>
      </c>
      <c r="F6458" s="28" t="s">
        <v>451</v>
      </c>
      <c r="G6458" s="19" t="n">
        <v>0.017767</v>
      </c>
    </row>
    <row r="6459" customFormat="false" ht="15" hidden="false" customHeight="false" outlineLevel="0" collapsed="false">
      <c r="A6459" s="28" t="s">
        <v>214</v>
      </c>
      <c r="B6459" s="28" t="s">
        <v>215</v>
      </c>
      <c r="C6459" s="28" t="s">
        <v>209</v>
      </c>
      <c r="D6459" s="23" t="n">
        <v>19</v>
      </c>
      <c r="E6459" s="23" t="n">
        <v>11</v>
      </c>
      <c r="F6459" s="28" t="s">
        <v>905</v>
      </c>
      <c r="G6459" s="19" t="n">
        <v>0.020367</v>
      </c>
    </row>
    <row r="6460" customFormat="false" ht="15" hidden="false" customHeight="false" outlineLevel="0" collapsed="false">
      <c r="A6460" s="28" t="s">
        <v>214</v>
      </c>
      <c r="B6460" s="28" t="s">
        <v>215</v>
      </c>
      <c r="C6460" s="28" t="s">
        <v>209</v>
      </c>
      <c r="D6460" s="23" t="n">
        <v>19</v>
      </c>
      <c r="E6460" s="23" t="n">
        <v>11</v>
      </c>
      <c r="F6460" s="28" t="s">
        <v>906</v>
      </c>
      <c r="G6460" s="19" t="n">
        <v>0.022002</v>
      </c>
    </row>
    <row r="6461" customFormat="false" ht="15" hidden="false" customHeight="false" outlineLevel="0" collapsed="false">
      <c r="A6461" s="28" t="s">
        <v>214</v>
      </c>
      <c r="B6461" s="28" t="s">
        <v>215</v>
      </c>
      <c r="C6461" s="28" t="s">
        <v>209</v>
      </c>
      <c r="D6461" s="23" t="n">
        <v>19</v>
      </c>
      <c r="E6461" s="23" t="n">
        <v>11</v>
      </c>
      <c r="F6461" s="28" t="s">
        <v>907</v>
      </c>
      <c r="G6461" s="19" t="n">
        <v>0.022172</v>
      </c>
    </row>
    <row r="6462" customFormat="false" ht="15" hidden="false" customHeight="false" outlineLevel="0" collapsed="false">
      <c r="A6462" s="28" t="s">
        <v>214</v>
      </c>
      <c r="B6462" s="28" t="s">
        <v>215</v>
      </c>
      <c r="C6462" s="28" t="s">
        <v>209</v>
      </c>
      <c r="D6462" s="23" t="n">
        <v>19</v>
      </c>
      <c r="E6462" s="23" t="n">
        <v>11</v>
      </c>
      <c r="F6462" s="28" t="s">
        <v>908</v>
      </c>
      <c r="G6462" s="19" t="n">
        <v>0.024712</v>
      </c>
    </row>
    <row r="6463" customFormat="false" ht="15" hidden="false" customHeight="false" outlineLevel="0" collapsed="false">
      <c r="A6463" s="28" t="s">
        <v>214</v>
      </c>
      <c r="B6463" s="28" t="s">
        <v>215</v>
      </c>
      <c r="C6463" s="28" t="s">
        <v>209</v>
      </c>
      <c r="D6463" s="23" t="n">
        <v>19</v>
      </c>
      <c r="E6463" s="23" t="n">
        <v>11</v>
      </c>
      <c r="F6463" s="28" t="s">
        <v>909</v>
      </c>
      <c r="G6463" s="19" t="n">
        <v>0.025752</v>
      </c>
    </row>
    <row r="6464" customFormat="false" ht="15" hidden="false" customHeight="false" outlineLevel="0" collapsed="false">
      <c r="A6464" s="28" t="s">
        <v>214</v>
      </c>
      <c r="B6464" s="28" t="s">
        <v>215</v>
      </c>
      <c r="C6464" s="28" t="s">
        <v>209</v>
      </c>
      <c r="D6464" s="23" t="n">
        <v>19</v>
      </c>
      <c r="E6464" s="23" t="n">
        <v>11</v>
      </c>
      <c r="F6464" s="28" t="s">
        <v>910</v>
      </c>
      <c r="G6464" s="19" t="n">
        <v>0.028032</v>
      </c>
    </row>
    <row r="6465" customFormat="false" ht="15" hidden="false" customHeight="false" outlineLevel="0" collapsed="false">
      <c r="A6465" s="28" t="s">
        <v>214</v>
      </c>
      <c r="B6465" s="28" t="s">
        <v>215</v>
      </c>
      <c r="C6465" s="28" t="s">
        <v>209</v>
      </c>
      <c r="D6465" s="23" t="n">
        <v>19</v>
      </c>
      <c r="E6465" s="23" t="n">
        <v>11</v>
      </c>
      <c r="F6465" s="28" t="s">
        <v>911</v>
      </c>
      <c r="G6465" s="19" t="n">
        <v>0.031013</v>
      </c>
    </row>
    <row r="6466" customFormat="false" ht="15" hidden="false" customHeight="false" outlineLevel="0" collapsed="false">
      <c r="A6466" s="28" t="s">
        <v>214</v>
      </c>
      <c r="B6466" s="28" t="s">
        <v>215</v>
      </c>
      <c r="C6466" s="28" t="s">
        <v>209</v>
      </c>
      <c r="D6466" s="23" t="n">
        <v>19</v>
      </c>
      <c r="E6466" s="23" t="n">
        <v>11</v>
      </c>
      <c r="F6466" s="28" t="s">
        <v>912</v>
      </c>
      <c r="G6466" s="19" t="n">
        <v>0.035233</v>
      </c>
    </row>
    <row r="6467" customFormat="false" ht="15" hidden="false" customHeight="false" outlineLevel="0" collapsed="false">
      <c r="A6467" s="28" t="s">
        <v>214</v>
      </c>
      <c r="B6467" s="28" t="s">
        <v>215</v>
      </c>
      <c r="C6467" s="28" t="s">
        <v>209</v>
      </c>
      <c r="D6467" s="23" t="n">
        <v>19</v>
      </c>
      <c r="E6467" s="23" t="n">
        <v>11</v>
      </c>
      <c r="F6467" s="28" t="s">
        <v>913</v>
      </c>
      <c r="G6467" s="19" t="n">
        <v>0.040133</v>
      </c>
    </row>
    <row r="6468" customFormat="false" ht="15" hidden="false" customHeight="false" outlineLevel="0" collapsed="false">
      <c r="A6468" s="28" t="s">
        <v>214</v>
      </c>
      <c r="B6468" s="28" t="s">
        <v>215</v>
      </c>
      <c r="C6468" s="28" t="s">
        <v>209</v>
      </c>
      <c r="D6468" s="23" t="n">
        <v>19</v>
      </c>
      <c r="E6468" s="23" t="n">
        <v>11</v>
      </c>
      <c r="F6468" s="28" t="s">
        <v>914</v>
      </c>
      <c r="G6468" s="19" t="n">
        <v>0.039933</v>
      </c>
    </row>
    <row r="6469" customFormat="false" ht="15" hidden="false" customHeight="false" outlineLevel="0" collapsed="false">
      <c r="A6469" s="28" t="s">
        <v>214</v>
      </c>
      <c r="B6469" s="28" t="s">
        <v>215</v>
      </c>
      <c r="C6469" s="28" t="s">
        <v>209</v>
      </c>
      <c r="D6469" s="23" t="n">
        <v>19</v>
      </c>
      <c r="E6469" s="23" t="n">
        <v>11</v>
      </c>
      <c r="F6469" s="28" t="s">
        <v>915</v>
      </c>
      <c r="G6469" s="19" t="n">
        <v>0.055733</v>
      </c>
    </row>
    <row r="6470" customFormat="false" ht="15" hidden="false" customHeight="false" outlineLevel="0" collapsed="false">
      <c r="A6470" s="28" t="s">
        <v>214</v>
      </c>
      <c r="B6470" s="28" t="s">
        <v>215</v>
      </c>
      <c r="C6470" s="28" t="s">
        <v>209</v>
      </c>
      <c r="D6470" s="23" t="n">
        <v>19</v>
      </c>
      <c r="E6470" s="23" t="n">
        <v>12</v>
      </c>
      <c r="F6470" s="28" t="s">
        <v>904</v>
      </c>
      <c r="G6470" s="19" t="n">
        <v>0.0163</v>
      </c>
    </row>
    <row r="6471" customFormat="false" ht="15" hidden="false" customHeight="false" outlineLevel="0" collapsed="false">
      <c r="A6471" s="28" t="s">
        <v>214</v>
      </c>
      <c r="B6471" s="28" t="s">
        <v>215</v>
      </c>
      <c r="C6471" s="28" t="s">
        <v>209</v>
      </c>
      <c r="D6471" s="23" t="n">
        <v>19</v>
      </c>
      <c r="E6471" s="23" t="n">
        <v>12</v>
      </c>
      <c r="F6471" s="28" t="s">
        <v>551</v>
      </c>
      <c r="G6471" s="19" t="n">
        <v>0.0475</v>
      </c>
    </row>
    <row r="6472" customFormat="false" ht="15" hidden="false" customHeight="false" outlineLevel="0" collapsed="false">
      <c r="A6472" s="28" t="s">
        <v>214</v>
      </c>
      <c r="B6472" s="28" t="s">
        <v>215</v>
      </c>
      <c r="C6472" s="28" t="s">
        <v>209</v>
      </c>
      <c r="D6472" s="23" t="n">
        <v>19</v>
      </c>
      <c r="E6472" s="23" t="n">
        <v>12</v>
      </c>
      <c r="F6472" s="28" t="s">
        <v>451</v>
      </c>
      <c r="G6472" s="19" t="n">
        <v>0.0161</v>
      </c>
    </row>
    <row r="6473" customFormat="false" ht="15" hidden="false" customHeight="false" outlineLevel="0" collapsed="false">
      <c r="A6473" s="28" t="s">
        <v>214</v>
      </c>
      <c r="B6473" s="28" t="s">
        <v>215</v>
      </c>
      <c r="C6473" s="28" t="s">
        <v>209</v>
      </c>
      <c r="D6473" s="23" t="n">
        <v>19</v>
      </c>
      <c r="E6473" s="23" t="n">
        <v>12</v>
      </c>
      <c r="F6473" s="28" t="s">
        <v>905</v>
      </c>
      <c r="G6473" s="19" t="n">
        <v>0.0187</v>
      </c>
    </row>
    <row r="6474" customFormat="false" ht="15" hidden="false" customHeight="false" outlineLevel="0" collapsed="false">
      <c r="A6474" s="28" t="s">
        <v>214</v>
      </c>
      <c r="B6474" s="28" t="s">
        <v>215</v>
      </c>
      <c r="C6474" s="28" t="s">
        <v>209</v>
      </c>
      <c r="D6474" s="23" t="n">
        <v>19</v>
      </c>
      <c r="E6474" s="23" t="n">
        <v>12</v>
      </c>
      <c r="F6474" s="28" t="s">
        <v>906</v>
      </c>
      <c r="G6474" s="19" t="n">
        <v>0.020356</v>
      </c>
    </row>
    <row r="6475" customFormat="false" ht="15" hidden="false" customHeight="false" outlineLevel="0" collapsed="false">
      <c r="A6475" s="28" t="s">
        <v>214</v>
      </c>
      <c r="B6475" s="28" t="s">
        <v>215</v>
      </c>
      <c r="C6475" s="28" t="s">
        <v>209</v>
      </c>
      <c r="D6475" s="23" t="n">
        <v>19</v>
      </c>
      <c r="E6475" s="23" t="n">
        <v>12</v>
      </c>
      <c r="F6475" s="28" t="s">
        <v>907</v>
      </c>
      <c r="G6475" s="19" t="n">
        <v>0.020569</v>
      </c>
    </row>
    <row r="6476" customFormat="false" ht="15" hidden="false" customHeight="false" outlineLevel="0" collapsed="false">
      <c r="A6476" s="28" t="s">
        <v>214</v>
      </c>
      <c r="B6476" s="28" t="s">
        <v>215</v>
      </c>
      <c r="C6476" s="28" t="s">
        <v>209</v>
      </c>
      <c r="D6476" s="23" t="n">
        <v>19</v>
      </c>
      <c r="E6476" s="23" t="n">
        <v>12</v>
      </c>
      <c r="F6476" s="28" t="s">
        <v>908</v>
      </c>
      <c r="G6476" s="19" t="n">
        <v>0.023195</v>
      </c>
    </row>
    <row r="6477" customFormat="false" ht="15" hidden="false" customHeight="false" outlineLevel="0" collapsed="false">
      <c r="A6477" s="28" t="s">
        <v>214</v>
      </c>
      <c r="B6477" s="28" t="s">
        <v>215</v>
      </c>
      <c r="C6477" s="28" t="s">
        <v>209</v>
      </c>
      <c r="D6477" s="23" t="n">
        <v>19</v>
      </c>
      <c r="E6477" s="23" t="n">
        <v>12</v>
      </c>
      <c r="F6477" s="28" t="s">
        <v>909</v>
      </c>
      <c r="G6477" s="19" t="n">
        <v>0.024321</v>
      </c>
    </row>
    <row r="6478" customFormat="false" ht="15" hidden="false" customHeight="false" outlineLevel="0" collapsed="false">
      <c r="A6478" s="28" t="s">
        <v>214</v>
      </c>
      <c r="B6478" s="28" t="s">
        <v>215</v>
      </c>
      <c r="C6478" s="28" t="s">
        <v>209</v>
      </c>
      <c r="D6478" s="23" t="n">
        <v>19</v>
      </c>
      <c r="E6478" s="23" t="n">
        <v>12</v>
      </c>
      <c r="F6478" s="28" t="s">
        <v>910</v>
      </c>
      <c r="G6478" s="19" t="n">
        <v>0.026772</v>
      </c>
    </row>
    <row r="6479" customFormat="false" ht="15" hidden="false" customHeight="false" outlineLevel="0" collapsed="false">
      <c r="A6479" s="28" t="s">
        <v>214</v>
      </c>
      <c r="B6479" s="28" t="s">
        <v>215</v>
      </c>
      <c r="C6479" s="28" t="s">
        <v>209</v>
      </c>
      <c r="D6479" s="23" t="n">
        <v>19</v>
      </c>
      <c r="E6479" s="23" t="n">
        <v>12</v>
      </c>
      <c r="F6479" s="28" t="s">
        <v>911</v>
      </c>
      <c r="G6479" s="19" t="n">
        <v>0.029923</v>
      </c>
    </row>
    <row r="6480" customFormat="false" ht="15" hidden="false" customHeight="false" outlineLevel="0" collapsed="false">
      <c r="A6480" s="28" t="s">
        <v>214</v>
      </c>
      <c r="B6480" s="28" t="s">
        <v>215</v>
      </c>
      <c r="C6480" s="28" t="s">
        <v>209</v>
      </c>
      <c r="D6480" s="23" t="n">
        <v>19</v>
      </c>
      <c r="E6480" s="23" t="n">
        <v>12</v>
      </c>
      <c r="F6480" s="28" t="s">
        <v>912</v>
      </c>
      <c r="G6480" s="19" t="n">
        <v>0.0344</v>
      </c>
    </row>
    <row r="6481" customFormat="false" ht="15" hidden="false" customHeight="false" outlineLevel="0" collapsed="false">
      <c r="A6481" s="28" t="s">
        <v>214</v>
      </c>
      <c r="B6481" s="28" t="s">
        <v>215</v>
      </c>
      <c r="C6481" s="28" t="s">
        <v>209</v>
      </c>
      <c r="D6481" s="23" t="n">
        <v>19</v>
      </c>
      <c r="E6481" s="23" t="n">
        <v>12</v>
      </c>
      <c r="F6481" s="28" t="s">
        <v>913</v>
      </c>
      <c r="G6481" s="19" t="n">
        <v>0.0393</v>
      </c>
    </row>
    <row r="6482" customFormat="false" ht="15" hidden="false" customHeight="false" outlineLevel="0" collapsed="false">
      <c r="A6482" s="28" t="s">
        <v>214</v>
      </c>
      <c r="B6482" s="28" t="s">
        <v>215</v>
      </c>
      <c r="C6482" s="28" t="s">
        <v>209</v>
      </c>
      <c r="D6482" s="23" t="n">
        <v>19</v>
      </c>
      <c r="E6482" s="23" t="n">
        <v>12</v>
      </c>
      <c r="F6482" s="28" t="s">
        <v>914</v>
      </c>
      <c r="G6482" s="19" t="n">
        <v>0.0391</v>
      </c>
    </row>
    <row r="6483" customFormat="false" ht="15" hidden="false" customHeight="false" outlineLevel="0" collapsed="false">
      <c r="A6483" s="28" t="s">
        <v>214</v>
      </c>
      <c r="B6483" s="28" t="s">
        <v>215</v>
      </c>
      <c r="C6483" s="28" t="s">
        <v>209</v>
      </c>
      <c r="D6483" s="23" t="n">
        <v>19</v>
      </c>
      <c r="E6483" s="23" t="n">
        <v>12</v>
      </c>
      <c r="F6483" s="28" t="s">
        <v>915</v>
      </c>
      <c r="G6483" s="19" t="n">
        <v>0.0549</v>
      </c>
    </row>
    <row r="6484" customFormat="false" ht="15" hidden="false" customHeight="false" outlineLevel="0" collapsed="false">
      <c r="A6484" s="28" t="s">
        <v>214</v>
      </c>
      <c r="B6484" s="28" t="s">
        <v>215</v>
      </c>
      <c r="C6484" s="28" t="s">
        <v>209</v>
      </c>
      <c r="D6484" s="23" t="n">
        <v>19</v>
      </c>
      <c r="E6484" s="23" t="n">
        <v>13</v>
      </c>
      <c r="F6484" s="28" t="s">
        <v>904</v>
      </c>
      <c r="G6484" s="19" t="n">
        <v>0.0163</v>
      </c>
    </row>
    <row r="6485" customFormat="false" ht="15" hidden="false" customHeight="false" outlineLevel="0" collapsed="false">
      <c r="A6485" s="28" t="s">
        <v>214</v>
      </c>
      <c r="B6485" s="28" t="s">
        <v>215</v>
      </c>
      <c r="C6485" s="28" t="s">
        <v>209</v>
      </c>
      <c r="D6485" s="23" t="n">
        <v>19</v>
      </c>
      <c r="E6485" s="23" t="n">
        <v>13</v>
      </c>
      <c r="F6485" s="28" t="s">
        <v>551</v>
      </c>
      <c r="G6485" s="19" t="n">
        <v>0.0475</v>
      </c>
    </row>
    <row r="6486" customFormat="false" ht="15" hidden="false" customHeight="false" outlineLevel="0" collapsed="false">
      <c r="A6486" s="28" t="s">
        <v>214</v>
      </c>
      <c r="B6486" s="28" t="s">
        <v>215</v>
      </c>
      <c r="C6486" s="28" t="s">
        <v>209</v>
      </c>
      <c r="D6486" s="23" t="n">
        <v>19</v>
      </c>
      <c r="E6486" s="23" t="n">
        <v>13</v>
      </c>
      <c r="F6486" s="28" t="s">
        <v>451</v>
      </c>
      <c r="G6486" s="19" t="n">
        <v>0.0161</v>
      </c>
    </row>
    <row r="6487" customFormat="false" ht="15" hidden="false" customHeight="false" outlineLevel="0" collapsed="false">
      <c r="A6487" s="28" t="s">
        <v>214</v>
      </c>
      <c r="B6487" s="28" t="s">
        <v>215</v>
      </c>
      <c r="C6487" s="28" t="s">
        <v>209</v>
      </c>
      <c r="D6487" s="23" t="n">
        <v>19</v>
      </c>
      <c r="E6487" s="23" t="n">
        <v>13</v>
      </c>
      <c r="F6487" s="28" t="s">
        <v>905</v>
      </c>
      <c r="G6487" s="19" t="n">
        <v>0.0187</v>
      </c>
    </row>
    <row r="6488" customFormat="false" ht="15" hidden="false" customHeight="false" outlineLevel="0" collapsed="false">
      <c r="A6488" s="28" t="s">
        <v>214</v>
      </c>
      <c r="B6488" s="28" t="s">
        <v>215</v>
      </c>
      <c r="C6488" s="28" t="s">
        <v>209</v>
      </c>
      <c r="D6488" s="23" t="n">
        <v>19</v>
      </c>
      <c r="E6488" s="23" t="n">
        <v>13</v>
      </c>
      <c r="F6488" s="28" t="s">
        <v>906</v>
      </c>
      <c r="G6488" s="19" t="n">
        <v>0.020356</v>
      </c>
    </row>
    <row r="6489" customFormat="false" ht="15" hidden="false" customHeight="false" outlineLevel="0" collapsed="false">
      <c r="A6489" s="28" t="s">
        <v>214</v>
      </c>
      <c r="B6489" s="28" t="s">
        <v>215</v>
      </c>
      <c r="C6489" s="28" t="s">
        <v>209</v>
      </c>
      <c r="D6489" s="23" t="n">
        <v>19</v>
      </c>
      <c r="E6489" s="23" t="n">
        <v>13</v>
      </c>
      <c r="F6489" s="28" t="s">
        <v>907</v>
      </c>
      <c r="G6489" s="19" t="n">
        <v>0.020569</v>
      </c>
    </row>
    <row r="6490" customFormat="false" ht="15" hidden="false" customHeight="false" outlineLevel="0" collapsed="false">
      <c r="A6490" s="28" t="s">
        <v>214</v>
      </c>
      <c r="B6490" s="28" t="s">
        <v>215</v>
      </c>
      <c r="C6490" s="28" t="s">
        <v>209</v>
      </c>
      <c r="D6490" s="23" t="n">
        <v>19</v>
      </c>
      <c r="E6490" s="23" t="n">
        <v>13</v>
      </c>
      <c r="F6490" s="28" t="s">
        <v>908</v>
      </c>
      <c r="G6490" s="19" t="n">
        <v>0.023195</v>
      </c>
    </row>
    <row r="6491" customFormat="false" ht="15" hidden="false" customHeight="false" outlineLevel="0" collapsed="false">
      <c r="A6491" s="28" t="s">
        <v>214</v>
      </c>
      <c r="B6491" s="28" t="s">
        <v>215</v>
      </c>
      <c r="C6491" s="28" t="s">
        <v>209</v>
      </c>
      <c r="D6491" s="23" t="n">
        <v>19</v>
      </c>
      <c r="E6491" s="23" t="n">
        <v>13</v>
      </c>
      <c r="F6491" s="28" t="s">
        <v>909</v>
      </c>
      <c r="G6491" s="19" t="n">
        <v>0.024321</v>
      </c>
    </row>
    <row r="6492" customFormat="false" ht="15" hidden="false" customHeight="false" outlineLevel="0" collapsed="false">
      <c r="A6492" s="28" t="s">
        <v>214</v>
      </c>
      <c r="B6492" s="28" t="s">
        <v>215</v>
      </c>
      <c r="C6492" s="28" t="s">
        <v>209</v>
      </c>
      <c r="D6492" s="23" t="n">
        <v>19</v>
      </c>
      <c r="E6492" s="23" t="n">
        <v>13</v>
      </c>
      <c r="F6492" s="28" t="s">
        <v>910</v>
      </c>
      <c r="G6492" s="19" t="n">
        <v>0.026772</v>
      </c>
    </row>
    <row r="6493" customFormat="false" ht="15" hidden="false" customHeight="false" outlineLevel="0" collapsed="false">
      <c r="A6493" s="28" t="s">
        <v>214</v>
      </c>
      <c r="B6493" s="28" t="s">
        <v>215</v>
      </c>
      <c r="C6493" s="28" t="s">
        <v>209</v>
      </c>
      <c r="D6493" s="23" t="n">
        <v>19</v>
      </c>
      <c r="E6493" s="23" t="n">
        <v>13</v>
      </c>
      <c r="F6493" s="28" t="s">
        <v>911</v>
      </c>
      <c r="G6493" s="19" t="n">
        <v>0.029923</v>
      </c>
    </row>
    <row r="6494" customFormat="false" ht="15" hidden="false" customHeight="false" outlineLevel="0" collapsed="false">
      <c r="A6494" s="28" t="s">
        <v>214</v>
      </c>
      <c r="B6494" s="28" t="s">
        <v>215</v>
      </c>
      <c r="C6494" s="28" t="s">
        <v>209</v>
      </c>
      <c r="D6494" s="23" t="n">
        <v>19</v>
      </c>
      <c r="E6494" s="23" t="n">
        <v>13</v>
      </c>
      <c r="F6494" s="28" t="s">
        <v>912</v>
      </c>
      <c r="G6494" s="19" t="n">
        <v>0.0344</v>
      </c>
    </row>
    <row r="6495" customFormat="false" ht="15" hidden="false" customHeight="false" outlineLevel="0" collapsed="false">
      <c r="A6495" s="28" t="s">
        <v>214</v>
      </c>
      <c r="B6495" s="28" t="s">
        <v>215</v>
      </c>
      <c r="C6495" s="28" t="s">
        <v>209</v>
      </c>
      <c r="D6495" s="23" t="n">
        <v>19</v>
      </c>
      <c r="E6495" s="23" t="n">
        <v>13</v>
      </c>
      <c r="F6495" s="28" t="s">
        <v>913</v>
      </c>
      <c r="G6495" s="19" t="n">
        <v>0.0393</v>
      </c>
    </row>
    <row r="6496" customFormat="false" ht="15" hidden="false" customHeight="false" outlineLevel="0" collapsed="false">
      <c r="A6496" s="28" t="s">
        <v>214</v>
      </c>
      <c r="B6496" s="28" t="s">
        <v>215</v>
      </c>
      <c r="C6496" s="28" t="s">
        <v>209</v>
      </c>
      <c r="D6496" s="23" t="n">
        <v>19</v>
      </c>
      <c r="E6496" s="23" t="n">
        <v>13</v>
      </c>
      <c r="F6496" s="28" t="s">
        <v>914</v>
      </c>
      <c r="G6496" s="19" t="n">
        <v>0.0391</v>
      </c>
    </row>
    <row r="6497" customFormat="false" ht="15" hidden="false" customHeight="false" outlineLevel="0" collapsed="false">
      <c r="A6497" s="28" t="s">
        <v>214</v>
      </c>
      <c r="B6497" s="28" t="s">
        <v>215</v>
      </c>
      <c r="C6497" s="28" t="s">
        <v>209</v>
      </c>
      <c r="D6497" s="23" t="n">
        <v>19</v>
      </c>
      <c r="E6497" s="23" t="n">
        <v>13</v>
      </c>
      <c r="F6497" s="28" t="s">
        <v>915</v>
      </c>
      <c r="G6497" s="19" t="n">
        <v>0.0549</v>
      </c>
    </row>
    <row r="6498" customFormat="false" ht="15" hidden="false" customHeight="false" outlineLevel="0" collapsed="false">
      <c r="A6498" s="28" t="s">
        <v>214</v>
      </c>
      <c r="B6498" s="28" t="s">
        <v>215</v>
      </c>
      <c r="C6498" s="28" t="s">
        <v>209</v>
      </c>
      <c r="D6498" s="23" t="n">
        <v>19</v>
      </c>
      <c r="E6498" s="23" t="n">
        <v>14</v>
      </c>
      <c r="F6498" s="28" t="s">
        <v>904</v>
      </c>
      <c r="G6498" s="19" t="n">
        <v>0.0163</v>
      </c>
    </row>
    <row r="6499" customFormat="false" ht="15" hidden="false" customHeight="false" outlineLevel="0" collapsed="false">
      <c r="A6499" s="28" t="s">
        <v>214</v>
      </c>
      <c r="B6499" s="28" t="s">
        <v>215</v>
      </c>
      <c r="C6499" s="28" t="s">
        <v>209</v>
      </c>
      <c r="D6499" s="23" t="n">
        <v>19</v>
      </c>
      <c r="E6499" s="23" t="n">
        <v>14</v>
      </c>
      <c r="F6499" s="28" t="s">
        <v>551</v>
      </c>
      <c r="G6499" s="19" t="n">
        <v>0.0475</v>
      </c>
    </row>
    <row r="6500" customFormat="false" ht="15" hidden="false" customHeight="false" outlineLevel="0" collapsed="false">
      <c r="A6500" s="28" t="s">
        <v>214</v>
      </c>
      <c r="B6500" s="28" t="s">
        <v>215</v>
      </c>
      <c r="C6500" s="28" t="s">
        <v>209</v>
      </c>
      <c r="D6500" s="23" t="n">
        <v>19</v>
      </c>
      <c r="E6500" s="23" t="n">
        <v>14</v>
      </c>
      <c r="F6500" s="28" t="s">
        <v>451</v>
      </c>
      <c r="G6500" s="19" t="n">
        <v>0.0161</v>
      </c>
    </row>
    <row r="6501" customFormat="false" ht="15" hidden="false" customHeight="false" outlineLevel="0" collapsed="false">
      <c r="A6501" s="28" t="s">
        <v>214</v>
      </c>
      <c r="B6501" s="28" t="s">
        <v>215</v>
      </c>
      <c r="C6501" s="28" t="s">
        <v>209</v>
      </c>
      <c r="D6501" s="23" t="n">
        <v>19</v>
      </c>
      <c r="E6501" s="23" t="n">
        <v>14</v>
      </c>
      <c r="F6501" s="28" t="s">
        <v>905</v>
      </c>
      <c r="G6501" s="19" t="n">
        <v>0.0187</v>
      </c>
    </row>
    <row r="6502" customFormat="false" ht="15" hidden="false" customHeight="false" outlineLevel="0" collapsed="false">
      <c r="A6502" s="28" t="s">
        <v>214</v>
      </c>
      <c r="B6502" s="28" t="s">
        <v>215</v>
      </c>
      <c r="C6502" s="28" t="s">
        <v>209</v>
      </c>
      <c r="D6502" s="23" t="n">
        <v>19</v>
      </c>
      <c r="E6502" s="23" t="n">
        <v>14</v>
      </c>
      <c r="F6502" s="28" t="s">
        <v>906</v>
      </c>
      <c r="G6502" s="19" t="n">
        <v>0.020356</v>
      </c>
    </row>
    <row r="6503" customFormat="false" ht="15" hidden="false" customHeight="false" outlineLevel="0" collapsed="false">
      <c r="A6503" s="28" t="s">
        <v>214</v>
      </c>
      <c r="B6503" s="28" t="s">
        <v>215</v>
      </c>
      <c r="C6503" s="28" t="s">
        <v>209</v>
      </c>
      <c r="D6503" s="23" t="n">
        <v>19</v>
      </c>
      <c r="E6503" s="23" t="n">
        <v>14</v>
      </c>
      <c r="F6503" s="28" t="s">
        <v>907</v>
      </c>
      <c r="G6503" s="19" t="n">
        <v>0.020569</v>
      </c>
    </row>
    <row r="6504" customFormat="false" ht="15" hidden="false" customHeight="false" outlineLevel="0" collapsed="false">
      <c r="A6504" s="28" t="s">
        <v>214</v>
      </c>
      <c r="B6504" s="28" t="s">
        <v>215</v>
      </c>
      <c r="C6504" s="28" t="s">
        <v>209</v>
      </c>
      <c r="D6504" s="23" t="n">
        <v>19</v>
      </c>
      <c r="E6504" s="23" t="n">
        <v>14</v>
      </c>
      <c r="F6504" s="28" t="s">
        <v>908</v>
      </c>
      <c r="G6504" s="19" t="n">
        <v>0.023195</v>
      </c>
    </row>
    <row r="6505" customFormat="false" ht="15" hidden="false" customHeight="false" outlineLevel="0" collapsed="false">
      <c r="A6505" s="28" t="s">
        <v>214</v>
      </c>
      <c r="B6505" s="28" t="s">
        <v>215</v>
      </c>
      <c r="C6505" s="28" t="s">
        <v>209</v>
      </c>
      <c r="D6505" s="23" t="n">
        <v>19</v>
      </c>
      <c r="E6505" s="23" t="n">
        <v>14</v>
      </c>
      <c r="F6505" s="28" t="s">
        <v>909</v>
      </c>
      <c r="G6505" s="19" t="n">
        <v>0.024321</v>
      </c>
    </row>
    <row r="6506" customFormat="false" ht="15" hidden="false" customHeight="false" outlineLevel="0" collapsed="false">
      <c r="A6506" s="28" t="s">
        <v>214</v>
      </c>
      <c r="B6506" s="28" t="s">
        <v>215</v>
      </c>
      <c r="C6506" s="28" t="s">
        <v>209</v>
      </c>
      <c r="D6506" s="23" t="n">
        <v>19</v>
      </c>
      <c r="E6506" s="23" t="n">
        <v>14</v>
      </c>
      <c r="F6506" s="28" t="s">
        <v>910</v>
      </c>
      <c r="G6506" s="19" t="n">
        <v>0.026772</v>
      </c>
    </row>
    <row r="6507" customFormat="false" ht="15" hidden="false" customHeight="false" outlineLevel="0" collapsed="false">
      <c r="A6507" s="28" t="s">
        <v>214</v>
      </c>
      <c r="B6507" s="28" t="s">
        <v>215</v>
      </c>
      <c r="C6507" s="28" t="s">
        <v>209</v>
      </c>
      <c r="D6507" s="23" t="n">
        <v>19</v>
      </c>
      <c r="E6507" s="23" t="n">
        <v>14</v>
      </c>
      <c r="F6507" s="28" t="s">
        <v>911</v>
      </c>
      <c r="G6507" s="19" t="n">
        <v>0.029923</v>
      </c>
    </row>
    <row r="6508" customFormat="false" ht="15" hidden="false" customHeight="false" outlineLevel="0" collapsed="false">
      <c r="A6508" s="28" t="s">
        <v>214</v>
      </c>
      <c r="B6508" s="28" t="s">
        <v>215</v>
      </c>
      <c r="C6508" s="28" t="s">
        <v>209</v>
      </c>
      <c r="D6508" s="23" t="n">
        <v>19</v>
      </c>
      <c r="E6508" s="23" t="n">
        <v>14</v>
      </c>
      <c r="F6508" s="28" t="s">
        <v>912</v>
      </c>
      <c r="G6508" s="19" t="n">
        <v>0.0344</v>
      </c>
    </row>
    <row r="6509" customFormat="false" ht="15" hidden="false" customHeight="false" outlineLevel="0" collapsed="false">
      <c r="A6509" s="28" t="s">
        <v>214</v>
      </c>
      <c r="B6509" s="28" t="s">
        <v>215</v>
      </c>
      <c r="C6509" s="28" t="s">
        <v>209</v>
      </c>
      <c r="D6509" s="23" t="n">
        <v>19</v>
      </c>
      <c r="E6509" s="23" t="n">
        <v>14</v>
      </c>
      <c r="F6509" s="28" t="s">
        <v>913</v>
      </c>
      <c r="G6509" s="19" t="n">
        <v>0.0393</v>
      </c>
    </row>
    <row r="6510" customFormat="false" ht="15" hidden="false" customHeight="false" outlineLevel="0" collapsed="false">
      <c r="A6510" s="28" t="s">
        <v>214</v>
      </c>
      <c r="B6510" s="28" t="s">
        <v>215</v>
      </c>
      <c r="C6510" s="28" t="s">
        <v>209</v>
      </c>
      <c r="D6510" s="23" t="n">
        <v>19</v>
      </c>
      <c r="E6510" s="23" t="n">
        <v>14</v>
      </c>
      <c r="F6510" s="28" t="s">
        <v>914</v>
      </c>
      <c r="G6510" s="19" t="n">
        <v>0.0391</v>
      </c>
    </row>
    <row r="6511" customFormat="false" ht="15" hidden="false" customHeight="false" outlineLevel="0" collapsed="false">
      <c r="A6511" s="28" t="s">
        <v>214</v>
      </c>
      <c r="B6511" s="28" t="s">
        <v>215</v>
      </c>
      <c r="C6511" s="28" t="s">
        <v>209</v>
      </c>
      <c r="D6511" s="23" t="n">
        <v>19</v>
      </c>
      <c r="E6511" s="23" t="n">
        <v>14</v>
      </c>
      <c r="F6511" s="28" t="s">
        <v>915</v>
      </c>
      <c r="G6511" s="19" t="n">
        <v>0.0549</v>
      </c>
    </row>
    <row r="6512" customFormat="false" ht="15" hidden="false" customHeight="false" outlineLevel="0" collapsed="false">
      <c r="A6512" s="28" t="s">
        <v>214</v>
      </c>
      <c r="B6512" s="28" t="s">
        <v>215</v>
      </c>
      <c r="C6512" s="28" t="s">
        <v>209</v>
      </c>
      <c r="D6512" s="23" t="n">
        <v>19</v>
      </c>
      <c r="E6512" s="23" t="n">
        <v>15</v>
      </c>
      <c r="F6512" s="28" t="s">
        <v>904</v>
      </c>
      <c r="G6512" s="19" t="n">
        <v>0.0163</v>
      </c>
    </row>
    <row r="6513" customFormat="false" ht="15" hidden="false" customHeight="false" outlineLevel="0" collapsed="false">
      <c r="A6513" s="28" t="s">
        <v>214</v>
      </c>
      <c r="B6513" s="28" t="s">
        <v>215</v>
      </c>
      <c r="C6513" s="28" t="s">
        <v>209</v>
      </c>
      <c r="D6513" s="23" t="n">
        <v>19</v>
      </c>
      <c r="E6513" s="23" t="n">
        <v>15</v>
      </c>
      <c r="F6513" s="28" t="s">
        <v>551</v>
      </c>
      <c r="G6513" s="19" t="n">
        <v>0.0475</v>
      </c>
    </row>
    <row r="6514" customFormat="false" ht="15" hidden="false" customHeight="false" outlineLevel="0" collapsed="false">
      <c r="A6514" s="28" t="s">
        <v>214</v>
      </c>
      <c r="B6514" s="28" t="s">
        <v>215</v>
      </c>
      <c r="C6514" s="28" t="s">
        <v>209</v>
      </c>
      <c r="D6514" s="23" t="n">
        <v>19</v>
      </c>
      <c r="E6514" s="23" t="n">
        <v>15</v>
      </c>
      <c r="F6514" s="28" t="s">
        <v>451</v>
      </c>
      <c r="G6514" s="19" t="n">
        <v>0.0161</v>
      </c>
    </row>
    <row r="6515" customFormat="false" ht="15" hidden="false" customHeight="false" outlineLevel="0" collapsed="false">
      <c r="A6515" s="28" t="s">
        <v>214</v>
      </c>
      <c r="B6515" s="28" t="s">
        <v>215</v>
      </c>
      <c r="C6515" s="28" t="s">
        <v>209</v>
      </c>
      <c r="D6515" s="23" t="n">
        <v>19</v>
      </c>
      <c r="E6515" s="23" t="n">
        <v>15</v>
      </c>
      <c r="F6515" s="28" t="s">
        <v>905</v>
      </c>
      <c r="G6515" s="19" t="n">
        <v>0.0187</v>
      </c>
    </row>
    <row r="6516" customFormat="false" ht="15" hidden="false" customHeight="false" outlineLevel="0" collapsed="false">
      <c r="A6516" s="28" t="s">
        <v>214</v>
      </c>
      <c r="B6516" s="28" t="s">
        <v>215</v>
      </c>
      <c r="C6516" s="28" t="s">
        <v>209</v>
      </c>
      <c r="D6516" s="23" t="n">
        <v>19</v>
      </c>
      <c r="E6516" s="23" t="n">
        <v>15</v>
      </c>
      <c r="F6516" s="28" t="s">
        <v>906</v>
      </c>
      <c r="G6516" s="19" t="n">
        <v>0.020356</v>
      </c>
    </row>
    <row r="6517" customFormat="false" ht="15" hidden="false" customHeight="false" outlineLevel="0" collapsed="false">
      <c r="A6517" s="28" t="s">
        <v>214</v>
      </c>
      <c r="B6517" s="28" t="s">
        <v>215</v>
      </c>
      <c r="C6517" s="28" t="s">
        <v>209</v>
      </c>
      <c r="D6517" s="23" t="n">
        <v>19</v>
      </c>
      <c r="E6517" s="23" t="n">
        <v>15</v>
      </c>
      <c r="F6517" s="28" t="s">
        <v>907</v>
      </c>
      <c r="G6517" s="19" t="n">
        <v>0.020569</v>
      </c>
    </row>
    <row r="6518" customFormat="false" ht="15" hidden="false" customHeight="false" outlineLevel="0" collapsed="false">
      <c r="A6518" s="28" t="s">
        <v>214</v>
      </c>
      <c r="B6518" s="28" t="s">
        <v>215</v>
      </c>
      <c r="C6518" s="28" t="s">
        <v>209</v>
      </c>
      <c r="D6518" s="23" t="n">
        <v>19</v>
      </c>
      <c r="E6518" s="23" t="n">
        <v>15</v>
      </c>
      <c r="F6518" s="28" t="s">
        <v>908</v>
      </c>
      <c r="G6518" s="19" t="n">
        <v>0.023195</v>
      </c>
    </row>
    <row r="6519" customFormat="false" ht="15" hidden="false" customHeight="false" outlineLevel="0" collapsed="false">
      <c r="A6519" s="28" t="s">
        <v>214</v>
      </c>
      <c r="B6519" s="28" t="s">
        <v>215</v>
      </c>
      <c r="C6519" s="28" t="s">
        <v>209</v>
      </c>
      <c r="D6519" s="23" t="n">
        <v>19</v>
      </c>
      <c r="E6519" s="23" t="n">
        <v>15</v>
      </c>
      <c r="F6519" s="28" t="s">
        <v>909</v>
      </c>
      <c r="G6519" s="19" t="n">
        <v>0.024321</v>
      </c>
    </row>
    <row r="6520" customFormat="false" ht="15" hidden="false" customHeight="false" outlineLevel="0" collapsed="false">
      <c r="A6520" s="28" t="s">
        <v>214</v>
      </c>
      <c r="B6520" s="28" t="s">
        <v>215</v>
      </c>
      <c r="C6520" s="28" t="s">
        <v>209</v>
      </c>
      <c r="D6520" s="23" t="n">
        <v>19</v>
      </c>
      <c r="E6520" s="23" t="n">
        <v>15</v>
      </c>
      <c r="F6520" s="28" t="s">
        <v>910</v>
      </c>
      <c r="G6520" s="19" t="n">
        <v>0.026772</v>
      </c>
    </row>
    <row r="6521" customFormat="false" ht="15" hidden="false" customHeight="false" outlineLevel="0" collapsed="false">
      <c r="A6521" s="28" t="s">
        <v>214</v>
      </c>
      <c r="B6521" s="28" t="s">
        <v>215</v>
      </c>
      <c r="C6521" s="28" t="s">
        <v>209</v>
      </c>
      <c r="D6521" s="23" t="n">
        <v>19</v>
      </c>
      <c r="E6521" s="23" t="n">
        <v>15</v>
      </c>
      <c r="F6521" s="28" t="s">
        <v>911</v>
      </c>
      <c r="G6521" s="19" t="n">
        <v>0.029923</v>
      </c>
    </row>
    <row r="6522" customFormat="false" ht="15" hidden="false" customHeight="false" outlineLevel="0" collapsed="false">
      <c r="A6522" s="28" t="s">
        <v>214</v>
      </c>
      <c r="B6522" s="28" t="s">
        <v>215</v>
      </c>
      <c r="C6522" s="28" t="s">
        <v>209</v>
      </c>
      <c r="D6522" s="23" t="n">
        <v>19</v>
      </c>
      <c r="E6522" s="23" t="n">
        <v>15</v>
      </c>
      <c r="F6522" s="28" t="s">
        <v>912</v>
      </c>
      <c r="G6522" s="19" t="n">
        <v>0.0344</v>
      </c>
    </row>
    <row r="6523" customFormat="false" ht="15" hidden="false" customHeight="false" outlineLevel="0" collapsed="false">
      <c r="A6523" s="28" t="s">
        <v>214</v>
      </c>
      <c r="B6523" s="28" t="s">
        <v>215</v>
      </c>
      <c r="C6523" s="28" t="s">
        <v>209</v>
      </c>
      <c r="D6523" s="23" t="n">
        <v>19</v>
      </c>
      <c r="E6523" s="23" t="n">
        <v>15</v>
      </c>
      <c r="F6523" s="28" t="s">
        <v>913</v>
      </c>
      <c r="G6523" s="19" t="n">
        <v>0.0393</v>
      </c>
    </row>
    <row r="6524" customFormat="false" ht="15" hidden="false" customHeight="false" outlineLevel="0" collapsed="false">
      <c r="A6524" s="28" t="s">
        <v>214</v>
      </c>
      <c r="B6524" s="28" t="s">
        <v>215</v>
      </c>
      <c r="C6524" s="28" t="s">
        <v>209</v>
      </c>
      <c r="D6524" s="23" t="n">
        <v>19</v>
      </c>
      <c r="E6524" s="23" t="n">
        <v>15</v>
      </c>
      <c r="F6524" s="28" t="s">
        <v>914</v>
      </c>
      <c r="G6524" s="19" t="n">
        <v>0.0391</v>
      </c>
    </row>
    <row r="6525" customFormat="false" ht="15" hidden="false" customHeight="false" outlineLevel="0" collapsed="false">
      <c r="A6525" s="28" t="s">
        <v>214</v>
      </c>
      <c r="B6525" s="28" t="s">
        <v>215</v>
      </c>
      <c r="C6525" s="28" t="s">
        <v>209</v>
      </c>
      <c r="D6525" s="23" t="n">
        <v>19</v>
      </c>
      <c r="E6525" s="23" t="n">
        <v>15</v>
      </c>
      <c r="F6525" s="28" t="s">
        <v>915</v>
      </c>
      <c r="G6525" s="19" t="n">
        <v>0.0549</v>
      </c>
    </row>
    <row r="6526" customFormat="false" ht="15" hidden="false" customHeight="false" outlineLevel="0" collapsed="false">
      <c r="A6526" s="28" t="s">
        <v>214</v>
      </c>
      <c r="B6526" s="28" t="s">
        <v>215</v>
      </c>
      <c r="C6526" s="28" t="s">
        <v>209</v>
      </c>
      <c r="D6526" s="23" t="n">
        <v>19</v>
      </c>
      <c r="E6526" s="23" t="n">
        <v>16</v>
      </c>
      <c r="F6526" s="28" t="s">
        <v>904</v>
      </c>
      <c r="G6526" s="19" t="n">
        <v>0.0163</v>
      </c>
    </row>
    <row r="6527" customFormat="false" ht="15" hidden="false" customHeight="false" outlineLevel="0" collapsed="false">
      <c r="A6527" s="28" t="s">
        <v>214</v>
      </c>
      <c r="B6527" s="28" t="s">
        <v>215</v>
      </c>
      <c r="C6527" s="28" t="s">
        <v>209</v>
      </c>
      <c r="D6527" s="23" t="n">
        <v>19</v>
      </c>
      <c r="E6527" s="23" t="n">
        <v>16</v>
      </c>
      <c r="F6527" s="28" t="s">
        <v>551</v>
      </c>
      <c r="G6527" s="19" t="n">
        <v>0.0475</v>
      </c>
    </row>
    <row r="6528" customFormat="false" ht="15" hidden="false" customHeight="false" outlineLevel="0" collapsed="false">
      <c r="A6528" s="28" t="s">
        <v>214</v>
      </c>
      <c r="B6528" s="28" t="s">
        <v>215</v>
      </c>
      <c r="C6528" s="28" t="s">
        <v>209</v>
      </c>
      <c r="D6528" s="23" t="n">
        <v>19</v>
      </c>
      <c r="E6528" s="23" t="n">
        <v>16</v>
      </c>
      <c r="F6528" s="28" t="s">
        <v>451</v>
      </c>
      <c r="G6528" s="19" t="n">
        <v>0.0161</v>
      </c>
    </row>
    <row r="6529" customFormat="false" ht="15" hidden="false" customHeight="false" outlineLevel="0" collapsed="false">
      <c r="A6529" s="28" t="s">
        <v>214</v>
      </c>
      <c r="B6529" s="28" t="s">
        <v>215</v>
      </c>
      <c r="C6529" s="28" t="s">
        <v>209</v>
      </c>
      <c r="D6529" s="23" t="n">
        <v>19</v>
      </c>
      <c r="E6529" s="23" t="n">
        <v>16</v>
      </c>
      <c r="F6529" s="28" t="s">
        <v>905</v>
      </c>
      <c r="G6529" s="19" t="n">
        <v>0.0187</v>
      </c>
    </row>
    <row r="6530" customFormat="false" ht="15" hidden="false" customHeight="false" outlineLevel="0" collapsed="false">
      <c r="A6530" s="28" t="s">
        <v>214</v>
      </c>
      <c r="B6530" s="28" t="s">
        <v>215</v>
      </c>
      <c r="C6530" s="28" t="s">
        <v>209</v>
      </c>
      <c r="D6530" s="23" t="n">
        <v>19</v>
      </c>
      <c r="E6530" s="23" t="n">
        <v>16</v>
      </c>
      <c r="F6530" s="28" t="s">
        <v>906</v>
      </c>
      <c r="G6530" s="19" t="n">
        <v>0.020356</v>
      </c>
    </row>
    <row r="6531" customFormat="false" ht="15" hidden="false" customHeight="false" outlineLevel="0" collapsed="false">
      <c r="A6531" s="28" t="s">
        <v>214</v>
      </c>
      <c r="B6531" s="28" t="s">
        <v>215</v>
      </c>
      <c r="C6531" s="28" t="s">
        <v>209</v>
      </c>
      <c r="D6531" s="23" t="n">
        <v>19</v>
      </c>
      <c r="E6531" s="23" t="n">
        <v>16</v>
      </c>
      <c r="F6531" s="28" t="s">
        <v>907</v>
      </c>
      <c r="G6531" s="19" t="n">
        <v>0.020569</v>
      </c>
    </row>
    <row r="6532" customFormat="false" ht="15" hidden="false" customHeight="false" outlineLevel="0" collapsed="false">
      <c r="A6532" s="28" t="s">
        <v>214</v>
      </c>
      <c r="B6532" s="28" t="s">
        <v>215</v>
      </c>
      <c r="C6532" s="28" t="s">
        <v>209</v>
      </c>
      <c r="D6532" s="23" t="n">
        <v>19</v>
      </c>
      <c r="E6532" s="23" t="n">
        <v>16</v>
      </c>
      <c r="F6532" s="28" t="s">
        <v>908</v>
      </c>
      <c r="G6532" s="19" t="n">
        <v>0.023195</v>
      </c>
    </row>
    <row r="6533" customFormat="false" ht="15" hidden="false" customHeight="false" outlineLevel="0" collapsed="false">
      <c r="A6533" s="28" t="s">
        <v>214</v>
      </c>
      <c r="B6533" s="28" t="s">
        <v>215</v>
      </c>
      <c r="C6533" s="28" t="s">
        <v>209</v>
      </c>
      <c r="D6533" s="23" t="n">
        <v>19</v>
      </c>
      <c r="E6533" s="23" t="n">
        <v>16</v>
      </c>
      <c r="F6533" s="28" t="s">
        <v>909</v>
      </c>
      <c r="G6533" s="19" t="n">
        <v>0.024321</v>
      </c>
    </row>
    <row r="6534" customFormat="false" ht="15" hidden="false" customHeight="false" outlineLevel="0" collapsed="false">
      <c r="A6534" s="28" t="s">
        <v>214</v>
      </c>
      <c r="B6534" s="28" t="s">
        <v>215</v>
      </c>
      <c r="C6534" s="28" t="s">
        <v>209</v>
      </c>
      <c r="D6534" s="23" t="n">
        <v>19</v>
      </c>
      <c r="E6534" s="23" t="n">
        <v>16</v>
      </c>
      <c r="F6534" s="28" t="s">
        <v>910</v>
      </c>
      <c r="G6534" s="19" t="n">
        <v>0.026772</v>
      </c>
    </row>
    <row r="6535" customFormat="false" ht="15" hidden="false" customHeight="false" outlineLevel="0" collapsed="false">
      <c r="A6535" s="28" t="s">
        <v>214</v>
      </c>
      <c r="B6535" s="28" t="s">
        <v>215</v>
      </c>
      <c r="C6535" s="28" t="s">
        <v>209</v>
      </c>
      <c r="D6535" s="23" t="n">
        <v>19</v>
      </c>
      <c r="E6535" s="23" t="n">
        <v>16</v>
      </c>
      <c r="F6535" s="28" t="s">
        <v>911</v>
      </c>
      <c r="G6535" s="19" t="n">
        <v>0.029923</v>
      </c>
    </row>
    <row r="6536" customFormat="false" ht="15" hidden="false" customHeight="false" outlineLevel="0" collapsed="false">
      <c r="A6536" s="28" t="s">
        <v>214</v>
      </c>
      <c r="B6536" s="28" t="s">
        <v>215</v>
      </c>
      <c r="C6536" s="28" t="s">
        <v>209</v>
      </c>
      <c r="D6536" s="23" t="n">
        <v>19</v>
      </c>
      <c r="E6536" s="23" t="n">
        <v>16</v>
      </c>
      <c r="F6536" s="28" t="s">
        <v>912</v>
      </c>
      <c r="G6536" s="19" t="n">
        <v>0.0344</v>
      </c>
    </row>
    <row r="6537" customFormat="false" ht="15" hidden="false" customHeight="false" outlineLevel="0" collapsed="false">
      <c r="A6537" s="28" t="s">
        <v>214</v>
      </c>
      <c r="B6537" s="28" t="s">
        <v>215</v>
      </c>
      <c r="C6537" s="28" t="s">
        <v>209</v>
      </c>
      <c r="D6537" s="23" t="n">
        <v>19</v>
      </c>
      <c r="E6537" s="23" t="n">
        <v>16</v>
      </c>
      <c r="F6537" s="28" t="s">
        <v>913</v>
      </c>
      <c r="G6537" s="19" t="n">
        <v>0.0393</v>
      </c>
    </row>
    <row r="6538" customFormat="false" ht="15" hidden="false" customHeight="false" outlineLevel="0" collapsed="false">
      <c r="A6538" s="28" t="s">
        <v>214</v>
      </c>
      <c r="B6538" s="28" t="s">
        <v>215</v>
      </c>
      <c r="C6538" s="28" t="s">
        <v>209</v>
      </c>
      <c r="D6538" s="23" t="n">
        <v>19</v>
      </c>
      <c r="E6538" s="23" t="n">
        <v>16</v>
      </c>
      <c r="F6538" s="28" t="s">
        <v>914</v>
      </c>
      <c r="G6538" s="19" t="n">
        <v>0.0391</v>
      </c>
    </row>
    <row r="6539" customFormat="false" ht="15" hidden="false" customHeight="false" outlineLevel="0" collapsed="false">
      <c r="A6539" s="28" t="s">
        <v>214</v>
      </c>
      <c r="B6539" s="28" t="s">
        <v>215</v>
      </c>
      <c r="C6539" s="28" t="s">
        <v>209</v>
      </c>
      <c r="D6539" s="23" t="n">
        <v>19</v>
      </c>
      <c r="E6539" s="23" t="n">
        <v>16</v>
      </c>
      <c r="F6539" s="28" t="s">
        <v>915</v>
      </c>
      <c r="G6539" s="19" t="n">
        <v>0.0549</v>
      </c>
    </row>
    <row r="6540" customFormat="false" ht="15" hidden="false" customHeight="false" outlineLevel="0" collapsed="false">
      <c r="A6540" s="28" t="s">
        <v>214</v>
      </c>
      <c r="B6540" s="28" t="s">
        <v>215</v>
      </c>
      <c r="C6540" s="28" t="s">
        <v>209</v>
      </c>
      <c r="D6540" s="23" t="n">
        <v>19</v>
      </c>
      <c r="E6540" s="23" t="n">
        <v>17</v>
      </c>
      <c r="F6540" s="28" t="s">
        <v>904</v>
      </c>
      <c r="G6540" s="19" t="n">
        <v>0.0163</v>
      </c>
    </row>
    <row r="6541" customFormat="false" ht="15" hidden="false" customHeight="false" outlineLevel="0" collapsed="false">
      <c r="A6541" s="28" t="s">
        <v>214</v>
      </c>
      <c r="B6541" s="28" t="s">
        <v>215</v>
      </c>
      <c r="C6541" s="28" t="s">
        <v>209</v>
      </c>
      <c r="D6541" s="23" t="n">
        <v>19</v>
      </c>
      <c r="E6541" s="23" t="n">
        <v>17</v>
      </c>
      <c r="F6541" s="28" t="s">
        <v>551</v>
      </c>
      <c r="G6541" s="19" t="n">
        <v>0.0475</v>
      </c>
    </row>
    <row r="6542" customFormat="false" ht="15" hidden="false" customHeight="false" outlineLevel="0" collapsed="false">
      <c r="A6542" s="28" t="s">
        <v>214</v>
      </c>
      <c r="B6542" s="28" t="s">
        <v>215</v>
      </c>
      <c r="C6542" s="28" t="s">
        <v>209</v>
      </c>
      <c r="D6542" s="23" t="n">
        <v>19</v>
      </c>
      <c r="E6542" s="23" t="n">
        <v>17</v>
      </c>
      <c r="F6542" s="28" t="s">
        <v>451</v>
      </c>
      <c r="G6542" s="19" t="n">
        <v>0.0161</v>
      </c>
    </row>
    <row r="6543" customFormat="false" ht="15" hidden="false" customHeight="false" outlineLevel="0" collapsed="false">
      <c r="A6543" s="28" t="s">
        <v>214</v>
      </c>
      <c r="B6543" s="28" t="s">
        <v>215</v>
      </c>
      <c r="C6543" s="28" t="s">
        <v>209</v>
      </c>
      <c r="D6543" s="23" t="n">
        <v>19</v>
      </c>
      <c r="E6543" s="23" t="n">
        <v>17</v>
      </c>
      <c r="F6543" s="28" t="s">
        <v>905</v>
      </c>
      <c r="G6543" s="19" t="n">
        <v>0.0187</v>
      </c>
    </row>
    <row r="6544" customFormat="false" ht="15" hidden="false" customHeight="false" outlineLevel="0" collapsed="false">
      <c r="A6544" s="28" t="s">
        <v>214</v>
      </c>
      <c r="B6544" s="28" t="s">
        <v>215</v>
      </c>
      <c r="C6544" s="28" t="s">
        <v>209</v>
      </c>
      <c r="D6544" s="23" t="n">
        <v>19</v>
      </c>
      <c r="E6544" s="23" t="n">
        <v>17</v>
      </c>
      <c r="F6544" s="28" t="s">
        <v>906</v>
      </c>
      <c r="G6544" s="19" t="n">
        <v>0.020356</v>
      </c>
    </row>
    <row r="6545" customFormat="false" ht="15" hidden="false" customHeight="false" outlineLevel="0" collapsed="false">
      <c r="A6545" s="28" t="s">
        <v>214</v>
      </c>
      <c r="B6545" s="28" t="s">
        <v>215</v>
      </c>
      <c r="C6545" s="28" t="s">
        <v>209</v>
      </c>
      <c r="D6545" s="23" t="n">
        <v>19</v>
      </c>
      <c r="E6545" s="23" t="n">
        <v>17</v>
      </c>
      <c r="F6545" s="28" t="s">
        <v>907</v>
      </c>
      <c r="G6545" s="19" t="n">
        <v>0.020569</v>
      </c>
    </row>
    <row r="6546" customFormat="false" ht="15" hidden="false" customHeight="false" outlineLevel="0" collapsed="false">
      <c r="A6546" s="28" t="s">
        <v>214</v>
      </c>
      <c r="B6546" s="28" t="s">
        <v>215</v>
      </c>
      <c r="C6546" s="28" t="s">
        <v>209</v>
      </c>
      <c r="D6546" s="23" t="n">
        <v>19</v>
      </c>
      <c r="E6546" s="23" t="n">
        <v>17</v>
      </c>
      <c r="F6546" s="28" t="s">
        <v>908</v>
      </c>
      <c r="G6546" s="19" t="n">
        <v>0.023195</v>
      </c>
    </row>
    <row r="6547" customFormat="false" ht="15" hidden="false" customHeight="false" outlineLevel="0" collapsed="false">
      <c r="A6547" s="28" t="s">
        <v>214</v>
      </c>
      <c r="B6547" s="28" t="s">
        <v>215</v>
      </c>
      <c r="C6547" s="28" t="s">
        <v>209</v>
      </c>
      <c r="D6547" s="23" t="n">
        <v>19</v>
      </c>
      <c r="E6547" s="23" t="n">
        <v>17</v>
      </c>
      <c r="F6547" s="28" t="s">
        <v>909</v>
      </c>
      <c r="G6547" s="19" t="n">
        <v>0.024321</v>
      </c>
    </row>
    <row r="6548" customFormat="false" ht="15" hidden="false" customHeight="false" outlineLevel="0" collapsed="false">
      <c r="A6548" s="28" t="s">
        <v>214</v>
      </c>
      <c r="B6548" s="28" t="s">
        <v>215</v>
      </c>
      <c r="C6548" s="28" t="s">
        <v>209</v>
      </c>
      <c r="D6548" s="23" t="n">
        <v>19</v>
      </c>
      <c r="E6548" s="23" t="n">
        <v>17</v>
      </c>
      <c r="F6548" s="28" t="s">
        <v>910</v>
      </c>
      <c r="G6548" s="19" t="n">
        <v>0.026772</v>
      </c>
    </row>
    <row r="6549" customFormat="false" ht="15" hidden="false" customHeight="false" outlineLevel="0" collapsed="false">
      <c r="A6549" s="28" t="s">
        <v>214</v>
      </c>
      <c r="B6549" s="28" t="s">
        <v>215</v>
      </c>
      <c r="C6549" s="28" t="s">
        <v>209</v>
      </c>
      <c r="D6549" s="23" t="n">
        <v>19</v>
      </c>
      <c r="E6549" s="23" t="n">
        <v>17</v>
      </c>
      <c r="F6549" s="28" t="s">
        <v>911</v>
      </c>
      <c r="G6549" s="19" t="n">
        <v>0.029923</v>
      </c>
    </row>
    <row r="6550" customFormat="false" ht="15" hidden="false" customHeight="false" outlineLevel="0" collapsed="false">
      <c r="A6550" s="28" t="s">
        <v>214</v>
      </c>
      <c r="B6550" s="28" t="s">
        <v>215</v>
      </c>
      <c r="C6550" s="28" t="s">
        <v>209</v>
      </c>
      <c r="D6550" s="23" t="n">
        <v>19</v>
      </c>
      <c r="E6550" s="23" t="n">
        <v>17</v>
      </c>
      <c r="F6550" s="28" t="s">
        <v>912</v>
      </c>
      <c r="G6550" s="19" t="n">
        <v>0.0344</v>
      </c>
    </row>
    <row r="6551" customFormat="false" ht="15" hidden="false" customHeight="false" outlineLevel="0" collapsed="false">
      <c r="A6551" s="28" t="s">
        <v>214</v>
      </c>
      <c r="B6551" s="28" t="s">
        <v>215</v>
      </c>
      <c r="C6551" s="28" t="s">
        <v>209</v>
      </c>
      <c r="D6551" s="23" t="n">
        <v>19</v>
      </c>
      <c r="E6551" s="23" t="n">
        <v>17</v>
      </c>
      <c r="F6551" s="28" t="s">
        <v>913</v>
      </c>
      <c r="G6551" s="19" t="n">
        <v>0.0393</v>
      </c>
    </row>
    <row r="6552" customFormat="false" ht="15" hidden="false" customHeight="false" outlineLevel="0" collapsed="false">
      <c r="A6552" s="28" t="s">
        <v>214</v>
      </c>
      <c r="B6552" s="28" t="s">
        <v>215</v>
      </c>
      <c r="C6552" s="28" t="s">
        <v>209</v>
      </c>
      <c r="D6552" s="23" t="n">
        <v>19</v>
      </c>
      <c r="E6552" s="23" t="n">
        <v>17</v>
      </c>
      <c r="F6552" s="28" t="s">
        <v>914</v>
      </c>
      <c r="G6552" s="19" t="n">
        <v>0.0391</v>
      </c>
    </row>
    <row r="6553" customFormat="false" ht="15" hidden="false" customHeight="false" outlineLevel="0" collapsed="false">
      <c r="A6553" s="28" t="s">
        <v>214</v>
      </c>
      <c r="B6553" s="28" t="s">
        <v>215</v>
      </c>
      <c r="C6553" s="28" t="s">
        <v>209</v>
      </c>
      <c r="D6553" s="23" t="n">
        <v>19</v>
      </c>
      <c r="E6553" s="23" t="n">
        <v>17</v>
      </c>
      <c r="F6553" s="28" t="s">
        <v>915</v>
      </c>
      <c r="G6553" s="19" t="n">
        <v>0.0549</v>
      </c>
    </row>
    <row r="6554" customFormat="false" ht="15" hidden="false" customHeight="false" outlineLevel="0" collapsed="false">
      <c r="A6554" s="28" t="s">
        <v>214</v>
      </c>
      <c r="B6554" s="28" t="s">
        <v>215</v>
      </c>
      <c r="C6554" s="28" t="s">
        <v>209</v>
      </c>
      <c r="D6554" s="23" t="n">
        <v>19</v>
      </c>
      <c r="E6554" s="23" t="n">
        <v>18</v>
      </c>
      <c r="F6554" s="28" t="s">
        <v>904</v>
      </c>
      <c r="G6554" s="19" t="n">
        <v>0.0163</v>
      </c>
    </row>
    <row r="6555" customFormat="false" ht="15" hidden="false" customHeight="false" outlineLevel="0" collapsed="false">
      <c r="A6555" s="28" t="s">
        <v>214</v>
      </c>
      <c r="B6555" s="28" t="s">
        <v>215</v>
      </c>
      <c r="C6555" s="28" t="s">
        <v>209</v>
      </c>
      <c r="D6555" s="23" t="n">
        <v>19</v>
      </c>
      <c r="E6555" s="23" t="n">
        <v>18</v>
      </c>
      <c r="F6555" s="28" t="s">
        <v>551</v>
      </c>
      <c r="G6555" s="19" t="n">
        <v>0.0475</v>
      </c>
    </row>
    <row r="6556" customFormat="false" ht="15" hidden="false" customHeight="false" outlineLevel="0" collapsed="false">
      <c r="A6556" s="28" t="s">
        <v>214</v>
      </c>
      <c r="B6556" s="28" t="s">
        <v>215</v>
      </c>
      <c r="C6556" s="28" t="s">
        <v>209</v>
      </c>
      <c r="D6556" s="23" t="n">
        <v>19</v>
      </c>
      <c r="E6556" s="23" t="n">
        <v>18</v>
      </c>
      <c r="F6556" s="28" t="s">
        <v>451</v>
      </c>
      <c r="G6556" s="19" t="n">
        <v>0.0161</v>
      </c>
    </row>
    <row r="6557" customFormat="false" ht="15" hidden="false" customHeight="false" outlineLevel="0" collapsed="false">
      <c r="A6557" s="28" t="s">
        <v>214</v>
      </c>
      <c r="B6557" s="28" t="s">
        <v>215</v>
      </c>
      <c r="C6557" s="28" t="s">
        <v>209</v>
      </c>
      <c r="D6557" s="23" t="n">
        <v>19</v>
      </c>
      <c r="E6557" s="23" t="n">
        <v>18</v>
      </c>
      <c r="F6557" s="28" t="s">
        <v>905</v>
      </c>
      <c r="G6557" s="19" t="n">
        <v>0.0187</v>
      </c>
    </row>
    <row r="6558" customFormat="false" ht="15" hidden="false" customHeight="false" outlineLevel="0" collapsed="false">
      <c r="A6558" s="28" t="s">
        <v>214</v>
      </c>
      <c r="B6558" s="28" t="s">
        <v>215</v>
      </c>
      <c r="C6558" s="28" t="s">
        <v>209</v>
      </c>
      <c r="D6558" s="23" t="n">
        <v>19</v>
      </c>
      <c r="E6558" s="23" t="n">
        <v>18</v>
      </c>
      <c r="F6558" s="28" t="s">
        <v>906</v>
      </c>
      <c r="G6558" s="19" t="n">
        <v>0.020356</v>
      </c>
    </row>
    <row r="6559" customFormat="false" ht="15" hidden="false" customHeight="false" outlineLevel="0" collapsed="false">
      <c r="A6559" s="28" t="s">
        <v>214</v>
      </c>
      <c r="B6559" s="28" t="s">
        <v>215</v>
      </c>
      <c r="C6559" s="28" t="s">
        <v>209</v>
      </c>
      <c r="D6559" s="23" t="n">
        <v>19</v>
      </c>
      <c r="E6559" s="23" t="n">
        <v>18</v>
      </c>
      <c r="F6559" s="28" t="s">
        <v>907</v>
      </c>
      <c r="G6559" s="19" t="n">
        <v>0.020569</v>
      </c>
    </row>
    <row r="6560" customFormat="false" ht="15" hidden="false" customHeight="false" outlineLevel="0" collapsed="false">
      <c r="A6560" s="28" t="s">
        <v>214</v>
      </c>
      <c r="B6560" s="28" t="s">
        <v>215</v>
      </c>
      <c r="C6560" s="28" t="s">
        <v>209</v>
      </c>
      <c r="D6560" s="23" t="n">
        <v>19</v>
      </c>
      <c r="E6560" s="23" t="n">
        <v>18</v>
      </c>
      <c r="F6560" s="28" t="s">
        <v>908</v>
      </c>
      <c r="G6560" s="19" t="n">
        <v>0.023195</v>
      </c>
    </row>
    <row r="6561" customFormat="false" ht="15" hidden="false" customHeight="false" outlineLevel="0" collapsed="false">
      <c r="A6561" s="28" t="s">
        <v>214</v>
      </c>
      <c r="B6561" s="28" t="s">
        <v>215</v>
      </c>
      <c r="C6561" s="28" t="s">
        <v>209</v>
      </c>
      <c r="D6561" s="23" t="n">
        <v>19</v>
      </c>
      <c r="E6561" s="23" t="n">
        <v>18</v>
      </c>
      <c r="F6561" s="28" t="s">
        <v>909</v>
      </c>
      <c r="G6561" s="19" t="n">
        <v>0.024321</v>
      </c>
    </row>
    <row r="6562" customFormat="false" ht="15" hidden="false" customHeight="false" outlineLevel="0" collapsed="false">
      <c r="A6562" s="28" t="s">
        <v>214</v>
      </c>
      <c r="B6562" s="28" t="s">
        <v>215</v>
      </c>
      <c r="C6562" s="28" t="s">
        <v>209</v>
      </c>
      <c r="D6562" s="23" t="n">
        <v>19</v>
      </c>
      <c r="E6562" s="23" t="n">
        <v>18</v>
      </c>
      <c r="F6562" s="28" t="s">
        <v>910</v>
      </c>
      <c r="G6562" s="19" t="n">
        <v>0.026772</v>
      </c>
    </row>
    <row r="6563" customFormat="false" ht="15" hidden="false" customHeight="false" outlineLevel="0" collapsed="false">
      <c r="A6563" s="28" t="s">
        <v>214</v>
      </c>
      <c r="B6563" s="28" t="s">
        <v>215</v>
      </c>
      <c r="C6563" s="28" t="s">
        <v>209</v>
      </c>
      <c r="D6563" s="23" t="n">
        <v>19</v>
      </c>
      <c r="E6563" s="23" t="n">
        <v>18</v>
      </c>
      <c r="F6563" s="28" t="s">
        <v>911</v>
      </c>
      <c r="G6563" s="19" t="n">
        <v>0.029923</v>
      </c>
    </row>
    <row r="6564" customFormat="false" ht="15" hidden="false" customHeight="false" outlineLevel="0" collapsed="false">
      <c r="A6564" s="28" t="s">
        <v>214</v>
      </c>
      <c r="B6564" s="28" t="s">
        <v>215</v>
      </c>
      <c r="C6564" s="28" t="s">
        <v>209</v>
      </c>
      <c r="D6564" s="23" t="n">
        <v>19</v>
      </c>
      <c r="E6564" s="23" t="n">
        <v>18</v>
      </c>
      <c r="F6564" s="28" t="s">
        <v>912</v>
      </c>
      <c r="G6564" s="19" t="n">
        <v>0.0344</v>
      </c>
    </row>
    <row r="6565" customFormat="false" ht="15" hidden="false" customHeight="false" outlineLevel="0" collapsed="false">
      <c r="A6565" s="28" t="s">
        <v>214</v>
      </c>
      <c r="B6565" s="28" t="s">
        <v>215</v>
      </c>
      <c r="C6565" s="28" t="s">
        <v>209</v>
      </c>
      <c r="D6565" s="23" t="n">
        <v>19</v>
      </c>
      <c r="E6565" s="23" t="n">
        <v>18</v>
      </c>
      <c r="F6565" s="28" t="s">
        <v>913</v>
      </c>
      <c r="G6565" s="19" t="n">
        <v>0.0393</v>
      </c>
    </row>
    <row r="6566" customFormat="false" ht="15" hidden="false" customHeight="false" outlineLevel="0" collapsed="false">
      <c r="A6566" s="28" t="s">
        <v>214</v>
      </c>
      <c r="B6566" s="28" t="s">
        <v>215</v>
      </c>
      <c r="C6566" s="28" t="s">
        <v>209</v>
      </c>
      <c r="D6566" s="23" t="n">
        <v>19</v>
      </c>
      <c r="E6566" s="23" t="n">
        <v>18</v>
      </c>
      <c r="F6566" s="28" t="s">
        <v>914</v>
      </c>
      <c r="G6566" s="19" t="n">
        <v>0.0391</v>
      </c>
    </row>
    <row r="6567" customFormat="false" ht="15" hidden="false" customHeight="false" outlineLevel="0" collapsed="false">
      <c r="A6567" s="28" t="s">
        <v>214</v>
      </c>
      <c r="B6567" s="28" t="s">
        <v>215</v>
      </c>
      <c r="C6567" s="28" t="s">
        <v>209</v>
      </c>
      <c r="D6567" s="23" t="n">
        <v>19</v>
      </c>
      <c r="E6567" s="23" t="n">
        <v>18</v>
      </c>
      <c r="F6567" s="28" t="s">
        <v>915</v>
      </c>
      <c r="G6567" s="19" t="n">
        <v>0.0549</v>
      </c>
    </row>
    <row r="6568" customFormat="false" ht="15" hidden="false" customHeight="false" outlineLevel="0" collapsed="false">
      <c r="A6568" s="28" t="s">
        <v>214</v>
      </c>
      <c r="B6568" s="28" t="s">
        <v>215</v>
      </c>
      <c r="C6568" s="28" t="s">
        <v>209</v>
      </c>
      <c r="D6568" s="23" t="n">
        <v>19</v>
      </c>
      <c r="E6568" s="23" t="n">
        <v>19</v>
      </c>
      <c r="F6568" s="28" t="s">
        <v>904</v>
      </c>
      <c r="G6568" s="19" t="n">
        <v>0.0163</v>
      </c>
    </row>
    <row r="6569" customFormat="false" ht="15" hidden="false" customHeight="false" outlineLevel="0" collapsed="false">
      <c r="A6569" s="28" t="s">
        <v>214</v>
      </c>
      <c r="B6569" s="28" t="s">
        <v>215</v>
      </c>
      <c r="C6569" s="28" t="s">
        <v>209</v>
      </c>
      <c r="D6569" s="23" t="n">
        <v>19</v>
      </c>
      <c r="E6569" s="23" t="n">
        <v>19</v>
      </c>
      <c r="F6569" s="28" t="s">
        <v>551</v>
      </c>
      <c r="G6569" s="19" t="n">
        <v>0.0475</v>
      </c>
    </row>
    <row r="6570" customFormat="false" ht="15" hidden="false" customHeight="false" outlineLevel="0" collapsed="false">
      <c r="A6570" s="28" t="s">
        <v>214</v>
      </c>
      <c r="B6570" s="28" t="s">
        <v>215</v>
      </c>
      <c r="C6570" s="28" t="s">
        <v>209</v>
      </c>
      <c r="D6570" s="23" t="n">
        <v>19</v>
      </c>
      <c r="E6570" s="23" t="n">
        <v>19</v>
      </c>
      <c r="F6570" s="28" t="s">
        <v>451</v>
      </c>
      <c r="G6570" s="19" t="n">
        <v>0.0161</v>
      </c>
    </row>
    <row r="6571" customFormat="false" ht="15" hidden="false" customHeight="false" outlineLevel="0" collapsed="false">
      <c r="A6571" s="28" t="s">
        <v>214</v>
      </c>
      <c r="B6571" s="28" t="s">
        <v>215</v>
      </c>
      <c r="C6571" s="28" t="s">
        <v>209</v>
      </c>
      <c r="D6571" s="23" t="n">
        <v>19</v>
      </c>
      <c r="E6571" s="23" t="n">
        <v>19</v>
      </c>
      <c r="F6571" s="28" t="s">
        <v>905</v>
      </c>
      <c r="G6571" s="19" t="n">
        <v>0.0187</v>
      </c>
    </row>
    <row r="6572" customFormat="false" ht="15" hidden="false" customHeight="false" outlineLevel="0" collapsed="false">
      <c r="A6572" s="28" t="s">
        <v>214</v>
      </c>
      <c r="B6572" s="28" t="s">
        <v>215</v>
      </c>
      <c r="C6572" s="28" t="s">
        <v>209</v>
      </c>
      <c r="D6572" s="23" t="n">
        <v>19</v>
      </c>
      <c r="E6572" s="23" t="n">
        <v>19</v>
      </c>
      <c r="F6572" s="28" t="s">
        <v>906</v>
      </c>
      <c r="G6572" s="19" t="n">
        <v>0.020356</v>
      </c>
    </row>
    <row r="6573" customFormat="false" ht="15" hidden="false" customHeight="false" outlineLevel="0" collapsed="false">
      <c r="A6573" s="28" t="s">
        <v>214</v>
      </c>
      <c r="B6573" s="28" t="s">
        <v>215</v>
      </c>
      <c r="C6573" s="28" t="s">
        <v>209</v>
      </c>
      <c r="D6573" s="23" t="n">
        <v>19</v>
      </c>
      <c r="E6573" s="23" t="n">
        <v>19</v>
      </c>
      <c r="F6573" s="28" t="s">
        <v>907</v>
      </c>
      <c r="G6573" s="19" t="n">
        <v>0.020569</v>
      </c>
    </row>
    <row r="6574" customFormat="false" ht="15" hidden="false" customHeight="false" outlineLevel="0" collapsed="false">
      <c r="A6574" s="28" t="s">
        <v>214</v>
      </c>
      <c r="B6574" s="28" t="s">
        <v>215</v>
      </c>
      <c r="C6574" s="28" t="s">
        <v>209</v>
      </c>
      <c r="D6574" s="23" t="n">
        <v>19</v>
      </c>
      <c r="E6574" s="23" t="n">
        <v>19</v>
      </c>
      <c r="F6574" s="28" t="s">
        <v>908</v>
      </c>
      <c r="G6574" s="19" t="n">
        <v>0.023195</v>
      </c>
    </row>
    <row r="6575" customFormat="false" ht="15" hidden="false" customHeight="false" outlineLevel="0" collapsed="false">
      <c r="A6575" s="28" t="s">
        <v>214</v>
      </c>
      <c r="B6575" s="28" t="s">
        <v>215</v>
      </c>
      <c r="C6575" s="28" t="s">
        <v>209</v>
      </c>
      <c r="D6575" s="23" t="n">
        <v>19</v>
      </c>
      <c r="E6575" s="23" t="n">
        <v>19</v>
      </c>
      <c r="F6575" s="28" t="s">
        <v>909</v>
      </c>
      <c r="G6575" s="19" t="n">
        <v>0.024321</v>
      </c>
    </row>
    <row r="6576" customFormat="false" ht="15" hidden="false" customHeight="false" outlineLevel="0" collapsed="false">
      <c r="A6576" s="28" t="s">
        <v>214</v>
      </c>
      <c r="B6576" s="28" t="s">
        <v>215</v>
      </c>
      <c r="C6576" s="28" t="s">
        <v>209</v>
      </c>
      <c r="D6576" s="23" t="n">
        <v>19</v>
      </c>
      <c r="E6576" s="23" t="n">
        <v>19</v>
      </c>
      <c r="F6576" s="28" t="s">
        <v>910</v>
      </c>
      <c r="G6576" s="19" t="n">
        <v>0.026772</v>
      </c>
    </row>
    <row r="6577" customFormat="false" ht="15" hidden="false" customHeight="false" outlineLevel="0" collapsed="false">
      <c r="A6577" s="28" t="s">
        <v>214</v>
      </c>
      <c r="B6577" s="28" t="s">
        <v>215</v>
      </c>
      <c r="C6577" s="28" t="s">
        <v>209</v>
      </c>
      <c r="D6577" s="23" t="n">
        <v>19</v>
      </c>
      <c r="E6577" s="23" t="n">
        <v>19</v>
      </c>
      <c r="F6577" s="28" t="s">
        <v>911</v>
      </c>
      <c r="G6577" s="19" t="n">
        <v>0.029923</v>
      </c>
    </row>
    <row r="6578" customFormat="false" ht="15" hidden="false" customHeight="false" outlineLevel="0" collapsed="false">
      <c r="A6578" s="28" t="s">
        <v>214</v>
      </c>
      <c r="B6578" s="28" t="s">
        <v>215</v>
      </c>
      <c r="C6578" s="28" t="s">
        <v>209</v>
      </c>
      <c r="D6578" s="23" t="n">
        <v>19</v>
      </c>
      <c r="E6578" s="23" t="n">
        <v>19</v>
      </c>
      <c r="F6578" s="28" t="s">
        <v>912</v>
      </c>
      <c r="G6578" s="19" t="n">
        <v>0.0344</v>
      </c>
    </row>
    <row r="6579" customFormat="false" ht="15" hidden="false" customHeight="false" outlineLevel="0" collapsed="false">
      <c r="A6579" s="28" t="s">
        <v>214</v>
      </c>
      <c r="B6579" s="28" t="s">
        <v>215</v>
      </c>
      <c r="C6579" s="28" t="s">
        <v>209</v>
      </c>
      <c r="D6579" s="23" t="n">
        <v>19</v>
      </c>
      <c r="E6579" s="23" t="n">
        <v>19</v>
      </c>
      <c r="F6579" s="28" t="s">
        <v>913</v>
      </c>
      <c r="G6579" s="19" t="n">
        <v>0.0393</v>
      </c>
    </row>
    <row r="6580" customFormat="false" ht="15" hidden="false" customHeight="false" outlineLevel="0" collapsed="false">
      <c r="A6580" s="28" t="s">
        <v>214</v>
      </c>
      <c r="B6580" s="28" t="s">
        <v>215</v>
      </c>
      <c r="C6580" s="28" t="s">
        <v>209</v>
      </c>
      <c r="D6580" s="23" t="n">
        <v>19</v>
      </c>
      <c r="E6580" s="23" t="n">
        <v>19</v>
      </c>
      <c r="F6580" s="28" t="s">
        <v>914</v>
      </c>
      <c r="G6580" s="19" t="n">
        <v>0.0391</v>
      </c>
    </row>
    <row r="6581" customFormat="false" ht="15" hidden="false" customHeight="false" outlineLevel="0" collapsed="false">
      <c r="A6581" s="28" t="s">
        <v>214</v>
      </c>
      <c r="B6581" s="28" t="s">
        <v>215</v>
      </c>
      <c r="C6581" s="28" t="s">
        <v>209</v>
      </c>
      <c r="D6581" s="23" t="n">
        <v>19</v>
      </c>
      <c r="E6581" s="23" t="n">
        <v>19</v>
      </c>
      <c r="F6581" s="28" t="s">
        <v>915</v>
      </c>
      <c r="G6581" s="19" t="n">
        <v>0.0549</v>
      </c>
    </row>
    <row r="6582" customFormat="false" ht="15" hidden="false" customHeight="false" outlineLevel="0" collapsed="false">
      <c r="A6582" s="28" t="s">
        <v>214</v>
      </c>
      <c r="B6582" s="28" t="s">
        <v>215</v>
      </c>
      <c r="C6582" s="28" t="s">
        <v>209</v>
      </c>
      <c r="D6582" s="23" t="n">
        <v>19</v>
      </c>
      <c r="E6582" s="23" t="n">
        <v>20</v>
      </c>
      <c r="F6582" s="28" t="s">
        <v>904</v>
      </c>
      <c r="G6582" s="19" t="n">
        <v>0.0163</v>
      </c>
    </row>
    <row r="6583" customFormat="false" ht="15" hidden="false" customHeight="false" outlineLevel="0" collapsed="false">
      <c r="A6583" s="28" t="s">
        <v>214</v>
      </c>
      <c r="B6583" s="28" t="s">
        <v>215</v>
      </c>
      <c r="C6583" s="28" t="s">
        <v>209</v>
      </c>
      <c r="D6583" s="23" t="n">
        <v>19</v>
      </c>
      <c r="E6583" s="23" t="n">
        <v>20</v>
      </c>
      <c r="F6583" s="28" t="s">
        <v>551</v>
      </c>
      <c r="G6583" s="19" t="n">
        <v>0.0475</v>
      </c>
    </row>
    <row r="6584" customFormat="false" ht="15" hidden="false" customHeight="false" outlineLevel="0" collapsed="false">
      <c r="A6584" s="28" t="s">
        <v>214</v>
      </c>
      <c r="B6584" s="28" t="s">
        <v>215</v>
      </c>
      <c r="C6584" s="28" t="s">
        <v>209</v>
      </c>
      <c r="D6584" s="23" t="n">
        <v>19</v>
      </c>
      <c r="E6584" s="23" t="n">
        <v>20</v>
      </c>
      <c r="F6584" s="28" t="s">
        <v>451</v>
      </c>
      <c r="G6584" s="19" t="n">
        <v>0.0161</v>
      </c>
    </row>
    <row r="6585" customFormat="false" ht="15" hidden="false" customHeight="false" outlineLevel="0" collapsed="false">
      <c r="A6585" s="28" t="s">
        <v>214</v>
      </c>
      <c r="B6585" s="28" t="s">
        <v>215</v>
      </c>
      <c r="C6585" s="28" t="s">
        <v>209</v>
      </c>
      <c r="D6585" s="23" t="n">
        <v>19</v>
      </c>
      <c r="E6585" s="23" t="n">
        <v>20</v>
      </c>
      <c r="F6585" s="28" t="s">
        <v>905</v>
      </c>
      <c r="G6585" s="19" t="n">
        <v>0.0187</v>
      </c>
    </row>
    <row r="6586" customFormat="false" ht="15" hidden="false" customHeight="false" outlineLevel="0" collapsed="false">
      <c r="A6586" s="28" t="s">
        <v>214</v>
      </c>
      <c r="B6586" s="28" t="s">
        <v>215</v>
      </c>
      <c r="C6586" s="28" t="s">
        <v>209</v>
      </c>
      <c r="D6586" s="23" t="n">
        <v>19</v>
      </c>
      <c r="E6586" s="23" t="n">
        <v>20</v>
      </c>
      <c r="F6586" s="28" t="s">
        <v>906</v>
      </c>
      <c r="G6586" s="19" t="n">
        <v>0.020356</v>
      </c>
    </row>
    <row r="6587" customFormat="false" ht="15" hidden="false" customHeight="false" outlineLevel="0" collapsed="false">
      <c r="A6587" s="28" t="s">
        <v>214</v>
      </c>
      <c r="B6587" s="28" t="s">
        <v>215</v>
      </c>
      <c r="C6587" s="28" t="s">
        <v>209</v>
      </c>
      <c r="D6587" s="23" t="n">
        <v>19</v>
      </c>
      <c r="E6587" s="23" t="n">
        <v>20</v>
      </c>
      <c r="F6587" s="28" t="s">
        <v>907</v>
      </c>
      <c r="G6587" s="19" t="n">
        <v>0.020569</v>
      </c>
    </row>
    <row r="6588" customFormat="false" ht="15" hidden="false" customHeight="false" outlineLevel="0" collapsed="false">
      <c r="A6588" s="28" t="s">
        <v>214</v>
      </c>
      <c r="B6588" s="28" t="s">
        <v>215</v>
      </c>
      <c r="C6588" s="28" t="s">
        <v>209</v>
      </c>
      <c r="D6588" s="23" t="n">
        <v>19</v>
      </c>
      <c r="E6588" s="23" t="n">
        <v>20</v>
      </c>
      <c r="F6588" s="28" t="s">
        <v>908</v>
      </c>
      <c r="G6588" s="19" t="n">
        <v>0.023195</v>
      </c>
    </row>
    <row r="6589" customFormat="false" ht="15" hidden="false" customHeight="false" outlineLevel="0" collapsed="false">
      <c r="A6589" s="28" t="s">
        <v>214</v>
      </c>
      <c r="B6589" s="28" t="s">
        <v>215</v>
      </c>
      <c r="C6589" s="28" t="s">
        <v>209</v>
      </c>
      <c r="D6589" s="23" t="n">
        <v>19</v>
      </c>
      <c r="E6589" s="23" t="n">
        <v>20</v>
      </c>
      <c r="F6589" s="28" t="s">
        <v>909</v>
      </c>
      <c r="G6589" s="19" t="n">
        <v>0.024321</v>
      </c>
    </row>
    <row r="6590" customFormat="false" ht="15" hidden="false" customHeight="false" outlineLevel="0" collapsed="false">
      <c r="A6590" s="28" t="s">
        <v>214</v>
      </c>
      <c r="B6590" s="28" t="s">
        <v>215</v>
      </c>
      <c r="C6590" s="28" t="s">
        <v>209</v>
      </c>
      <c r="D6590" s="23" t="n">
        <v>19</v>
      </c>
      <c r="E6590" s="23" t="n">
        <v>20</v>
      </c>
      <c r="F6590" s="28" t="s">
        <v>910</v>
      </c>
      <c r="G6590" s="19" t="n">
        <v>0.026772</v>
      </c>
    </row>
    <row r="6591" customFormat="false" ht="15" hidden="false" customHeight="false" outlineLevel="0" collapsed="false">
      <c r="A6591" s="28" t="s">
        <v>214</v>
      </c>
      <c r="B6591" s="28" t="s">
        <v>215</v>
      </c>
      <c r="C6591" s="28" t="s">
        <v>209</v>
      </c>
      <c r="D6591" s="23" t="n">
        <v>19</v>
      </c>
      <c r="E6591" s="23" t="n">
        <v>20</v>
      </c>
      <c r="F6591" s="28" t="s">
        <v>911</v>
      </c>
      <c r="G6591" s="19" t="n">
        <v>0.029923</v>
      </c>
    </row>
    <row r="6592" customFormat="false" ht="15" hidden="false" customHeight="false" outlineLevel="0" collapsed="false">
      <c r="A6592" s="28" t="s">
        <v>214</v>
      </c>
      <c r="B6592" s="28" t="s">
        <v>215</v>
      </c>
      <c r="C6592" s="28" t="s">
        <v>209</v>
      </c>
      <c r="D6592" s="23" t="n">
        <v>19</v>
      </c>
      <c r="E6592" s="23" t="n">
        <v>20</v>
      </c>
      <c r="F6592" s="28" t="s">
        <v>912</v>
      </c>
      <c r="G6592" s="19" t="n">
        <v>0.0344</v>
      </c>
    </row>
    <row r="6593" customFormat="false" ht="15" hidden="false" customHeight="false" outlineLevel="0" collapsed="false">
      <c r="A6593" s="28" t="s">
        <v>214</v>
      </c>
      <c r="B6593" s="28" t="s">
        <v>215</v>
      </c>
      <c r="C6593" s="28" t="s">
        <v>209</v>
      </c>
      <c r="D6593" s="23" t="n">
        <v>19</v>
      </c>
      <c r="E6593" s="23" t="n">
        <v>20</v>
      </c>
      <c r="F6593" s="28" t="s">
        <v>913</v>
      </c>
      <c r="G6593" s="19" t="n">
        <v>0.0393</v>
      </c>
    </row>
    <row r="6594" customFormat="false" ht="15" hidden="false" customHeight="false" outlineLevel="0" collapsed="false">
      <c r="A6594" s="28" t="s">
        <v>214</v>
      </c>
      <c r="B6594" s="28" t="s">
        <v>215</v>
      </c>
      <c r="C6594" s="28" t="s">
        <v>209</v>
      </c>
      <c r="D6594" s="23" t="n">
        <v>19</v>
      </c>
      <c r="E6594" s="23" t="n">
        <v>20</v>
      </c>
      <c r="F6594" s="28" t="s">
        <v>914</v>
      </c>
      <c r="G6594" s="19" t="n">
        <v>0.0391</v>
      </c>
    </row>
    <row r="6595" customFormat="false" ht="15" hidden="false" customHeight="false" outlineLevel="0" collapsed="false">
      <c r="A6595" s="28" t="s">
        <v>214</v>
      </c>
      <c r="B6595" s="28" t="s">
        <v>215</v>
      </c>
      <c r="C6595" s="28" t="s">
        <v>209</v>
      </c>
      <c r="D6595" s="23" t="n">
        <v>19</v>
      </c>
      <c r="E6595" s="23" t="n">
        <v>20</v>
      </c>
      <c r="F6595" s="28" t="s">
        <v>915</v>
      </c>
      <c r="G6595" s="19" t="n">
        <v>0.0549</v>
      </c>
    </row>
    <row r="6596" customFormat="false" ht="15" hidden="false" customHeight="false" outlineLevel="0" collapsed="false">
      <c r="A6596" s="28" t="s">
        <v>214</v>
      </c>
      <c r="B6596" s="28" t="s">
        <v>215</v>
      </c>
      <c r="C6596" s="28" t="s">
        <v>209</v>
      </c>
      <c r="D6596" s="23" t="n">
        <v>19</v>
      </c>
      <c r="E6596" s="23" t="n">
        <v>21</v>
      </c>
      <c r="F6596" s="28" t="s">
        <v>904</v>
      </c>
      <c r="G6596" s="19" t="n">
        <v>0.0163</v>
      </c>
    </row>
    <row r="6597" customFormat="false" ht="15" hidden="false" customHeight="false" outlineLevel="0" collapsed="false">
      <c r="A6597" s="28" t="s">
        <v>214</v>
      </c>
      <c r="B6597" s="28" t="s">
        <v>215</v>
      </c>
      <c r="C6597" s="28" t="s">
        <v>209</v>
      </c>
      <c r="D6597" s="23" t="n">
        <v>19</v>
      </c>
      <c r="E6597" s="23" t="n">
        <v>21</v>
      </c>
      <c r="F6597" s="28" t="s">
        <v>551</v>
      </c>
      <c r="G6597" s="19" t="n">
        <v>0.0475</v>
      </c>
    </row>
    <row r="6598" customFormat="false" ht="15" hidden="false" customHeight="false" outlineLevel="0" collapsed="false">
      <c r="A6598" s="28" t="s">
        <v>214</v>
      </c>
      <c r="B6598" s="28" t="s">
        <v>215</v>
      </c>
      <c r="C6598" s="28" t="s">
        <v>209</v>
      </c>
      <c r="D6598" s="23" t="n">
        <v>19</v>
      </c>
      <c r="E6598" s="23" t="n">
        <v>21</v>
      </c>
      <c r="F6598" s="28" t="s">
        <v>451</v>
      </c>
      <c r="G6598" s="19" t="n">
        <v>0.0161</v>
      </c>
    </row>
    <row r="6599" customFormat="false" ht="15" hidden="false" customHeight="false" outlineLevel="0" collapsed="false">
      <c r="A6599" s="28" t="s">
        <v>214</v>
      </c>
      <c r="B6599" s="28" t="s">
        <v>215</v>
      </c>
      <c r="C6599" s="28" t="s">
        <v>209</v>
      </c>
      <c r="D6599" s="23" t="n">
        <v>19</v>
      </c>
      <c r="E6599" s="23" t="n">
        <v>21</v>
      </c>
      <c r="F6599" s="28" t="s">
        <v>905</v>
      </c>
      <c r="G6599" s="19" t="n">
        <v>0.0187</v>
      </c>
    </row>
    <row r="6600" customFormat="false" ht="15" hidden="false" customHeight="false" outlineLevel="0" collapsed="false">
      <c r="A6600" s="28" t="s">
        <v>214</v>
      </c>
      <c r="B6600" s="28" t="s">
        <v>215</v>
      </c>
      <c r="C6600" s="28" t="s">
        <v>209</v>
      </c>
      <c r="D6600" s="23" t="n">
        <v>19</v>
      </c>
      <c r="E6600" s="23" t="n">
        <v>21</v>
      </c>
      <c r="F6600" s="28" t="s">
        <v>906</v>
      </c>
      <c r="G6600" s="19" t="n">
        <v>0.020356</v>
      </c>
    </row>
    <row r="6601" customFormat="false" ht="15" hidden="false" customHeight="false" outlineLevel="0" collapsed="false">
      <c r="A6601" s="28" t="s">
        <v>214</v>
      </c>
      <c r="B6601" s="28" t="s">
        <v>215</v>
      </c>
      <c r="C6601" s="28" t="s">
        <v>209</v>
      </c>
      <c r="D6601" s="23" t="n">
        <v>19</v>
      </c>
      <c r="E6601" s="23" t="n">
        <v>21</v>
      </c>
      <c r="F6601" s="28" t="s">
        <v>907</v>
      </c>
      <c r="G6601" s="19" t="n">
        <v>0.020569</v>
      </c>
    </row>
    <row r="6602" customFormat="false" ht="15" hidden="false" customHeight="false" outlineLevel="0" collapsed="false">
      <c r="A6602" s="28" t="s">
        <v>214</v>
      </c>
      <c r="B6602" s="28" t="s">
        <v>215</v>
      </c>
      <c r="C6602" s="28" t="s">
        <v>209</v>
      </c>
      <c r="D6602" s="23" t="n">
        <v>19</v>
      </c>
      <c r="E6602" s="23" t="n">
        <v>21</v>
      </c>
      <c r="F6602" s="28" t="s">
        <v>908</v>
      </c>
      <c r="G6602" s="19" t="n">
        <v>0.023195</v>
      </c>
    </row>
    <row r="6603" customFormat="false" ht="15" hidden="false" customHeight="false" outlineLevel="0" collapsed="false">
      <c r="A6603" s="28" t="s">
        <v>214</v>
      </c>
      <c r="B6603" s="28" t="s">
        <v>215</v>
      </c>
      <c r="C6603" s="28" t="s">
        <v>209</v>
      </c>
      <c r="D6603" s="23" t="n">
        <v>19</v>
      </c>
      <c r="E6603" s="23" t="n">
        <v>21</v>
      </c>
      <c r="F6603" s="28" t="s">
        <v>909</v>
      </c>
      <c r="G6603" s="19" t="n">
        <v>0.024321</v>
      </c>
    </row>
    <row r="6604" customFormat="false" ht="15" hidden="false" customHeight="false" outlineLevel="0" collapsed="false">
      <c r="A6604" s="28" t="s">
        <v>214</v>
      </c>
      <c r="B6604" s="28" t="s">
        <v>215</v>
      </c>
      <c r="C6604" s="28" t="s">
        <v>209</v>
      </c>
      <c r="D6604" s="23" t="n">
        <v>19</v>
      </c>
      <c r="E6604" s="23" t="n">
        <v>21</v>
      </c>
      <c r="F6604" s="28" t="s">
        <v>910</v>
      </c>
      <c r="G6604" s="19" t="n">
        <v>0.026772</v>
      </c>
    </row>
    <row r="6605" customFormat="false" ht="15" hidden="false" customHeight="false" outlineLevel="0" collapsed="false">
      <c r="A6605" s="28" t="s">
        <v>214</v>
      </c>
      <c r="B6605" s="28" t="s">
        <v>215</v>
      </c>
      <c r="C6605" s="28" t="s">
        <v>209</v>
      </c>
      <c r="D6605" s="23" t="n">
        <v>19</v>
      </c>
      <c r="E6605" s="23" t="n">
        <v>21</v>
      </c>
      <c r="F6605" s="28" t="s">
        <v>911</v>
      </c>
      <c r="G6605" s="19" t="n">
        <v>0.029923</v>
      </c>
    </row>
    <row r="6606" customFormat="false" ht="15" hidden="false" customHeight="false" outlineLevel="0" collapsed="false">
      <c r="A6606" s="28" t="s">
        <v>214</v>
      </c>
      <c r="B6606" s="28" t="s">
        <v>215</v>
      </c>
      <c r="C6606" s="28" t="s">
        <v>209</v>
      </c>
      <c r="D6606" s="23" t="n">
        <v>19</v>
      </c>
      <c r="E6606" s="23" t="n">
        <v>21</v>
      </c>
      <c r="F6606" s="28" t="s">
        <v>912</v>
      </c>
      <c r="G6606" s="19" t="n">
        <v>0.0344</v>
      </c>
    </row>
    <row r="6607" customFormat="false" ht="15" hidden="false" customHeight="false" outlineLevel="0" collapsed="false">
      <c r="A6607" s="28" t="s">
        <v>214</v>
      </c>
      <c r="B6607" s="28" t="s">
        <v>215</v>
      </c>
      <c r="C6607" s="28" t="s">
        <v>209</v>
      </c>
      <c r="D6607" s="23" t="n">
        <v>19</v>
      </c>
      <c r="E6607" s="23" t="n">
        <v>21</v>
      </c>
      <c r="F6607" s="28" t="s">
        <v>913</v>
      </c>
      <c r="G6607" s="19" t="n">
        <v>0.0393</v>
      </c>
    </row>
    <row r="6608" customFormat="false" ht="15" hidden="false" customHeight="false" outlineLevel="0" collapsed="false">
      <c r="A6608" s="28" t="s">
        <v>214</v>
      </c>
      <c r="B6608" s="28" t="s">
        <v>215</v>
      </c>
      <c r="C6608" s="28" t="s">
        <v>209</v>
      </c>
      <c r="D6608" s="23" t="n">
        <v>19</v>
      </c>
      <c r="E6608" s="23" t="n">
        <v>21</v>
      </c>
      <c r="F6608" s="28" t="s">
        <v>914</v>
      </c>
      <c r="G6608" s="19" t="n">
        <v>0.0391</v>
      </c>
    </row>
    <row r="6609" customFormat="false" ht="15" hidden="false" customHeight="false" outlineLevel="0" collapsed="false">
      <c r="A6609" s="28" t="s">
        <v>214</v>
      </c>
      <c r="B6609" s="28" t="s">
        <v>215</v>
      </c>
      <c r="C6609" s="28" t="s">
        <v>209</v>
      </c>
      <c r="D6609" s="23" t="n">
        <v>19</v>
      </c>
      <c r="E6609" s="23" t="n">
        <v>21</v>
      </c>
      <c r="F6609" s="28" t="s">
        <v>915</v>
      </c>
      <c r="G6609" s="19" t="n">
        <v>0.0549</v>
      </c>
    </row>
    <row r="6610" customFormat="false" ht="15" hidden="false" customHeight="false" outlineLevel="0" collapsed="false">
      <c r="A6610" s="28" t="s">
        <v>214</v>
      </c>
      <c r="B6610" s="28" t="s">
        <v>215</v>
      </c>
      <c r="C6610" s="28" t="s">
        <v>209</v>
      </c>
      <c r="D6610" s="23" t="n">
        <v>19</v>
      </c>
      <c r="E6610" s="23" t="n">
        <v>22</v>
      </c>
      <c r="F6610" s="28" t="s">
        <v>904</v>
      </c>
      <c r="G6610" s="19" t="n">
        <v>0.0163</v>
      </c>
    </row>
    <row r="6611" customFormat="false" ht="15" hidden="false" customHeight="false" outlineLevel="0" collapsed="false">
      <c r="A6611" s="28" t="s">
        <v>214</v>
      </c>
      <c r="B6611" s="28" t="s">
        <v>215</v>
      </c>
      <c r="C6611" s="28" t="s">
        <v>209</v>
      </c>
      <c r="D6611" s="23" t="n">
        <v>19</v>
      </c>
      <c r="E6611" s="23" t="n">
        <v>22</v>
      </c>
      <c r="F6611" s="28" t="s">
        <v>551</v>
      </c>
      <c r="G6611" s="19" t="n">
        <v>0.0475</v>
      </c>
    </row>
    <row r="6612" customFormat="false" ht="15" hidden="false" customHeight="false" outlineLevel="0" collapsed="false">
      <c r="A6612" s="28" t="s">
        <v>214</v>
      </c>
      <c r="B6612" s="28" t="s">
        <v>215</v>
      </c>
      <c r="C6612" s="28" t="s">
        <v>209</v>
      </c>
      <c r="D6612" s="23" t="n">
        <v>19</v>
      </c>
      <c r="E6612" s="23" t="n">
        <v>22</v>
      </c>
      <c r="F6612" s="28" t="s">
        <v>451</v>
      </c>
      <c r="G6612" s="19" t="n">
        <v>0.0161</v>
      </c>
    </row>
    <row r="6613" customFormat="false" ht="15" hidden="false" customHeight="false" outlineLevel="0" collapsed="false">
      <c r="A6613" s="28" t="s">
        <v>214</v>
      </c>
      <c r="B6613" s="28" t="s">
        <v>215</v>
      </c>
      <c r="C6613" s="28" t="s">
        <v>209</v>
      </c>
      <c r="D6613" s="23" t="n">
        <v>19</v>
      </c>
      <c r="E6613" s="23" t="n">
        <v>22</v>
      </c>
      <c r="F6613" s="28" t="s">
        <v>905</v>
      </c>
      <c r="G6613" s="19" t="n">
        <v>0.0187</v>
      </c>
    </row>
    <row r="6614" customFormat="false" ht="15" hidden="false" customHeight="false" outlineLevel="0" collapsed="false">
      <c r="A6614" s="28" t="s">
        <v>214</v>
      </c>
      <c r="B6614" s="28" t="s">
        <v>215</v>
      </c>
      <c r="C6614" s="28" t="s">
        <v>209</v>
      </c>
      <c r="D6614" s="23" t="n">
        <v>19</v>
      </c>
      <c r="E6614" s="23" t="n">
        <v>22</v>
      </c>
      <c r="F6614" s="28" t="s">
        <v>906</v>
      </c>
      <c r="G6614" s="19" t="n">
        <v>0.020356</v>
      </c>
    </row>
    <row r="6615" customFormat="false" ht="15" hidden="false" customHeight="false" outlineLevel="0" collapsed="false">
      <c r="A6615" s="28" t="s">
        <v>214</v>
      </c>
      <c r="B6615" s="28" t="s">
        <v>215</v>
      </c>
      <c r="C6615" s="28" t="s">
        <v>209</v>
      </c>
      <c r="D6615" s="23" t="n">
        <v>19</v>
      </c>
      <c r="E6615" s="23" t="n">
        <v>22</v>
      </c>
      <c r="F6615" s="28" t="s">
        <v>907</v>
      </c>
      <c r="G6615" s="19" t="n">
        <v>0.020569</v>
      </c>
    </row>
    <row r="6616" customFormat="false" ht="15" hidden="false" customHeight="false" outlineLevel="0" collapsed="false">
      <c r="A6616" s="28" t="s">
        <v>214</v>
      </c>
      <c r="B6616" s="28" t="s">
        <v>215</v>
      </c>
      <c r="C6616" s="28" t="s">
        <v>209</v>
      </c>
      <c r="D6616" s="23" t="n">
        <v>19</v>
      </c>
      <c r="E6616" s="23" t="n">
        <v>22</v>
      </c>
      <c r="F6616" s="28" t="s">
        <v>908</v>
      </c>
      <c r="G6616" s="19" t="n">
        <v>0.023195</v>
      </c>
    </row>
    <row r="6617" customFormat="false" ht="15" hidden="false" customHeight="false" outlineLevel="0" collapsed="false">
      <c r="A6617" s="28" t="s">
        <v>214</v>
      </c>
      <c r="B6617" s="28" t="s">
        <v>215</v>
      </c>
      <c r="C6617" s="28" t="s">
        <v>209</v>
      </c>
      <c r="D6617" s="23" t="n">
        <v>19</v>
      </c>
      <c r="E6617" s="23" t="n">
        <v>22</v>
      </c>
      <c r="F6617" s="28" t="s">
        <v>909</v>
      </c>
      <c r="G6617" s="19" t="n">
        <v>0.024321</v>
      </c>
    </row>
    <row r="6618" customFormat="false" ht="15" hidden="false" customHeight="false" outlineLevel="0" collapsed="false">
      <c r="A6618" s="28" t="s">
        <v>214</v>
      </c>
      <c r="B6618" s="28" t="s">
        <v>215</v>
      </c>
      <c r="C6618" s="28" t="s">
        <v>209</v>
      </c>
      <c r="D6618" s="23" t="n">
        <v>19</v>
      </c>
      <c r="E6618" s="23" t="n">
        <v>22</v>
      </c>
      <c r="F6618" s="28" t="s">
        <v>910</v>
      </c>
      <c r="G6618" s="19" t="n">
        <v>0.026772</v>
      </c>
    </row>
    <row r="6619" customFormat="false" ht="15" hidden="false" customHeight="false" outlineLevel="0" collapsed="false">
      <c r="A6619" s="28" t="s">
        <v>214</v>
      </c>
      <c r="B6619" s="28" t="s">
        <v>215</v>
      </c>
      <c r="C6619" s="28" t="s">
        <v>209</v>
      </c>
      <c r="D6619" s="23" t="n">
        <v>19</v>
      </c>
      <c r="E6619" s="23" t="n">
        <v>22</v>
      </c>
      <c r="F6619" s="28" t="s">
        <v>911</v>
      </c>
      <c r="G6619" s="19" t="n">
        <v>0.029923</v>
      </c>
    </row>
    <row r="6620" customFormat="false" ht="15" hidden="false" customHeight="false" outlineLevel="0" collapsed="false">
      <c r="A6620" s="28" t="s">
        <v>214</v>
      </c>
      <c r="B6620" s="28" t="s">
        <v>215</v>
      </c>
      <c r="C6620" s="28" t="s">
        <v>209</v>
      </c>
      <c r="D6620" s="23" t="n">
        <v>19</v>
      </c>
      <c r="E6620" s="23" t="n">
        <v>22</v>
      </c>
      <c r="F6620" s="28" t="s">
        <v>912</v>
      </c>
      <c r="G6620" s="19" t="n">
        <v>0.0344</v>
      </c>
    </row>
    <row r="6621" customFormat="false" ht="15" hidden="false" customHeight="false" outlineLevel="0" collapsed="false">
      <c r="A6621" s="28" t="s">
        <v>214</v>
      </c>
      <c r="B6621" s="28" t="s">
        <v>215</v>
      </c>
      <c r="C6621" s="28" t="s">
        <v>209</v>
      </c>
      <c r="D6621" s="23" t="n">
        <v>19</v>
      </c>
      <c r="E6621" s="23" t="n">
        <v>22</v>
      </c>
      <c r="F6621" s="28" t="s">
        <v>913</v>
      </c>
      <c r="G6621" s="19" t="n">
        <v>0.0393</v>
      </c>
    </row>
    <row r="6622" customFormat="false" ht="15" hidden="false" customHeight="false" outlineLevel="0" collapsed="false">
      <c r="A6622" s="28" t="s">
        <v>214</v>
      </c>
      <c r="B6622" s="28" t="s">
        <v>215</v>
      </c>
      <c r="C6622" s="28" t="s">
        <v>209</v>
      </c>
      <c r="D6622" s="23" t="n">
        <v>19</v>
      </c>
      <c r="E6622" s="23" t="n">
        <v>22</v>
      </c>
      <c r="F6622" s="28" t="s">
        <v>914</v>
      </c>
      <c r="G6622" s="19" t="n">
        <v>0.0391</v>
      </c>
    </row>
    <row r="6623" customFormat="false" ht="15" hidden="false" customHeight="false" outlineLevel="0" collapsed="false">
      <c r="A6623" s="28" t="s">
        <v>214</v>
      </c>
      <c r="B6623" s="28" t="s">
        <v>215</v>
      </c>
      <c r="C6623" s="28" t="s">
        <v>209</v>
      </c>
      <c r="D6623" s="23" t="n">
        <v>19</v>
      </c>
      <c r="E6623" s="23" t="n">
        <v>22</v>
      </c>
      <c r="F6623" s="28" t="s">
        <v>915</v>
      </c>
      <c r="G6623" s="19" t="n">
        <v>0.0549</v>
      </c>
    </row>
    <row r="6624" customFormat="false" ht="15" hidden="false" customHeight="false" outlineLevel="0" collapsed="false">
      <c r="A6624" s="28" t="s">
        <v>214</v>
      </c>
      <c r="B6624" s="28" t="s">
        <v>215</v>
      </c>
      <c r="C6624" s="28" t="s">
        <v>209</v>
      </c>
      <c r="D6624" s="23" t="n">
        <v>19</v>
      </c>
      <c r="E6624" s="23" t="n">
        <v>23</v>
      </c>
      <c r="F6624" s="28" t="s">
        <v>904</v>
      </c>
      <c r="G6624" s="19" t="n">
        <v>0.0163</v>
      </c>
    </row>
    <row r="6625" customFormat="false" ht="15" hidden="false" customHeight="false" outlineLevel="0" collapsed="false">
      <c r="A6625" s="28" t="s">
        <v>214</v>
      </c>
      <c r="B6625" s="28" t="s">
        <v>215</v>
      </c>
      <c r="C6625" s="28" t="s">
        <v>209</v>
      </c>
      <c r="D6625" s="23" t="n">
        <v>19</v>
      </c>
      <c r="E6625" s="23" t="n">
        <v>23</v>
      </c>
      <c r="F6625" s="28" t="s">
        <v>551</v>
      </c>
      <c r="G6625" s="19" t="n">
        <v>0.0475</v>
      </c>
    </row>
    <row r="6626" customFormat="false" ht="15" hidden="false" customHeight="false" outlineLevel="0" collapsed="false">
      <c r="A6626" s="28" t="s">
        <v>214</v>
      </c>
      <c r="B6626" s="28" t="s">
        <v>215</v>
      </c>
      <c r="C6626" s="28" t="s">
        <v>209</v>
      </c>
      <c r="D6626" s="23" t="n">
        <v>19</v>
      </c>
      <c r="E6626" s="23" t="n">
        <v>23</v>
      </c>
      <c r="F6626" s="28" t="s">
        <v>451</v>
      </c>
      <c r="G6626" s="19" t="n">
        <v>0.0161</v>
      </c>
    </row>
    <row r="6627" customFormat="false" ht="15" hidden="false" customHeight="false" outlineLevel="0" collapsed="false">
      <c r="A6627" s="28" t="s">
        <v>214</v>
      </c>
      <c r="B6627" s="28" t="s">
        <v>215</v>
      </c>
      <c r="C6627" s="28" t="s">
        <v>209</v>
      </c>
      <c r="D6627" s="23" t="n">
        <v>19</v>
      </c>
      <c r="E6627" s="23" t="n">
        <v>23</v>
      </c>
      <c r="F6627" s="28" t="s">
        <v>905</v>
      </c>
      <c r="G6627" s="19" t="n">
        <v>0.0187</v>
      </c>
    </row>
    <row r="6628" customFormat="false" ht="15" hidden="false" customHeight="false" outlineLevel="0" collapsed="false">
      <c r="A6628" s="28" t="s">
        <v>214</v>
      </c>
      <c r="B6628" s="28" t="s">
        <v>215</v>
      </c>
      <c r="C6628" s="28" t="s">
        <v>209</v>
      </c>
      <c r="D6628" s="23" t="n">
        <v>19</v>
      </c>
      <c r="E6628" s="23" t="n">
        <v>23</v>
      </c>
      <c r="F6628" s="28" t="s">
        <v>906</v>
      </c>
      <c r="G6628" s="19" t="n">
        <v>0.020356</v>
      </c>
    </row>
    <row r="6629" customFormat="false" ht="15" hidden="false" customHeight="false" outlineLevel="0" collapsed="false">
      <c r="A6629" s="28" t="s">
        <v>214</v>
      </c>
      <c r="B6629" s="28" t="s">
        <v>215</v>
      </c>
      <c r="C6629" s="28" t="s">
        <v>209</v>
      </c>
      <c r="D6629" s="23" t="n">
        <v>19</v>
      </c>
      <c r="E6629" s="23" t="n">
        <v>23</v>
      </c>
      <c r="F6629" s="28" t="s">
        <v>907</v>
      </c>
      <c r="G6629" s="19" t="n">
        <v>0.020569</v>
      </c>
    </row>
    <row r="6630" customFormat="false" ht="15" hidden="false" customHeight="false" outlineLevel="0" collapsed="false">
      <c r="A6630" s="28" t="s">
        <v>214</v>
      </c>
      <c r="B6630" s="28" t="s">
        <v>215</v>
      </c>
      <c r="C6630" s="28" t="s">
        <v>209</v>
      </c>
      <c r="D6630" s="23" t="n">
        <v>19</v>
      </c>
      <c r="E6630" s="23" t="n">
        <v>23</v>
      </c>
      <c r="F6630" s="28" t="s">
        <v>908</v>
      </c>
      <c r="G6630" s="19" t="n">
        <v>0.023195</v>
      </c>
    </row>
    <row r="6631" customFormat="false" ht="15" hidden="false" customHeight="false" outlineLevel="0" collapsed="false">
      <c r="A6631" s="28" t="s">
        <v>214</v>
      </c>
      <c r="B6631" s="28" t="s">
        <v>215</v>
      </c>
      <c r="C6631" s="28" t="s">
        <v>209</v>
      </c>
      <c r="D6631" s="23" t="n">
        <v>19</v>
      </c>
      <c r="E6631" s="23" t="n">
        <v>23</v>
      </c>
      <c r="F6631" s="28" t="s">
        <v>909</v>
      </c>
      <c r="G6631" s="19" t="n">
        <v>0.024321</v>
      </c>
    </row>
    <row r="6632" customFormat="false" ht="15" hidden="false" customHeight="false" outlineLevel="0" collapsed="false">
      <c r="A6632" s="28" t="s">
        <v>214</v>
      </c>
      <c r="B6632" s="28" t="s">
        <v>215</v>
      </c>
      <c r="C6632" s="28" t="s">
        <v>209</v>
      </c>
      <c r="D6632" s="23" t="n">
        <v>19</v>
      </c>
      <c r="E6632" s="23" t="n">
        <v>23</v>
      </c>
      <c r="F6632" s="28" t="s">
        <v>910</v>
      </c>
      <c r="G6632" s="19" t="n">
        <v>0.026772</v>
      </c>
    </row>
    <row r="6633" customFormat="false" ht="15" hidden="false" customHeight="false" outlineLevel="0" collapsed="false">
      <c r="A6633" s="28" t="s">
        <v>214</v>
      </c>
      <c r="B6633" s="28" t="s">
        <v>215</v>
      </c>
      <c r="C6633" s="28" t="s">
        <v>209</v>
      </c>
      <c r="D6633" s="23" t="n">
        <v>19</v>
      </c>
      <c r="E6633" s="23" t="n">
        <v>23</v>
      </c>
      <c r="F6633" s="28" t="s">
        <v>911</v>
      </c>
      <c r="G6633" s="19" t="n">
        <v>0.029923</v>
      </c>
    </row>
    <row r="6634" customFormat="false" ht="15" hidden="false" customHeight="false" outlineLevel="0" collapsed="false">
      <c r="A6634" s="28" t="s">
        <v>214</v>
      </c>
      <c r="B6634" s="28" t="s">
        <v>215</v>
      </c>
      <c r="C6634" s="28" t="s">
        <v>209</v>
      </c>
      <c r="D6634" s="23" t="n">
        <v>19</v>
      </c>
      <c r="E6634" s="23" t="n">
        <v>23</v>
      </c>
      <c r="F6634" s="28" t="s">
        <v>912</v>
      </c>
      <c r="G6634" s="19" t="n">
        <v>0.0344</v>
      </c>
    </row>
    <row r="6635" customFormat="false" ht="15" hidden="false" customHeight="false" outlineLevel="0" collapsed="false">
      <c r="A6635" s="28" t="s">
        <v>214</v>
      </c>
      <c r="B6635" s="28" t="s">
        <v>215</v>
      </c>
      <c r="C6635" s="28" t="s">
        <v>209</v>
      </c>
      <c r="D6635" s="23" t="n">
        <v>19</v>
      </c>
      <c r="E6635" s="23" t="n">
        <v>23</v>
      </c>
      <c r="F6635" s="28" t="s">
        <v>913</v>
      </c>
      <c r="G6635" s="19" t="n">
        <v>0.0393</v>
      </c>
    </row>
    <row r="6636" customFormat="false" ht="15" hidden="false" customHeight="false" outlineLevel="0" collapsed="false">
      <c r="A6636" s="28" t="s">
        <v>214</v>
      </c>
      <c r="B6636" s="28" t="s">
        <v>215</v>
      </c>
      <c r="C6636" s="28" t="s">
        <v>209</v>
      </c>
      <c r="D6636" s="23" t="n">
        <v>19</v>
      </c>
      <c r="E6636" s="23" t="n">
        <v>23</v>
      </c>
      <c r="F6636" s="28" t="s">
        <v>914</v>
      </c>
      <c r="G6636" s="19" t="n">
        <v>0.0391</v>
      </c>
    </row>
    <row r="6637" customFormat="false" ht="15" hidden="false" customHeight="false" outlineLevel="0" collapsed="false">
      <c r="A6637" s="28" t="s">
        <v>214</v>
      </c>
      <c r="B6637" s="28" t="s">
        <v>215</v>
      </c>
      <c r="C6637" s="28" t="s">
        <v>209</v>
      </c>
      <c r="D6637" s="23" t="n">
        <v>19</v>
      </c>
      <c r="E6637" s="23" t="n">
        <v>23</v>
      </c>
      <c r="F6637" s="28" t="s">
        <v>915</v>
      </c>
      <c r="G6637" s="19" t="n">
        <v>0.0549</v>
      </c>
    </row>
    <row r="6638" customFormat="false" ht="15" hidden="false" customHeight="false" outlineLevel="0" collapsed="false">
      <c r="A6638" s="28" t="s">
        <v>214</v>
      </c>
      <c r="B6638" s="28" t="s">
        <v>215</v>
      </c>
      <c r="C6638" s="28" t="s">
        <v>209</v>
      </c>
      <c r="D6638" s="23" t="n">
        <v>19</v>
      </c>
      <c r="E6638" s="23" t="n">
        <v>24</v>
      </c>
      <c r="F6638" s="28" t="s">
        <v>904</v>
      </c>
      <c r="G6638" s="19" t="n">
        <v>0.0163</v>
      </c>
    </row>
    <row r="6639" customFormat="false" ht="15" hidden="false" customHeight="false" outlineLevel="0" collapsed="false">
      <c r="A6639" s="28" t="s">
        <v>214</v>
      </c>
      <c r="B6639" s="28" t="s">
        <v>215</v>
      </c>
      <c r="C6639" s="28" t="s">
        <v>209</v>
      </c>
      <c r="D6639" s="23" t="n">
        <v>19</v>
      </c>
      <c r="E6639" s="23" t="n">
        <v>24</v>
      </c>
      <c r="F6639" s="28" t="s">
        <v>551</v>
      </c>
      <c r="G6639" s="19" t="n">
        <v>0.0475</v>
      </c>
    </row>
    <row r="6640" customFormat="false" ht="15" hidden="false" customHeight="false" outlineLevel="0" collapsed="false">
      <c r="A6640" s="28" t="s">
        <v>214</v>
      </c>
      <c r="B6640" s="28" t="s">
        <v>215</v>
      </c>
      <c r="C6640" s="28" t="s">
        <v>209</v>
      </c>
      <c r="D6640" s="23" t="n">
        <v>19</v>
      </c>
      <c r="E6640" s="23" t="n">
        <v>24</v>
      </c>
      <c r="F6640" s="28" t="s">
        <v>451</v>
      </c>
      <c r="G6640" s="19" t="n">
        <v>0.0161</v>
      </c>
    </row>
    <row r="6641" customFormat="false" ht="15" hidden="false" customHeight="false" outlineLevel="0" collapsed="false">
      <c r="A6641" s="28" t="s">
        <v>214</v>
      </c>
      <c r="B6641" s="28" t="s">
        <v>215</v>
      </c>
      <c r="C6641" s="28" t="s">
        <v>209</v>
      </c>
      <c r="D6641" s="23" t="n">
        <v>19</v>
      </c>
      <c r="E6641" s="23" t="n">
        <v>24</v>
      </c>
      <c r="F6641" s="28" t="s">
        <v>905</v>
      </c>
      <c r="G6641" s="19" t="n">
        <v>0.0187</v>
      </c>
    </row>
    <row r="6642" customFormat="false" ht="15" hidden="false" customHeight="false" outlineLevel="0" collapsed="false">
      <c r="A6642" s="28" t="s">
        <v>214</v>
      </c>
      <c r="B6642" s="28" t="s">
        <v>215</v>
      </c>
      <c r="C6642" s="28" t="s">
        <v>209</v>
      </c>
      <c r="D6642" s="23" t="n">
        <v>19</v>
      </c>
      <c r="E6642" s="23" t="n">
        <v>24</v>
      </c>
      <c r="F6642" s="28" t="s">
        <v>906</v>
      </c>
      <c r="G6642" s="19" t="n">
        <v>0.020356</v>
      </c>
    </row>
    <row r="6643" customFormat="false" ht="15" hidden="false" customHeight="false" outlineLevel="0" collapsed="false">
      <c r="A6643" s="28" t="s">
        <v>214</v>
      </c>
      <c r="B6643" s="28" t="s">
        <v>215</v>
      </c>
      <c r="C6643" s="28" t="s">
        <v>209</v>
      </c>
      <c r="D6643" s="23" t="n">
        <v>19</v>
      </c>
      <c r="E6643" s="23" t="n">
        <v>24</v>
      </c>
      <c r="F6643" s="28" t="s">
        <v>907</v>
      </c>
      <c r="G6643" s="19" t="n">
        <v>0.020569</v>
      </c>
    </row>
    <row r="6644" customFormat="false" ht="15" hidden="false" customHeight="false" outlineLevel="0" collapsed="false">
      <c r="A6644" s="28" t="s">
        <v>214</v>
      </c>
      <c r="B6644" s="28" t="s">
        <v>215</v>
      </c>
      <c r="C6644" s="28" t="s">
        <v>209</v>
      </c>
      <c r="D6644" s="23" t="n">
        <v>19</v>
      </c>
      <c r="E6644" s="23" t="n">
        <v>24</v>
      </c>
      <c r="F6644" s="28" t="s">
        <v>908</v>
      </c>
      <c r="G6644" s="19" t="n">
        <v>0.023195</v>
      </c>
    </row>
    <row r="6645" customFormat="false" ht="15" hidden="false" customHeight="false" outlineLevel="0" collapsed="false">
      <c r="A6645" s="28" t="s">
        <v>214</v>
      </c>
      <c r="B6645" s="28" t="s">
        <v>215</v>
      </c>
      <c r="C6645" s="28" t="s">
        <v>209</v>
      </c>
      <c r="D6645" s="23" t="n">
        <v>19</v>
      </c>
      <c r="E6645" s="23" t="n">
        <v>24</v>
      </c>
      <c r="F6645" s="28" t="s">
        <v>909</v>
      </c>
      <c r="G6645" s="19" t="n">
        <v>0.024321</v>
      </c>
    </row>
    <row r="6646" customFormat="false" ht="15" hidden="false" customHeight="false" outlineLevel="0" collapsed="false">
      <c r="A6646" s="28" t="s">
        <v>214</v>
      </c>
      <c r="B6646" s="28" t="s">
        <v>215</v>
      </c>
      <c r="C6646" s="28" t="s">
        <v>209</v>
      </c>
      <c r="D6646" s="23" t="n">
        <v>19</v>
      </c>
      <c r="E6646" s="23" t="n">
        <v>24</v>
      </c>
      <c r="F6646" s="28" t="s">
        <v>910</v>
      </c>
      <c r="G6646" s="19" t="n">
        <v>0.026772</v>
      </c>
    </row>
    <row r="6647" customFormat="false" ht="15" hidden="false" customHeight="false" outlineLevel="0" collapsed="false">
      <c r="A6647" s="28" t="s">
        <v>214</v>
      </c>
      <c r="B6647" s="28" t="s">
        <v>215</v>
      </c>
      <c r="C6647" s="28" t="s">
        <v>209</v>
      </c>
      <c r="D6647" s="23" t="n">
        <v>19</v>
      </c>
      <c r="E6647" s="23" t="n">
        <v>24</v>
      </c>
      <c r="F6647" s="28" t="s">
        <v>911</v>
      </c>
      <c r="G6647" s="19" t="n">
        <v>0.029923</v>
      </c>
    </row>
    <row r="6648" customFormat="false" ht="15" hidden="false" customHeight="false" outlineLevel="0" collapsed="false">
      <c r="A6648" s="28" t="s">
        <v>214</v>
      </c>
      <c r="B6648" s="28" t="s">
        <v>215</v>
      </c>
      <c r="C6648" s="28" t="s">
        <v>209</v>
      </c>
      <c r="D6648" s="23" t="n">
        <v>19</v>
      </c>
      <c r="E6648" s="23" t="n">
        <v>24</v>
      </c>
      <c r="F6648" s="28" t="s">
        <v>912</v>
      </c>
      <c r="G6648" s="19" t="n">
        <v>0.0344</v>
      </c>
    </row>
    <row r="6649" customFormat="false" ht="15" hidden="false" customHeight="false" outlineLevel="0" collapsed="false">
      <c r="A6649" s="28" t="s">
        <v>214</v>
      </c>
      <c r="B6649" s="28" t="s">
        <v>215</v>
      </c>
      <c r="C6649" s="28" t="s">
        <v>209</v>
      </c>
      <c r="D6649" s="23" t="n">
        <v>19</v>
      </c>
      <c r="E6649" s="23" t="n">
        <v>24</v>
      </c>
      <c r="F6649" s="28" t="s">
        <v>913</v>
      </c>
      <c r="G6649" s="19" t="n">
        <v>0.0393</v>
      </c>
    </row>
    <row r="6650" customFormat="false" ht="15" hidden="false" customHeight="false" outlineLevel="0" collapsed="false">
      <c r="A6650" s="28" t="s">
        <v>214</v>
      </c>
      <c r="B6650" s="28" t="s">
        <v>215</v>
      </c>
      <c r="C6650" s="28" t="s">
        <v>209</v>
      </c>
      <c r="D6650" s="23" t="n">
        <v>19</v>
      </c>
      <c r="E6650" s="23" t="n">
        <v>24</v>
      </c>
      <c r="F6650" s="28" t="s">
        <v>914</v>
      </c>
      <c r="G6650" s="19" t="n">
        <v>0.0391</v>
      </c>
    </row>
    <row r="6651" customFormat="false" ht="15" hidden="false" customHeight="false" outlineLevel="0" collapsed="false">
      <c r="A6651" s="28" t="s">
        <v>214</v>
      </c>
      <c r="B6651" s="28" t="s">
        <v>215</v>
      </c>
      <c r="C6651" s="28" t="s">
        <v>209</v>
      </c>
      <c r="D6651" s="23" t="n">
        <v>19</v>
      </c>
      <c r="E6651" s="23" t="n">
        <v>24</v>
      </c>
      <c r="F6651" s="28" t="s">
        <v>915</v>
      </c>
      <c r="G6651" s="19" t="n">
        <v>0.0549</v>
      </c>
    </row>
    <row r="6652" customFormat="false" ht="15" hidden="false" customHeight="false" outlineLevel="0" collapsed="false">
      <c r="A6652" s="28" t="s">
        <v>216</v>
      </c>
      <c r="B6652" s="28" t="s">
        <v>217</v>
      </c>
      <c r="C6652" s="28" t="s">
        <v>218</v>
      </c>
      <c r="D6652" s="23" t="n">
        <v>20</v>
      </c>
      <c r="E6652" s="23" t="n">
        <v>0</v>
      </c>
      <c r="F6652" s="28" t="s">
        <v>904</v>
      </c>
      <c r="G6652" s="19" t="n">
        <v>0.0663</v>
      </c>
    </row>
    <row r="6653" customFormat="false" ht="15" hidden="false" customHeight="false" outlineLevel="0" collapsed="false">
      <c r="A6653" s="28" t="s">
        <v>216</v>
      </c>
      <c r="B6653" s="28" t="s">
        <v>217</v>
      </c>
      <c r="C6653" s="28" t="s">
        <v>218</v>
      </c>
      <c r="D6653" s="23" t="n">
        <v>20</v>
      </c>
      <c r="E6653" s="23" t="n">
        <v>0</v>
      </c>
      <c r="F6653" s="28" t="s">
        <v>551</v>
      </c>
      <c r="G6653" s="19" t="n">
        <v>0.0975</v>
      </c>
    </row>
    <row r="6654" customFormat="false" ht="15" hidden="false" customHeight="false" outlineLevel="0" collapsed="false">
      <c r="A6654" s="28" t="s">
        <v>216</v>
      </c>
      <c r="B6654" s="28" t="s">
        <v>217</v>
      </c>
      <c r="C6654" s="28" t="s">
        <v>218</v>
      </c>
      <c r="D6654" s="23" t="n">
        <v>20</v>
      </c>
      <c r="E6654" s="23" t="n">
        <v>0</v>
      </c>
      <c r="F6654" s="28" t="s">
        <v>451</v>
      </c>
      <c r="G6654" s="19" t="n">
        <v>0.0661</v>
      </c>
    </row>
    <row r="6655" customFormat="false" ht="15" hidden="false" customHeight="false" outlineLevel="0" collapsed="false">
      <c r="A6655" s="28" t="s">
        <v>216</v>
      </c>
      <c r="B6655" s="28" t="s">
        <v>217</v>
      </c>
      <c r="C6655" s="28" t="s">
        <v>218</v>
      </c>
      <c r="D6655" s="23" t="n">
        <v>20</v>
      </c>
      <c r="E6655" s="23" t="n">
        <v>0</v>
      </c>
      <c r="F6655" s="28" t="s">
        <v>905</v>
      </c>
      <c r="G6655" s="19" t="n">
        <v>0.0687</v>
      </c>
    </row>
    <row r="6656" customFormat="false" ht="15" hidden="false" customHeight="false" outlineLevel="0" collapsed="false">
      <c r="A6656" s="28" t="s">
        <v>216</v>
      </c>
      <c r="B6656" s="28" t="s">
        <v>217</v>
      </c>
      <c r="C6656" s="28" t="s">
        <v>218</v>
      </c>
      <c r="D6656" s="23" t="n">
        <v>20</v>
      </c>
      <c r="E6656" s="23" t="n">
        <v>0</v>
      </c>
      <c r="F6656" s="28" t="s">
        <v>906</v>
      </c>
      <c r="G6656" s="19" t="n">
        <v>0.0701</v>
      </c>
    </row>
    <row r="6657" customFormat="false" ht="15" hidden="false" customHeight="false" outlineLevel="0" collapsed="false">
      <c r="A6657" s="28" t="s">
        <v>216</v>
      </c>
      <c r="B6657" s="28" t="s">
        <v>217</v>
      </c>
      <c r="C6657" s="28" t="s">
        <v>218</v>
      </c>
      <c r="D6657" s="23" t="n">
        <v>20</v>
      </c>
      <c r="E6657" s="23" t="n">
        <v>0</v>
      </c>
      <c r="F6657" s="28" t="s">
        <v>907</v>
      </c>
      <c r="G6657" s="19" t="n">
        <v>0.0698</v>
      </c>
    </row>
    <row r="6658" customFormat="false" ht="15" hidden="false" customHeight="false" outlineLevel="0" collapsed="false">
      <c r="A6658" s="28" t="s">
        <v>216</v>
      </c>
      <c r="B6658" s="28" t="s">
        <v>217</v>
      </c>
      <c r="C6658" s="28" t="s">
        <v>218</v>
      </c>
      <c r="D6658" s="23" t="n">
        <v>20</v>
      </c>
      <c r="E6658" s="23" t="n">
        <v>0</v>
      </c>
      <c r="F6658" s="28" t="s">
        <v>908</v>
      </c>
      <c r="G6658" s="19" t="n">
        <v>0.0714</v>
      </c>
    </row>
    <row r="6659" customFormat="false" ht="15" hidden="false" customHeight="false" outlineLevel="0" collapsed="false">
      <c r="A6659" s="28" t="s">
        <v>216</v>
      </c>
      <c r="B6659" s="28" t="s">
        <v>217</v>
      </c>
      <c r="C6659" s="28" t="s">
        <v>218</v>
      </c>
      <c r="D6659" s="23" t="n">
        <v>20</v>
      </c>
      <c r="E6659" s="23" t="n">
        <v>0</v>
      </c>
      <c r="F6659" s="28" t="s">
        <v>909</v>
      </c>
      <c r="G6659" s="19" t="n">
        <v>0.0715</v>
      </c>
    </row>
    <row r="6660" customFormat="false" ht="15" hidden="false" customHeight="false" outlineLevel="0" collapsed="false">
      <c r="A6660" s="28" t="s">
        <v>216</v>
      </c>
      <c r="B6660" s="28" t="s">
        <v>217</v>
      </c>
      <c r="C6660" s="28" t="s">
        <v>218</v>
      </c>
      <c r="D6660" s="23" t="n">
        <v>20</v>
      </c>
      <c r="E6660" s="23" t="n">
        <v>0</v>
      </c>
      <c r="F6660" s="28" t="s">
        <v>910</v>
      </c>
      <c r="G6660" s="19" t="n">
        <v>0.0719</v>
      </c>
    </row>
    <row r="6661" customFormat="false" ht="15" hidden="false" customHeight="false" outlineLevel="0" collapsed="false">
      <c r="A6661" s="28" t="s">
        <v>216</v>
      </c>
      <c r="B6661" s="28" t="s">
        <v>217</v>
      </c>
      <c r="C6661" s="28" t="s">
        <v>218</v>
      </c>
      <c r="D6661" s="23" t="n">
        <v>20</v>
      </c>
      <c r="E6661" s="23" t="n">
        <v>0</v>
      </c>
      <c r="F6661" s="28" t="s">
        <v>911</v>
      </c>
      <c r="G6661" s="19" t="n">
        <v>0.073</v>
      </c>
    </row>
    <row r="6662" customFormat="false" ht="15" hidden="false" customHeight="false" outlineLevel="0" collapsed="false">
      <c r="A6662" s="28" t="s">
        <v>216</v>
      </c>
      <c r="B6662" s="28" t="s">
        <v>217</v>
      </c>
      <c r="C6662" s="28" t="s">
        <v>218</v>
      </c>
      <c r="D6662" s="23" t="n">
        <v>20</v>
      </c>
      <c r="E6662" s="23" t="n">
        <v>0</v>
      </c>
      <c r="F6662" s="28" t="s">
        <v>912</v>
      </c>
      <c r="G6662" s="19" t="n">
        <v>0.0744</v>
      </c>
    </row>
    <row r="6663" customFormat="false" ht="15" hidden="false" customHeight="false" outlineLevel="0" collapsed="false">
      <c r="A6663" s="28" t="s">
        <v>216</v>
      </c>
      <c r="B6663" s="28" t="s">
        <v>217</v>
      </c>
      <c r="C6663" s="28" t="s">
        <v>218</v>
      </c>
      <c r="D6663" s="23" t="n">
        <v>20</v>
      </c>
      <c r="E6663" s="23" t="n">
        <v>0</v>
      </c>
      <c r="F6663" s="28" t="s">
        <v>913</v>
      </c>
      <c r="G6663" s="19" t="n">
        <v>0.0793</v>
      </c>
    </row>
    <row r="6664" customFormat="false" ht="15" hidden="false" customHeight="false" outlineLevel="0" collapsed="false">
      <c r="A6664" s="28" t="s">
        <v>216</v>
      </c>
      <c r="B6664" s="28" t="s">
        <v>217</v>
      </c>
      <c r="C6664" s="28" t="s">
        <v>218</v>
      </c>
      <c r="D6664" s="23" t="n">
        <v>20</v>
      </c>
      <c r="E6664" s="23" t="n">
        <v>0</v>
      </c>
      <c r="F6664" s="28" t="s">
        <v>914</v>
      </c>
      <c r="G6664" s="19" t="n">
        <v>0.0791</v>
      </c>
    </row>
    <row r="6665" customFormat="false" ht="15" hidden="false" customHeight="false" outlineLevel="0" collapsed="false">
      <c r="A6665" s="28" t="s">
        <v>216</v>
      </c>
      <c r="B6665" s="28" t="s">
        <v>217</v>
      </c>
      <c r="C6665" s="28" t="s">
        <v>218</v>
      </c>
      <c r="D6665" s="23" t="n">
        <v>20</v>
      </c>
      <c r="E6665" s="23" t="n">
        <v>0</v>
      </c>
      <c r="F6665" s="28" t="s">
        <v>915</v>
      </c>
      <c r="G6665" s="19" t="n">
        <v>0.0949</v>
      </c>
    </row>
    <row r="6666" customFormat="false" ht="15" hidden="false" customHeight="false" outlineLevel="0" collapsed="false">
      <c r="A6666" s="28" t="s">
        <v>216</v>
      </c>
      <c r="B6666" s="28" t="s">
        <v>217</v>
      </c>
      <c r="C6666" s="28" t="s">
        <v>218</v>
      </c>
      <c r="D6666" s="23" t="n">
        <v>20</v>
      </c>
      <c r="E6666" s="23" t="n">
        <v>1</v>
      </c>
      <c r="F6666" s="28" t="s">
        <v>904</v>
      </c>
      <c r="G6666" s="19" t="n">
        <v>0.0663</v>
      </c>
    </row>
    <row r="6667" customFormat="false" ht="15" hidden="false" customHeight="false" outlineLevel="0" collapsed="false">
      <c r="A6667" s="28" t="s">
        <v>216</v>
      </c>
      <c r="B6667" s="28" t="s">
        <v>217</v>
      </c>
      <c r="C6667" s="28" t="s">
        <v>218</v>
      </c>
      <c r="D6667" s="23" t="n">
        <v>20</v>
      </c>
      <c r="E6667" s="23" t="n">
        <v>1</v>
      </c>
      <c r="F6667" s="28" t="s">
        <v>551</v>
      </c>
      <c r="G6667" s="19" t="n">
        <v>0.0975</v>
      </c>
    </row>
    <row r="6668" customFormat="false" ht="15" hidden="false" customHeight="false" outlineLevel="0" collapsed="false">
      <c r="A6668" s="28" t="s">
        <v>216</v>
      </c>
      <c r="B6668" s="28" t="s">
        <v>217</v>
      </c>
      <c r="C6668" s="28" t="s">
        <v>218</v>
      </c>
      <c r="D6668" s="23" t="n">
        <v>20</v>
      </c>
      <c r="E6668" s="23" t="n">
        <v>1</v>
      </c>
      <c r="F6668" s="28" t="s">
        <v>451</v>
      </c>
      <c r="G6668" s="19" t="n">
        <v>0.0661</v>
      </c>
    </row>
    <row r="6669" customFormat="false" ht="15" hidden="false" customHeight="false" outlineLevel="0" collapsed="false">
      <c r="A6669" s="28" t="s">
        <v>216</v>
      </c>
      <c r="B6669" s="28" t="s">
        <v>217</v>
      </c>
      <c r="C6669" s="28" t="s">
        <v>218</v>
      </c>
      <c r="D6669" s="23" t="n">
        <v>20</v>
      </c>
      <c r="E6669" s="23" t="n">
        <v>1</v>
      </c>
      <c r="F6669" s="28" t="s">
        <v>905</v>
      </c>
      <c r="G6669" s="19" t="n">
        <v>0.0687</v>
      </c>
    </row>
    <row r="6670" customFormat="false" ht="15" hidden="false" customHeight="false" outlineLevel="0" collapsed="false">
      <c r="A6670" s="28" t="s">
        <v>216</v>
      </c>
      <c r="B6670" s="28" t="s">
        <v>217</v>
      </c>
      <c r="C6670" s="28" t="s">
        <v>218</v>
      </c>
      <c r="D6670" s="23" t="n">
        <v>20</v>
      </c>
      <c r="E6670" s="23" t="n">
        <v>1</v>
      </c>
      <c r="F6670" s="28" t="s">
        <v>906</v>
      </c>
      <c r="G6670" s="19" t="n">
        <v>0.0701</v>
      </c>
    </row>
    <row r="6671" customFormat="false" ht="15" hidden="false" customHeight="false" outlineLevel="0" collapsed="false">
      <c r="A6671" s="28" t="s">
        <v>216</v>
      </c>
      <c r="B6671" s="28" t="s">
        <v>217</v>
      </c>
      <c r="C6671" s="28" t="s">
        <v>218</v>
      </c>
      <c r="D6671" s="23" t="n">
        <v>20</v>
      </c>
      <c r="E6671" s="23" t="n">
        <v>1</v>
      </c>
      <c r="F6671" s="28" t="s">
        <v>907</v>
      </c>
      <c r="G6671" s="19" t="n">
        <v>0.0698</v>
      </c>
    </row>
    <row r="6672" customFormat="false" ht="15" hidden="false" customHeight="false" outlineLevel="0" collapsed="false">
      <c r="A6672" s="28" t="s">
        <v>216</v>
      </c>
      <c r="B6672" s="28" t="s">
        <v>217</v>
      </c>
      <c r="C6672" s="28" t="s">
        <v>218</v>
      </c>
      <c r="D6672" s="23" t="n">
        <v>20</v>
      </c>
      <c r="E6672" s="23" t="n">
        <v>1</v>
      </c>
      <c r="F6672" s="28" t="s">
        <v>908</v>
      </c>
      <c r="G6672" s="19" t="n">
        <v>0.0714</v>
      </c>
    </row>
    <row r="6673" customFormat="false" ht="15" hidden="false" customHeight="false" outlineLevel="0" collapsed="false">
      <c r="A6673" s="28" t="s">
        <v>216</v>
      </c>
      <c r="B6673" s="28" t="s">
        <v>217</v>
      </c>
      <c r="C6673" s="28" t="s">
        <v>218</v>
      </c>
      <c r="D6673" s="23" t="n">
        <v>20</v>
      </c>
      <c r="E6673" s="23" t="n">
        <v>1</v>
      </c>
      <c r="F6673" s="28" t="s">
        <v>909</v>
      </c>
      <c r="G6673" s="19" t="n">
        <v>0.0715</v>
      </c>
    </row>
    <row r="6674" customFormat="false" ht="15" hidden="false" customHeight="false" outlineLevel="0" collapsed="false">
      <c r="A6674" s="28" t="s">
        <v>216</v>
      </c>
      <c r="B6674" s="28" t="s">
        <v>217</v>
      </c>
      <c r="C6674" s="28" t="s">
        <v>218</v>
      </c>
      <c r="D6674" s="23" t="n">
        <v>20</v>
      </c>
      <c r="E6674" s="23" t="n">
        <v>1</v>
      </c>
      <c r="F6674" s="28" t="s">
        <v>910</v>
      </c>
      <c r="G6674" s="19" t="n">
        <v>0.0719</v>
      </c>
    </row>
    <row r="6675" customFormat="false" ht="15" hidden="false" customHeight="false" outlineLevel="0" collapsed="false">
      <c r="A6675" s="28" t="s">
        <v>216</v>
      </c>
      <c r="B6675" s="28" t="s">
        <v>217</v>
      </c>
      <c r="C6675" s="28" t="s">
        <v>218</v>
      </c>
      <c r="D6675" s="23" t="n">
        <v>20</v>
      </c>
      <c r="E6675" s="23" t="n">
        <v>1</v>
      </c>
      <c r="F6675" s="28" t="s">
        <v>911</v>
      </c>
      <c r="G6675" s="19" t="n">
        <v>0.073</v>
      </c>
    </row>
    <row r="6676" customFormat="false" ht="15" hidden="false" customHeight="false" outlineLevel="0" collapsed="false">
      <c r="A6676" s="28" t="s">
        <v>216</v>
      </c>
      <c r="B6676" s="28" t="s">
        <v>217</v>
      </c>
      <c r="C6676" s="28" t="s">
        <v>218</v>
      </c>
      <c r="D6676" s="23" t="n">
        <v>20</v>
      </c>
      <c r="E6676" s="23" t="n">
        <v>1</v>
      </c>
      <c r="F6676" s="28" t="s">
        <v>912</v>
      </c>
      <c r="G6676" s="19" t="n">
        <v>0.0744</v>
      </c>
    </row>
    <row r="6677" customFormat="false" ht="15" hidden="false" customHeight="false" outlineLevel="0" collapsed="false">
      <c r="A6677" s="28" t="s">
        <v>216</v>
      </c>
      <c r="B6677" s="28" t="s">
        <v>217</v>
      </c>
      <c r="C6677" s="28" t="s">
        <v>218</v>
      </c>
      <c r="D6677" s="23" t="n">
        <v>20</v>
      </c>
      <c r="E6677" s="23" t="n">
        <v>1</v>
      </c>
      <c r="F6677" s="28" t="s">
        <v>913</v>
      </c>
      <c r="G6677" s="19" t="n">
        <v>0.0793</v>
      </c>
    </row>
    <row r="6678" customFormat="false" ht="15" hidden="false" customHeight="false" outlineLevel="0" collapsed="false">
      <c r="A6678" s="28" t="s">
        <v>216</v>
      </c>
      <c r="B6678" s="28" t="s">
        <v>217</v>
      </c>
      <c r="C6678" s="28" t="s">
        <v>218</v>
      </c>
      <c r="D6678" s="23" t="n">
        <v>20</v>
      </c>
      <c r="E6678" s="23" t="n">
        <v>1</v>
      </c>
      <c r="F6678" s="28" t="s">
        <v>914</v>
      </c>
      <c r="G6678" s="19" t="n">
        <v>0.0791</v>
      </c>
    </row>
    <row r="6679" customFormat="false" ht="15" hidden="false" customHeight="false" outlineLevel="0" collapsed="false">
      <c r="A6679" s="28" t="s">
        <v>216</v>
      </c>
      <c r="B6679" s="28" t="s">
        <v>217</v>
      </c>
      <c r="C6679" s="28" t="s">
        <v>218</v>
      </c>
      <c r="D6679" s="23" t="n">
        <v>20</v>
      </c>
      <c r="E6679" s="23" t="n">
        <v>1</v>
      </c>
      <c r="F6679" s="28" t="s">
        <v>915</v>
      </c>
      <c r="G6679" s="19" t="n">
        <v>0.0949</v>
      </c>
    </row>
    <row r="6680" customFormat="false" ht="15" hidden="false" customHeight="false" outlineLevel="0" collapsed="false">
      <c r="A6680" s="28" t="s">
        <v>216</v>
      </c>
      <c r="B6680" s="28" t="s">
        <v>217</v>
      </c>
      <c r="C6680" s="28" t="s">
        <v>218</v>
      </c>
      <c r="D6680" s="23" t="n">
        <v>20</v>
      </c>
      <c r="E6680" s="23" t="n">
        <v>2</v>
      </c>
      <c r="F6680" s="28" t="s">
        <v>904</v>
      </c>
      <c r="G6680" s="19" t="n">
        <v>0.0663</v>
      </c>
    </row>
    <row r="6681" customFormat="false" ht="15" hidden="false" customHeight="false" outlineLevel="0" collapsed="false">
      <c r="A6681" s="28" t="s">
        <v>216</v>
      </c>
      <c r="B6681" s="28" t="s">
        <v>217</v>
      </c>
      <c r="C6681" s="28" t="s">
        <v>218</v>
      </c>
      <c r="D6681" s="23" t="n">
        <v>20</v>
      </c>
      <c r="E6681" s="23" t="n">
        <v>2</v>
      </c>
      <c r="F6681" s="28" t="s">
        <v>551</v>
      </c>
      <c r="G6681" s="19" t="n">
        <v>0.0975</v>
      </c>
    </row>
    <row r="6682" customFormat="false" ht="15" hidden="false" customHeight="false" outlineLevel="0" collapsed="false">
      <c r="A6682" s="28" t="s">
        <v>216</v>
      </c>
      <c r="B6682" s="28" t="s">
        <v>217</v>
      </c>
      <c r="C6682" s="28" t="s">
        <v>218</v>
      </c>
      <c r="D6682" s="23" t="n">
        <v>20</v>
      </c>
      <c r="E6682" s="23" t="n">
        <v>2</v>
      </c>
      <c r="F6682" s="28" t="s">
        <v>451</v>
      </c>
      <c r="G6682" s="19" t="n">
        <v>0.0661</v>
      </c>
    </row>
    <row r="6683" customFormat="false" ht="15" hidden="false" customHeight="false" outlineLevel="0" collapsed="false">
      <c r="A6683" s="28" t="s">
        <v>216</v>
      </c>
      <c r="B6683" s="28" t="s">
        <v>217</v>
      </c>
      <c r="C6683" s="28" t="s">
        <v>218</v>
      </c>
      <c r="D6683" s="23" t="n">
        <v>20</v>
      </c>
      <c r="E6683" s="23" t="n">
        <v>2</v>
      </c>
      <c r="F6683" s="28" t="s">
        <v>905</v>
      </c>
      <c r="G6683" s="19" t="n">
        <v>0.0687</v>
      </c>
    </row>
    <row r="6684" customFormat="false" ht="15" hidden="false" customHeight="false" outlineLevel="0" collapsed="false">
      <c r="A6684" s="28" t="s">
        <v>216</v>
      </c>
      <c r="B6684" s="28" t="s">
        <v>217</v>
      </c>
      <c r="C6684" s="28" t="s">
        <v>218</v>
      </c>
      <c r="D6684" s="23" t="n">
        <v>20</v>
      </c>
      <c r="E6684" s="23" t="n">
        <v>2</v>
      </c>
      <c r="F6684" s="28" t="s">
        <v>906</v>
      </c>
      <c r="G6684" s="19" t="n">
        <v>0.0701</v>
      </c>
    </row>
    <row r="6685" customFormat="false" ht="15" hidden="false" customHeight="false" outlineLevel="0" collapsed="false">
      <c r="A6685" s="28" t="s">
        <v>216</v>
      </c>
      <c r="B6685" s="28" t="s">
        <v>217</v>
      </c>
      <c r="C6685" s="28" t="s">
        <v>218</v>
      </c>
      <c r="D6685" s="23" t="n">
        <v>20</v>
      </c>
      <c r="E6685" s="23" t="n">
        <v>2</v>
      </c>
      <c r="F6685" s="28" t="s">
        <v>907</v>
      </c>
      <c r="G6685" s="19" t="n">
        <v>0.0698</v>
      </c>
    </row>
    <row r="6686" customFormat="false" ht="15" hidden="false" customHeight="false" outlineLevel="0" collapsed="false">
      <c r="A6686" s="28" t="s">
        <v>216</v>
      </c>
      <c r="B6686" s="28" t="s">
        <v>217</v>
      </c>
      <c r="C6686" s="28" t="s">
        <v>218</v>
      </c>
      <c r="D6686" s="23" t="n">
        <v>20</v>
      </c>
      <c r="E6686" s="23" t="n">
        <v>2</v>
      </c>
      <c r="F6686" s="28" t="s">
        <v>908</v>
      </c>
      <c r="G6686" s="19" t="n">
        <v>0.0714</v>
      </c>
    </row>
    <row r="6687" customFormat="false" ht="15" hidden="false" customHeight="false" outlineLevel="0" collapsed="false">
      <c r="A6687" s="28" t="s">
        <v>216</v>
      </c>
      <c r="B6687" s="28" t="s">
        <v>217</v>
      </c>
      <c r="C6687" s="28" t="s">
        <v>218</v>
      </c>
      <c r="D6687" s="23" t="n">
        <v>20</v>
      </c>
      <c r="E6687" s="23" t="n">
        <v>2</v>
      </c>
      <c r="F6687" s="28" t="s">
        <v>909</v>
      </c>
      <c r="G6687" s="19" t="n">
        <v>0.0715</v>
      </c>
    </row>
    <row r="6688" customFormat="false" ht="15" hidden="false" customHeight="false" outlineLevel="0" collapsed="false">
      <c r="A6688" s="28" t="s">
        <v>216</v>
      </c>
      <c r="B6688" s="28" t="s">
        <v>217</v>
      </c>
      <c r="C6688" s="28" t="s">
        <v>218</v>
      </c>
      <c r="D6688" s="23" t="n">
        <v>20</v>
      </c>
      <c r="E6688" s="23" t="n">
        <v>2</v>
      </c>
      <c r="F6688" s="28" t="s">
        <v>910</v>
      </c>
      <c r="G6688" s="19" t="n">
        <v>0.0719</v>
      </c>
    </row>
    <row r="6689" customFormat="false" ht="15" hidden="false" customHeight="false" outlineLevel="0" collapsed="false">
      <c r="A6689" s="28" t="s">
        <v>216</v>
      </c>
      <c r="B6689" s="28" t="s">
        <v>217</v>
      </c>
      <c r="C6689" s="28" t="s">
        <v>218</v>
      </c>
      <c r="D6689" s="23" t="n">
        <v>20</v>
      </c>
      <c r="E6689" s="23" t="n">
        <v>2</v>
      </c>
      <c r="F6689" s="28" t="s">
        <v>911</v>
      </c>
      <c r="G6689" s="19" t="n">
        <v>0.073</v>
      </c>
    </row>
    <row r="6690" customFormat="false" ht="15" hidden="false" customHeight="false" outlineLevel="0" collapsed="false">
      <c r="A6690" s="28" t="s">
        <v>216</v>
      </c>
      <c r="B6690" s="28" t="s">
        <v>217</v>
      </c>
      <c r="C6690" s="28" t="s">
        <v>218</v>
      </c>
      <c r="D6690" s="23" t="n">
        <v>20</v>
      </c>
      <c r="E6690" s="23" t="n">
        <v>2</v>
      </c>
      <c r="F6690" s="28" t="s">
        <v>912</v>
      </c>
      <c r="G6690" s="19" t="n">
        <v>0.0744</v>
      </c>
    </row>
    <row r="6691" customFormat="false" ht="15" hidden="false" customHeight="false" outlineLevel="0" collapsed="false">
      <c r="A6691" s="28" t="s">
        <v>216</v>
      </c>
      <c r="B6691" s="28" t="s">
        <v>217</v>
      </c>
      <c r="C6691" s="28" t="s">
        <v>218</v>
      </c>
      <c r="D6691" s="23" t="n">
        <v>20</v>
      </c>
      <c r="E6691" s="23" t="n">
        <v>2</v>
      </c>
      <c r="F6691" s="28" t="s">
        <v>913</v>
      </c>
      <c r="G6691" s="19" t="n">
        <v>0.0793</v>
      </c>
    </row>
    <row r="6692" customFormat="false" ht="15" hidden="false" customHeight="false" outlineLevel="0" collapsed="false">
      <c r="A6692" s="28" t="s">
        <v>216</v>
      </c>
      <c r="B6692" s="28" t="s">
        <v>217</v>
      </c>
      <c r="C6692" s="28" t="s">
        <v>218</v>
      </c>
      <c r="D6692" s="23" t="n">
        <v>20</v>
      </c>
      <c r="E6692" s="23" t="n">
        <v>2</v>
      </c>
      <c r="F6692" s="28" t="s">
        <v>914</v>
      </c>
      <c r="G6692" s="19" t="n">
        <v>0.0791</v>
      </c>
    </row>
    <row r="6693" customFormat="false" ht="15" hidden="false" customHeight="false" outlineLevel="0" collapsed="false">
      <c r="A6693" s="28" t="s">
        <v>216</v>
      </c>
      <c r="B6693" s="28" t="s">
        <v>217</v>
      </c>
      <c r="C6693" s="28" t="s">
        <v>218</v>
      </c>
      <c r="D6693" s="23" t="n">
        <v>20</v>
      </c>
      <c r="E6693" s="23" t="n">
        <v>2</v>
      </c>
      <c r="F6693" s="28" t="s">
        <v>915</v>
      </c>
      <c r="G6693" s="19" t="n">
        <v>0.0949</v>
      </c>
    </row>
    <row r="6694" customFormat="false" ht="15" hidden="false" customHeight="false" outlineLevel="0" collapsed="false">
      <c r="A6694" s="28" t="s">
        <v>216</v>
      </c>
      <c r="B6694" s="28" t="s">
        <v>217</v>
      </c>
      <c r="C6694" s="28" t="s">
        <v>218</v>
      </c>
      <c r="D6694" s="23" t="n">
        <v>20</v>
      </c>
      <c r="E6694" s="23" t="n">
        <v>3</v>
      </c>
      <c r="F6694" s="28" t="s">
        <v>904</v>
      </c>
      <c r="G6694" s="19" t="n">
        <v>0.0663</v>
      </c>
    </row>
    <row r="6695" customFormat="false" ht="15" hidden="false" customHeight="false" outlineLevel="0" collapsed="false">
      <c r="A6695" s="28" t="s">
        <v>216</v>
      </c>
      <c r="B6695" s="28" t="s">
        <v>217</v>
      </c>
      <c r="C6695" s="28" t="s">
        <v>218</v>
      </c>
      <c r="D6695" s="23" t="n">
        <v>20</v>
      </c>
      <c r="E6695" s="23" t="n">
        <v>3</v>
      </c>
      <c r="F6695" s="28" t="s">
        <v>551</v>
      </c>
      <c r="G6695" s="19" t="n">
        <v>0.0975</v>
      </c>
    </row>
    <row r="6696" customFormat="false" ht="15" hidden="false" customHeight="false" outlineLevel="0" collapsed="false">
      <c r="A6696" s="28" t="s">
        <v>216</v>
      </c>
      <c r="B6696" s="28" t="s">
        <v>217</v>
      </c>
      <c r="C6696" s="28" t="s">
        <v>218</v>
      </c>
      <c r="D6696" s="23" t="n">
        <v>20</v>
      </c>
      <c r="E6696" s="23" t="n">
        <v>3</v>
      </c>
      <c r="F6696" s="28" t="s">
        <v>451</v>
      </c>
      <c r="G6696" s="19" t="n">
        <v>0.0661</v>
      </c>
    </row>
    <row r="6697" customFormat="false" ht="15" hidden="false" customHeight="false" outlineLevel="0" collapsed="false">
      <c r="A6697" s="28" t="s">
        <v>216</v>
      </c>
      <c r="B6697" s="28" t="s">
        <v>217</v>
      </c>
      <c r="C6697" s="28" t="s">
        <v>218</v>
      </c>
      <c r="D6697" s="23" t="n">
        <v>20</v>
      </c>
      <c r="E6697" s="23" t="n">
        <v>3</v>
      </c>
      <c r="F6697" s="28" t="s">
        <v>905</v>
      </c>
      <c r="G6697" s="19" t="n">
        <v>0.0687</v>
      </c>
    </row>
    <row r="6698" customFormat="false" ht="15" hidden="false" customHeight="false" outlineLevel="0" collapsed="false">
      <c r="A6698" s="28" t="s">
        <v>216</v>
      </c>
      <c r="B6698" s="28" t="s">
        <v>217</v>
      </c>
      <c r="C6698" s="28" t="s">
        <v>218</v>
      </c>
      <c r="D6698" s="23" t="n">
        <v>20</v>
      </c>
      <c r="E6698" s="23" t="n">
        <v>3</v>
      </c>
      <c r="F6698" s="28" t="s">
        <v>906</v>
      </c>
      <c r="G6698" s="19" t="n">
        <v>0.0701</v>
      </c>
    </row>
    <row r="6699" customFormat="false" ht="15" hidden="false" customHeight="false" outlineLevel="0" collapsed="false">
      <c r="A6699" s="28" t="s">
        <v>216</v>
      </c>
      <c r="B6699" s="28" t="s">
        <v>217</v>
      </c>
      <c r="C6699" s="28" t="s">
        <v>218</v>
      </c>
      <c r="D6699" s="23" t="n">
        <v>20</v>
      </c>
      <c r="E6699" s="23" t="n">
        <v>3</v>
      </c>
      <c r="F6699" s="28" t="s">
        <v>907</v>
      </c>
      <c r="G6699" s="19" t="n">
        <v>0.0698</v>
      </c>
    </row>
    <row r="6700" customFormat="false" ht="15" hidden="false" customHeight="false" outlineLevel="0" collapsed="false">
      <c r="A6700" s="28" t="s">
        <v>216</v>
      </c>
      <c r="B6700" s="28" t="s">
        <v>217</v>
      </c>
      <c r="C6700" s="28" t="s">
        <v>218</v>
      </c>
      <c r="D6700" s="23" t="n">
        <v>20</v>
      </c>
      <c r="E6700" s="23" t="n">
        <v>3</v>
      </c>
      <c r="F6700" s="28" t="s">
        <v>908</v>
      </c>
      <c r="G6700" s="19" t="n">
        <v>0.0714</v>
      </c>
    </row>
    <row r="6701" customFormat="false" ht="15" hidden="false" customHeight="false" outlineLevel="0" collapsed="false">
      <c r="A6701" s="28" t="s">
        <v>216</v>
      </c>
      <c r="B6701" s="28" t="s">
        <v>217</v>
      </c>
      <c r="C6701" s="28" t="s">
        <v>218</v>
      </c>
      <c r="D6701" s="23" t="n">
        <v>20</v>
      </c>
      <c r="E6701" s="23" t="n">
        <v>3</v>
      </c>
      <c r="F6701" s="28" t="s">
        <v>909</v>
      </c>
      <c r="G6701" s="19" t="n">
        <v>0.0715</v>
      </c>
    </row>
    <row r="6702" customFormat="false" ht="15" hidden="false" customHeight="false" outlineLevel="0" collapsed="false">
      <c r="A6702" s="28" t="s">
        <v>216</v>
      </c>
      <c r="B6702" s="28" t="s">
        <v>217</v>
      </c>
      <c r="C6702" s="28" t="s">
        <v>218</v>
      </c>
      <c r="D6702" s="23" t="n">
        <v>20</v>
      </c>
      <c r="E6702" s="23" t="n">
        <v>3</v>
      </c>
      <c r="F6702" s="28" t="s">
        <v>910</v>
      </c>
      <c r="G6702" s="19" t="n">
        <v>0.0719</v>
      </c>
    </row>
    <row r="6703" customFormat="false" ht="15" hidden="false" customHeight="false" outlineLevel="0" collapsed="false">
      <c r="A6703" s="28" t="s">
        <v>216</v>
      </c>
      <c r="B6703" s="28" t="s">
        <v>217</v>
      </c>
      <c r="C6703" s="28" t="s">
        <v>218</v>
      </c>
      <c r="D6703" s="23" t="n">
        <v>20</v>
      </c>
      <c r="E6703" s="23" t="n">
        <v>3</v>
      </c>
      <c r="F6703" s="28" t="s">
        <v>911</v>
      </c>
      <c r="G6703" s="19" t="n">
        <v>0.073</v>
      </c>
    </row>
    <row r="6704" customFormat="false" ht="15" hidden="false" customHeight="false" outlineLevel="0" collapsed="false">
      <c r="A6704" s="28" t="s">
        <v>216</v>
      </c>
      <c r="B6704" s="28" t="s">
        <v>217</v>
      </c>
      <c r="C6704" s="28" t="s">
        <v>218</v>
      </c>
      <c r="D6704" s="23" t="n">
        <v>20</v>
      </c>
      <c r="E6704" s="23" t="n">
        <v>3</v>
      </c>
      <c r="F6704" s="28" t="s">
        <v>912</v>
      </c>
      <c r="G6704" s="19" t="n">
        <v>0.0744</v>
      </c>
    </row>
    <row r="6705" customFormat="false" ht="15" hidden="false" customHeight="false" outlineLevel="0" collapsed="false">
      <c r="A6705" s="28" t="s">
        <v>216</v>
      </c>
      <c r="B6705" s="28" t="s">
        <v>217</v>
      </c>
      <c r="C6705" s="28" t="s">
        <v>218</v>
      </c>
      <c r="D6705" s="23" t="n">
        <v>20</v>
      </c>
      <c r="E6705" s="23" t="n">
        <v>3</v>
      </c>
      <c r="F6705" s="28" t="s">
        <v>913</v>
      </c>
      <c r="G6705" s="19" t="n">
        <v>0.0793</v>
      </c>
    </row>
    <row r="6706" customFormat="false" ht="15" hidden="false" customHeight="false" outlineLevel="0" collapsed="false">
      <c r="A6706" s="28" t="s">
        <v>216</v>
      </c>
      <c r="B6706" s="28" t="s">
        <v>217</v>
      </c>
      <c r="C6706" s="28" t="s">
        <v>218</v>
      </c>
      <c r="D6706" s="23" t="n">
        <v>20</v>
      </c>
      <c r="E6706" s="23" t="n">
        <v>3</v>
      </c>
      <c r="F6706" s="28" t="s">
        <v>914</v>
      </c>
      <c r="G6706" s="19" t="n">
        <v>0.0791</v>
      </c>
    </row>
    <row r="6707" customFormat="false" ht="15" hidden="false" customHeight="false" outlineLevel="0" collapsed="false">
      <c r="A6707" s="28" t="s">
        <v>216</v>
      </c>
      <c r="B6707" s="28" t="s">
        <v>217</v>
      </c>
      <c r="C6707" s="28" t="s">
        <v>218</v>
      </c>
      <c r="D6707" s="23" t="n">
        <v>20</v>
      </c>
      <c r="E6707" s="23" t="n">
        <v>3</v>
      </c>
      <c r="F6707" s="28" t="s">
        <v>915</v>
      </c>
      <c r="G6707" s="19" t="n">
        <v>0.0949</v>
      </c>
    </row>
    <row r="6708" customFormat="false" ht="15" hidden="false" customHeight="false" outlineLevel="0" collapsed="false">
      <c r="A6708" s="28" t="s">
        <v>216</v>
      </c>
      <c r="B6708" s="28" t="s">
        <v>217</v>
      </c>
      <c r="C6708" s="28" t="s">
        <v>218</v>
      </c>
      <c r="D6708" s="23" t="n">
        <v>20</v>
      </c>
      <c r="E6708" s="23" t="n">
        <v>4</v>
      </c>
      <c r="F6708" s="28" t="s">
        <v>904</v>
      </c>
      <c r="G6708" s="19" t="n">
        <v>0.0663</v>
      </c>
    </row>
    <row r="6709" customFormat="false" ht="15" hidden="false" customHeight="false" outlineLevel="0" collapsed="false">
      <c r="A6709" s="28" t="s">
        <v>216</v>
      </c>
      <c r="B6709" s="28" t="s">
        <v>217</v>
      </c>
      <c r="C6709" s="28" t="s">
        <v>218</v>
      </c>
      <c r="D6709" s="23" t="n">
        <v>20</v>
      </c>
      <c r="E6709" s="23" t="n">
        <v>4</v>
      </c>
      <c r="F6709" s="28" t="s">
        <v>551</v>
      </c>
      <c r="G6709" s="19" t="n">
        <v>0.0975</v>
      </c>
    </row>
    <row r="6710" customFormat="false" ht="15" hidden="false" customHeight="false" outlineLevel="0" collapsed="false">
      <c r="A6710" s="28" t="s">
        <v>216</v>
      </c>
      <c r="B6710" s="28" t="s">
        <v>217</v>
      </c>
      <c r="C6710" s="28" t="s">
        <v>218</v>
      </c>
      <c r="D6710" s="23" t="n">
        <v>20</v>
      </c>
      <c r="E6710" s="23" t="n">
        <v>4</v>
      </c>
      <c r="F6710" s="28" t="s">
        <v>451</v>
      </c>
      <c r="G6710" s="19" t="n">
        <v>0.0661</v>
      </c>
    </row>
    <row r="6711" customFormat="false" ht="15" hidden="false" customHeight="false" outlineLevel="0" collapsed="false">
      <c r="A6711" s="28" t="s">
        <v>216</v>
      </c>
      <c r="B6711" s="28" t="s">
        <v>217</v>
      </c>
      <c r="C6711" s="28" t="s">
        <v>218</v>
      </c>
      <c r="D6711" s="23" t="n">
        <v>20</v>
      </c>
      <c r="E6711" s="23" t="n">
        <v>4</v>
      </c>
      <c r="F6711" s="28" t="s">
        <v>905</v>
      </c>
      <c r="G6711" s="19" t="n">
        <v>0.0687</v>
      </c>
    </row>
    <row r="6712" customFormat="false" ht="15" hidden="false" customHeight="false" outlineLevel="0" collapsed="false">
      <c r="A6712" s="28" t="s">
        <v>216</v>
      </c>
      <c r="B6712" s="28" t="s">
        <v>217</v>
      </c>
      <c r="C6712" s="28" t="s">
        <v>218</v>
      </c>
      <c r="D6712" s="23" t="n">
        <v>20</v>
      </c>
      <c r="E6712" s="23" t="n">
        <v>4</v>
      </c>
      <c r="F6712" s="28" t="s">
        <v>906</v>
      </c>
      <c r="G6712" s="19" t="n">
        <v>0.0701</v>
      </c>
    </row>
    <row r="6713" customFormat="false" ht="15" hidden="false" customHeight="false" outlineLevel="0" collapsed="false">
      <c r="A6713" s="28" t="s">
        <v>216</v>
      </c>
      <c r="B6713" s="28" t="s">
        <v>217</v>
      </c>
      <c r="C6713" s="28" t="s">
        <v>218</v>
      </c>
      <c r="D6713" s="23" t="n">
        <v>20</v>
      </c>
      <c r="E6713" s="23" t="n">
        <v>4</v>
      </c>
      <c r="F6713" s="28" t="s">
        <v>907</v>
      </c>
      <c r="G6713" s="19" t="n">
        <v>0.0698</v>
      </c>
    </row>
    <row r="6714" customFormat="false" ht="15" hidden="false" customHeight="false" outlineLevel="0" collapsed="false">
      <c r="A6714" s="28" t="s">
        <v>216</v>
      </c>
      <c r="B6714" s="28" t="s">
        <v>217</v>
      </c>
      <c r="C6714" s="28" t="s">
        <v>218</v>
      </c>
      <c r="D6714" s="23" t="n">
        <v>20</v>
      </c>
      <c r="E6714" s="23" t="n">
        <v>4</v>
      </c>
      <c r="F6714" s="28" t="s">
        <v>908</v>
      </c>
      <c r="G6714" s="19" t="n">
        <v>0.0714</v>
      </c>
    </row>
    <row r="6715" customFormat="false" ht="15" hidden="false" customHeight="false" outlineLevel="0" collapsed="false">
      <c r="A6715" s="28" t="s">
        <v>216</v>
      </c>
      <c r="B6715" s="28" t="s">
        <v>217</v>
      </c>
      <c r="C6715" s="28" t="s">
        <v>218</v>
      </c>
      <c r="D6715" s="23" t="n">
        <v>20</v>
      </c>
      <c r="E6715" s="23" t="n">
        <v>4</v>
      </c>
      <c r="F6715" s="28" t="s">
        <v>909</v>
      </c>
      <c r="G6715" s="19" t="n">
        <v>0.0715</v>
      </c>
    </row>
    <row r="6716" customFormat="false" ht="15" hidden="false" customHeight="false" outlineLevel="0" collapsed="false">
      <c r="A6716" s="28" t="s">
        <v>216</v>
      </c>
      <c r="B6716" s="28" t="s">
        <v>217</v>
      </c>
      <c r="C6716" s="28" t="s">
        <v>218</v>
      </c>
      <c r="D6716" s="23" t="n">
        <v>20</v>
      </c>
      <c r="E6716" s="23" t="n">
        <v>4</v>
      </c>
      <c r="F6716" s="28" t="s">
        <v>910</v>
      </c>
      <c r="G6716" s="19" t="n">
        <v>0.0719</v>
      </c>
    </row>
    <row r="6717" customFormat="false" ht="15" hidden="false" customHeight="false" outlineLevel="0" collapsed="false">
      <c r="A6717" s="28" t="s">
        <v>216</v>
      </c>
      <c r="B6717" s="28" t="s">
        <v>217</v>
      </c>
      <c r="C6717" s="28" t="s">
        <v>218</v>
      </c>
      <c r="D6717" s="23" t="n">
        <v>20</v>
      </c>
      <c r="E6717" s="23" t="n">
        <v>4</v>
      </c>
      <c r="F6717" s="28" t="s">
        <v>911</v>
      </c>
      <c r="G6717" s="19" t="n">
        <v>0.073</v>
      </c>
    </row>
    <row r="6718" customFormat="false" ht="15" hidden="false" customHeight="false" outlineLevel="0" collapsed="false">
      <c r="A6718" s="28" t="s">
        <v>216</v>
      </c>
      <c r="B6718" s="28" t="s">
        <v>217</v>
      </c>
      <c r="C6718" s="28" t="s">
        <v>218</v>
      </c>
      <c r="D6718" s="23" t="n">
        <v>20</v>
      </c>
      <c r="E6718" s="23" t="n">
        <v>4</v>
      </c>
      <c r="F6718" s="28" t="s">
        <v>912</v>
      </c>
      <c r="G6718" s="19" t="n">
        <v>0.0744</v>
      </c>
    </row>
    <row r="6719" customFormat="false" ht="15" hidden="false" customHeight="false" outlineLevel="0" collapsed="false">
      <c r="A6719" s="28" t="s">
        <v>216</v>
      </c>
      <c r="B6719" s="28" t="s">
        <v>217</v>
      </c>
      <c r="C6719" s="28" t="s">
        <v>218</v>
      </c>
      <c r="D6719" s="23" t="n">
        <v>20</v>
      </c>
      <c r="E6719" s="23" t="n">
        <v>4</v>
      </c>
      <c r="F6719" s="28" t="s">
        <v>913</v>
      </c>
      <c r="G6719" s="19" t="n">
        <v>0.0793</v>
      </c>
    </row>
    <row r="6720" customFormat="false" ht="15" hidden="false" customHeight="false" outlineLevel="0" collapsed="false">
      <c r="A6720" s="28" t="s">
        <v>216</v>
      </c>
      <c r="B6720" s="28" t="s">
        <v>217</v>
      </c>
      <c r="C6720" s="28" t="s">
        <v>218</v>
      </c>
      <c r="D6720" s="23" t="n">
        <v>20</v>
      </c>
      <c r="E6720" s="23" t="n">
        <v>4</v>
      </c>
      <c r="F6720" s="28" t="s">
        <v>914</v>
      </c>
      <c r="G6720" s="19" t="n">
        <v>0.0791</v>
      </c>
    </row>
    <row r="6721" customFormat="false" ht="15" hidden="false" customHeight="false" outlineLevel="0" collapsed="false">
      <c r="A6721" s="28" t="s">
        <v>216</v>
      </c>
      <c r="B6721" s="28" t="s">
        <v>217</v>
      </c>
      <c r="C6721" s="28" t="s">
        <v>218</v>
      </c>
      <c r="D6721" s="23" t="n">
        <v>20</v>
      </c>
      <c r="E6721" s="23" t="n">
        <v>4</v>
      </c>
      <c r="F6721" s="28" t="s">
        <v>915</v>
      </c>
      <c r="G6721" s="19" t="n">
        <v>0.0949</v>
      </c>
    </row>
    <row r="6722" customFormat="false" ht="15" hidden="false" customHeight="false" outlineLevel="0" collapsed="false">
      <c r="A6722" s="28" t="s">
        <v>216</v>
      </c>
      <c r="B6722" s="28" t="s">
        <v>217</v>
      </c>
      <c r="C6722" s="28" t="s">
        <v>218</v>
      </c>
      <c r="D6722" s="23" t="n">
        <v>20</v>
      </c>
      <c r="E6722" s="23" t="n">
        <v>5</v>
      </c>
      <c r="F6722" s="28" t="s">
        <v>904</v>
      </c>
      <c r="G6722" s="19" t="n">
        <v>0.0663</v>
      </c>
    </row>
    <row r="6723" customFormat="false" ht="15" hidden="false" customHeight="false" outlineLevel="0" collapsed="false">
      <c r="A6723" s="28" t="s">
        <v>216</v>
      </c>
      <c r="B6723" s="28" t="s">
        <v>217</v>
      </c>
      <c r="C6723" s="28" t="s">
        <v>218</v>
      </c>
      <c r="D6723" s="23" t="n">
        <v>20</v>
      </c>
      <c r="E6723" s="23" t="n">
        <v>5</v>
      </c>
      <c r="F6723" s="28" t="s">
        <v>551</v>
      </c>
      <c r="G6723" s="19" t="n">
        <v>0.0975</v>
      </c>
    </row>
    <row r="6724" customFormat="false" ht="15" hidden="false" customHeight="false" outlineLevel="0" collapsed="false">
      <c r="A6724" s="28" t="s">
        <v>216</v>
      </c>
      <c r="B6724" s="28" t="s">
        <v>217</v>
      </c>
      <c r="C6724" s="28" t="s">
        <v>218</v>
      </c>
      <c r="D6724" s="23" t="n">
        <v>20</v>
      </c>
      <c r="E6724" s="23" t="n">
        <v>5</v>
      </c>
      <c r="F6724" s="28" t="s">
        <v>451</v>
      </c>
      <c r="G6724" s="19" t="n">
        <v>0.0661</v>
      </c>
    </row>
    <row r="6725" customFormat="false" ht="15" hidden="false" customHeight="false" outlineLevel="0" collapsed="false">
      <c r="A6725" s="28" t="s">
        <v>216</v>
      </c>
      <c r="B6725" s="28" t="s">
        <v>217</v>
      </c>
      <c r="C6725" s="28" t="s">
        <v>218</v>
      </c>
      <c r="D6725" s="23" t="n">
        <v>20</v>
      </c>
      <c r="E6725" s="23" t="n">
        <v>5</v>
      </c>
      <c r="F6725" s="28" t="s">
        <v>905</v>
      </c>
      <c r="G6725" s="19" t="n">
        <v>0.0687</v>
      </c>
    </row>
    <row r="6726" customFormat="false" ht="15" hidden="false" customHeight="false" outlineLevel="0" collapsed="false">
      <c r="A6726" s="28" t="s">
        <v>216</v>
      </c>
      <c r="B6726" s="28" t="s">
        <v>217</v>
      </c>
      <c r="C6726" s="28" t="s">
        <v>218</v>
      </c>
      <c r="D6726" s="23" t="n">
        <v>20</v>
      </c>
      <c r="E6726" s="23" t="n">
        <v>5</v>
      </c>
      <c r="F6726" s="28" t="s">
        <v>906</v>
      </c>
      <c r="G6726" s="19" t="n">
        <v>0.0701</v>
      </c>
    </row>
    <row r="6727" customFormat="false" ht="15" hidden="false" customHeight="false" outlineLevel="0" collapsed="false">
      <c r="A6727" s="28" t="s">
        <v>216</v>
      </c>
      <c r="B6727" s="28" t="s">
        <v>217</v>
      </c>
      <c r="C6727" s="28" t="s">
        <v>218</v>
      </c>
      <c r="D6727" s="23" t="n">
        <v>20</v>
      </c>
      <c r="E6727" s="23" t="n">
        <v>5</v>
      </c>
      <c r="F6727" s="28" t="s">
        <v>907</v>
      </c>
      <c r="G6727" s="19" t="n">
        <v>0.0698</v>
      </c>
    </row>
    <row r="6728" customFormat="false" ht="15" hidden="false" customHeight="false" outlineLevel="0" collapsed="false">
      <c r="A6728" s="28" t="s">
        <v>216</v>
      </c>
      <c r="B6728" s="28" t="s">
        <v>217</v>
      </c>
      <c r="C6728" s="28" t="s">
        <v>218</v>
      </c>
      <c r="D6728" s="23" t="n">
        <v>20</v>
      </c>
      <c r="E6728" s="23" t="n">
        <v>5</v>
      </c>
      <c r="F6728" s="28" t="s">
        <v>908</v>
      </c>
      <c r="G6728" s="19" t="n">
        <v>0.0714</v>
      </c>
    </row>
    <row r="6729" customFormat="false" ht="15" hidden="false" customHeight="false" outlineLevel="0" collapsed="false">
      <c r="A6729" s="28" t="s">
        <v>216</v>
      </c>
      <c r="B6729" s="28" t="s">
        <v>217</v>
      </c>
      <c r="C6729" s="28" t="s">
        <v>218</v>
      </c>
      <c r="D6729" s="23" t="n">
        <v>20</v>
      </c>
      <c r="E6729" s="23" t="n">
        <v>5</v>
      </c>
      <c r="F6729" s="28" t="s">
        <v>909</v>
      </c>
      <c r="G6729" s="19" t="n">
        <v>0.0715</v>
      </c>
    </row>
    <row r="6730" customFormat="false" ht="15" hidden="false" customHeight="false" outlineLevel="0" collapsed="false">
      <c r="A6730" s="28" t="s">
        <v>216</v>
      </c>
      <c r="B6730" s="28" t="s">
        <v>217</v>
      </c>
      <c r="C6730" s="28" t="s">
        <v>218</v>
      </c>
      <c r="D6730" s="23" t="n">
        <v>20</v>
      </c>
      <c r="E6730" s="23" t="n">
        <v>5</v>
      </c>
      <c r="F6730" s="28" t="s">
        <v>910</v>
      </c>
      <c r="G6730" s="19" t="n">
        <v>0.0719</v>
      </c>
    </row>
    <row r="6731" customFormat="false" ht="15" hidden="false" customHeight="false" outlineLevel="0" collapsed="false">
      <c r="A6731" s="28" t="s">
        <v>216</v>
      </c>
      <c r="B6731" s="28" t="s">
        <v>217</v>
      </c>
      <c r="C6731" s="28" t="s">
        <v>218</v>
      </c>
      <c r="D6731" s="23" t="n">
        <v>20</v>
      </c>
      <c r="E6731" s="23" t="n">
        <v>5</v>
      </c>
      <c r="F6731" s="28" t="s">
        <v>911</v>
      </c>
      <c r="G6731" s="19" t="n">
        <v>0.073</v>
      </c>
    </row>
    <row r="6732" customFormat="false" ht="15" hidden="false" customHeight="false" outlineLevel="0" collapsed="false">
      <c r="A6732" s="28" t="s">
        <v>216</v>
      </c>
      <c r="B6732" s="28" t="s">
        <v>217</v>
      </c>
      <c r="C6732" s="28" t="s">
        <v>218</v>
      </c>
      <c r="D6732" s="23" t="n">
        <v>20</v>
      </c>
      <c r="E6732" s="23" t="n">
        <v>5</v>
      </c>
      <c r="F6732" s="28" t="s">
        <v>912</v>
      </c>
      <c r="G6732" s="19" t="n">
        <v>0.0744</v>
      </c>
    </row>
    <row r="6733" customFormat="false" ht="15" hidden="false" customHeight="false" outlineLevel="0" collapsed="false">
      <c r="A6733" s="28" t="s">
        <v>216</v>
      </c>
      <c r="B6733" s="28" t="s">
        <v>217</v>
      </c>
      <c r="C6733" s="28" t="s">
        <v>218</v>
      </c>
      <c r="D6733" s="23" t="n">
        <v>20</v>
      </c>
      <c r="E6733" s="23" t="n">
        <v>5</v>
      </c>
      <c r="F6733" s="28" t="s">
        <v>913</v>
      </c>
      <c r="G6733" s="19" t="n">
        <v>0.0793</v>
      </c>
    </row>
    <row r="6734" customFormat="false" ht="15" hidden="false" customHeight="false" outlineLevel="0" collapsed="false">
      <c r="A6734" s="28" t="s">
        <v>216</v>
      </c>
      <c r="B6734" s="28" t="s">
        <v>217</v>
      </c>
      <c r="C6734" s="28" t="s">
        <v>218</v>
      </c>
      <c r="D6734" s="23" t="n">
        <v>20</v>
      </c>
      <c r="E6734" s="23" t="n">
        <v>5</v>
      </c>
      <c r="F6734" s="28" t="s">
        <v>914</v>
      </c>
      <c r="G6734" s="19" t="n">
        <v>0.0791</v>
      </c>
    </row>
    <row r="6735" customFormat="false" ht="15" hidden="false" customHeight="false" outlineLevel="0" collapsed="false">
      <c r="A6735" s="28" t="s">
        <v>216</v>
      </c>
      <c r="B6735" s="28" t="s">
        <v>217</v>
      </c>
      <c r="C6735" s="28" t="s">
        <v>218</v>
      </c>
      <c r="D6735" s="23" t="n">
        <v>20</v>
      </c>
      <c r="E6735" s="23" t="n">
        <v>5</v>
      </c>
      <c r="F6735" s="28" t="s">
        <v>915</v>
      </c>
      <c r="G6735" s="19" t="n">
        <v>0.0949</v>
      </c>
    </row>
    <row r="6736" customFormat="false" ht="15" hidden="false" customHeight="false" outlineLevel="0" collapsed="false">
      <c r="A6736" s="28" t="s">
        <v>216</v>
      </c>
      <c r="B6736" s="28" t="s">
        <v>217</v>
      </c>
      <c r="C6736" s="28" t="s">
        <v>218</v>
      </c>
      <c r="D6736" s="23" t="n">
        <v>20</v>
      </c>
      <c r="E6736" s="23" t="n">
        <v>6</v>
      </c>
      <c r="F6736" s="28" t="s">
        <v>904</v>
      </c>
      <c r="G6736" s="19" t="n">
        <v>0.0663</v>
      </c>
    </row>
    <row r="6737" customFormat="false" ht="15" hidden="false" customHeight="false" outlineLevel="0" collapsed="false">
      <c r="A6737" s="28" t="s">
        <v>216</v>
      </c>
      <c r="B6737" s="28" t="s">
        <v>217</v>
      </c>
      <c r="C6737" s="28" t="s">
        <v>218</v>
      </c>
      <c r="D6737" s="23" t="n">
        <v>20</v>
      </c>
      <c r="E6737" s="23" t="n">
        <v>6</v>
      </c>
      <c r="F6737" s="28" t="s">
        <v>551</v>
      </c>
      <c r="G6737" s="19" t="n">
        <v>0.0975</v>
      </c>
    </row>
    <row r="6738" customFormat="false" ht="15" hidden="false" customHeight="false" outlineLevel="0" collapsed="false">
      <c r="A6738" s="28" t="s">
        <v>216</v>
      </c>
      <c r="B6738" s="28" t="s">
        <v>217</v>
      </c>
      <c r="C6738" s="28" t="s">
        <v>218</v>
      </c>
      <c r="D6738" s="23" t="n">
        <v>20</v>
      </c>
      <c r="E6738" s="23" t="n">
        <v>6</v>
      </c>
      <c r="F6738" s="28" t="s">
        <v>451</v>
      </c>
      <c r="G6738" s="19" t="n">
        <v>0.0661</v>
      </c>
    </row>
    <row r="6739" customFormat="false" ht="15" hidden="false" customHeight="false" outlineLevel="0" collapsed="false">
      <c r="A6739" s="28" t="s">
        <v>216</v>
      </c>
      <c r="B6739" s="28" t="s">
        <v>217</v>
      </c>
      <c r="C6739" s="28" t="s">
        <v>218</v>
      </c>
      <c r="D6739" s="23" t="n">
        <v>20</v>
      </c>
      <c r="E6739" s="23" t="n">
        <v>6</v>
      </c>
      <c r="F6739" s="28" t="s">
        <v>905</v>
      </c>
      <c r="G6739" s="19" t="n">
        <v>0.0687</v>
      </c>
    </row>
    <row r="6740" customFormat="false" ht="15" hidden="false" customHeight="false" outlineLevel="0" collapsed="false">
      <c r="A6740" s="28" t="s">
        <v>216</v>
      </c>
      <c r="B6740" s="28" t="s">
        <v>217</v>
      </c>
      <c r="C6740" s="28" t="s">
        <v>218</v>
      </c>
      <c r="D6740" s="23" t="n">
        <v>20</v>
      </c>
      <c r="E6740" s="23" t="n">
        <v>6</v>
      </c>
      <c r="F6740" s="28" t="s">
        <v>906</v>
      </c>
      <c r="G6740" s="19" t="n">
        <v>0.0701</v>
      </c>
    </row>
    <row r="6741" customFormat="false" ht="15" hidden="false" customHeight="false" outlineLevel="0" collapsed="false">
      <c r="A6741" s="28" t="s">
        <v>216</v>
      </c>
      <c r="B6741" s="28" t="s">
        <v>217</v>
      </c>
      <c r="C6741" s="28" t="s">
        <v>218</v>
      </c>
      <c r="D6741" s="23" t="n">
        <v>20</v>
      </c>
      <c r="E6741" s="23" t="n">
        <v>6</v>
      </c>
      <c r="F6741" s="28" t="s">
        <v>907</v>
      </c>
      <c r="G6741" s="19" t="n">
        <v>0.0698</v>
      </c>
    </row>
    <row r="6742" customFormat="false" ht="15" hidden="false" customHeight="false" outlineLevel="0" collapsed="false">
      <c r="A6742" s="28" t="s">
        <v>216</v>
      </c>
      <c r="B6742" s="28" t="s">
        <v>217</v>
      </c>
      <c r="C6742" s="28" t="s">
        <v>218</v>
      </c>
      <c r="D6742" s="23" t="n">
        <v>20</v>
      </c>
      <c r="E6742" s="23" t="n">
        <v>6</v>
      </c>
      <c r="F6742" s="28" t="s">
        <v>908</v>
      </c>
      <c r="G6742" s="19" t="n">
        <v>0.0714</v>
      </c>
    </row>
    <row r="6743" customFormat="false" ht="15" hidden="false" customHeight="false" outlineLevel="0" collapsed="false">
      <c r="A6743" s="28" t="s">
        <v>216</v>
      </c>
      <c r="B6743" s="28" t="s">
        <v>217</v>
      </c>
      <c r="C6743" s="28" t="s">
        <v>218</v>
      </c>
      <c r="D6743" s="23" t="n">
        <v>20</v>
      </c>
      <c r="E6743" s="23" t="n">
        <v>6</v>
      </c>
      <c r="F6743" s="28" t="s">
        <v>909</v>
      </c>
      <c r="G6743" s="19" t="n">
        <v>0.0715</v>
      </c>
    </row>
    <row r="6744" customFormat="false" ht="15" hidden="false" customHeight="false" outlineLevel="0" collapsed="false">
      <c r="A6744" s="28" t="s">
        <v>216</v>
      </c>
      <c r="B6744" s="28" t="s">
        <v>217</v>
      </c>
      <c r="C6744" s="28" t="s">
        <v>218</v>
      </c>
      <c r="D6744" s="23" t="n">
        <v>20</v>
      </c>
      <c r="E6744" s="23" t="n">
        <v>6</v>
      </c>
      <c r="F6744" s="28" t="s">
        <v>910</v>
      </c>
      <c r="G6744" s="19" t="n">
        <v>0.0719</v>
      </c>
    </row>
    <row r="6745" customFormat="false" ht="15" hidden="false" customHeight="false" outlineLevel="0" collapsed="false">
      <c r="A6745" s="28" t="s">
        <v>216</v>
      </c>
      <c r="B6745" s="28" t="s">
        <v>217</v>
      </c>
      <c r="C6745" s="28" t="s">
        <v>218</v>
      </c>
      <c r="D6745" s="23" t="n">
        <v>20</v>
      </c>
      <c r="E6745" s="23" t="n">
        <v>6</v>
      </c>
      <c r="F6745" s="28" t="s">
        <v>911</v>
      </c>
      <c r="G6745" s="19" t="n">
        <v>0.073</v>
      </c>
    </row>
    <row r="6746" customFormat="false" ht="15" hidden="false" customHeight="false" outlineLevel="0" collapsed="false">
      <c r="A6746" s="28" t="s">
        <v>216</v>
      </c>
      <c r="B6746" s="28" t="s">
        <v>217</v>
      </c>
      <c r="C6746" s="28" t="s">
        <v>218</v>
      </c>
      <c r="D6746" s="23" t="n">
        <v>20</v>
      </c>
      <c r="E6746" s="23" t="n">
        <v>6</v>
      </c>
      <c r="F6746" s="28" t="s">
        <v>912</v>
      </c>
      <c r="G6746" s="19" t="n">
        <v>0.0744</v>
      </c>
    </row>
    <row r="6747" customFormat="false" ht="15" hidden="false" customHeight="false" outlineLevel="0" collapsed="false">
      <c r="A6747" s="28" t="s">
        <v>216</v>
      </c>
      <c r="B6747" s="28" t="s">
        <v>217</v>
      </c>
      <c r="C6747" s="28" t="s">
        <v>218</v>
      </c>
      <c r="D6747" s="23" t="n">
        <v>20</v>
      </c>
      <c r="E6747" s="23" t="n">
        <v>6</v>
      </c>
      <c r="F6747" s="28" t="s">
        <v>913</v>
      </c>
      <c r="G6747" s="19" t="n">
        <v>0.0793</v>
      </c>
    </row>
    <row r="6748" customFormat="false" ht="15" hidden="false" customHeight="false" outlineLevel="0" collapsed="false">
      <c r="A6748" s="28" t="s">
        <v>216</v>
      </c>
      <c r="B6748" s="28" t="s">
        <v>217</v>
      </c>
      <c r="C6748" s="28" t="s">
        <v>218</v>
      </c>
      <c r="D6748" s="23" t="n">
        <v>20</v>
      </c>
      <c r="E6748" s="23" t="n">
        <v>6</v>
      </c>
      <c r="F6748" s="28" t="s">
        <v>914</v>
      </c>
      <c r="G6748" s="19" t="n">
        <v>0.0791</v>
      </c>
    </row>
    <row r="6749" customFormat="false" ht="15" hidden="false" customHeight="false" outlineLevel="0" collapsed="false">
      <c r="A6749" s="28" t="s">
        <v>216</v>
      </c>
      <c r="B6749" s="28" t="s">
        <v>217</v>
      </c>
      <c r="C6749" s="28" t="s">
        <v>218</v>
      </c>
      <c r="D6749" s="23" t="n">
        <v>20</v>
      </c>
      <c r="E6749" s="23" t="n">
        <v>6</v>
      </c>
      <c r="F6749" s="28" t="s">
        <v>915</v>
      </c>
      <c r="G6749" s="19" t="n">
        <v>0.0949</v>
      </c>
    </row>
    <row r="6750" customFormat="false" ht="15" hidden="false" customHeight="false" outlineLevel="0" collapsed="false">
      <c r="A6750" s="28" t="s">
        <v>216</v>
      </c>
      <c r="B6750" s="28" t="s">
        <v>217</v>
      </c>
      <c r="C6750" s="28" t="s">
        <v>218</v>
      </c>
      <c r="D6750" s="23" t="n">
        <v>20</v>
      </c>
      <c r="E6750" s="23" t="n">
        <v>7</v>
      </c>
      <c r="F6750" s="28" t="s">
        <v>904</v>
      </c>
      <c r="G6750" s="19" t="n">
        <v>0.0663</v>
      </c>
    </row>
    <row r="6751" customFormat="false" ht="15" hidden="false" customHeight="false" outlineLevel="0" collapsed="false">
      <c r="A6751" s="28" t="s">
        <v>216</v>
      </c>
      <c r="B6751" s="28" t="s">
        <v>217</v>
      </c>
      <c r="C6751" s="28" t="s">
        <v>218</v>
      </c>
      <c r="D6751" s="23" t="n">
        <v>20</v>
      </c>
      <c r="E6751" s="23" t="n">
        <v>7</v>
      </c>
      <c r="F6751" s="28" t="s">
        <v>551</v>
      </c>
      <c r="G6751" s="19" t="n">
        <v>0.0975</v>
      </c>
    </row>
    <row r="6752" customFormat="false" ht="15" hidden="false" customHeight="false" outlineLevel="0" collapsed="false">
      <c r="A6752" s="28" t="s">
        <v>216</v>
      </c>
      <c r="B6752" s="28" t="s">
        <v>217</v>
      </c>
      <c r="C6752" s="28" t="s">
        <v>218</v>
      </c>
      <c r="D6752" s="23" t="n">
        <v>20</v>
      </c>
      <c r="E6752" s="23" t="n">
        <v>7</v>
      </c>
      <c r="F6752" s="28" t="s">
        <v>451</v>
      </c>
      <c r="G6752" s="19" t="n">
        <v>0.0661</v>
      </c>
    </row>
    <row r="6753" customFormat="false" ht="15" hidden="false" customHeight="false" outlineLevel="0" collapsed="false">
      <c r="A6753" s="28" t="s">
        <v>216</v>
      </c>
      <c r="B6753" s="28" t="s">
        <v>217</v>
      </c>
      <c r="C6753" s="28" t="s">
        <v>218</v>
      </c>
      <c r="D6753" s="23" t="n">
        <v>20</v>
      </c>
      <c r="E6753" s="23" t="n">
        <v>7</v>
      </c>
      <c r="F6753" s="28" t="s">
        <v>905</v>
      </c>
      <c r="G6753" s="19" t="n">
        <v>0.0687</v>
      </c>
    </row>
    <row r="6754" customFormat="false" ht="15" hidden="false" customHeight="false" outlineLevel="0" collapsed="false">
      <c r="A6754" s="28" t="s">
        <v>216</v>
      </c>
      <c r="B6754" s="28" t="s">
        <v>217</v>
      </c>
      <c r="C6754" s="28" t="s">
        <v>218</v>
      </c>
      <c r="D6754" s="23" t="n">
        <v>20</v>
      </c>
      <c r="E6754" s="23" t="n">
        <v>7</v>
      </c>
      <c r="F6754" s="28" t="s">
        <v>906</v>
      </c>
      <c r="G6754" s="19" t="n">
        <v>0.0701</v>
      </c>
    </row>
    <row r="6755" customFormat="false" ht="15" hidden="false" customHeight="false" outlineLevel="0" collapsed="false">
      <c r="A6755" s="28" t="s">
        <v>216</v>
      </c>
      <c r="B6755" s="28" t="s">
        <v>217</v>
      </c>
      <c r="C6755" s="28" t="s">
        <v>218</v>
      </c>
      <c r="D6755" s="23" t="n">
        <v>20</v>
      </c>
      <c r="E6755" s="23" t="n">
        <v>7</v>
      </c>
      <c r="F6755" s="28" t="s">
        <v>907</v>
      </c>
      <c r="G6755" s="19" t="n">
        <v>0.0698</v>
      </c>
    </row>
    <row r="6756" customFormat="false" ht="15" hidden="false" customHeight="false" outlineLevel="0" collapsed="false">
      <c r="A6756" s="28" t="s">
        <v>216</v>
      </c>
      <c r="B6756" s="28" t="s">
        <v>217</v>
      </c>
      <c r="C6756" s="28" t="s">
        <v>218</v>
      </c>
      <c r="D6756" s="23" t="n">
        <v>20</v>
      </c>
      <c r="E6756" s="23" t="n">
        <v>7</v>
      </c>
      <c r="F6756" s="28" t="s">
        <v>908</v>
      </c>
      <c r="G6756" s="19" t="n">
        <v>0.0714</v>
      </c>
    </row>
    <row r="6757" customFormat="false" ht="15" hidden="false" customHeight="false" outlineLevel="0" collapsed="false">
      <c r="A6757" s="28" t="s">
        <v>216</v>
      </c>
      <c r="B6757" s="28" t="s">
        <v>217</v>
      </c>
      <c r="C6757" s="28" t="s">
        <v>218</v>
      </c>
      <c r="D6757" s="23" t="n">
        <v>20</v>
      </c>
      <c r="E6757" s="23" t="n">
        <v>7</v>
      </c>
      <c r="F6757" s="28" t="s">
        <v>909</v>
      </c>
      <c r="G6757" s="19" t="n">
        <v>0.0715</v>
      </c>
    </row>
    <row r="6758" customFormat="false" ht="15" hidden="false" customHeight="false" outlineLevel="0" collapsed="false">
      <c r="A6758" s="28" t="s">
        <v>216</v>
      </c>
      <c r="B6758" s="28" t="s">
        <v>217</v>
      </c>
      <c r="C6758" s="28" t="s">
        <v>218</v>
      </c>
      <c r="D6758" s="23" t="n">
        <v>20</v>
      </c>
      <c r="E6758" s="23" t="n">
        <v>7</v>
      </c>
      <c r="F6758" s="28" t="s">
        <v>910</v>
      </c>
      <c r="G6758" s="19" t="n">
        <v>0.0719</v>
      </c>
    </row>
    <row r="6759" customFormat="false" ht="15" hidden="false" customHeight="false" outlineLevel="0" collapsed="false">
      <c r="A6759" s="28" t="s">
        <v>216</v>
      </c>
      <c r="B6759" s="28" t="s">
        <v>217</v>
      </c>
      <c r="C6759" s="28" t="s">
        <v>218</v>
      </c>
      <c r="D6759" s="23" t="n">
        <v>20</v>
      </c>
      <c r="E6759" s="23" t="n">
        <v>7</v>
      </c>
      <c r="F6759" s="28" t="s">
        <v>911</v>
      </c>
      <c r="G6759" s="19" t="n">
        <v>0.073</v>
      </c>
    </row>
    <row r="6760" customFormat="false" ht="15" hidden="false" customHeight="false" outlineLevel="0" collapsed="false">
      <c r="A6760" s="28" t="s">
        <v>216</v>
      </c>
      <c r="B6760" s="28" t="s">
        <v>217</v>
      </c>
      <c r="C6760" s="28" t="s">
        <v>218</v>
      </c>
      <c r="D6760" s="23" t="n">
        <v>20</v>
      </c>
      <c r="E6760" s="23" t="n">
        <v>7</v>
      </c>
      <c r="F6760" s="28" t="s">
        <v>912</v>
      </c>
      <c r="G6760" s="19" t="n">
        <v>0.0744</v>
      </c>
    </row>
    <row r="6761" customFormat="false" ht="15" hidden="false" customHeight="false" outlineLevel="0" collapsed="false">
      <c r="A6761" s="28" t="s">
        <v>216</v>
      </c>
      <c r="B6761" s="28" t="s">
        <v>217</v>
      </c>
      <c r="C6761" s="28" t="s">
        <v>218</v>
      </c>
      <c r="D6761" s="23" t="n">
        <v>20</v>
      </c>
      <c r="E6761" s="23" t="n">
        <v>7</v>
      </c>
      <c r="F6761" s="28" t="s">
        <v>913</v>
      </c>
      <c r="G6761" s="19" t="n">
        <v>0.0793</v>
      </c>
    </row>
    <row r="6762" customFormat="false" ht="15" hidden="false" customHeight="false" outlineLevel="0" collapsed="false">
      <c r="A6762" s="28" t="s">
        <v>216</v>
      </c>
      <c r="B6762" s="28" t="s">
        <v>217</v>
      </c>
      <c r="C6762" s="28" t="s">
        <v>218</v>
      </c>
      <c r="D6762" s="23" t="n">
        <v>20</v>
      </c>
      <c r="E6762" s="23" t="n">
        <v>7</v>
      </c>
      <c r="F6762" s="28" t="s">
        <v>914</v>
      </c>
      <c r="G6762" s="19" t="n">
        <v>0.0791</v>
      </c>
    </row>
    <row r="6763" customFormat="false" ht="15" hidden="false" customHeight="false" outlineLevel="0" collapsed="false">
      <c r="A6763" s="28" t="s">
        <v>216</v>
      </c>
      <c r="B6763" s="28" t="s">
        <v>217</v>
      </c>
      <c r="C6763" s="28" t="s">
        <v>218</v>
      </c>
      <c r="D6763" s="23" t="n">
        <v>20</v>
      </c>
      <c r="E6763" s="23" t="n">
        <v>7</v>
      </c>
      <c r="F6763" s="28" t="s">
        <v>915</v>
      </c>
      <c r="G6763" s="19" t="n">
        <v>0.0949</v>
      </c>
    </row>
    <row r="6764" customFormat="false" ht="15" hidden="false" customHeight="false" outlineLevel="0" collapsed="false">
      <c r="A6764" s="28" t="s">
        <v>216</v>
      </c>
      <c r="B6764" s="28" t="s">
        <v>217</v>
      </c>
      <c r="C6764" s="28" t="s">
        <v>218</v>
      </c>
      <c r="D6764" s="23" t="n">
        <v>20</v>
      </c>
      <c r="E6764" s="23" t="n">
        <v>8</v>
      </c>
      <c r="F6764" s="28" t="s">
        <v>904</v>
      </c>
      <c r="G6764" s="19" t="n">
        <v>0.0663</v>
      </c>
    </row>
    <row r="6765" customFormat="false" ht="15" hidden="false" customHeight="false" outlineLevel="0" collapsed="false">
      <c r="A6765" s="28" t="s">
        <v>216</v>
      </c>
      <c r="B6765" s="28" t="s">
        <v>217</v>
      </c>
      <c r="C6765" s="28" t="s">
        <v>218</v>
      </c>
      <c r="D6765" s="23" t="n">
        <v>20</v>
      </c>
      <c r="E6765" s="23" t="n">
        <v>8</v>
      </c>
      <c r="F6765" s="28" t="s">
        <v>551</v>
      </c>
      <c r="G6765" s="19" t="n">
        <v>0.0975</v>
      </c>
    </row>
    <row r="6766" customFormat="false" ht="15" hidden="false" customHeight="false" outlineLevel="0" collapsed="false">
      <c r="A6766" s="28" t="s">
        <v>216</v>
      </c>
      <c r="B6766" s="28" t="s">
        <v>217</v>
      </c>
      <c r="C6766" s="28" t="s">
        <v>218</v>
      </c>
      <c r="D6766" s="23" t="n">
        <v>20</v>
      </c>
      <c r="E6766" s="23" t="n">
        <v>8</v>
      </c>
      <c r="F6766" s="28" t="s">
        <v>451</v>
      </c>
      <c r="G6766" s="19" t="n">
        <v>0.0661</v>
      </c>
    </row>
    <row r="6767" customFormat="false" ht="15" hidden="false" customHeight="false" outlineLevel="0" collapsed="false">
      <c r="A6767" s="28" t="s">
        <v>216</v>
      </c>
      <c r="B6767" s="28" t="s">
        <v>217</v>
      </c>
      <c r="C6767" s="28" t="s">
        <v>218</v>
      </c>
      <c r="D6767" s="23" t="n">
        <v>20</v>
      </c>
      <c r="E6767" s="23" t="n">
        <v>8</v>
      </c>
      <c r="F6767" s="28" t="s">
        <v>905</v>
      </c>
      <c r="G6767" s="19" t="n">
        <v>0.0687</v>
      </c>
    </row>
    <row r="6768" customFormat="false" ht="15" hidden="false" customHeight="false" outlineLevel="0" collapsed="false">
      <c r="A6768" s="28" t="s">
        <v>216</v>
      </c>
      <c r="B6768" s="28" t="s">
        <v>217</v>
      </c>
      <c r="C6768" s="28" t="s">
        <v>218</v>
      </c>
      <c r="D6768" s="23" t="n">
        <v>20</v>
      </c>
      <c r="E6768" s="23" t="n">
        <v>8</v>
      </c>
      <c r="F6768" s="28" t="s">
        <v>906</v>
      </c>
      <c r="G6768" s="19" t="n">
        <v>0.0701</v>
      </c>
    </row>
    <row r="6769" customFormat="false" ht="15" hidden="false" customHeight="false" outlineLevel="0" collapsed="false">
      <c r="A6769" s="28" t="s">
        <v>216</v>
      </c>
      <c r="B6769" s="28" t="s">
        <v>217</v>
      </c>
      <c r="C6769" s="28" t="s">
        <v>218</v>
      </c>
      <c r="D6769" s="23" t="n">
        <v>20</v>
      </c>
      <c r="E6769" s="23" t="n">
        <v>8</v>
      </c>
      <c r="F6769" s="28" t="s">
        <v>907</v>
      </c>
      <c r="G6769" s="19" t="n">
        <v>0.0698</v>
      </c>
    </row>
    <row r="6770" customFormat="false" ht="15" hidden="false" customHeight="false" outlineLevel="0" collapsed="false">
      <c r="A6770" s="28" t="s">
        <v>216</v>
      </c>
      <c r="B6770" s="28" t="s">
        <v>217</v>
      </c>
      <c r="C6770" s="28" t="s">
        <v>218</v>
      </c>
      <c r="D6770" s="23" t="n">
        <v>20</v>
      </c>
      <c r="E6770" s="23" t="n">
        <v>8</v>
      </c>
      <c r="F6770" s="28" t="s">
        <v>908</v>
      </c>
      <c r="G6770" s="19" t="n">
        <v>0.0714</v>
      </c>
    </row>
    <row r="6771" customFormat="false" ht="15" hidden="false" customHeight="false" outlineLevel="0" collapsed="false">
      <c r="A6771" s="28" t="s">
        <v>216</v>
      </c>
      <c r="B6771" s="28" t="s">
        <v>217</v>
      </c>
      <c r="C6771" s="28" t="s">
        <v>218</v>
      </c>
      <c r="D6771" s="23" t="n">
        <v>20</v>
      </c>
      <c r="E6771" s="23" t="n">
        <v>8</v>
      </c>
      <c r="F6771" s="28" t="s">
        <v>909</v>
      </c>
      <c r="G6771" s="19" t="n">
        <v>0.0715</v>
      </c>
    </row>
    <row r="6772" customFormat="false" ht="15" hidden="false" customHeight="false" outlineLevel="0" collapsed="false">
      <c r="A6772" s="28" t="s">
        <v>216</v>
      </c>
      <c r="B6772" s="28" t="s">
        <v>217</v>
      </c>
      <c r="C6772" s="28" t="s">
        <v>218</v>
      </c>
      <c r="D6772" s="23" t="n">
        <v>20</v>
      </c>
      <c r="E6772" s="23" t="n">
        <v>8</v>
      </c>
      <c r="F6772" s="28" t="s">
        <v>910</v>
      </c>
      <c r="G6772" s="19" t="n">
        <v>0.0719</v>
      </c>
    </row>
    <row r="6773" customFormat="false" ht="15" hidden="false" customHeight="false" outlineLevel="0" collapsed="false">
      <c r="A6773" s="28" t="s">
        <v>216</v>
      </c>
      <c r="B6773" s="28" t="s">
        <v>217</v>
      </c>
      <c r="C6773" s="28" t="s">
        <v>218</v>
      </c>
      <c r="D6773" s="23" t="n">
        <v>20</v>
      </c>
      <c r="E6773" s="23" t="n">
        <v>8</v>
      </c>
      <c r="F6773" s="28" t="s">
        <v>911</v>
      </c>
      <c r="G6773" s="19" t="n">
        <v>0.073</v>
      </c>
    </row>
    <row r="6774" customFormat="false" ht="15" hidden="false" customHeight="false" outlineLevel="0" collapsed="false">
      <c r="A6774" s="28" t="s">
        <v>216</v>
      </c>
      <c r="B6774" s="28" t="s">
        <v>217</v>
      </c>
      <c r="C6774" s="28" t="s">
        <v>218</v>
      </c>
      <c r="D6774" s="23" t="n">
        <v>20</v>
      </c>
      <c r="E6774" s="23" t="n">
        <v>8</v>
      </c>
      <c r="F6774" s="28" t="s">
        <v>912</v>
      </c>
      <c r="G6774" s="19" t="n">
        <v>0.0744</v>
      </c>
    </row>
    <row r="6775" customFormat="false" ht="15" hidden="false" customHeight="false" outlineLevel="0" collapsed="false">
      <c r="A6775" s="28" t="s">
        <v>216</v>
      </c>
      <c r="B6775" s="28" t="s">
        <v>217</v>
      </c>
      <c r="C6775" s="28" t="s">
        <v>218</v>
      </c>
      <c r="D6775" s="23" t="n">
        <v>20</v>
      </c>
      <c r="E6775" s="23" t="n">
        <v>8</v>
      </c>
      <c r="F6775" s="28" t="s">
        <v>913</v>
      </c>
      <c r="G6775" s="19" t="n">
        <v>0.0793</v>
      </c>
    </row>
    <row r="6776" customFormat="false" ht="15" hidden="false" customHeight="false" outlineLevel="0" collapsed="false">
      <c r="A6776" s="28" t="s">
        <v>216</v>
      </c>
      <c r="B6776" s="28" t="s">
        <v>217</v>
      </c>
      <c r="C6776" s="28" t="s">
        <v>218</v>
      </c>
      <c r="D6776" s="23" t="n">
        <v>20</v>
      </c>
      <c r="E6776" s="23" t="n">
        <v>8</v>
      </c>
      <c r="F6776" s="28" t="s">
        <v>914</v>
      </c>
      <c r="G6776" s="19" t="n">
        <v>0.0791</v>
      </c>
    </row>
    <row r="6777" customFormat="false" ht="15" hidden="false" customHeight="false" outlineLevel="0" collapsed="false">
      <c r="A6777" s="28" t="s">
        <v>216</v>
      </c>
      <c r="B6777" s="28" t="s">
        <v>217</v>
      </c>
      <c r="C6777" s="28" t="s">
        <v>218</v>
      </c>
      <c r="D6777" s="23" t="n">
        <v>20</v>
      </c>
      <c r="E6777" s="23" t="n">
        <v>8</v>
      </c>
      <c r="F6777" s="28" t="s">
        <v>915</v>
      </c>
      <c r="G6777" s="19" t="n">
        <v>0.0949</v>
      </c>
    </row>
    <row r="6778" customFormat="false" ht="15" hidden="false" customHeight="false" outlineLevel="0" collapsed="false">
      <c r="A6778" s="28" t="s">
        <v>216</v>
      </c>
      <c r="B6778" s="28" t="s">
        <v>217</v>
      </c>
      <c r="C6778" s="28" t="s">
        <v>218</v>
      </c>
      <c r="D6778" s="23" t="n">
        <v>20</v>
      </c>
      <c r="E6778" s="23" t="n">
        <v>9</v>
      </c>
      <c r="F6778" s="28" t="s">
        <v>904</v>
      </c>
      <c r="G6778" s="19" t="n">
        <v>0.0663</v>
      </c>
    </row>
    <row r="6779" customFormat="false" ht="15" hidden="false" customHeight="false" outlineLevel="0" collapsed="false">
      <c r="A6779" s="28" t="s">
        <v>216</v>
      </c>
      <c r="B6779" s="28" t="s">
        <v>217</v>
      </c>
      <c r="C6779" s="28" t="s">
        <v>218</v>
      </c>
      <c r="D6779" s="23" t="n">
        <v>20</v>
      </c>
      <c r="E6779" s="23" t="n">
        <v>9</v>
      </c>
      <c r="F6779" s="28" t="s">
        <v>551</v>
      </c>
      <c r="G6779" s="19" t="n">
        <v>0.0975</v>
      </c>
    </row>
    <row r="6780" customFormat="false" ht="15" hidden="false" customHeight="false" outlineLevel="0" collapsed="false">
      <c r="A6780" s="28" t="s">
        <v>216</v>
      </c>
      <c r="B6780" s="28" t="s">
        <v>217</v>
      </c>
      <c r="C6780" s="28" t="s">
        <v>218</v>
      </c>
      <c r="D6780" s="23" t="n">
        <v>20</v>
      </c>
      <c r="E6780" s="23" t="n">
        <v>9</v>
      </c>
      <c r="F6780" s="28" t="s">
        <v>451</v>
      </c>
      <c r="G6780" s="19" t="n">
        <v>0.0661</v>
      </c>
    </row>
    <row r="6781" customFormat="false" ht="15" hidden="false" customHeight="false" outlineLevel="0" collapsed="false">
      <c r="A6781" s="28" t="s">
        <v>216</v>
      </c>
      <c r="B6781" s="28" t="s">
        <v>217</v>
      </c>
      <c r="C6781" s="28" t="s">
        <v>218</v>
      </c>
      <c r="D6781" s="23" t="n">
        <v>20</v>
      </c>
      <c r="E6781" s="23" t="n">
        <v>9</v>
      </c>
      <c r="F6781" s="28" t="s">
        <v>905</v>
      </c>
      <c r="G6781" s="19" t="n">
        <v>0.0687</v>
      </c>
    </row>
    <row r="6782" customFormat="false" ht="15" hidden="false" customHeight="false" outlineLevel="0" collapsed="false">
      <c r="A6782" s="28" t="s">
        <v>216</v>
      </c>
      <c r="B6782" s="28" t="s">
        <v>217</v>
      </c>
      <c r="C6782" s="28" t="s">
        <v>218</v>
      </c>
      <c r="D6782" s="23" t="n">
        <v>20</v>
      </c>
      <c r="E6782" s="23" t="n">
        <v>9</v>
      </c>
      <c r="F6782" s="28" t="s">
        <v>906</v>
      </c>
      <c r="G6782" s="19" t="n">
        <v>0.0701</v>
      </c>
    </row>
    <row r="6783" customFormat="false" ht="15" hidden="false" customHeight="false" outlineLevel="0" collapsed="false">
      <c r="A6783" s="28" t="s">
        <v>216</v>
      </c>
      <c r="B6783" s="28" t="s">
        <v>217</v>
      </c>
      <c r="C6783" s="28" t="s">
        <v>218</v>
      </c>
      <c r="D6783" s="23" t="n">
        <v>20</v>
      </c>
      <c r="E6783" s="23" t="n">
        <v>9</v>
      </c>
      <c r="F6783" s="28" t="s">
        <v>907</v>
      </c>
      <c r="G6783" s="19" t="n">
        <v>0.0698</v>
      </c>
    </row>
    <row r="6784" customFormat="false" ht="15" hidden="false" customHeight="false" outlineLevel="0" collapsed="false">
      <c r="A6784" s="28" t="s">
        <v>216</v>
      </c>
      <c r="B6784" s="28" t="s">
        <v>217</v>
      </c>
      <c r="C6784" s="28" t="s">
        <v>218</v>
      </c>
      <c r="D6784" s="23" t="n">
        <v>20</v>
      </c>
      <c r="E6784" s="23" t="n">
        <v>9</v>
      </c>
      <c r="F6784" s="28" t="s">
        <v>908</v>
      </c>
      <c r="G6784" s="19" t="n">
        <v>0.0714</v>
      </c>
    </row>
    <row r="6785" customFormat="false" ht="15" hidden="false" customHeight="false" outlineLevel="0" collapsed="false">
      <c r="A6785" s="28" t="s">
        <v>216</v>
      </c>
      <c r="B6785" s="28" t="s">
        <v>217</v>
      </c>
      <c r="C6785" s="28" t="s">
        <v>218</v>
      </c>
      <c r="D6785" s="23" t="n">
        <v>20</v>
      </c>
      <c r="E6785" s="23" t="n">
        <v>9</v>
      </c>
      <c r="F6785" s="28" t="s">
        <v>909</v>
      </c>
      <c r="G6785" s="19" t="n">
        <v>0.0715</v>
      </c>
    </row>
    <row r="6786" customFormat="false" ht="15" hidden="false" customHeight="false" outlineLevel="0" collapsed="false">
      <c r="A6786" s="28" t="s">
        <v>216</v>
      </c>
      <c r="B6786" s="28" t="s">
        <v>217</v>
      </c>
      <c r="C6786" s="28" t="s">
        <v>218</v>
      </c>
      <c r="D6786" s="23" t="n">
        <v>20</v>
      </c>
      <c r="E6786" s="23" t="n">
        <v>9</v>
      </c>
      <c r="F6786" s="28" t="s">
        <v>910</v>
      </c>
      <c r="G6786" s="19" t="n">
        <v>0.0719</v>
      </c>
    </row>
    <row r="6787" customFormat="false" ht="15" hidden="false" customHeight="false" outlineLevel="0" collapsed="false">
      <c r="A6787" s="28" t="s">
        <v>216</v>
      </c>
      <c r="B6787" s="28" t="s">
        <v>217</v>
      </c>
      <c r="C6787" s="28" t="s">
        <v>218</v>
      </c>
      <c r="D6787" s="23" t="n">
        <v>20</v>
      </c>
      <c r="E6787" s="23" t="n">
        <v>9</v>
      </c>
      <c r="F6787" s="28" t="s">
        <v>911</v>
      </c>
      <c r="G6787" s="19" t="n">
        <v>0.073</v>
      </c>
    </row>
    <row r="6788" customFormat="false" ht="15" hidden="false" customHeight="false" outlineLevel="0" collapsed="false">
      <c r="A6788" s="28" t="s">
        <v>216</v>
      </c>
      <c r="B6788" s="28" t="s">
        <v>217</v>
      </c>
      <c r="C6788" s="28" t="s">
        <v>218</v>
      </c>
      <c r="D6788" s="23" t="n">
        <v>20</v>
      </c>
      <c r="E6788" s="23" t="n">
        <v>9</v>
      </c>
      <c r="F6788" s="28" t="s">
        <v>912</v>
      </c>
      <c r="G6788" s="19" t="n">
        <v>0.0744</v>
      </c>
    </row>
    <row r="6789" customFormat="false" ht="15" hidden="false" customHeight="false" outlineLevel="0" collapsed="false">
      <c r="A6789" s="28" t="s">
        <v>216</v>
      </c>
      <c r="B6789" s="28" t="s">
        <v>217</v>
      </c>
      <c r="C6789" s="28" t="s">
        <v>218</v>
      </c>
      <c r="D6789" s="23" t="n">
        <v>20</v>
      </c>
      <c r="E6789" s="23" t="n">
        <v>9</v>
      </c>
      <c r="F6789" s="28" t="s">
        <v>913</v>
      </c>
      <c r="G6789" s="19" t="n">
        <v>0.0793</v>
      </c>
    </row>
    <row r="6790" customFormat="false" ht="15" hidden="false" customHeight="false" outlineLevel="0" collapsed="false">
      <c r="A6790" s="28" t="s">
        <v>216</v>
      </c>
      <c r="B6790" s="28" t="s">
        <v>217</v>
      </c>
      <c r="C6790" s="28" t="s">
        <v>218</v>
      </c>
      <c r="D6790" s="23" t="n">
        <v>20</v>
      </c>
      <c r="E6790" s="23" t="n">
        <v>9</v>
      </c>
      <c r="F6790" s="28" t="s">
        <v>914</v>
      </c>
      <c r="G6790" s="19" t="n">
        <v>0.0791</v>
      </c>
    </row>
    <row r="6791" customFormat="false" ht="15" hidden="false" customHeight="false" outlineLevel="0" collapsed="false">
      <c r="A6791" s="28" t="s">
        <v>216</v>
      </c>
      <c r="B6791" s="28" t="s">
        <v>217</v>
      </c>
      <c r="C6791" s="28" t="s">
        <v>218</v>
      </c>
      <c r="D6791" s="23" t="n">
        <v>20</v>
      </c>
      <c r="E6791" s="23" t="n">
        <v>9</v>
      </c>
      <c r="F6791" s="28" t="s">
        <v>915</v>
      </c>
      <c r="G6791" s="19" t="n">
        <v>0.0949</v>
      </c>
    </row>
    <row r="6792" customFormat="false" ht="15" hidden="false" customHeight="false" outlineLevel="0" collapsed="false">
      <c r="A6792" s="28" t="s">
        <v>216</v>
      </c>
      <c r="B6792" s="28" t="s">
        <v>217</v>
      </c>
      <c r="C6792" s="28" t="s">
        <v>218</v>
      </c>
      <c r="D6792" s="23" t="n">
        <v>20</v>
      </c>
      <c r="E6792" s="23" t="n">
        <v>10</v>
      </c>
      <c r="F6792" s="28" t="s">
        <v>904</v>
      </c>
      <c r="G6792" s="19" t="n">
        <v>0.0663</v>
      </c>
    </row>
    <row r="6793" customFormat="false" ht="15" hidden="false" customHeight="false" outlineLevel="0" collapsed="false">
      <c r="A6793" s="28" t="s">
        <v>216</v>
      </c>
      <c r="B6793" s="28" t="s">
        <v>217</v>
      </c>
      <c r="C6793" s="28" t="s">
        <v>218</v>
      </c>
      <c r="D6793" s="23" t="n">
        <v>20</v>
      </c>
      <c r="E6793" s="23" t="n">
        <v>10</v>
      </c>
      <c r="F6793" s="28" t="s">
        <v>551</v>
      </c>
      <c r="G6793" s="19" t="n">
        <v>0.0975</v>
      </c>
    </row>
    <row r="6794" customFormat="false" ht="15" hidden="false" customHeight="false" outlineLevel="0" collapsed="false">
      <c r="A6794" s="28" t="s">
        <v>216</v>
      </c>
      <c r="B6794" s="28" t="s">
        <v>217</v>
      </c>
      <c r="C6794" s="28" t="s">
        <v>218</v>
      </c>
      <c r="D6794" s="23" t="n">
        <v>20</v>
      </c>
      <c r="E6794" s="23" t="n">
        <v>10</v>
      </c>
      <c r="F6794" s="28" t="s">
        <v>451</v>
      </c>
      <c r="G6794" s="19" t="n">
        <v>0.0661</v>
      </c>
    </row>
    <row r="6795" customFormat="false" ht="15" hidden="false" customHeight="false" outlineLevel="0" collapsed="false">
      <c r="A6795" s="28" t="s">
        <v>216</v>
      </c>
      <c r="B6795" s="28" t="s">
        <v>217</v>
      </c>
      <c r="C6795" s="28" t="s">
        <v>218</v>
      </c>
      <c r="D6795" s="23" t="n">
        <v>20</v>
      </c>
      <c r="E6795" s="23" t="n">
        <v>10</v>
      </c>
      <c r="F6795" s="28" t="s">
        <v>905</v>
      </c>
      <c r="G6795" s="19" t="n">
        <v>0.0687</v>
      </c>
    </row>
    <row r="6796" customFormat="false" ht="15" hidden="false" customHeight="false" outlineLevel="0" collapsed="false">
      <c r="A6796" s="28" t="s">
        <v>216</v>
      </c>
      <c r="B6796" s="28" t="s">
        <v>217</v>
      </c>
      <c r="C6796" s="28" t="s">
        <v>218</v>
      </c>
      <c r="D6796" s="23" t="n">
        <v>20</v>
      </c>
      <c r="E6796" s="23" t="n">
        <v>10</v>
      </c>
      <c r="F6796" s="28" t="s">
        <v>906</v>
      </c>
      <c r="G6796" s="19" t="n">
        <v>0.0701</v>
      </c>
    </row>
    <row r="6797" customFormat="false" ht="15" hidden="false" customHeight="false" outlineLevel="0" collapsed="false">
      <c r="A6797" s="28" t="s">
        <v>216</v>
      </c>
      <c r="B6797" s="28" t="s">
        <v>217</v>
      </c>
      <c r="C6797" s="28" t="s">
        <v>218</v>
      </c>
      <c r="D6797" s="23" t="n">
        <v>20</v>
      </c>
      <c r="E6797" s="23" t="n">
        <v>10</v>
      </c>
      <c r="F6797" s="28" t="s">
        <v>907</v>
      </c>
      <c r="G6797" s="19" t="n">
        <v>0.0698</v>
      </c>
    </row>
    <row r="6798" customFormat="false" ht="15" hidden="false" customHeight="false" outlineLevel="0" collapsed="false">
      <c r="A6798" s="28" t="s">
        <v>216</v>
      </c>
      <c r="B6798" s="28" t="s">
        <v>217</v>
      </c>
      <c r="C6798" s="28" t="s">
        <v>218</v>
      </c>
      <c r="D6798" s="23" t="n">
        <v>20</v>
      </c>
      <c r="E6798" s="23" t="n">
        <v>10</v>
      </c>
      <c r="F6798" s="28" t="s">
        <v>908</v>
      </c>
      <c r="G6798" s="19" t="n">
        <v>0.0714</v>
      </c>
    </row>
    <row r="6799" customFormat="false" ht="15" hidden="false" customHeight="false" outlineLevel="0" collapsed="false">
      <c r="A6799" s="28" t="s">
        <v>216</v>
      </c>
      <c r="B6799" s="28" t="s">
        <v>217</v>
      </c>
      <c r="C6799" s="28" t="s">
        <v>218</v>
      </c>
      <c r="D6799" s="23" t="n">
        <v>20</v>
      </c>
      <c r="E6799" s="23" t="n">
        <v>10</v>
      </c>
      <c r="F6799" s="28" t="s">
        <v>909</v>
      </c>
      <c r="G6799" s="19" t="n">
        <v>0.0715</v>
      </c>
    </row>
    <row r="6800" customFormat="false" ht="15" hidden="false" customHeight="false" outlineLevel="0" collapsed="false">
      <c r="A6800" s="28" t="s">
        <v>216</v>
      </c>
      <c r="B6800" s="28" t="s">
        <v>217</v>
      </c>
      <c r="C6800" s="28" t="s">
        <v>218</v>
      </c>
      <c r="D6800" s="23" t="n">
        <v>20</v>
      </c>
      <c r="E6800" s="23" t="n">
        <v>10</v>
      </c>
      <c r="F6800" s="28" t="s">
        <v>910</v>
      </c>
      <c r="G6800" s="19" t="n">
        <v>0.0719</v>
      </c>
    </row>
    <row r="6801" customFormat="false" ht="15" hidden="false" customHeight="false" outlineLevel="0" collapsed="false">
      <c r="A6801" s="28" t="s">
        <v>216</v>
      </c>
      <c r="B6801" s="28" t="s">
        <v>217</v>
      </c>
      <c r="C6801" s="28" t="s">
        <v>218</v>
      </c>
      <c r="D6801" s="23" t="n">
        <v>20</v>
      </c>
      <c r="E6801" s="23" t="n">
        <v>10</v>
      </c>
      <c r="F6801" s="28" t="s">
        <v>911</v>
      </c>
      <c r="G6801" s="19" t="n">
        <v>0.073</v>
      </c>
    </row>
    <row r="6802" customFormat="false" ht="15" hidden="false" customHeight="false" outlineLevel="0" collapsed="false">
      <c r="A6802" s="28" t="s">
        <v>216</v>
      </c>
      <c r="B6802" s="28" t="s">
        <v>217</v>
      </c>
      <c r="C6802" s="28" t="s">
        <v>218</v>
      </c>
      <c r="D6802" s="23" t="n">
        <v>20</v>
      </c>
      <c r="E6802" s="23" t="n">
        <v>10</v>
      </c>
      <c r="F6802" s="28" t="s">
        <v>912</v>
      </c>
      <c r="G6802" s="19" t="n">
        <v>0.0744</v>
      </c>
    </row>
    <row r="6803" customFormat="false" ht="15" hidden="false" customHeight="false" outlineLevel="0" collapsed="false">
      <c r="A6803" s="28" t="s">
        <v>216</v>
      </c>
      <c r="B6803" s="28" t="s">
        <v>217</v>
      </c>
      <c r="C6803" s="28" t="s">
        <v>218</v>
      </c>
      <c r="D6803" s="23" t="n">
        <v>20</v>
      </c>
      <c r="E6803" s="23" t="n">
        <v>10</v>
      </c>
      <c r="F6803" s="28" t="s">
        <v>913</v>
      </c>
      <c r="G6803" s="19" t="n">
        <v>0.0793</v>
      </c>
    </row>
    <row r="6804" customFormat="false" ht="15" hidden="false" customHeight="false" outlineLevel="0" collapsed="false">
      <c r="A6804" s="28" t="s">
        <v>216</v>
      </c>
      <c r="B6804" s="28" t="s">
        <v>217</v>
      </c>
      <c r="C6804" s="28" t="s">
        <v>218</v>
      </c>
      <c r="D6804" s="23" t="n">
        <v>20</v>
      </c>
      <c r="E6804" s="23" t="n">
        <v>10</v>
      </c>
      <c r="F6804" s="28" t="s">
        <v>914</v>
      </c>
      <c r="G6804" s="19" t="n">
        <v>0.0791</v>
      </c>
    </row>
    <row r="6805" customFormat="false" ht="15" hidden="false" customHeight="false" outlineLevel="0" collapsed="false">
      <c r="A6805" s="28" t="s">
        <v>216</v>
      </c>
      <c r="B6805" s="28" t="s">
        <v>217</v>
      </c>
      <c r="C6805" s="28" t="s">
        <v>218</v>
      </c>
      <c r="D6805" s="23" t="n">
        <v>20</v>
      </c>
      <c r="E6805" s="23" t="n">
        <v>10</v>
      </c>
      <c r="F6805" s="28" t="s">
        <v>915</v>
      </c>
      <c r="G6805" s="19" t="n">
        <v>0.0949</v>
      </c>
    </row>
    <row r="6806" customFormat="false" ht="15" hidden="false" customHeight="false" outlineLevel="0" collapsed="false">
      <c r="A6806" s="28" t="s">
        <v>216</v>
      </c>
      <c r="B6806" s="28" t="s">
        <v>217</v>
      </c>
      <c r="C6806" s="28" t="s">
        <v>218</v>
      </c>
      <c r="D6806" s="23" t="n">
        <v>20</v>
      </c>
      <c r="E6806" s="23" t="n">
        <v>11</v>
      </c>
      <c r="F6806" s="28" t="s">
        <v>904</v>
      </c>
      <c r="G6806" s="19" t="n">
        <v>0.0663</v>
      </c>
    </row>
    <row r="6807" customFormat="false" ht="15" hidden="false" customHeight="false" outlineLevel="0" collapsed="false">
      <c r="A6807" s="28" t="s">
        <v>216</v>
      </c>
      <c r="B6807" s="28" t="s">
        <v>217</v>
      </c>
      <c r="C6807" s="28" t="s">
        <v>218</v>
      </c>
      <c r="D6807" s="23" t="n">
        <v>20</v>
      </c>
      <c r="E6807" s="23" t="n">
        <v>11</v>
      </c>
      <c r="F6807" s="28" t="s">
        <v>551</v>
      </c>
      <c r="G6807" s="19" t="n">
        <v>0.0975</v>
      </c>
    </row>
    <row r="6808" customFormat="false" ht="15" hidden="false" customHeight="false" outlineLevel="0" collapsed="false">
      <c r="A6808" s="28" t="s">
        <v>216</v>
      </c>
      <c r="B6808" s="28" t="s">
        <v>217</v>
      </c>
      <c r="C6808" s="28" t="s">
        <v>218</v>
      </c>
      <c r="D6808" s="23" t="n">
        <v>20</v>
      </c>
      <c r="E6808" s="23" t="n">
        <v>11</v>
      </c>
      <c r="F6808" s="28" t="s">
        <v>451</v>
      </c>
      <c r="G6808" s="19" t="n">
        <v>0.0661</v>
      </c>
    </row>
    <row r="6809" customFormat="false" ht="15" hidden="false" customHeight="false" outlineLevel="0" collapsed="false">
      <c r="A6809" s="28" t="s">
        <v>216</v>
      </c>
      <c r="B6809" s="28" t="s">
        <v>217</v>
      </c>
      <c r="C6809" s="28" t="s">
        <v>218</v>
      </c>
      <c r="D6809" s="23" t="n">
        <v>20</v>
      </c>
      <c r="E6809" s="23" t="n">
        <v>11</v>
      </c>
      <c r="F6809" s="28" t="s">
        <v>905</v>
      </c>
      <c r="G6809" s="19" t="n">
        <v>0.0687</v>
      </c>
    </row>
    <row r="6810" customFormat="false" ht="15" hidden="false" customHeight="false" outlineLevel="0" collapsed="false">
      <c r="A6810" s="28" t="s">
        <v>216</v>
      </c>
      <c r="B6810" s="28" t="s">
        <v>217</v>
      </c>
      <c r="C6810" s="28" t="s">
        <v>218</v>
      </c>
      <c r="D6810" s="23" t="n">
        <v>20</v>
      </c>
      <c r="E6810" s="23" t="n">
        <v>11</v>
      </c>
      <c r="F6810" s="28" t="s">
        <v>906</v>
      </c>
      <c r="G6810" s="19" t="n">
        <v>0.0701</v>
      </c>
    </row>
    <row r="6811" customFormat="false" ht="15" hidden="false" customHeight="false" outlineLevel="0" collapsed="false">
      <c r="A6811" s="28" t="s">
        <v>216</v>
      </c>
      <c r="B6811" s="28" t="s">
        <v>217</v>
      </c>
      <c r="C6811" s="28" t="s">
        <v>218</v>
      </c>
      <c r="D6811" s="23" t="n">
        <v>20</v>
      </c>
      <c r="E6811" s="23" t="n">
        <v>11</v>
      </c>
      <c r="F6811" s="28" t="s">
        <v>907</v>
      </c>
      <c r="G6811" s="19" t="n">
        <v>0.0698</v>
      </c>
    </row>
    <row r="6812" customFormat="false" ht="15" hidden="false" customHeight="false" outlineLevel="0" collapsed="false">
      <c r="A6812" s="28" t="s">
        <v>216</v>
      </c>
      <c r="B6812" s="28" t="s">
        <v>217</v>
      </c>
      <c r="C6812" s="28" t="s">
        <v>218</v>
      </c>
      <c r="D6812" s="23" t="n">
        <v>20</v>
      </c>
      <c r="E6812" s="23" t="n">
        <v>11</v>
      </c>
      <c r="F6812" s="28" t="s">
        <v>908</v>
      </c>
      <c r="G6812" s="19" t="n">
        <v>0.0714</v>
      </c>
    </row>
    <row r="6813" customFormat="false" ht="15" hidden="false" customHeight="false" outlineLevel="0" collapsed="false">
      <c r="A6813" s="28" t="s">
        <v>216</v>
      </c>
      <c r="B6813" s="28" t="s">
        <v>217</v>
      </c>
      <c r="C6813" s="28" t="s">
        <v>218</v>
      </c>
      <c r="D6813" s="23" t="n">
        <v>20</v>
      </c>
      <c r="E6813" s="23" t="n">
        <v>11</v>
      </c>
      <c r="F6813" s="28" t="s">
        <v>909</v>
      </c>
      <c r="G6813" s="19" t="n">
        <v>0.0715</v>
      </c>
    </row>
    <row r="6814" customFormat="false" ht="15" hidden="false" customHeight="false" outlineLevel="0" collapsed="false">
      <c r="A6814" s="28" t="s">
        <v>216</v>
      </c>
      <c r="B6814" s="28" t="s">
        <v>217</v>
      </c>
      <c r="C6814" s="28" t="s">
        <v>218</v>
      </c>
      <c r="D6814" s="23" t="n">
        <v>20</v>
      </c>
      <c r="E6814" s="23" t="n">
        <v>11</v>
      </c>
      <c r="F6814" s="28" t="s">
        <v>910</v>
      </c>
      <c r="G6814" s="19" t="n">
        <v>0.0719</v>
      </c>
    </row>
    <row r="6815" customFormat="false" ht="15" hidden="false" customHeight="false" outlineLevel="0" collapsed="false">
      <c r="A6815" s="28" t="s">
        <v>216</v>
      </c>
      <c r="B6815" s="28" t="s">
        <v>217</v>
      </c>
      <c r="C6815" s="28" t="s">
        <v>218</v>
      </c>
      <c r="D6815" s="23" t="n">
        <v>20</v>
      </c>
      <c r="E6815" s="23" t="n">
        <v>11</v>
      </c>
      <c r="F6815" s="28" t="s">
        <v>911</v>
      </c>
      <c r="G6815" s="19" t="n">
        <v>0.073</v>
      </c>
    </row>
    <row r="6816" customFormat="false" ht="15" hidden="false" customHeight="false" outlineLevel="0" collapsed="false">
      <c r="A6816" s="28" t="s">
        <v>216</v>
      </c>
      <c r="B6816" s="28" t="s">
        <v>217</v>
      </c>
      <c r="C6816" s="28" t="s">
        <v>218</v>
      </c>
      <c r="D6816" s="23" t="n">
        <v>20</v>
      </c>
      <c r="E6816" s="23" t="n">
        <v>11</v>
      </c>
      <c r="F6816" s="28" t="s">
        <v>912</v>
      </c>
      <c r="G6816" s="19" t="n">
        <v>0.0744</v>
      </c>
    </row>
    <row r="6817" customFormat="false" ht="15" hidden="false" customHeight="false" outlineLevel="0" collapsed="false">
      <c r="A6817" s="28" t="s">
        <v>216</v>
      </c>
      <c r="B6817" s="28" t="s">
        <v>217</v>
      </c>
      <c r="C6817" s="28" t="s">
        <v>218</v>
      </c>
      <c r="D6817" s="23" t="n">
        <v>20</v>
      </c>
      <c r="E6817" s="23" t="n">
        <v>11</v>
      </c>
      <c r="F6817" s="28" t="s">
        <v>913</v>
      </c>
      <c r="G6817" s="19" t="n">
        <v>0.0793</v>
      </c>
    </row>
    <row r="6818" customFormat="false" ht="15" hidden="false" customHeight="false" outlineLevel="0" collapsed="false">
      <c r="A6818" s="28" t="s">
        <v>216</v>
      </c>
      <c r="B6818" s="28" t="s">
        <v>217</v>
      </c>
      <c r="C6818" s="28" t="s">
        <v>218</v>
      </c>
      <c r="D6818" s="23" t="n">
        <v>20</v>
      </c>
      <c r="E6818" s="23" t="n">
        <v>11</v>
      </c>
      <c r="F6818" s="28" t="s">
        <v>914</v>
      </c>
      <c r="G6818" s="19" t="n">
        <v>0.0791</v>
      </c>
    </row>
    <row r="6819" customFormat="false" ht="15" hidden="false" customHeight="false" outlineLevel="0" collapsed="false">
      <c r="A6819" s="28" t="s">
        <v>216</v>
      </c>
      <c r="B6819" s="28" t="s">
        <v>217</v>
      </c>
      <c r="C6819" s="28" t="s">
        <v>218</v>
      </c>
      <c r="D6819" s="23" t="n">
        <v>20</v>
      </c>
      <c r="E6819" s="23" t="n">
        <v>11</v>
      </c>
      <c r="F6819" s="28" t="s">
        <v>915</v>
      </c>
      <c r="G6819" s="19" t="n">
        <v>0.0949</v>
      </c>
    </row>
    <row r="6820" customFormat="false" ht="15" hidden="false" customHeight="false" outlineLevel="0" collapsed="false">
      <c r="A6820" s="28" t="s">
        <v>216</v>
      </c>
      <c r="B6820" s="28" t="s">
        <v>217</v>
      </c>
      <c r="C6820" s="28" t="s">
        <v>218</v>
      </c>
      <c r="D6820" s="23" t="n">
        <v>20</v>
      </c>
      <c r="E6820" s="23" t="n">
        <v>12</v>
      </c>
      <c r="F6820" s="28" t="s">
        <v>904</v>
      </c>
      <c r="G6820" s="19" t="n">
        <v>0.0663</v>
      </c>
    </row>
    <row r="6821" customFormat="false" ht="15" hidden="false" customHeight="false" outlineLevel="0" collapsed="false">
      <c r="A6821" s="28" t="s">
        <v>216</v>
      </c>
      <c r="B6821" s="28" t="s">
        <v>217</v>
      </c>
      <c r="C6821" s="28" t="s">
        <v>218</v>
      </c>
      <c r="D6821" s="23" t="n">
        <v>20</v>
      </c>
      <c r="E6821" s="23" t="n">
        <v>12</v>
      </c>
      <c r="F6821" s="28" t="s">
        <v>551</v>
      </c>
      <c r="G6821" s="19" t="n">
        <v>0.0975</v>
      </c>
    </row>
    <row r="6822" customFormat="false" ht="15" hidden="false" customHeight="false" outlineLevel="0" collapsed="false">
      <c r="A6822" s="28" t="s">
        <v>216</v>
      </c>
      <c r="B6822" s="28" t="s">
        <v>217</v>
      </c>
      <c r="C6822" s="28" t="s">
        <v>218</v>
      </c>
      <c r="D6822" s="23" t="n">
        <v>20</v>
      </c>
      <c r="E6822" s="23" t="n">
        <v>12</v>
      </c>
      <c r="F6822" s="28" t="s">
        <v>451</v>
      </c>
      <c r="G6822" s="19" t="n">
        <v>0.0661</v>
      </c>
    </row>
    <row r="6823" customFormat="false" ht="15" hidden="false" customHeight="false" outlineLevel="0" collapsed="false">
      <c r="A6823" s="28" t="s">
        <v>216</v>
      </c>
      <c r="B6823" s="28" t="s">
        <v>217</v>
      </c>
      <c r="C6823" s="28" t="s">
        <v>218</v>
      </c>
      <c r="D6823" s="23" t="n">
        <v>20</v>
      </c>
      <c r="E6823" s="23" t="n">
        <v>12</v>
      </c>
      <c r="F6823" s="28" t="s">
        <v>905</v>
      </c>
      <c r="G6823" s="19" t="n">
        <v>0.0687</v>
      </c>
    </row>
    <row r="6824" customFormat="false" ht="15" hidden="false" customHeight="false" outlineLevel="0" collapsed="false">
      <c r="A6824" s="28" t="s">
        <v>216</v>
      </c>
      <c r="B6824" s="28" t="s">
        <v>217</v>
      </c>
      <c r="C6824" s="28" t="s">
        <v>218</v>
      </c>
      <c r="D6824" s="23" t="n">
        <v>20</v>
      </c>
      <c r="E6824" s="23" t="n">
        <v>12</v>
      </c>
      <c r="F6824" s="28" t="s">
        <v>906</v>
      </c>
      <c r="G6824" s="19" t="n">
        <v>0.0701</v>
      </c>
    </row>
    <row r="6825" customFormat="false" ht="15" hidden="false" customHeight="false" outlineLevel="0" collapsed="false">
      <c r="A6825" s="28" t="s">
        <v>216</v>
      </c>
      <c r="B6825" s="28" t="s">
        <v>217</v>
      </c>
      <c r="C6825" s="28" t="s">
        <v>218</v>
      </c>
      <c r="D6825" s="23" t="n">
        <v>20</v>
      </c>
      <c r="E6825" s="23" t="n">
        <v>12</v>
      </c>
      <c r="F6825" s="28" t="s">
        <v>907</v>
      </c>
      <c r="G6825" s="19" t="n">
        <v>0.0698</v>
      </c>
    </row>
    <row r="6826" customFormat="false" ht="15" hidden="false" customHeight="false" outlineLevel="0" collapsed="false">
      <c r="A6826" s="28" t="s">
        <v>216</v>
      </c>
      <c r="B6826" s="28" t="s">
        <v>217</v>
      </c>
      <c r="C6826" s="28" t="s">
        <v>218</v>
      </c>
      <c r="D6826" s="23" t="n">
        <v>20</v>
      </c>
      <c r="E6826" s="23" t="n">
        <v>12</v>
      </c>
      <c r="F6826" s="28" t="s">
        <v>908</v>
      </c>
      <c r="G6826" s="19" t="n">
        <v>0.0714</v>
      </c>
    </row>
    <row r="6827" customFormat="false" ht="15" hidden="false" customHeight="false" outlineLevel="0" collapsed="false">
      <c r="A6827" s="28" t="s">
        <v>216</v>
      </c>
      <c r="B6827" s="28" t="s">
        <v>217</v>
      </c>
      <c r="C6827" s="28" t="s">
        <v>218</v>
      </c>
      <c r="D6827" s="23" t="n">
        <v>20</v>
      </c>
      <c r="E6827" s="23" t="n">
        <v>12</v>
      </c>
      <c r="F6827" s="28" t="s">
        <v>909</v>
      </c>
      <c r="G6827" s="19" t="n">
        <v>0.0715</v>
      </c>
    </row>
    <row r="6828" customFormat="false" ht="15" hidden="false" customHeight="false" outlineLevel="0" collapsed="false">
      <c r="A6828" s="28" t="s">
        <v>216</v>
      </c>
      <c r="B6828" s="28" t="s">
        <v>217</v>
      </c>
      <c r="C6828" s="28" t="s">
        <v>218</v>
      </c>
      <c r="D6828" s="23" t="n">
        <v>20</v>
      </c>
      <c r="E6828" s="23" t="n">
        <v>12</v>
      </c>
      <c r="F6828" s="28" t="s">
        <v>910</v>
      </c>
      <c r="G6828" s="19" t="n">
        <v>0.0719</v>
      </c>
    </row>
    <row r="6829" customFormat="false" ht="15" hidden="false" customHeight="false" outlineLevel="0" collapsed="false">
      <c r="A6829" s="28" t="s">
        <v>216</v>
      </c>
      <c r="B6829" s="28" t="s">
        <v>217</v>
      </c>
      <c r="C6829" s="28" t="s">
        <v>218</v>
      </c>
      <c r="D6829" s="23" t="n">
        <v>20</v>
      </c>
      <c r="E6829" s="23" t="n">
        <v>12</v>
      </c>
      <c r="F6829" s="28" t="s">
        <v>911</v>
      </c>
      <c r="G6829" s="19" t="n">
        <v>0.073</v>
      </c>
    </row>
    <row r="6830" customFormat="false" ht="15" hidden="false" customHeight="false" outlineLevel="0" collapsed="false">
      <c r="A6830" s="28" t="s">
        <v>216</v>
      </c>
      <c r="B6830" s="28" t="s">
        <v>217</v>
      </c>
      <c r="C6830" s="28" t="s">
        <v>218</v>
      </c>
      <c r="D6830" s="23" t="n">
        <v>20</v>
      </c>
      <c r="E6830" s="23" t="n">
        <v>12</v>
      </c>
      <c r="F6830" s="28" t="s">
        <v>912</v>
      </c>
      <c r="G6830" s="19" t="n">
        <v>0.0744</v>
      </c>
    </row>
    <row r="6831" customFormat="false" ht="15" hidden="false" customHeight="false" outlineLevel="0" collapsed="false">
      <c r="A6831" s="28" t="s">
        <v>216</v>
      </c>
      <c r="B6831" s="28" t="s">
        <v>217</v>
      </c>
      <c r="C6831" s="28" t="s">
        <v>218</v>
      </c>
      <c r="D6831" s="23" t="n">
        <v>20</v>
      </c>
      <c r="E6831" s="23" t="n">
        <v>12</v>
      </c>
      <c r="F6831" s="28" t="s">
        <v>913</v>
      </c>
      <c r="G6831" s="19" t="n">
        <v>0.0793</v>
      </c>
    </row>
    <row r="6832" customFormat="false" ht="15" hidden="false" customHeight="false" outlineLevel="0" collapsed="false">
      <c r="A6832" s="28" t="s">
        <v>216</v>
      </c>
      <c r="B6832" s="28" t="s">
        <v>217</v>
      </c>
      <c r="C6832" s="28" t="s">
        <v>218</v>
      </c>
      <c r="D6832" s="23" t="n">
        <v>20</v>
      </c>
      <c r="E6832" s="23" t="n">
        <v>12</v>
      </c>
      <c r="F6832" s="28" t="s">
        <v>914</v>
      </c>
      <c r="G6832" s="19" t="n">
        <v>0.0791</v>
      </c>
    </row>
    <row r="6833" customFormat="false" ht="15" hidden="false" customHeight="false" outlineLevel="0" collapsed="false">
      <c r="A6833" s="28" t="s">
        <v>216</v>
      </c>
      <c r="B6833" s="28" t="s">
        <v>217</v>
      </c>
      <c r="C6833" s="28" t="s">
        <v>218</v>
      </c>
      <c r="D6833" s="23" t="n">
        <v>20</v>
      </c>
      <c r="E6833" s="23" t="n">
        <v>12</v>
      </c>
      <c r="F6833" s="28" t="s">
        <v>915</v>
      </c>
      <c r="G6833" s="19" t="n">
        <v>0.0949</v>
      </c>
    </row>
    <row r="6834" customFormat="false" ht="15" hidden="false" customHeight="false" outlineLevel="0" collapsed="false">
      <c r="A6834" s="28" t="s">
        <v>216</v>
      </c>
      <c r="B6834" s="28" t="s">
        <v>217</v>
      </c>
      <c r="C6834" s="28" t="s">
        <v>218</v>
      </c>
      <c r="D6834" s="23" t="n">
        <v>20</v>
      </c>
      <c r="E6834" s="23" t="n">
        <v>13</v>
      </c>
      <c r="F6834" s="28" t="s">
        <v>904</v>
      </c>
      <c r="G6834" s="19" t="n">
        <v>0.0663</v>
      </c>
    </row>
    <row r="6835" customFormat="false" ht="15" hidden="false" customHeight="false" outlineLevel="0" collapsed="false">
      <c r="A6835" s="28" t="s">
        <v>216</v>
      </c>
      <c r="B6835" s="28" t="s">
        <v>217</v>
      </c>
      <c r="C6835" s="28" t="s">
        <v>218</v>
      </c>
      <c r="D6835" s="23" t="n">
        <v>20</v>
      </c>
      <c r="E6835" s="23" t="n">
        <v>13</v>
      </c>
      <c r="F6835" s="28" t="s">
        <v>551</v>
      </c>
      <c r="G6835" s="19" t="n">
        <v>0.0975</v>
      </c>
    </row>
    <row r="6836" customFormat="false" ht="15" hidden="false" customHeight="false" outlineLevel="0" collapsed="false">
      <c r="A6836" s="28" t="s">
        <v>216</v>
      </c>
      <c r="B6836" s="28" t="s">
        <v>217</v>
      </c>
      <c r="C6836" s="28" t="s">
        <v>218</v>
      </c>
      <c r="D6836" s="23" t="n">
        <v>20</v>
      </c>
      <c r="E6836" s="23" t="n">
        <v>13</v>
      </c>
      <c r="F6836" s="28" t="s">
        <v>451</v>
      </c>
      <c r="G6836" s="19" t="n">
        <v>0.0661</v>
      </c>
    </row>
    <row r="6837" customFormat="false" ht="15" hidden="false" customHeight="false" outlineLevel="0" collapsed="false">
      <c r="A6837" s="28" t="s">
        <v>216</v>
      </c>
      <c r="B6837" s="28" t="s">
        <v>217</v>
      </c>
      <c r="C6837" s="28" t="s">
        <v>218</v>
      </c>
      <c r="D6837" s="23" t="n">
        <v>20</v>
      </c>
      <c r="E6837" s="23" t="n">
        <v>13</v>
      </c>
      <c r="F6837" s="28" t="s">
        <v>905</v>
      </c>
      <c r="G6837" s="19" t="n">
        <v>0.0687</v>
      </c>
    </row>
    <row r="6838" customFormat="false" ht="15" hidden="false" customHeight="false" outlineLevel="0" collapsed="false">
      <c r="A6838" s="28" t="s">
        <v>216</v>
      </c>
      <c r="B6838" s="28" t="s">
        <v>217</v>
      </c>
      <c r="C6838" s="28" t="s">
        <v>218</v>
      </c>
      <c r="D6838" s="23" t="n">
        <v>20</v>
      </c>
      <c r="E6838" s="23" t="n">
        <v>13</v>
      </c>
      <c r="F6838" s="28" t="s">
        <v>906</v>
      </c>
      <c r="G6838" s="19" t="n">
        <v>0.0701</v>
      </c>
    </row>
    <row r="6839" customFormat="false" ht="15" hidden="false" customHeight="false" outlineLevel="0" collapsed="false">
      <c r="A6839" s="28" t="s">
        <v>216</v>
      </c>
      <c r="B6839" s="28" t="s">
        <v>217</v>
      </c>
      <c r="C6839" s="28" t="s">
        <v>218</v>
      </c>
      <c r="D6839" s="23" t="n">
        <v>20</v>
      </c>
      <c r="E6839" s="23" t="n">
        <v>13</v>
      </c>
      <c r="F6839" s="28" t="s">
        <v>907</v>
      </c>
      <c r="G6839" s="19" t="n">
        <v>0.0698</v>
      </c>
    </row>
    <row r="6840" customFormat="false" ht="15" hidden="false" customHeight="false" outlineLevel="0" collapsed="false">
      <c r="A6840" s="28" t="s">
        <v>216</v>
      </c>
      <c r="B6840" s="28" t="s">
        <v>217</v>
      </c>
      <c r="C6840" s="28" t="s">
        <v>218</v>
      </c>
      <c r="D6840" s="23" t="n">
        <v>20</v>
      </c>
      <c r="E6840" s="23" t="n">
        <v>13</v>
      </c>
      <c r="F6840" s="28" t="s">
        <v>908</v>
      </c>
      <c r="G6840" s="19" t="n">
        <v>0.0714</v>
      </c>
    </row>
    <row r="6841" customFormat="false" ht="15" hidden="false" customHeight="false" outlineLevel="0" collapsed="false">
      <c r="A6841" s="28" t="s">
        <v>216</v>
      </c>
      <c r="B6841" s="28" t="s">
        <v>217</v>
      </c>
      <c r="C6841" s="28" t="s">
        <v>218</v>
      </c>
      <c r="D6841" s="23" t="n">
        <v>20</v>
      </c>
      <c r="E6841" s="23" t="n">
        <v>13</v>
      </c>
      <c r="F6841" s="28" t="s">
        <v>909</v>
      </c>
      <c r="G6841" s="19" t="n">
        <v>0.0715</v>
      </c>
    </row>
    <row r="6842" customFormat="false" ht="15" hidden="false" customHeight="false" outlineLevel="0" collapsed="false">
      <c r="A6842" s="28" t="s">
        <v>216</v>
      </c>
      <c r="B6842" s="28" t="s">
        <v>217</v>
      </c>
      <c r="C6842" s="28" t="s">
        <v>218</v>
      </c>
      <c r="D6842" s="23" t="n">
        <v>20</v>
      </c>
      <c r="E6842" s="23" t="n">
        <v>13</v>
      </c>
      <c r="F6842" s="28" t="s">
        <v>910</v>
      </c>
      <c r="G6842" s="19" t="n">
        <v>0.0719</v>
      </c>
    </row>
    <row r="6843" customFormat="false" ht="15" hidden="false" customHeight="false" outlineLevel="0" collapsed="false">
      <c r="A6843" s="28" t="s">
        <v>216</v>
      </c>
      <c r="B6843" s="28" t="s">
        <v>217</v>
      </c>
      <c r="C6843" s="28" t="s">
        <v>218</v>
      </c>
      <c r="D6843" s="23" t="n">
        <v>20</v>
      </c>
      <c r="E6843" s="23" t="n">
        <v>13</v>
      </c>
      <c r="F6843" s="28" t="s">
        <v>911</v>
      </c>
      <c r="G6843" s="19" t="n">
        <v>0.073</v>
      </c>
    </row>
    <row r="6844" customFormat="false" ht="15" hidden="false" customHeight="false" outlineLevel="0" collapsed="false">
      <c r="A6844" s="28" t="s">
        <v>216</v>
      </c>
      <c r="B6844" s="28" t="s">
        <v>217</v>
      </c>
      <c r="C6844" s="28" t="s">
        <v>218</v>
      </c>
      <c r="D6844" s="23" t="n">
        <v>20</v>
      </c>
      <c r="E6844" s="23" t="n">
        <v>13</v>
      </c>
      <c r="F6844" s="28" t="s">
        <v>912</v>
      </c>
      <c r="G6844" s="19" t="n">
        <v>0.0744</v>
      </c>
    </row>
    <row r="6845" customFormat="false" ht="15" hidden="false" customHeight="false" outlineLevel="0" collapsed="false">
      <c r="A6845" s="28" t="s">
        <v>216</v>
      </c>
      <c r="B6845" s="28" t="s">
        <v>217</v>
      </c>
      <c r="C6845" s="28" t="s">
        <v>218</v>
      </c>
      <c r="D6845" s="23" t="n">
        <v>20</v>
      </c>
      <c r="E6845" s="23" t="n">
        <v>13</v>
      </c>
      <c r="F6845" s="28" t="s">
        <v>913</v>
      </c>
      <c r="G6845" s="19" t="n">
        <v>0.0793</v>
      </c>
    </row>
    <row r="6846" customFormat="false" ht="15" hidden="false" customHeight="false" outlineLevel="0" collapsed="false">
      <c r="A6846" s="28" t="s">
        <v>216</v>
      </c>
      <c r="B6846" s="28" t="s">
        <v>217</v>
      </c>
      <c r="C6846" s="28" t="s">
        <v>218</v>
      </c>
      <c r="D6846" s="23" t="n">
        <v>20</v>
      </c>
      <c r="E6846" s="23" t="n">
        <v>13</v>
      </c>
      <c r="F6846" s="28" t="s">
        <v>914</v>
      </c>
      <c r="G6846" s="19" t="n">
        <v>0.0791</v>
      </c>
    </row>
    <row r="6847" customFormat="false" ht="15" hidden="false" customHeight="false" outlineLevel="0" collapsed="false">
      <c r="A6847" s="28" t="s">
        <v>216</v>
      </c>
      <c r="B6847" s="28" t="s">
        <v>217</v>
      </c>
      <c r="C6847" s="28" t="s">
        <v>218</v>
      </c>
      <c r="D6847" s="23" t="n">
        <v>20</v>
      </c>
      <c r="E6847" s="23" t="n">
        <v>13</v>
      </c>
      <c r="F6847" s="28" t="s">
        <v>915</v>
      </c>
      <c r="G6847" s="19" t="n">
        <v>0.0949</v>
      </c>
    </row>
    <row r="6848" customFormat="false" ht="15" hidden="false" customHeight="false" outlineLevel="0" collapsed="false">
      <c r="A6848" s="28" t="s">
        <v>216</v>
      </c>
      <c r="B6848" s="28" t="s">
        <v>217</v>
      </c>
      <c r="C6848" s="28" t="s">
        <v>218</v>
      </c>
      <c r="D6848" s="23" t="n">
        <v>20</v>
      </c>
      <c r="E6848" s="23" t="n">
        <v>14</v>
      </c>
      <c r="F6848" s="28" t="s">
        <v>904</v>
      </c>
      <c r="G6848" s="19" t="n">
        <v>0.0663</v>
      </c>
    </row>
    <row r="6849" customFormat="false" ht="15" hidden="false" customHeight="false" outlineLevel="0" collapsed="false">
      <c r="A6849" s="28" t="s">
        <v>216</v>
      </c>
      <c r="B6849" s="28" t="s">
        <v>217</v>
      </c>
      <c r="C6849" s="28" t="s">
        <v>218</v>
      </c>
      <c r="D6849" s="23" t="n">
        <v>20</v>
      </c>
      <c r="E6849" s="23" t="n">
        <v>14</v>
      </c>
      <c r="F6849" s="28" t="s">
        <v>551</v>
      </c>
      <c r="G6849" s="19" t="n">
        <v>0.0975</v>
      </c>
    </row>
    <row r="6850" customFormat="false" ht="15" hidden="false" customHeight="false" outlineLevel="0" collapsed="false">
      <c r="A6850" s="28" t="s">
        <v>216</v>
      </c>
      <c r="B6850" s="28" t="s">
        <v>217</v>
      </c>
      <c r="C6850" s="28" t="s">
        <v>218</v>
      </c>
      <c r="D6850" s="23" t="n">
        <v>20</v>
      </c>
      <c r="E6850" s="23" t="n">
        <v>14</v>
      </c>
      <c r="F6850" s="28" t="s">
        <v>451</v>
      </c>
      <c r="G6850" s="19" t="n">
        <v>0.0661</v>
      </c>
    </row>
    <row r="6851" customFormat="false" ht="15" hidden="false" customHeight="false" outlineLevel="0" collapsed="false">
      <c r="A6851" s="28" t="s">
        <v>216</v>
      </c>
      <c r="B6851" s="28" t="s">
        <v>217</v>
      </c>
      <c r="C6851" s="28" t="s">
        <v>218</v>
      </c>
      <c r="D6851" s="23" t="n">
        <v>20</v>
      </c>
      <c r="E6851" s="23" t="n">
        <v>14</v>
      </c>
      <c r="F6851" s="28" t="s">
        <v>905</v>
      </c>
      <c r="G6851" s="19" t="n">
        <v>0.0687</v>
      </c>
    </row>
    <row r="6852" customFormat="false" ht="15" hidden="false" customHeight="false" outlineLevel="0" collapsed="false">
      <c r="A6852" s="28" t="s">
        <v>216</v>
      </c>
      <c r="B6852" s="28" t="s">
        <v>217</v>
      </c>
      <c r="C6852" s="28" t="s">
        <v>218</v>
      </c>
      <c r="D6852" s="23" t="n">
        <v>20</v>
      </c>
      <c r="E6852" s="23" t="n">
        <v>14</v>
      </c>
      <c r="F6852" s="28" t="s">
        <v>906</v>
      </c>
      <c r="G6852" s="19" t="n">
        <v>0.0701</v>
      </c>
    </row>
    <row r="6853" customFormat="false" ht="15" hidden="false" customHeight="false" outlineLevel="0" collapsed="false">
      <c r="A6853" s="28" t="s">
        <v>216</v>
      </c>
      <c r="B6853" s="28" t="s">
        <v>217</v>
      </c>
      <c r="C6853" s="28" t="s">
        <v>218</v>
      </c>
      <c r="D6853" s="23" t="n">
        <v>20</v>
      </c>
      <c r="E6853" s="23" t="n">
        <v>14</v>
      </c>
      <c r="F6853" s="28" t="s">
        <v>907</v>
      </c>
      <c r="G6853" s="19" t="n">
        <v>0.0698</v>
      </c>
    </row>
    <row r="6854" customFormat="false" ht="15" hidden="false" customHeight="false" outlineLevel="0" collapsed="false">
      <c r="A6854" s="28" t="s">
        <v>216</v>
      </c>
      <c r="B6854" s="28" t="s">
        <v>217</v>
      </c>
      <c r="C6854" s="28" t="s">
        <v>218</v>
      </c>
      <c r="D6854" s="23" t="n">
        <v>20</v>
      </c>
      <c r="E6854" s="23" t="n">
        <v>14</v>
      </c>
      <c r="F6854" s="28" t="s">
        <v>908</v>
      </c>
      <c r="G6854" s="19" t="n">
        <v>0.0714</v>
      </c>
    </row>
    <row r="6855" customFormat="false" ht="15" hidden="false" customHeight="false" outlineLevel="0" collapsed="false">
      <c r="A6855" s="28" t="s">
        <v>216</v>
      </c>
      <c r="B6855" s="28" t="s">
        <v>217</v>
      </c>
      <c r="C6855" s="28" t="s">
        <v>218</v>
      </c>
      <c r="D6855" s="23" t="n">
        <v>20</v>
      </c>
      <c r="E6855" s="23" t="n">
        <v>14</v>
      </c>
      <c r="F6855" s="28" t="s">
        <v>909</v>
      </c>
      <c r="G6855" s="19" t="n">
        <v>0.0715</v>
      </c>
    </row>
    <row r="6856" customFormat="false" ht="15" hidden="false" customHeight="false" outlineLevel="0" collapsed="false">
      <c r="A6856" s="28" t="s">
        <v>216</v>
      </c>
      <c r="B6856" s="28" t="s">
        <v>217</v>
      </c>
      <c r="C6856" s="28" t="s">
        <v>218</v>
      </c>
      <c r="D6856" s="23" t="n">
        <v>20</v>
      </c>
      <c r="E6856" s="23" t="n">
        <v>14</v>
      </c>
      <c r="F6856" s="28" t="s">
        <v>910</v>
      </c>
      <c r="G6856" s="19" t="n">
        <v>0.0719</v>
      </c>
    </row>
    <row r="6857" customFormat="false" ht="15" hidden="false" customHeight="false" outlineLevel="0" collapsed="false">
      <c r="A6857" s="28" t="s">
        <v>216</v>
      </c>
      <c r="B6857" s="28" t="s">
        <v>217</v>
      </c>
      <c r="C6857" s="28" t="s">
        <v>218</v>
      </c>
      <c r="D6857" s="23" t="n">
        <v>20</v>
      </c>
      <c r="E6857" s="23" t="n">
        <v>14</v>
      </c>
      <c r="F6857" s="28" t="s">
        <v>911</v>
      </c>
      <c r="G6857" s="19" t="n">
        <v>0.073</v>
      </c>
    </row>
    <row r="6858" customFormat="false" ht="15" hidden="false" customHeight="false" outlineLevel="0" collapsed="false">
      <c r="A6858" s="28" t="s">
        <v>216</v>
      </c>
      <c r="B6858" s="28" t="s">
        <v>217</v>
      </c>
      <c r="C6858" s="28" t="s">
        <v>218</v>
      </c>
      <c r="D6858" s="23" t="n">
        <v>20</v>
      </c>
      <c r="E6858" s="23" t="n">
        <v>14</v>
      </c>
      <c r="F6858" s="28" t="s">
        <v>912</v>
      </c>
      <c r="G6858" s="19" t="n">
        <v>0.0744</v>
      </c>
    </row>
    <row r="6859" customFormat="false" ht="15" hidden="false" customHeight="false" outlineLevel="0" collapsed="false">
      <c r="A6859" s="28" t="s">
        <v>216</v>
      </c>
      <c r="B6859" s="28" t="s">
        <v>217</v>
      </c>
      <c r="C6859" s="28" t="s">
        <v>218</v>
      </c>
      <c r="D6859" s="23" t="n">
        <v>20</v>
      </c>
      <c r="E6859" s="23" t="n">
        <v>14</v>
      </c>
      <c r="F6859" s="28" t="s">
        <v>913</v>
      </c>
      <c r="G6859" s="19" t="n">
        <v>0.0793</v>
      </c>
    </row>
    <row r="6860" customFormat="false" ht="15" hidden="false" customHeight="false" outlineLevel="0" collapsed="false">
      <c r="A6860" s="28" t="s">
        <v>216</v>
      </c>
      <c r="B6860" s="28" t="s">
        <v>217</v>
      </c>
      <c r="C6860" s="28" t="s">
        <v>218</v>
      </c>
      <c r="D6860" s="23" t="n">
        <v>20</v>
      </c>
      <c r="E6860" s="23" t="n">
        <v>14</v>
      </c>
      <c r="F6860" s="28" t="s">
        <v>914</v>
      </c>
      <c r="G6860" s="19" t="n">
        <v>0.0791</v>
      </c>
    </row>
    <row r="6861" customFormat="false" ht="15" hidden="false" customHeight="false" outlineLevel="0" collapsed="false">
      <c r="A6861" s="28" t="s">
        <v>216</v>
      </c>
      <c r="B6861" s="28" t="s">
        <v>217</v>
      </c>
      <c r="C6861" s="28" t="s">
        <v>218</v>
      </c>
      <c r="D6861" s="23" t="n">
        <v>20</v>
      </c>
      <c r="E6861" s="23" t="n">
        <v>14</v>
      </c>
      <c r="F6861" s="28" t="s">
        <v>915</v>
      </c>
      <c r="G6861" s="19" t="n">
        <v>0.0949</v>
      </c>
    </row>
    <row r="6862" customFormat="false" ht="15" hidden="false" customHeight="false" outlineLevel="0" collapsed="false">
      <c r="A6862" s="28" t="s">
        <v>216</v>
      </c>
      <c r="B6862" s="28" t="s">
        <v>217</v>
      </c>
      <c r="C6862" s="28" t="s">
        <v>218</v>
      </c>
      <c r="D6862" s="23" t="n">
        <v>20</v>
      </c>
      <c r="E6862" s="23" t="n">
        <v>15</v>
      </c>
      <c r="F6862" s="28" t="s">
        <v>904</v>
      </c>
      <c r="G6862" s="19" t="n">
        <v>0.0663</v>
      </c>
    </row>
    <row r="6863" customFormat="false" ht="15" hidden="false" customHeight="false" outlineLevel="0" collapsed="false">
      <c r="A6863" s="28" t="s">
        <v>216</v>
      </c>
      <c r="B6863" s="28" t="s">
        <v>217</v>
      </c>
      <c r="C6863" s="28" t="s">
        <v>218</v>
      </c>
      <c r="D6863" s="23" t="n">
        <v>20</v>
      </c>
      <c r="E6863" s="23" t="n">
        <v>15</v>
      </c>
      <c r="F6863" s="28" t="s">
        <v>551</v>
      </c>
      <c r="G6863" s="19" t="n">
        <v>0.0975</v>
      </c>
    </row>
    <row r="6864" customFormat="false" ht="15" hidden="false" customHeight="false" outlineLevel="0" collapsed="false">
      <c r="A6864" s="28" t="s">
        <v>216</v>
      </c>
      <c r="B6864" s="28" t="s">
        <v>217</v>
      </c>
      <c r="C6864" s="28" t="s">
        <v>218</v>
      </c>
      <c r="D6864" s="23" t="n">
        <v>20</v>
      </c>
      <c r="E6864" s="23" t="n">
        <v>15</v>
      </c>
      <c r="F6864" s="28" t="s">
        <v>451</v>
      </c>
      <c r="G6864" s="19" t="n">
        <v>0.0661</v>
      </c>
    </row>
    <row r="6865" customFormat="false" ht="15" hidden="false" customHeight="false" outlineLevel="0" collapsed="false">
      <c r="A6865" s="28" t="s">
        <v>216</v>
      </c>
      <c r="B6865" s="28" t="s">
        <v>217</v>
      </c>
      <c r="C6865" s="28" t="s">
        <v>218</v>
      </c>
      <c r="D6865" s="23" t="n">
        <v>20</v>
      </c>
      <c r="E6865" s="23" t="n">
        <v>15</v>
      </c>
      <c r="F6865" s="28" t="s">
        <v>905</v>
      </c>
      <c r="G6865" s="19" t="n">
        <v>0.0687</v>
      </c>
    </row>
    <row r="6866" customFormat="false" ht="15" hidden="false" customHeight="false" outlineLevel="0" collapsed="false">
      <c r="A6866" s="28" t="s">
        <v>216</v>
      </c>
      <c r="B6866" s="28" t="s">
        <v>217</v>
      </c>
      <c r="C6866" s="28" t="s">
        <v>218</v>
      </c>
      <c r="D6866" s="23" t="n">
        <v>20</v>
      </c>
      <c r="E6866" s="23" t="n">
        <v>15</v>
      </c>
      <c r="F6866" s="28" t="s">
        <v>906</v>
      </c>
      <c r="G6866" s="19" t="n">
        <v>0.0701</v>
      </c>
    </row>
    <row r="6867" customFormat="false" ht="15" hidden="false" customHeight="false" outlineLevel="0" collapsed="false">
      <c r="A6867" s="28" t="s">
        <v>216</v>
      </c>
      <c r="B6867" s="28" t="s">
        <v>217</v>
      </c>
      <c r="C6867" s="28" t="s">
        <v>218</v>
      </c>
      <c r="D6867" s="23" t="n">
        <v>20</v>
      </c>
      <c r="E6867" s="23" t="n">
        <v>15</v>
      </c>
      <c r="F6867" s="28" t="s">
        <v>907</v>
      </c>
      <c r="G6867" s="19" t="n">
        <v>0.0698</v>
      </c>
    </row>
    <row r="6868" customFormat="false" ht="15" hidden="false" customHeight="false" outlineLevel="0" collapsed="false">
      <c r="A6868" s="28" t="s">
        <v>216</v>
      </c>
      <c r="B6868" s="28" t="s">
        <v>217</v>
      </c>
      <c r="C6868" s="28" t="s">
        <v>218</v>
      </c>
      <c r="D6868" s="23" t="n">
        <v>20</v>
      </c>
      <c r="E6868" s="23" t="n">
        <v>15</v>
      </c>
      <c r="F6868" s="28" t="s">
        <v>908</v>
      </c>
      <c r="G6868" s="19" t="n">
        <v>0.0714</v>
      </c>
    </row>
    <row r="6869" customFormat="false" ht="15" hidden="false" customHeight="false" outlineLevel="0" collapsed="false">
      <c r="A6869" s="28" t="s">
        <v>216</v>
      </c>
      <c r="B6869" s="28" t="s">
        <v>217</v>
      </c>
      <c r="C6869" s="28" t="s">
        <v>218</v>
      </c>
      <c r="D6869" s="23" t="n">
        <v>20</v>
      </c>
      <c r="E6869" s="23" t="n">
        <v>15</v>
      </c>
      <c r="F6869" s="28" t="s">
        <v>909</v>
      </c>
      <c r="G6869" s="19" t="n">
        <v>0.0715</v>
      </c>
    </row>
    <row r="6870" customFormat="false" ht="15" hidden="false" customHeight="false" outlineLevel="0" collapsed="false">
      <c r="A6870" s="28" t="s">
        <v>216</v>
      </c>
      <c r="B6870" s="28" t="s">
        <v>217</v>
      </c>
      <c r="C6870" s="28" t="s">
        <v>218</v>
      </c>
      <c r="D6870" s="23" t="n">
        <v>20</v>
      </c>
      <c r="E6870" s="23" t="n">
        <v>15</v>
      </c>
      <c r="F6870" s="28" t="s">
        <v>910</v>
      </c>
      <c r="G6870" s="19" t="n">
        <v>0.0719</v>
      </c>
    </row>
    <row r="6871" customFormat="false" ht="15" hidden="false" customHeight="false" outlineLevel="0" collapsed="false">
      <c r="A6871" s="28" t="s">
        <v>216</v>
      </c>
      <c r="B6871" s="28" t="s">
        <v>217</v>
      </c>
      <c r="C6871" s="28" t="s">
        <v>218</v>
      </c>
      <c r="D6871" s="23" t="n">
        <v>20</v>
      </c>
      <c r="E6871" s="23" t="n">
        <v>15</v>
      </c>
      <c r="F6871" s="28" t="s">
        <v>911</v>
      </c>
      <c r="G6871" s="19" t="n">
        <v>0.073</v>
      </c>
    </row>
    <row r="6872" customFormat="false" ht="15" hidden="false" customHeight="false" outlineLevel="0" collapsed="false">
      <c r="A6872" s="28" t="s">
        <v>216</v>
      </c>
      <c r="B6872" s="28" t="s">
        <v>217</v>
      </c>
      <c r="C6872" s="28" t="s">
        <v>218</v>
      </c>
      <c r="D6872" s="23" t="n">
        <v>20</v>
      </c>
      <c r="E6872" s="23" t="n">
        <v>15</v>
      </c>
      <c r="F6872" s="28" t="s">
        <v>912</v>
      </c>
      <c r="G6872" s="19" t="n">
        <v>0.0744</v>
      </c>
    </row>
    <row r="6873" customFormat="false" ht="15" hidden="false" customHeight="false" outlineLevel="0" collapsed="false">
      <c r="A6873" s="28" t="s">
        <v>216</v>
      </c>
      <c r="B6873" s="28" t="s">
        <v>217</v>
      </c>
      <c r="C6873" s="28" t="s">
        <v>218</v>
      </c>
      <c r="D6873" s="23" t="n">
        <v>20</v>
      </c>
      <c r="E6873" s="23" t="n">
        <v>15</v>
      </c>
      <c r="F6873" s="28" t="s">
        <v>913</v>
      </c>
      <c r="G6873" s="19" t="n">
        <v>0.0793</v>
      </c>
    </row>
    <row r="6874" customFormat="false" ht="15" hidden="false" customHeight="false" outlineLevel="0" collapsed="false">
      <c r="A6874" s="28" t="s">
        <v>216</v>
      </c>
      <c r="B6874" s="28" t="s">
        <v>217</v>
      </c>
      <c r="C6874" s="28" t="s">
        <v>218</v>
      </c>
      <c r="D6874" s="23" t="n">
        <v>20</v>
      </c>
      <c r="E6874" s="23" t="n">
        <v>15</v>
      </c>
      <c r="F6874" s="28" t="s">
        <v>914</v>
      </c>
      <c r="G6874" s="19" t="n">
        <v>0.0791</v>
      </c>
    </row>
    <row r="6875" customFormat="false" ht="15" hidden="false" customHeight="false" outlineLevel="0" collapsed="false">
      <c r="A6875" s="28" t="s">
        <v>216</v>
      </c>
      <c r="B6875" s="28" t="s">
        <v>217</v>
      </c>
      <c r="C6875" s="28" t="s">
        <v>218</v>
      </c>
      <c r="D6875" s="23" t="n">
        <v>20</v>
      </c>
      <c r="E6875" s="23" t="n">
        <v>15</v>
      </c>
      <c r="F6875" s="28" t="s">
        <v>915</v>
      </c>
      <c r="G6875" s="19" t="n">
        <v>0.0949</v>
      </c>
    </row>
    <row r="6876" customFormat="false" ht="15" hidden="false" customHeight="false" outlineLevel="0" collapsed="false">
      <c r="A6876" s="28" t="s">
        <v>216</v>
      </c>
      <c r="B6876" s="28" t="s">
        <v>217</v>
      </c>
      <c r="C6876" s="28" t="s">
        <v>218</v>
      </c>
      <c r="D6876" s="23" t="n">
        <v>20</v>
      </c>
      <c r="E6876" s="23" t="n">
        <v>16</v>
      </c>
      <c r="F6876" s="28" t="s">
        <v>904</v>
      </c>
      <c r="G6876" s="19" t="n">
        <v>0.0663</v>
      </c>
    </row>
    <row r="6877" customFormat="false" ht="15" hidden="false" customHeight="false" outlineLevel="0" collapsed="false">
      <c r="A6877" s="28" t="s">
        <v>216</v>
      </c>
      <c r="B6877" s="28" t="s">
        <v>217</v>
      </c>
      <c r="C6877" s="28" t="s">
        <v>218</v>
      </c>
      <c r="D6877" s="23" t="n">
        <v>20</v>
      </c>
      <c r="E6877" s="23" t="n">
        <v>16</v>
      </c>
      <c r="F6877" s="28" t="s">
        <v>551</v>
      </c>
      <c r="G6877" s="19" t="n">
        <v>0.0975</v>
      </c>
    </row>
    <row r="6878" customFormat="false" ht="15" hidden="false" customHeight="false" outlineLevel="0" collapsed="false">
      <c r="A6878" s="28" t="s">
        <v>216</v>
      </c>
      <c r="B6878" s="28" t="s">
        <v>217</v>
      </c>
      <c r="C6878" s="28" t="s">
        <v>218</v>
      </c>
      <c r="D6878" s="23" t="n">
        <v>20</v>
      </c>
      <c r="E6878" s="23" t="n">
        <v>16</v>
      </c>
      <c r="F6878" s="28" t="s">
        <v>451</v>
      </c>
      <c r="G6878" s="19" t="n">
        <v>0.0661</v>
      </c>
    </row>
    <row r="6879" customFormat="false" ht="15" hidden="false" customHeight="false" outlineLevel="0" collapsed="false">
      <c r="A6879" s="28" t="s">
        <v>216</v>
      </c>
      <c r="B6879" s="28" t="s">
        <v>217</v>
      </c>
      <c r="C6879" s="28" t="s">
        <v>218</v>
      </c>
      <c r="D6879" s="23" t="n">
        <v>20</v>
      </c>
      <c r="E6879" s="23" t="n">
        <v>16</v>
      </c>
      <c r="F6879" s="28" t="s">
        <v>905</v>
      </c>
      <c r="G6879" s="19" t="n">
        <v>0.0687</v>
      </c>
    </row>
    <row r="6880" customFormat="false" ht="15" hidden="false" customHeight="false" outlineLevel="0" collapsed="false">
      <c r="A6880" s="28" t="s">
        <v>216</v>
      </c>
      <c r="B6880" s="28" t="s">
        <v>217</v>
      </c>
      <c r="C6880" s="28" t="s">
        <v>218</v>
      </c>
      <c r="D6880" s="23" t="n">
        <v>20</v>
      </c>
      <c r="E6880" s="23" t="n">
        <v>16</v>
      </c>
      <c r="F6880" s="28" t="s">
        <v>906</v>
      </c>
      <c r="G6880" s="19" t="n">
        <v>0.0701</v>
      </c>
    </row>
    <row r="6881" customFormat="false" ht="15" hidden="false" customHeight="false" outlineLevel="0" collapsed="false">
      <c r="A6881" s="28" t="s">
        <v>216</v>
      </c>
      <c r="B6881" s="28" t="s">
        <v>217</v>
      </c>
      <c r="C6881" s="28" t="s">
        <v>218</v>
      </c>
      <c r="D6881" s="23" t="n">
        <v>20</v>
      </c>
      <c r="E6881" s="23" t="n">
        <v>16</v>
      </c>
      <c r="F6881" s="28" t="s">
        <v>907</v>
      </c>
      <c r="G6881" s="19" t="n">
        <v>0.0698</v>
      </c>
    </row>
    <row r="6882" customFormat="false" ht="15" hidden="false" customHeight="false" outlineLevel="0" collapsed="false">
      <c r="A6882" s="28" t="s">
        <v>216</v>
      </c>
      <c r="B6882" s="28" t="s">
        <v>217</v>
      </c>
      <c r="C6882" s="28" t="s">
        <v>218</v>
      </c>
      <c r="D6882" s="23" t="n">
        <v>20</v>
      </c>
      <c r="E6882" s="23" t="n">
        <v>16</v>
      </c>
      <c r="F6882" s="28" t="s">
        <v>908</v>
      </c>
      <c r="G6882" s="19" t="n">
        <v>0.0714</v>
      </c>
    </row>
    <row r="6883" customFormat="false" ht="15" hidden="false" customHeight="false" outlineLevel="0" collapsed="false">
      <c r="A6883" s="28" t="s">
        <v>216</v>
      </c>
      <c r="B6883" s="28" t="s">
        <v>217</v>
      </c>
      <c r="C6883" s="28" t="s">
        <v>218</v>
      </c>
      <c r="D6883" s="23" t="n">
        <v>20</v>
      </c>
      <c r="E6883" s="23" t="n">
        <v>16</v>
      </c>
      <c r="F6883" s="28" t="s">
        <v>909</v>
      </c>
      <c r="G6883" s="19" t="n">
        <v>0.0715</v>
      </c>
    </row>
    <row r="6884" customFormat="false" ht="15" hidden="false" customHeight="false" outlineLevel="0" collapsed="false">
      <c r="A6884" s="28" t="s">
        <v>216</v>
      </c>
      <c r="B6884" s="28" t="s">
        <v>217</v>
      </c>
      <c r="C6884" s="28" t="s">
        <v>218</v>
      </c>
      <c r="D6884" s="23" t="n">
        <v>20</v>
      </c>
      <c r="E6884" s="23" t="n">
        <v>16</v>
      </c>
      <c r="F6884" s="28" t="s">
        <v>910</v>
      </c>
      <c r="G6884" s="19" t="n">
        <v>0.0719</v>
      </c>
    </row>
    <row r="6885" customFormat="false" ht="15" hidden="false" customHeight="false" outlineLevel="0" collapsed="false">
      <c r="A6885" s="28" t="s">
        <v>216</v>
      </c>
      <c r="B6885" s="28" t="s">
        <v>217</v>
      </c>
      <c r="C6885" s="28" t="s">
        <v>218</v>
      </c>
      <c r="D6885" s="23" t="n">
        <v>20</v>
      </c>
      <c r="E6885" s="23" t="n">
        <v>16</v>
      </c>
      <c r="F6885" s="28" t="s">
        <v>911</v>
      </c>
      <c r="G6885" s="19" t="n">
        <v>0.073</v>
      </c>
    </row>
    <row r="6886" customFormat="false" ht="15" hidden="false" customHeight="false" outlineLevel="0" collapsed="false">
      <c r="A6886" s="28" t="s">
        <v>216</v>
      </c>
      <c r="B6886" s="28" t="s">
        <v>217</v>
      </c>
      <c r="C6886" s="28" t="s">
        <v>218</v>
      </c>
      <c r="D6886" s="23" t="n">
        <v>20</v>
      </c>
      <c r="E6886" s="23" t="n">
        <v>16</v>
      </c>
      <c r="F6886" s="28" t="s">
        <v>912</v>
      </c>
      <c r="G6886" s="19" t="n">
        <v>0.0744</v>
      </c>
    </row>
    <row r="6887" customFormat="false" ht="15" hidden="false" customHeight="false" outlineLevel="0" collapsed="false">
      <c r="A6887" s="28" t="s">
        <v>216</v>
      </c>
      <c r="B6887" s="28" t="s">
        <v>217</v>
      </c>
      <c r="C6887" s="28" t="s">
        <v>218</v>
      </c>
      <c r="D6887" s="23" t="n">
        <v>20</v>
      </c>
      <c r="E6887" s="23" t="n">
        <v>16</v>
      </c>
      <c r="F6887" s="28" t="s">
        <v>913</v>
      </c>
      <c r="G6887" s="19" t="n">
        <v>0.0793</v>
      </c>
    </row>
    <row r="6888" customFormat="false" ht="15" hidden="false" customHeight="false" outlineLevel="0" collapsed="false">
      <c r="A6888" s="28" t="s">
        <v>216</v>
      </c>
      <c r="B6888" s="28" t="s">
        <v>217</v>
      </c>
      <c r="C6888" s="28" t="s">
        <v>218</v>
      </c>
      <c r="D6888" s="23" t="n">
        <v>20</v>
      </c>
      <c r="E6888" s="23" t="n">
        <v>16</v>
      </c>
      <c r="F6888" s="28" t="s">
        <v>914</v>
      </c>
      <c r="G6888" s="19" t="n">
        <v>0.0791</v>
      </c>
    </row>
    <row r="6889" customFormat="false" ht="15" hidden="false" customHeight="false" outlineLevel="0" collapsed="false">
      <c r="A6889" s="28" t="s">
        <v>216</v>
      </c>
      <c r="B6889" s="28" t="s">
        <v>217</v>
      </c>
      <c r="C6889" s="28" t="s">
        <v>218</v>
      </c>
      <c r="D6889" s="23" t="n">
        <v>20</v>
      </c>
      <c r="E6889" s="23" t="n">
        <v>16</v>
      </c>
      <c r="F6889" s="28" t="s">
        <v>915</v>
      </c>
      <c r="G6889" s="19" t="n">
        <v>0.0949</v>
      </c>
    </row>
    <row r="6890" customFormat="false" ht="15" hidden="false" customHeight="false" outlineLevel="0" collapsed="false">
      <c r="A6890" s="28" t="s">
        <v>216</v>
      </c>
      <c r="B6890" s="28" t="s">
        <v>217</v>
      </c>
      <c r="C6890" s="28" t="s">
        <v>218</v>
      </c>
      <c r="D6890" s="23" t="n">
        <v>20</v>
      </c>
      <c r="E6890" s="23" t="n">
        <v>17</v>
      </c>
      <c r="F6890" s="28" t="s">
        <v>904</v>
      </c>
      <c r="G6890" s="19" t="n">
        <v>0.0663</v>
      </c>
    </row>
    <row r="6891" customFormat="false" ht="15" hidden="false" customHeight="false" outlineLevel="0" collapsed="false">
      <c r="A6891" s="28" t="s">
        <v>216</v>
      </c>
      <c r="B6891" s="28" t="s">
        <v>217</v>
      </c>
      <c r="C6891" s="28" t="s">
        <v>218</v>
      </c>
      <c r="D6891" s="23" t="n">
        <v>20</v>
      </c>
      <c r="E6891" s="23" t="n">
        <v>17</v>
      </c>
      <c r="F6891" s="28" t="s">
        <v>551</v>
      </c>
      <c r="G6891" s="19" t="n">
        <v>0.0975</v>
      </c>
    </row>
    <row r="6892" customFormat="false" ht="15" hidden="false" customHeight="false" outlineLevel="0" collapsed="false">
      <c r="A6892" s="28" t="s">
        <v>216</v>
      </c>
      <c r="B6892" s="28" t="s">
        <v>217</v>
      </c>
      <c r="C6892" s="28" t="s">
        <v>218</v>
      </c>
      <c r="D6892" s="23" t="n">
        <v>20</v>
      </c>
      <c r="E6892" s="23" t="n">
        <v>17</v>
      </c>
      <c r="F6892" s="28" t="s">
        <v>451</v>
      </c>
      <c r="G6892" s="19" t="n">
        <v>0.0661</v>
      </c>
    </row>
    <row r="6893" customFormat="false" ht="15" hidden="false" customHeight="false" outlineLevel="0" collapsed="false">
      <c r="A6893" s="28" t="s">
        <v>216</v>
      </c>
      <c r="B6893" s="28" t="s">
        <v>217</v>
      </c>
      <c r="C6893" s="28" t="s">
        <v>218</v>
      </c>
      <c r="D6893" s="23" t="n">
        <v>20</v>
      </c>
      <c r="E6893" s="23" t="n">
        <v>17</v>
      </c>
      <c r="F6893" s="28" t="s">
        <v>905</v>
      </c>
      <c r="G6893" s="19" t="n">
        <v>0.0687</v>
      </c>
    </row>
    <row r="6894" customFormat="false" ht="15" hidden="false" customHeight="false" outlineLevel="0" collapsed="false">
      <c r="A6894" s="28" t="s">
        <v>216</v>
      </c>
      <c r="B6894" s="28" t="s">
        <v>217</v>
      </c>
      <c r="C6894" s="28" t="s">
        <v>218</v>
      </c>
      <c r="D6894" s="23" t="n">
        <v>20</v>
      </c>
      <c r="E6894" s="23" t="n">
        <v>17</v>
      </c>
      <c r="F6894" s="28" t="s">
        <v>906</v>
      </c>
      <c r="G6894" s="19" t="n">
        <v>0.0701</v>
      </c>
    </row>
    <row r="6895" customFormat="false" ht="15" hidden="false" customHeight="false" outlineLevel="0" collapsed="false">
      <c r="A6895" s="28" t="s">
        <v>216</v>
      </c>
      <c r="B6895" s="28" t="s">
        <v>217</v>
      </c>
      <c r="C6895" s="28" t="s">
        <v>218</v>
      </c>
      <c r="D6895" s="23" t="n">
        <v>20</v>
      </c>
      <c r="E6895" s="23" t="n">
        <v>17</v>
      </c>
      <c r="F6895" s="28" t="s">
        <v>907</v>
      </c>
      <c r="G6895" s="19" t="n">
        <v>0.0698</v>
      </c>
    </row>
    <row r="6896" customFormat="false" ht="15" hidden="false" customHeight="false" outlineLevel="0" collapsed="false">
      <c r="A6896" s="28" t="s">
        <v>216</v>
      </c>
      <c r="B6896" s="28" t="s">
        <v>217</v>
      </c>
      <c r="C6896" s="28" t="s">
        <v>218</v>
      </c>
      <c r="D6896" s="23" t="n">
        <v>20</v>
      </c>
      <c r="E6896" s="23" t="n">
        <v>17</v>
      </c>
      <c r="F6896" s="28" t="s">
        <v>908</v>
      </c>
      <c r="G6896" s="19" t="n">
        <v>0.0714</v>
      </c>
    </row>
    <row r="6897" customFormat="false" ht="15" hidden="false" customHeight="false" outlineLevel="0" collapsed="false">
      <c r="A6897" s="28" t="s">
        <v>216</v>
      </c>
      <c r="B6897" s="28" t="s">
        <v>217</v>
      </c>
      <c r="C6897" s="28" t="s">
        <v>218</v>
      </c>
      <c r="D6897" s="23" t="n">
        <v>20</v>
      </c>
      <c r="E6897" s="23" t="n">
        <v>17</v>
      </c>
      <c r="F6897" s="28" t="s">
        <v>909</v>
      </c>
      <c r="G6897" s="19" t="n">
        <v>0.0715</v>
      </c>
    </row>
    <row r="6898" customFormat="false" ht="15" hidden="false" customHeight="false" outlineLevel="0" collapsed="false">
      <c r="A6898" s="28" t="s">
        <v>216</v>
      </c>
      <c r="B6898" s="28" t="s">
        <v>217</v>
      </c>
      <c r="C6898" s="28" t="s">
        <v>218</v>
      </c>
      <c r="D6898" s="23" t="n">
        <v>20</v>
      </c>
      <c r="E6898" s="23" t="n">
        <v>17</v>
      </c>
      <c r="F6898" s="28" t="s">
        <v>910</v>
      </c>
      <c r="G6898" s="19" t="n">
        <v>0.0719</v>
      </c>
    </row>
    <row r="6899" customFormat="false" ht="15" hidden="false" customHeight="false" outlineLevel="0" collapsed="false">
      <c r="A6899" s="28" t="s">
        <v>216</v>
      </c>
      <c r="B6899" s="28" t="s">
        <v>217</v>
      </c>
      <c r="C6899" s="28" t="s">
        <v>218</v>
      </c>
      <c r="D6899" s="23" t="n">
        <v>20</v>
      </c>
      <c r="E6899" s="23" t="n">
        <v>17</v>
      </c>
      <c r="F6899" s="28" t="s">
        <v>911</v>
      </c>
      <c r="G6899" s="19" t="n">
        <v>0.073</v>
      </c>
    </row>
    <row r="6900" customFormat="false" ht="15" hidden="false" customHeight="false" outlineLevel="0" collapsed="false">
      <c r="A6900" s="28" t="s">
        <v>216</v>
      </c>
      <c r="B6900" s="28" t="s">
        <v>217</v>
      </c>
      <c r="C6900" s="28" t="s">
        <v>218</v>
      </c>
      <c r="D6900" s="23" t="n">
        <v>20</v>
      </c>
      <c r="E6900" s="23" t="n">
        <v>17</v>
      </c>
      <c r="F6900" s="28" t="s">
        <v>912</v>
      </c>
      <c r="G6900" s="19" t="n">
        <v>0.0744</v>
      </c>
    </row>
    <row r="6901" customFormat="false" ht="15" hidden="false" customHeight="false" outlineLevel="0" collapsed="false">
      <c r="A6901" s="28" t="s">
        <v>216</v>
      </c>
      <c r="B6901" s="28" t="s">
        <v>217</v>
      </c>
      <c r="C6901" s="28" t="s">
        <v>218</v>
      </c>
      <c r="D6901" s="23" t="n">
        <v>20</v>
      </c>
      <c r="E6901" s="23" t="n">
        <v>17</v>
      </c>
      <c r="F6901" s="28" t="s">
        <v>913</v>
      </c>
      <c r="G6901" s="19" t="n">
        <v>0.0793</v>
      </c>
    </row>
    <row r="6902" customFormat="false" ht="15" hidden="false" customHeight="false" outlineLevel="0" collapsed="false">
      <c r="A6902" s="28" t="s">
        <v>216</v>
      </c>
      <c r="B6902" s="28" t="s">
        <v>217</v>
      </c>
      <c r="C6902" s="28" t="s">
        <v>218</v>
      </c>
      <c r="D6902" s="23" t="n">
        <v>20</v>
      </c>
      <c r="E6902" s="23" t="n">
        <v>17</v>
      </c>
      <c r="F6902" s="28" t="s">
        <v>914</v>
      </c>
      <c r="G6902" s="19" t="n">
        <v>0.0791</v>
      </c>
    </row>
    <row r="6903" customFormat="false" ht="15" hidden="false" customHeight="false" outlineLevel="0" collapsed="false">
      <c r="A6903" s="28" t="s">
        <v>216</v>
      </c>
      <c r="B6903" s="28" t="s">
        <v>217</v>
      </c>
      <c r="C6903" s="28" t="s">
        <v>218</v>
      </c>
      <c r="D6903" s="23" t="n">
        <v>20</v>
      </c>
      <c r="E6903" s="23" t="n">
        <v>17</v>
      </c>
      <c r="F6903" s="28" t="s">
        <v>915</v>
      </c>
      <c r="G6903" s="19" t="n">
        <v>0.0949</v>
      </c>
    </row>
    <row r="6904" customFormat="false" ht="15" hidden="false" customHeight="false" outlineLevel="0" collapsed="false">
      <c r="A6904" s="28" t="s">
        <v>216</v>
      </c>
      <c r="B6904" s="28" t="s">
        <v>217</v>
      </c>
      <c r="C6904" s="28" t="s">
        <v>218</v>
      </c>
      <c r="D6904" s="23" t="n">
        <v>20</v>
      </c>
      <c r="E6904" s="23" t="n">
        <v>18</v>
      </c>
      <c r="F6904" s="28" t="s">
        <v>904</v>
      </c>
      <c r="G6904" s="19" t="n">
        <v>0.0663</v>
      </c>
    </row>
    <row r="6905" customFormat="false" ht="15" hidden="false" customHeight="false" outlineLevel="0" collapsed="false">
      <c r="A6905" s="28" t="s">
        <v>216</v>
      </c>
      <c r="B6905" s="28" t="s">
        <v>217</v>
      </c>
      <c r="C6905" s="28" t="s">
        <v>218</v>
      </c>
      <c r="D6905" s="23" t="n">
        <v>20</v>
      </c>
      <c r="E6905" s="23" t="n">
        <v>18</v>
      </c>
      <c r="F6905" s="28" t="s">
        <v>551</v>
      </c>
      <c r="G6905" s="19" t="n">
        <v>0.0975</v>
      </c>
    </row>
    <row r="6906" customFormat="false" ht="15" hidden="false" customHeight="false" outlineLevel="0" collapsed="false">
      <c r="A6906" s="28" t="s">
        <v>216</v>
      </c>
      <c r="B6906" s="28" t="s">
        <v>217</v>
      </c>
      <c r="C6906" s="28" t="s">
        <v>218</v>
      </c>
      <c r="D6906" s="23" t="n">
        <v>20</v>
      </c>
      <c r="E6906" s="23" t="n">
        <v>18</v>
      </c>
      <c r="F6906" s="28" t="s">
        <v>451</v>
      </c>
      <c r="G6906" s="19" t="n">
        <v>0.0661</v>
      </c>
    </row>
    <row r="6907" customFormat="false" ht="15" hidden="false" customHeight="false" outlineLevel="0" collapsed="false">
      <c r="A6907" s="28" t="s">
        <v>216</v>
      </c>
      <c r="B6907" s="28" t="s">
        <v>217</v>
      </c>
      <c r="C6907" s="28" t="s">
        <v>218</v>
      </c>
      <c r="D6907" s="23" t="n">
        <v>20</v>
      </c>
      <c r="E6907" s="23" t="n">
        <v>18</v>
      </c>
      <c r="F6907" s="28" t="s">
        <v>905</v>
      </c>
      <c r="G6907" s="19" t="n">
        <v>0.0687</v>
      </c>
    </row>
    <row r="6908" customFormat="false" ht="15" hidden="false" customHeight="false" outlineLevel="0" collapsed="false">
      <c r="A6908" s="28" t="s">
        <v>216</v>
      </c>
      <c r="B6908" s="28" t="s">
        <v>217</v>
      </c>
      <c r="C6908" s="28" t="s">
        <v>218</v>
      </c>
      <c r="D6908" s="23" t="n">
        <v>20</v>
      </c>
      <c r="E6908" s="23" t="n">
        <v>18</v>
      </c>
      <c r="F6908" s="28" t="s">
        <v>906</v>
      </c>
      <c r="G6908" s="19" t="n">
        <v>0.0701</v>
      </c>
    </row>
    <row r="6909" customFormat="false" ht="15" hidden="false" customHeight="false" outlineLevel="0" collapsed="false">
      <c r="A6909" s="28" t="s">
        <v>216</v>
      </c>
      <c r="B6909" s="28" t="s">
        <v>217</v>
      </c>
      <c r="C6909" s="28" t="s">
        <v>218</v>
      </c>
      <c r="D6909" s="23" t="n">
        <v>20</v>
      </c>
      <c r="E6909" s="23" t="n">
        <v>18</v>
      </c>
      <c r="F6909" s="28" t="s">
        <v>907</v>
      </c>
      <c r="G6909" s="19" t="n">
        <v>0.0698</v>
      </c>
    </row>
    <row r="6910" customFormat="false" ht="15" hidden="false" customHeight="false" outlineLevel="0" collapsed="false">
      <c r="A6910" s="28" t="s">
        <v>216</v>
      </c>
      <c r="B6910" s="28" t="s">
        <v>217</v>
      </c>
      <c r="C6910" s="28" t="s">
        <v>218</v>
      </c>
      <c r="D6910" s="23" t="n">
        <v>20</v>
      </c>
      <c r="E6910" s="23" t="n">
        <v>18</v>
      </c>
      <c r="F6910" s="28" t="s">
        <v>908</v>
      </c>
      <c r="G6910" s="19" t="n">
        <v>0.0714</v>
      </c>
    </row>
    <row r="6911" customFormat="false" ht="15" hidden="false" customHeight="false" outlineLevel="0" collapsed="false">
      <c r="A6911" s="28" t="s">
        <v>216</v>
      </c>
      <c r="B6911" s="28" t="s">
        <v>217</v>
      </c>
      <c r="C6911" s="28" t="s">
        <v>218</v>
      </c>
      <c r="D6911" s="23" t="n">
        <v>20</v>
      </c>
      <c r="E6911" s="23" t="n">
        <v>18</v>
      </c>
      <c r="F6911" s="28" t="s">
        <v>909</v>
      </c>
      <c r="G6911" s="19" t="n">
        <v>0.0715</v>
      </c>
    </row>
    <row r="6912" customFormat="false" ht="15" hidden="false" customHeight="false" outlineLevel="0" collapsed="false">
      <c r="A6912" s="28" t="s">
        <v>216</v>
      </c>
      <c r="B6912" s="28" t="s">
        <v>217</v>
      </c>
      <c r="C6912" s="28" t="s">
        <v>218</v>
      </c>
      <c r="D6912" s="23" t="n">
        <v>20</v>
      </c>
      <c r="E6912" s="23" t="n">
        <v>18</v>
      </c>
      <c r="F6912" s="28" t="s">
        <v>910</v>
      </c>
      <c r="G6912" s="19" t="n">
        <v>0.0719</v>
      </c>
    </row>
    <row r="6913" customFormat="false" ht="15" hidden="false" customHeight="false" outlineLevel="0" collapsed="false">
      <c r="A6913" s="28" t="s">
        <v>216</v>
      </c>
      <c r="B6913" s="28" t="s">
        <v>217</v>
      </c>
      <c r="C6913" s="28" t="s">
        <v>218</v>
      </c>
      <c r="D6913" s="23" t="n">
        <v>20</v>
      </c>
      <c r="E6913" s="23" t="n">
        <v>18</v>
      </c>
      <c r="F6913" s="28" t="s">
        <v>911</v>
      </c>
      <c r="G6913" s="19" t="n">
        <v>0.073</v>
      </c>
    </row>
    <row r="6914" customFormat="false" ht="15" hidden="false" customHeight="false" outlineLevel="0" collapsed="false">
      <c r="A6914" s="28" t="s">
        <v>216</v>
      </c>
      <c r="B6914" s="28" t="s">
        <v>217</v>
      </c>
      <c r="C6914" s="28" t="s">
        <v>218</v>
      </c>
      <c r="D6914" s="23" t="n">
        <v>20</v>
      </c>
      <c r="E6914" s="23" t="n">
        <v>18</v>
      </c>
      <c r="F6914" s="28" t="s">
        <v>912</v>
      </c>
      <c r="G6914" s="19" t="n">
        <v>0.0744</v>
      </c>
    </row>
    <row r="6915" customFormat="false" ht="15" hidden="false" customHeight="false" outlineLevel="0" collapsed="false">
      <c r="A6915" s="28" t="s">
        <v>216</v>
      </c>
      <c r="B6915" s="28" t="s">
        <v>217</v>
      </c>
      <c r="C6915" s="28" t="s">
        <v>218</v>
      </c>
      <c r="D6915" s="23" t="n">
        <v>20</v>
      </c>
      <c r="E6915" s="23" t="n">
        <v>18</v>
      </c>
      <c r="F6915" s="28" t="s">
        <v>913</v>
      </c>
      <c r="G6915" s="19" t="n">
        <v>0.0793</v>
      </c>
    </row>
    <row r="6916" customFormat="false" ht="15" hidden="false" customHeight="false" outlineLevel="0" collapsed="false">
      <c r="A6916" s="28" t="s">
        <v>216</v>
      </c>
      <c r="B6916" s="28" t="s">
        <v>217</v>
      </c>
      <c r="C6916" s="28" t="s">
        <v>218</v>
      </c>
      <c r="D6916" s="23" t="n">
        <v>20</v>
      </c>
      <c r="E6916" s="23" t="n">
        <v>18</v>
      </c>
      <c r="F6916" s="28" t="s">
        <v>914</v>
      </c>
      <c r="G6916" s="19" t="n">
        <v>0.0791</v>
      </c>
    </row>
    <row r="6917" customFormat="false" ht="15" hidden="false" customHeight="false" outlineLevel="0" collapsed="false">
      <c r="A6917" s="28" t="s">
        <v>216</v>
      </c>
      <c r="B6917" s="28" t="s">
        <v>217</v>
      </c>
      <c r="C6917" s="28" t="s">
        <v>218</v>
      </c>
      <c r="D6917" s="23" t="n">
        <v>20</v>
      </c>
      <c r="E6917" s="23" t="n">
        <v>18</v>
      </c>
      <c r="F6917" s="28" t="s">
        <v>915</v>
      </c>
      <c r="G6917" s="19" t="n">
        <v>0.0949</v>
      </c>
    </row>
    <row r="6918" customFormat="false" ht="15" hidden="false" customHeight="false" outlineLevel="0" collapsed="false">
      <c r="A6918" s="28" t="s">
        <v>216</v>
      </c>
      <c r="B6918" s="28" t="s">
        <v>217</v>
      </c>
      <c r="C6918" s="28" t="s">
        <v>218</v>
      </c>
      <c r="D6918" s="23" t="n">
        <v>20</v>
      </c>
      <c r="E6918" s="23" t="n">
        <v>19</v>
      </c>
      <c r="F6918" s="28" t="s">
        <v>904</v>
      </c>
      <c r="G6918" s="19" t="n">
        <v>0.0663</v>
      </c>
    </row>
    <row r="6919" customFormat="false" ht="15" hidden="false" customHeight="false" outlineLevel="0" collapsed="false">
      <c r="A6919" s="28" t="s">
        <v>216</v>
      </c>
      <c r="B6919" s="28" t="s">
        <v>217</v>
      </c>
      <c r="C6919" s="28" t="s">
        <v>218</v>
      </c>
      <c r="D6919" s="23" t="n">
        <v>20</v>
      </c>
      <c r="E6919" s="23" t="n">
        <v>19</v>
      </c>
      <c r="F6919" s="28" t="s">
        <v>551</v>
      </c>
      <c r="G6919" s="19" t="n">
        <v>0.0975</v>
      </c>
    </row>
    <row r="6920" customFormat="false" ht="15" hidden="false" customHeight="false" outlineLevel="0" collapsed="false">
      <c r="A6920" s="28" t="s">
        <v>216</v>
      </c>
      <c r="B6920" s="28" t="s">
        <v>217</v>
      </c>
      <c r="C6920" s="28" t="s">
        <v>218</v>
      </c>
      <c r="D6920" s="23" t="n">
        <v>20</v>
      </c>
      <c r="E6920" s="23" t="n">
        <v>19</v>
      </c>
      <c r="F6920" s="28" t="s">
        <v>451</v>
      </c>
      <c r="G6920" s="19" t="n">
        <v>0.0661</v>
      </c>
    </row>
    <row r="6921" customFormat="false" ht="15" hidden="false" customHeight="false" outlineLevel="0" collapsed="false">
      <c r="A6921" s="28" t="s">
        <v>216</v>
      </c>
      <c r="B6921" s="28" t="s">
        <v>217</v>
      </c>
      <c r="C6921" s="28" t="s">
        <v>218</v>
      </c>
      <c r="D6921" s="23" t="n">
        <v>20</v>
      </c>
      <c r="E6921" s="23" t="n">
        <v>19</v>
      </c>
      <c r="F6921" s="28" t="s">
        <v>905</v>
      </c>
      <c r="G6921" s="19" t="n">
        <v>0.0687</v>
      </c>
    </row>
    <row r="6922" customFormat="false" ht="15" hidden="false" customHeight="false" outlineLevel="0" collapsed="false">
      <c r="A6922" s="28" t="s">
        <v>216</v>
      </c>
      <c r="B6922" s="28" t="s">
        <v>217</v>
      </c>
      <c r="C6922" s="28" t="s">
        <v>218</v>
      </c>
      <c r="D6922" s="23" t="n">
        <v>20</v>
      </c>
      <c r="E6922" s="23" t="n">
        <v>19</v>
      </c>
      <c r="F6922" s="28" t="s">
        <v>906</v>
      </c>
      <c r="G6922" s="19" t="n">
        <v>0.0701</v>
      </c>
    </row>
    <row r="6923" customFormat="false" ht="15" hidden="false" customHeight="false" outlineLevel="0" collapsed="false">
      <c r="A6923" s="28" t="s">
        <v>216</v>
      </c>
      <c r="B6923" s="28" t="s">
        <v>217</v>
      </c>
      <c r="C6923" s="28" t="s">
        <v>218</v>
      </c>
      <c r="D6923" s="23" t="n">
        <v>20</v>
      </c>
      <c r="E6923" s="23" t="n">
        <v>19</v>
      </c>
      <c r="F6923" s="28" t="s">
        <v>907</v>
      </c>
      <c r="G6923" s="19" t="n">
        <v>0.0698</v>
      </c>
    </row>
    <row r="6924" customFormat="false" ht="15" hidden="false" customHeight="false" outlineLevel="0" collapsed="false">
      <c r="A6924" s="28" t="s">
        <v>216</v>
      </c>
      <c r="B6924" s="28" t="s">
        <v>217</v>
      </c>
      <c r="C6924" s="28" t="s">
        <v>218</v>
      </c>
      <c r="D6924" s="23" t="n">
        <v>20</v>
      </c>
      <c r="E6924" s="23" t="n">
        <v>19</v>
      </c>
      <c r="F6924" s="28" t="s">
        <v>908</v>
      </c>
      <c r="G6924" s="19" t="n">
        <v>0.0714</v>
      </c>
    </row>
    <row r="6925" customFormat="false" ht="15" hidden="false" customHeight="false" outlineLevel="0" collapsed="false">
      <c r="A6925" s="28" t="s">
        <v>216</v>
      </c>
      <c r="B6925" s="28" t="s">
        <v>217</v>
      </c>
      <c r="C6925" s="28" t="s">
        <v>218</v>
      </c>
      <c r="D6925" s="23" t="n">
        <v>20</v>
      </c>
      <c r="E6925" s="23" t="n">
        <v>19</v>
      </c>
      <c r="F6925" s="28" t="s">
        <v>909</v>
      </c>
      <c r="G6925" s="19" t="n">
        <v>0.0715</v>
      </c>
    </row>
    <row r="6926" customFormat="false" ht="15" hidden="false" customHeight="false" outlineLevel="0" collapsed="false">
      <c r="A6926" s="28" t="s">
        <v>216</v>
      </c>
      <c r="B6926" s="28" t="s">
        <v>217</v>
      </c>
      <c r="C6926" s="28" t="s">
        <v>218</v>
      </c>
      <c r="D6926" s="23" t="n">
        <v>20</v>
      </c>
      <c r="E6926" s="23" t="n">
        <v>19</v>
      </c>
      <c r="F6926" s="28" t="s">
        <v>910</v>
      </c>
      <c r="G6926" s="19" t="n">
        <v>0.0719</v>
      </c>
    </row>
    <row r="6927" customFormat="false" ht="15" hidden="false" customHeight="false" outlineLevel="0" collapsed="false">
      <c r="A6927" s="28" t="s">
        <v>216</v>
      </c>
      <c r="B6927" s="28" t="s">
        <v>217</v>
      </c>
      <c r="C6927" s="28" t="s">
        <v>218</v>
      </c>
      <c r="D6927" s="23" t="n">
        <v>20</v>
      </c>
      <c r="E6927" s="23" t="n">
        <v>19</v>
      </c>
      <c r="F6927" s="28" t="s">
        <v>911</v>
      </c>
      <c r="G6927" s="19" t="n">
        <v>0.073</v>
      </c>
    </row>
    <row r="6928" customFormat="false" ht="15" hidden="false" customHeight="false" outlineLevel="0" collapsed="false">
      <c r="A6928" s="28" t="s">
        <v>216</v>
      </c>
      <c r="B6928" s="28" t="s">
        <v>217</v>
      </c>
      <c r="C6928" s="28" t="s">
        <v>218</v>
      </c>
      <c r="D6928" s="23" t="n">
        <v>20</v>
      </c>
      <c r="E6928" s="23" t="n">
        <v>19</v>
      </c>
      <c r="F6928" s="28" t="s">
        <v>912</v>
      </c>
      <c r="G6928" s="19" t="n">
        <v>0.0744</v>
      </c>
    </row>
    <row r="6929" customFormat="false" ht="15" hidden="false" customHeight="false" outlineLevel="0" collapsed="false">
      <c r="A6929" s="28" t="s">
        <v>216</v>
      </c>
      <c r="B6929" s="28" t="s">
        <v>217</v>
      </c>
      <c r="C6929" s="28" t="s">
        <v>218</v>
      </c>
      <c r="D6929" s="23" t="n">
        <v>20</v>
      </c>
      <c r="E6929" s="23" t="n">
        <v>19</v>
      </c>
      <c r="F6929" s="28" t="s">
        <v>913</v>
      </c>
      <c r="G6929" s="19" t="n">
        <v>0.0793</v>
      </c>
    </row>
    <row r="6930" customFormat="false" ht="15" hidden="false" customHeight="false" outlineLevel="0" collapsed="false">
      <c r="A6930" s="28" t="s">
        <v>216</v>
      </c>
      <c r="B6930" s="28" t="s">
        <v>217</v>
      </c>
      <c r="C6930" s="28" t="s">
        <v>218</v>
      </c>
      <c r="D6930" s="23" t="n">
        <v>20</v>
      </c>
      <c r="E6930" s="23" t="n">
        <v>19</v>
      </c>
      <c r="F6930" s="28" t="s">
        <v>914</v>
      </c>
      <c r="G6930" s="19" t="n">
        <v>0.0791</v>
      </c>
    </row>
    <row r="6931" customFormat="false" ht="15" hidden="false" customHeight="false" outlineLevel="0" collapsed="false">
      <c r="A6931" s="28" t="s">
        <v>216</v>
      </c>
      <c r="B6931" s="28" t="s">
        <v>217</v>
      </c>
      <c r="C6931" s="28" t="s">
        <v>218</v>
      </c>
      <c r="D6931" s="23" t="n">
        <v>20</v>
      </c>
      <c r="E6931" s="23" t="n">
        <v>19</v>
      </c>
      <c r="F6931" s="28" t="s">
        <v>915</v>
      </c>
      <c r="G6931" s="19" t="n">
        <v>0.0949</v>
      </c>
    </row>
    <row r="6932" customFormat="false" ht="15" hidden="false" customHeight="false" outlineLevel="0" collapsed="false">
      <c r="A6932" s="28" t="s">
        <v>216</v>
      </c>
      <c r="B6932" s="28" t="s">
        <v>217</v>
      </c>
      <c r="C6932" s="28" t="s">
        <v>218</v>
      </c>
      <c r="D6932" s="23" t="n">
        <v>20</v>
      </c>
      <c r="E6932" s="23" t="n">
        <v>20</v>
      </c>
      <c r="F6932" s="28" t="s">
        <v>904</v>
      </c>
      <c r="G6932" s="19" t="n">
        <v>0.0663</v>
      </c>
    </row>
    <row r="6933" customFormat="false" ht="15" hidden="false" customHeight="false" outlineLevel="0" collapsed="false">
      <c r="A6933" s="28" t="s">
        <v>216</v>
      </c>
      <c r="B6933" s="28" t="s">
        <v>217</v>
      </c>
      <c r="C6933" s="28" t="s">
        <v>218</v>
      </c>
      <c r="D6933" s="23" t="n">
        <v>20</v>
      </c>
      <c r="E6933" s="23" t="n">
        <v>20</v>
      </c>
      <c r="F6933" s="28" t="s">
        <v>551</v>
      </c>
      <c r="G6933" s="19" t="n">
        <v>0.0975</v>
      </c>
    </row>
    <row r="6934" customFormat="false" ht="15" hidden="false" customHeight="false" outlineLevel="0" collapsed="false">
      <c r="A6934" s="28" t="s">
        <v>216</v>
      </c>
      <c r="B6934" s="28" t="s">
        <v>217</v>
      </c>
      <c r="C6934" s="28" t="s">
        <v>218</v>
      </c>
      <c r="D6934" s="23" t="n">
        <v>20</v>
      </c>
      <c r="E6934" s="23" t="n">
        <v>20</v>
      </c>
      <c r="F6934" s="28" t="s">
        <v>451</v>
      </c>
      <c r="G6934" s="19" t="n">
        <v>0.0661</v>
      </c>
    </row>
    <row r="6935" customFormat="false" ht="15" hidden="false" customHeight="false" outlineLevel="0" collapsed="false">
      <c r="A6935" s="28" t="s">
        <v>216</v>
      </c>
      <c r="B6935" s="28" t="s">
        <v>217</v>
      </c>
      <c r="C6935" s="28" t="s">
        <v>218</v>
      </c>
      <c r="D6935" s="23" t="n">
        <v>20</v>
      </c>
      <c r="E6935" s="23" t="n">
        <v>20</v>
      </c>
      <c r="F6935" s="28" t="s">
        <v>905</v>
      </c>
      <c r="G6935" s="19" t="n">
        <v>0.0687</v>
      </c>
    </row>
    <row r="6936" customFormat="false" ht="15" hidden="false" customHeight="false" outlineLevel="0" collapsed="false">
      <c r="A6936" s="28" t="s">
        <v>216</v>
      </c>
      <c r="B6936" s="28" t="s">
        <v>217</v>
      </c>
      <c r="C6936" s="28" t="s">
        <v>218</v>
      </c>
      <c r="D6936" s="23" t="n">
        <v>20</v>
      </c>
      <c r="E6936" s="23" t="n">
        <v>20</v>
      </c>
      <c r="F6936" s="28" t="s">
        <v>906</v>
      </c>
      <c r="G6936" s="19" t="n">
        <v>0.0701</v>
      </c>
    </row>
    <row r="6937" customFormat="false" ht="15" hidden="false" customHeight="false" outlineLevel="0" collapsed="false">
      <c r="A6937" s="28" t="s">
        <v>216</v>
      </c>
      <c r="B6937" s="28" t="s">
        <v>217</v>
      </c>
      <c r="C6937" s="28" t="s">
        <v>218</v>
      </c>
      <c r="D6937" s="23" t="n">
        <v>20</v>
      </c>
      <c r="E6937" s="23" t="n">
        <v>20</v>
      </c>
      <c r="F6937" s="28" t="s">
        <v>907</v>
      </c>
      <c r="G6937" s="19" t="n">
        <v>0.0698</v>
      </c>
    </row>
    <row r="6938" customFormat="false" ht="15" hidden="false" customHeight="false" outlineLevel="0" collapsed="false">
      <c r="A6938" s="28" t="s">
        <v>216</v>
      </c>
      <c r="B6938" s="28" t="s">
        <v>217</v>
      </c>
      <c r="C6938" s="28" t="s">
        <v>218</v>
      </c>
      <c r="D6938" s="23" t="n">
        <v>20</v>
      </c>
      <c r="E6938" s="23" t="n">
        <v>20</v>
      </c>
      <c r="F6938" s="28" t="s">
        <v>908</v>
      </c>
      <c r="G6938" s="19" t="n">
        <v>0.0714</v>
      </c>
    </row>
    <row r="6939" customFormat="false" ht="15" hidden="false" customHeight="false" outlineLevel="0" collapsed="false">
      <c r="A6939" s="28" t="s">
        <v>216</v>
      </c>
      <c r="B6939" s="28" t="s">
        <v>217</v>
      </c>
      <c r="C6939" s="28" t="s">
        <v>218</v>
      </c>
      <c r="D6939" s="23" t="n">
        <v>20</v>
      </c>
      <c r="E6939" s="23" t="n">
        <v>20</v>
      </c>
      <c r="F6939" s="28" t="s">
        <v>909</v>
      </c>
      <c r="G6939" s="19" t="n">
        <v>0.0715</v>
      </c>
    </row>
    <row r="6940" customFormat="false" ht="15" hidden="false" customHeight="false" outlineLevel="0" collapsed="false">
      <c r="A6940" s="28" t="s">
        <v>216</v>
      </c>
      <c r="B6940" s="28" t="s">
        <v>217</v>
      </c>
      <c r="C6940" s="28" t="s">
        <v>218</v>
      </c>
      <c r="D6940" s="23" t="n">
        <v>20</v>
      </c>
      <c r="E6940" s="23" t="n">
        <v>20</v>
      </c>
      <c r="F6940" s="28" t="s">
        <v>910</v>
      </c>
      <c r="G6940" s="19" t="n">
        <v>0.0719</v>
      </c>
    </row>
    <row r="6941" customFormat="false" ht="15" hidden="false" customHeight="false" outlineLevel="0" collapsed="false">
      <c r="A6941" s="28" t="s">
        <v>216</v>
      </c>
      <c r="B6941" s="28" t="s">
        <v>217</v>
      </c>
      <c r="C6941" s="28" t="s">
        <v>218</v>
      </c>
      <c r="D6941" s="23" t="n">
        <v>20</v>
      </c>
      <c r="E6941" s="23" t="n">
        <v>20</v>
      </c>
      <c r="F6941" s="28" t="s">
        <v>911</v>
      </c>
      <c r="G6941" s="19" t="n">
        <v>0.073</v>
      </c>
    </row>
    <row r="6942" customFormat="false" ht="15" hidden="false" customHeight="false" outlineLevel="0" collapsed="false">
      <c r="A6942" s="28" t="s">
        <v>216</v>
      </c>
      <c r="B6942" s="28" t="s">
        <v>217</v>
      </c>
      <c r="C6942" s="28" t="s">
        <v>218</v>
      </c>
      <c r="D6942" s="23" t="n">
        <v>20</v>
      </c>
      <c r="E6942" s="23" t="n">
        <v>20</v>
      </c>
      <c r="F6942" s="28" t="s">
        <v>912</v>
      </c>
      <c r="G6942" s="19" t="n">
        <v>0.0744</v>
      </c>
    </row>
    <row r="6943" customFormat="false" ht="15" hidden="false" customHeight="false" outlineLevel="0" collapsed="false">
      <c r="A6943" s="28" t="s">
        <v>216</v>
      </c>
      <c r="B6943" s="28" t="s">
        <v>217</v>
      </c>
      <c r="C6943" s="28" t="s">
        <v>218</v>
      </c>
      <c r="D6943" s="23" t="n">
        <v>20</v>
      </c>
      <c r="E6943" s="23" t="n">
        <v>20</v>
      </c>
      <c r="F6943" s="28" t="s">
        <v>913</v>
      </c>
      <c r="G6943" s="19" t="n">
        <v>0.0793</v>
      </c>
    </row>
    <row r="6944" customFormat="false" ht="15" hidden="false" customHeight="false" outlineLevel="0" collapsed="false">
      <c r="A6944" s="28" t="s">
        <v>216</v>
      </c>
      <c r="B6944" s="28" t="s">
        <v>217</v>
      </c>
      <c r="C6944" s="28" t="s">
        <v>218</v>
      </c>
      <c r="D6944" s="23" t="n">
        <v>20</v>
      </c>
      <c r="E6944" s="23" t="n">
        <v>20</v>
      </c>
      <c r="F6944" s="28" t="s">
        <v>914</v>
      </c>
      <c r="G6944" s="19" t="n">
        <v>0.0791</v>
      </c>
    </row>
    <row r="6945" customFormat="false" ht="15" hidden="false" customHeight="false" outlineLevel="0" collapsed="false">
      <c r="A6945" s="28" t="s">
        <v>216</v>
      </c>
      <c r="B6945" s="28" t="s">
        <v>217</v>
      </c>
      <c r="C6945" s="28" t="s">
        <v>218</v>
      </c>
      <c r="D6945" s="23" t="n">
        <v>20</v>
      </c>
      <c r="E6945" s="23" t="n">
        <v>20</v>
      </c>
      <c r="F6945" s="28" t="s">
        <v>915</v>
      </c>
      <c r="G6945" s="19" t="n">
        <v>0.0949</v>
      </c>
    </row>
    <row r="6946" customFormat="false" ht="15" hidden="false" customHeight="false" outlineLevel="0" collapsed="false">
      <c r="A6946" s="28" t="s">
        <v>216</v>
      </c>
      <c r="B6946" s="28" t="s">
        <v>217</v>
      </c>
      <c r="C6946" s="28" t="s">
        <v>218</v>
      </c>
      <c r="D6946" s="23" t="n">
        <v>20</v>
      </c>
      <c r="E6946" s="23" t="n">
        <v>21</v>
      </c>
      <c r="F6946" s="28" t="s">
        <v>904</v>
      </c>
      <c r="G6946" s="19" t="n">
        <v>0.0663</v>
      </c>
    </row>
    <row r="6947" customFormat="false" ht="15" hidden="false" customHeight="false" outlineLevel="0" collapsed="false">
      <c r="A6947" s="28" t="s">
        <v>216</v>
      </c>
      <c r="B6947" s="28" t="s">
        <v>217</v>
      </c>
      <c r="C6947" s="28" t="s">
        <v>218</v>
      </c>
      <c r="D6947" s="23" t="n">
        <v>20</v>
      </c>
      <c r="E6947" s="23" t="n">
        <v>21</v>
      </c>
      <c r="F6947" s="28" t="s">
        <v>551</v>
      </c>
      <c r="G6947" s="19" t="n">
        <v>0.0975</v>
      </c>
    </row>
    <row r="6948" customFormat="false" ht="15" hidden="false" customHeight="false" outlineLevel="0" collapsed="false">
      <c r="A6948" s="28" t="s">
        <v>216</v>
      </c>
      <c r="B6948" s="28" t="s">
        <v>217</v>
      </c>
      <c r="C6948" s="28" t="s">
        <v>218</v>
      </c>
      <c r="D6948" s="23" t="n">
        <v>20</v>
      </c>
      <c r="E6948" s="23" t="n">
        <v>21</v>
      </c>
      <c r="F6948" s="28" t="s">
        <v>451</v>
      </c>
      <c r="G6948" s="19" t="n">
        <v>0.0661</v>
      </c>
    </row>
    <row r="6949" customFormat="false" ht="15" hidden="false" customHeight="false" outlineLevel="0" collapsed="false">
      <c r="A6949" s="28" t="s">
        <v>216</v>
      </c>
      <c r="B6949" s="28" t="s">
        <v>217</v>
      </c>
      <c r="C6949" s="28" t="s">
        <v>218</v>
      </c>
      <c r="D6949" s="23" t="n">
        <v>20</v>
      </c>
      <c r="E6949" s="23" t="n">
        <v>21</v>
      </c>
      <c r="F6949" s="28" t="s">
        <v>905</v>
      </c>
      <c r="G6949" s="19" t="n">
        <v>0.0687</v>
      </c>
    </row>
    <row r="6950" customFormat="false" ht="15" hidden="false" customHeight="false" outlineLevel="0" collapsed="false">
      <c r="A6950" s="28" t="s">
        <v>216</v>
      </c>
      <c r="B6950" s="28" t="s">
        <v>217</v>
      </c>
      <c r="C6950" s="28" t="s">
        <v>218</v>
      </c>
      <c r="D6950" s="23" t="n">
        <v>20</v>
      </c>
      <c r="E6950" s="23" t="n">
        <v>21</v>
      </c>
      <c r="F6950" s="28" t="s">
        <v>906</v>
      </c>
      <c r="G6950" s="19" t="n">
        <v>0.0701</v>
      </c>
    </row>
    <row r="6951" customFormat="false" ht="15" hidden="false" customHeight="false" outlineLevel="0" collapsed="false">
      <c r="A6951" s="28" t="s">
        <v>216</v>
      </c>
      <c r="B6951" s="28" t="s">
        <v>217</v>
      </c>
      <c r="C6951" s="28" t="s">
        <v>218</v>
      </c>
      <c r="D6951" s="23" t="n">
        <v>20</v>
      </c>
      <c r="E6951" s="23" t="n">
        <v>21</v>
      </c>
      <c r="F6951" s="28" t="s">
        <v>907</v>
      </c>
      <c r="G6951" s="19" t="n">
        <v>0.0698</v>
      </c>
    </row>
    <row r="6952" customFormat="false" ht="15" hidden="false" customHeight="false" outlineLevel="0" collapsed="false">
      <c r="A6952" s="28" t="s">
        <v>216</v>
      </c>
      <c r="B6952" s="28" t="s">
        <v>217</v>
      </c>
      <c r="C6952" s="28" t="s">
        <v>218</v>
      </c>
      <c r="D6952" s="23" t="n">
        <v>20</v>
      </c>
      <c r="E6952" s="23" t="n">
        <v>21</v>
      </c>
      <c r="F6952" s="28" t="s">
        <v>908</v>
      </c>
      <c r="G6952" s="19" t="n">
        <v>0.0714</v>
      </c>
    </row>
    <row r="6953" customFormat="false" ht="15" hidden="false" customHeight="false" outlineLevel="0" collapsed="false">
      <c r="A6953" s="28" t="s">
        <v>216</v>
      </c>
      <c r="B6953" s="28" t="s">
        <v>217</v>
      </c>
      <c r="C6953" s="28" t="s">
        <v>218</v>
      </c>
      <c r="D6953" s="23" t="n">
        <v>20</v>
      </c>
      <c r="E6953" s="23" t="n">
        <v>21</v>
      </c>
      <c r="F6953" s="28" t="s">
        <v>909</v>
      </c>
      <c r="G6953" s="19" t="n">
        <v>0.0715</v>
      </c>
    </row>
    <row r="6954" customFormat="false" ht="15" hidden="false" customHeight="false" outlineLevel="0" collapsed="false">
      <c r="A6954" s="28" t="s">
        <v>216</v>
      </c>
      <c r="B6954" s="28" t="s">
        <v>217</v>
      </c>
      <c r="C6954" s="28" t="s">
        <v>218</v>
      </c>
      <c r="D6954" s="23" t="n">
        <v>20</v>
      </c>
      <c r="E6954" s="23" t="n">
        <v>21</v>
      </c>
      <c r="F6954" s="28" t="s">
        <v>910</v>
      </c>
      <c r="G6954" s="19" t="n">
        <v>0.0719</v>
      </c>
    </row>
    <row r="6955" customFormat="false" ht="15" hidden="false" customHeight="false" outlineLevel="0" collapsed="false">
      <c r="A6955" s="28" t="s">
        <v>216</v>
      </c>
      <c r="B6955" s="28" t="s">
        <v>217</v>
      </c>
      <c r="C6955" s="28" t="s">
        <v>218</v>
      </c>
      <c r="D6955" s="23" t="n">
        <v>20</v>
      </c>
      <c r="E6955" s="23" t="n">
        <v>21</v>
      </c>
      <c r="F6955" s="28" t="s">
        <v>911</v>
      </c>
      <c r="G6955" s="19" t="n">
        <v>0.073</v>
      </c>
    </row>
    <row r="6956" customFormat="false" ht="15" hidden="false" customHeight="false" outlineLevel="0" collapsed="false">
      <c r="A6956" s="28" t="s">
        <v>216</v>
      </c>
      <c r="B6956" s="28" t="s">
        <v>217</v>
      </c>
      <c r="C6956" s="28" t="s">
        <v>218</v>
      </c>
      <c r="D6956" s="23" t="n">
        <v>20</v>
      </c>
      <c r="E6956" s="23" t="n">
        <v>21</v>
      </c>
      <c r="F6956" s="28" t="s">
        <v>912</v>
      </c>
      <c r="G6956" s="19" t="n">
        <v>0.0744</v>
      </c>
    </row>
    <row r="6957" customFormat="false" ht="15" hidden="false" customHeight="false" outlineLevel="0" collapsed="false">
      <c r="A6957" s="28" t="s">
        <v>216</v>
      </c>
      <c r="B6957" s="28" t="s">
        <v>217</v>
      </c>
      <c r="C6957" s="28" t="s">
        <v>218</v>
      </c>
      <c r="D6957" s="23" t="n">
        <v>20</v>
      </c>
      <c r="E6957" s="23" t="n">
        <v>21</v>
      </c>
      <c r="F6957" s="28" t="s">
        <v>913</v>
      </c>
      <c r="G6957" s="19" t="n">
        <v>0.0793</v>
      </c>
    </row>
    <row r="6958" customFormat="false" ht="15" hidden="false" customHeight="false" outlineLevel="0" collapsed="false">
      <c r="A6958" s="28" t="s">
        <v>216</v>
      </c>
      <c r="B6958" s="28" t="s">
        <v>217</v>
      </c>
      <c r="C6958" s="28" t="s">
        <v>218</v>
      </c>
      <c r="D6958" s="23" t="n">
        <v>20</v>
      </c>
      <c r="E6958" s="23" t="n">
        <v>21</v>
      </c>
      <c r="F6958" s="28" t="s">
        <v>914</v>
      </c>
      <c r="G6958" s="19" t="n">
        <v>0.0791</v>
      </c>
    </row>
    <row r="6959" customFormat="false" ht="15" hidden="false" customHeight="false" outlineLevel="0" collapsed="false">
      <c r="A6959" s="28" t="s">
        <v>216</v>
      </c>
      <c r="B6959" s="28" t="s">
        <v>217</v>
      </c>
      <c r="C6959" s="28" t="s">
        <v>218</v>
      </c>
      <c r="D6959" s="23" t="n">
        <v>20</v>
      </c>
      <c r="E6959" s="23" t="n">
        <v>21</v>
      </c>
      <c r="F6959" s="28" t="s">
        <v>915</v>
      </c>
      <c r="G6959" s="19" t="n">
        <v>0.0949</v>
      </c>
    </row>
    <row r="6960" customFormat="false" ht="15" hidden="false" customHeight="false" outlineLevel="0" collapsed="false">
      <c r="A6960" s="28" t="s">
        <v>216</v>
      </c>
      <c r="B6960" s="28" t="s">
        <v>217</v>
      </c>
      <c r="C6960" s="28" t="s">
        <v>218</v>
      </c>
      <c r="D6960" s="23" t="n">
        <v>20</v>
      </c>
      <c r="E6960" s="23" t="n">
        <v>22</v>
      </c>
      <c r="F6960" s="28" t="s">
        <v>904</v>
      </c>
      <c r="G6960" s="19" t="n">
        <v>0.0663</v>
      </c>
    </row>
    <row r="6961" customFormat="false" ht="15" hidden="false" customHeight="false" outlineLevel="0" collapsed="false">
      <c r="A6961" s="28" t="s">
        <v>216</v>
      </c>
      <c r="B6961" s="28" t="s">
        <v>217</v>
      </c>
      <c r="C6961" s="28" t="s">
        <v>218</v>
      </c>
      <c r="D6961" s="23" t="n">
        <v>20</v>
      </c>
      <c r="E6961" s="23" t="n">
        <v>22</v>
      </c>
      <c r="F6961" s="28" t="s">
        <v>551</v>
      </c>
      <c r="G6961" s="19" t="n">
        <v>0.0975</v>
      </c>
    </row>
    <row r="6962" customFormat="false" ht="15" hidden="false" customHeight="false" outlineLevel="0" collapsed="false">
      <c r="A6962" s="28" t="s">
        <v>216</v>
      </c>
      <c r="B6962" s="28" t="s">
        <v>217</v>
      </c>
      <c r="C6962" s="28" t="s">
        <v>218</v>
      </c>
      <c r="D6962" s="23" t="n">
        <v>20</v>
      </c>
      <c r="E6962" s="23" t="n">
        <v>22</v>
      </c>
      <c r="F6962" s="28" t="s">
        <v>451</v>
      </c>
      <c r="G6962" s="19" t="n">
        <v>0.0661</v>
      </c>
    </row>
    <row r="6963" customFormat="false" ht="15" hidden="false" customHeight="false" outlineLevel="0" collapsed="false">
      <c r="A6963" s="28" t="s">
        <v>216</v>
      </c>
      <c r="B6963" s="28" t="s">
        <v>217</v>
      </c>
      <c r="C6963" s="28" t="s">
        <v>218</v>
      </c>
      <c r="D6963" s="23" t="n">
        <v>20</v>
      </c>
      <c r="E6963" s="23" t="n">
        <v>22</v>
      </c>
      <c r="F6963" s="28" t="s">
        <v>905</v>
      </c>
      <c r="G6963" s="19" t="n">
        <v>0.0687</v>
      </c>
    </row>
    <row r="6964" customFormat="false" ht="15" hidden="false" customHeight="false" outlineLevel="0" collapsed="false">
      <c r="A6964" s="28" t="s">
        <v>216</v>
      </c>
      <c r="B6964" s="28" t="s">
        <v>217</v>
      </c>
      <c r="C6964" s="28" t="s">
        <v>218</v>
      </c>
      <c r="D6964" s="23" t="n">
        <v>20</v>
      </c>
      <c r="E6964" s="23" t="n">
        <v>22</v>
      </c>
      <c r="F6964" s="28" t="s">
        <v>906</v>
      </c>
      <c r="G6964" s="19" t="n">
        <v>0.0701</v>
      </c>
    </row>
    <row r="6965" customFormat="false" ht="15" hidden="false" customHeight="false" outlineLevel="0" collapsed="false">
      <c r="A6965" s="28" t="s">
        <v>216</v>
      </c>
      <c r="B6965" s="28" t="s">
        <v>217</v>
      </c>
      <c r="C6965" s="28" t="s">
        <v>218</v>
      </c>
      <c r="D6965" s="23" t="n">
        <v>20</v>
      </c>
      <c r="E6965" s="23" t="n">
        <v>22</v>
      </c>
      <c r="F6965" s="28" t="s">
        <v>907</v>
      </c>
      <c r="G6965" s="19" t="n">
        <v>0.0698</v>
      </c>
    </row>
    <row r="6966" customFormat="false" ht="15" hidden="false" customHeight="false" outlineLevel="0" collapsed="false">
      <c r="A6966" s="28" t="s">
        <v>216</v>
      </c>
      <c r="B6966" s="28" t="s">
        <v>217</v>
      </c>
      <c r="C6966" s="28" t="s">
        <v>218</v>
      </c>
      <c r="D6966" s="23" t="n">
        <v>20</v>
      </c>
      <c r="E6966" s="23" t="n">
        <v>22</v>
      </c>
      <c r="F6966" s="28" t="s">
        <v>908</v>
      </c>
      <c r="G6966" s="19" t="n">
        <v>0.0714</v>
      </c>
    </row>
    <row r="6967" customFormat="false" ht="15" hidden="false" customHeight="false" outlineLevel="0" collapsed="false">
      <c r="A6967" s="28" t="s">
        <v>216</v>
      </c>
      <c r="B6967" s="28" t="s">
        <v>217</v>
      </c>
      <c r="C6967" s="28" t="s">
        <v>218</v>
      </c>
      <c r="D6967" s="23" t="n">
        <v>20</v>
      </c>
      <c r="E6967" s="23" t="n">
        <v>22</v>
      </c>
      <c r="F6967" s="28" t="s">
        <v>909</v>
      </c>
      <c r="G6967" s="19" t="n">
        <v>0.0715</v>
      </c>
    </row>
    <row r="6968" customFormat="false" ht="15" hidden="false" customHeight="false" outlineLevel="0" collapsed="false">
      <c r="A6968" s="28" t="s">
        <v>216</v>
      </c>
      <c r="B6968" s="28" t="s">
        <v>217</v>
      </c>
      <c r="C6968" s="28" t="s">
        <v>218</v>
      </c>
      <c r="D6968" s="23" t="n">
        <v>20</v>
      </c>
      <c r="E6968" s="23" t="n">
        <v>22</v>
      </c>
      <c r="F6968" s="28" t="s">
        <v>910</v>
      </c>
      <c r="G6968" s="19" t="n">
        <v>0.0719</v>
      </c>
    </row>
    <row r="6969" customFormat="false" ht="15" hidden="false" customHeight="false" outlineLevel="0" collapsed="false">
      <c r="A6969" s="28" t="s">
        <v>216</v>
      </c>
      <c r="B6969" s="28" t="s">
        <v>217</v>
      </c>
      <c r="C6969" s="28" t="s">
        <v>218</v>
      </c>
      <c r="D6969" s="23" t="n">
        <v>20</v>
      </c>
      <c r="E6969" s="23" t="n">
        <v>22</v>
      </c>
      <c r="F6969" s="28" t="s">
        <v>911</v>
      </c>
      <c r="G6969" s="19" t="n">
        <v>0.073</v>
      </c>
    </row>
    <row r="6970" customFormat="false" ht="15" hidden="false" customHeight="false" outlineLevel="0" collapsed="false">
      <c r="A6970" s="28" t="s">
        <v>216</v>
      </c>
      <c r="B6970" s="28" t="s">
        <v>217</v>
      </c>
      <c r="C6970" s="28" t="s">
        <v>218</v>
      </c>
      <c r="D6970" s="23" t="n">
        <v>20</v>
      </c>
      <c r="E6970" s="23" t="n">
        <v>22</v>
      </c>
      <c r="F6970" s="28" t="s">
        <v>912</v>
      </c>
      <c r="G6970" s="19" t="n">
        <v>0.0744</v>
      </c>
    </row>
    <row r="6971" customFormat="false" ht="15" hidden="false" customHeight="false" outlineLevel="0" collapsed="false">
      <c r="A6971" s="28" t="s">
        <v>216</v>
      </c>
      <c r="B6971" s="28" t="s">
        <v>217</v>
      </c>
      <c r="C6971" s="28" t="s">
        <v>218</v>
      </c>
      <c r="D6971" s="23" t="n">
        <v>20</v>
      </c>
      <c r="E6971" s="23" t="n">
        <v>22</v>
      </c>
      <c r="F6971" s="28" t="s">
        <v>913</v>
      </c>
      <c r="G6971" s="19" t="n">
        <v>0.0793</v>
      </c>
    </row>
    <row r="6972" customFormat="false" ht="15" hidden="false" customHeight="false" outlineLevel="0" collapsed="false">
      <c r="A6972" s="28" t="s">
        <v>216</v>
      </c>
      <c r="B6972" s="28" t="s">
        <v>217</v>
      </c>
      <c r="C6972" s="28" t="s">
        <v>218</v>
      </c>
      <c r="D6972" s="23" t="n">
        <v>20</v>
      </c>
      <c r="E6972" s="23" t="n">
        <v>22</v>
      </c>
      <c r="F6972" s="28" t="s">
        <v>914</v>
      </c>
      <c r="G6972" s="19" t="n">
        <v>0.0791</v>
      </c>
    </row>
    <row r="6973" customFormat="false" ht="15" hidden="false" customHeight="false" outlineLevel="0" collapsed="false">
      <c r="A6973" s="28" t="s">
        <v>216</v>
      </c>
      <c r="B6973" s="28" t="s">
        <v>217</v>
      </c>
      <c r="C6973" s="28" t="s">
        <v>218</v>
      </c>
      <c r="D6973" s="23" t="n">
        <v>20</v>
      </c>
      <c r="E6973" s="23" t="n">
        <v>22</v>
      </c>
      <c r="F6973" s="28" t="s">
        <v>915</v>
      </c>
      <c r="G6973" s="19" t="n">
        <v>0.0949</v>
      </c>
    </row>
    <row r="6974" customFormat="false" ht="15" hidden="false" customHeight="false" outlineLevel="0" collapsed="false">
      <c r="A6974" s="28" t="s">
        <v>216</v>
      </c>
      <c r="B6974" s="28" t="s">
        <v>217</v>
      </c>
      <c r="C6974" s="28" t="s">
        <v>218</v>
      </c>
      <c r="D6974" s="23" t="n">
        <v>20</v>
      </c>
      <c r="E6974" s="23" t="n">
        <v>23</v>
      </c>
      <c r="F6974" s="28" t="s">
        <v>904</v>
      </c>
      <c r="G6974" s="19" t="n">
        <v>0.0663</v>
      </c>
    </row>
    <row r="6975" customFormat="false" ht="15" hidden="false" customHeight="false" outlineLevel="0" collapsed="false">
      <c r="A6975" s="28" t="s">
        <v>216</v>
      </c>
      <c r="B6975" s="28" t="s">
        <v>217</v>
      </c>
      <c r="C6975" s="28" t="s">
        <v>218</v>
      </c>
      <c r="D6975" s="23" t="n">
        <v>20</v>
      </c>
      <c r="E6975" s="23" t="n">
        <v>23</v>
      </c>
      <c r="F6975" s="28" t="s">
        <v>551</v>
      </c>
      <c r="G6975" s="19" t="n">
        <v>0.0975</v>
      </c>
    </row>
    <row r="6976" customFormat="false" ht="15" hidden="false" customHeight="false" outlineLevel="0" collapsed="false">
      <c r="A6976" s="28" t="s">
        <v>216</v>
      </c>
      <c r="B6976" s="28" t="s">
        <v>217</v>
      </c>
      <c r="C6976" s="28" t="s">
        <v>218</v>
      </c>
      <c r="D6976" s="23" t="n">
        <v>20</v>
      </c>
      <c r="E6976" s="23" t="n">
        <v>23</v>
      </c>
      <c r="F6976" s="28" t="s">
        <v>451</v>
      </c>
      <c r="G6976" s="19" t="n">
        <v>0.0661</v>
      </c>
    </row>
    <row r="6977" customFormat="false" ht="15" hidden="false" customHeight="false" outlineLevel="0" collapsed="false">
      <c r="A6977" s="28" t="s">
        <v>216</v>
      </c>
      <c r="B6977" s="28" t="s">
        <v>217</v>
      </c>
      <c r="C6977" s="28" t="s">
        <v>218</v>
      </c>
      <c r="D6977" s="23" t="n">
        <v>20</v>
      </c>
      <c r="E6977" s="23" t="n">
        <v>23</v>
      </c>
      <c r="F6977" s="28" t="s">
        <v>905</v>
      </c>
      <c r="G6977" s="19" t="n">
        <v>0.0687</v>
      </c>
    </row>
    <row r="6978" customFormat="false" ht="15" hidden="false" customHeight="false" outlineLevel="0" collapsed="false">
      <c r="A6978" s="28" t="s">
        <v>216</v>
      </c>
      <c r="B6978" s="28" t="s">
        <v>217</v>
      </c>
      <c r="C6978" s="28" t="s">
        <v>218</v>
      </c>
      <c r="D6978" s="23" t="n">
        <v>20</v>
      </c>
      <c r="E6978" s="23" t="n">
        <v>23</v>
      </c>
      <c r="F6978" s="28" t="s">
        <v>906</v>
      </c>
      <c r="G6978" s="19" t="n">
        <v>0.0701</v>
      </c>
    </row>
    <row r="6979" customFormat="false" ht="15" hidden="false" customHeight="false" outlineLevel="0" collapsed="false">
      <c r="A6979" s="28" t="s">
        <v>216</v>
      </c>
      <c r="B6979" s="28" t="s">
        <v>217</v>
      </c>
      <c r="C6979" s="28" t="s">
        <v>218</v>
      </c>
      <c r="D6979" s="23" t="n">
        <v>20</v>
      </c>
      <c r="E6979" s="23" t="n">
        <v>23</v>
      </c>
      <c r="F6979" s="28" t="s">
        <v>907</v>
      </c>
      <c r="G6979" s="19" t="n">
        <v>0.0698</v>
      </c>
    </row>
    <row r="6980" customFormat="false" ht="15" hidden="false" customHeight="false" outlineLevel="0" collapsed="false">
      <c r="A6980" s="28" t="s">
        <v>216</v>
      </c>
      <c r="B6980" s="28" t="s">
        <v>217</v>
      </c>
      <c r="C6980" s="28" t="s">
        <v>218</v>
      </c>
      <c r="D6980" s="23" t="n">
        <v>20</v>
      </c>
      <c r="E6980" s="23" t="n">
        <v>23</v>
      </c>
      <c r="F6980" s="28" t="s">
        <v>908</v>
      </c>
      <c r="G6980" s="19" t="n">
        <v>0.0714</v>
      </c>
    </row>
    <row r="6981" customFormat="false" ht="15" hidden="false" customHeight="false" outlineLevel="0" collapsed="false">
      <c r="A6981" s="28" t="s">
        <v>216</v>
      </c>
      <c r="B6981" s="28" t="s">
        <v>217</v>
      </c>
      <c r="C6981" s="28" t="s">
        <v>218</v>
      </c>
      <c r="D6981" s="23" t="n">
        <v>20</v>
      </c>
      <c r="E6981" s="23" t="n">
        <v>23</v>
      </c>
      <c r="F6981" s="28" t="s">
        <v>909</v>
      </c>
      <c r="G6981" s="19" t="n">
        <v>0.0715</v>
      </c>
    </row>
    <row r="6982" customFormat="false" ht="15" hidden="false" customHeight="false" outlineLevel="0" collapsed="false">
      <c r="A6982" s="28" t="s">
        <v>216</v>
      </c>
      <c r="B6982" s="28" t="s">
        <v>217</v>
      </c>
      <c r="C6982" s="28" t="s">
        <v>218</v>
      </c>
      <c r="D6982" s="23" t="n">
        <v>20</v>
      </c>
      <c r="E6982" s="23" t="n">
        <v>23</v>
      </c>
      <c r="F6982" s="28" t="s">
        <v>910</v>
      </c>
      <c r="G6982" s="19" t="n">
        <v>0.0719</v>
      </c>
    </row>
    <row r="6983" customFormat="false" ht="15" hidden="false" customHeight="false" outlineLevel="0" collapsed="false">
      <c r="A6983" s="28" t="s">
        <v>216</v>
      </c>
      <c r="B6983" s="28" t="s">
        <v>217</v>
      </c>
      <c r="C6983" s="28" t="s">
        <v>218</v>
      </c>
      <c r="D6983" s="23" t="n">
        <v>20</v>
      </c>
      <c r="E6983" s="23" t="n">
        <v>23</v>
      </c>
      <c r="F6983" s="28" t="s">
        <v>911</v>
      </c>
      <c r="G6983" s="19" t="n">
        <v>0.073</v>
      </c>
    </row>
    <row r="6984" customFormat="false" ht="15" hidden="false" customHeight="false" outlineLevel="0" collapsed="false">
      <c r="A6984" s="28" t="s">
        <v>216</v>
      </c>
      <c r="B6984" s="28" t="s">
        <v>217</v>
      </c>
      <c r="C6984" s="28" t="s">
        <v>218</v>
      </c>
      <c r="D6984" s="23" t="n">
        <v>20</v>
      </c>
      <c r="E6984" s="23" t="n">
        <v>23</v>
      </c>
      <c r="F6984" s="28" t="s">
        <v>912</v>
      </c>
      <c r="G6984" s="19" t="n">
        <v>0.0744</v>
      </c>
    </row>
    <row r="6985" customFormat="false" ht="15" hidden="false" customHeight="false" outlineLevel="0" collapsed="false">
      <c r="A6985" s="28" t="s">
        <v>216</v>
      </c>
      <c r="B6985" s="28" t="s">
        <v>217</v>
      </c>
      <c r="C6985" s="28" t="s">
        <v>218</v>
      </c>
      <c r="D6985" s="23" t="n">
        <v>20</v>
      </c>
      <c r="E6985" s="23" t="n">
        <v>23</v>
      </c>
      <c r="F6985" s="28" t="s">
        <v>913</v>
      </c>
      <c r="G6985" s="19" t="n">
        <v>0.0793</v>
      </c>
    </row>
    <row r="6986" customFormat="false" ht="15" hidden="false" customHeight="false" outlineLevel="0" collapsed="false">
      <c r="A6986" s="28" t="s">
        <v>216</v>
      </c>
      <c r="B6986" s="28" t="s">
        <v>217</v>
      </c>
      <c r="C6986" s="28" t="s">
        <v>218</v>
      </c>
      <c r="D6986" s="23" t="n">
        <v>20</v>
      </c>
      <c r="E6986" s="23" t="n">
        <v>23</v>
      </c>
      <c r="F6986" s="28" t="s">
        <v>914</v>
      </c>
      <c r="G6986" s="19" t="n">
        <v>0.0791</v>
      </c>
    </row>
    <row r="6987" customFormat="false" ht="15" hidden="false" customHeight="false" outlineLevel="0" collapsed="false">
      <c r="A6987" s="28" t="s">
        <v>216</v>
      </c>
      <c r="B6987" s="28" t="s">
        <v>217</v>
      </c>
      <c r="C6987" s="28" t="s">
        <v>218</v>
      </c>
      <c r="D6987" s="23" t="n">
        <v>20</v>
      </c>
      <c r="E6987" s="23" t="n">
        <v>23</v>
      </c>
      <c r="F6987" s="28" t="s">
        <v>915</v>
      </c>
      <c r="G6987" s="19" t="n">
        <v>0.0949</v>
      </c>
    </row>
    <row r="6988" customFormat="false" ht="15" hidden="false" customHeight="false" outlineLevel="0" collapsed="false">
      <c r="A6988" s="28" t="s">
        <v>216</v>
      </c>
      <c r="B6988" s="28" t="s">
        <v>217</v>
      </c>
      <c r="C6988" s="28" t="s">
        <v>218</v>
      </c>
      <c r="D6988" s="23" t="n">
        <v>20</v>
      </c>
      <c r="E6988" s="23" t="n">
        <v>24</v>
      </c>
      <c r="F6988" s="28" t="s">
        <v>904</v>
      </c>
      <c r="G6988" s="19" t="n">
        <v>0.0663</v>
      </c>
    </row>
    <row r="6989" customFormat="false" ht="15" hidden="false" customHeight="false" outlineLevel="0" collapsed="false">
      <c r="A6989" s="28" t="s">
        <v>216</v>
      </c>
      <c r="B6989" s="28" t="s">
        <v>217</v>
      </c>
      <c r="C6989" s="28" t="s">
        <v>218</v>
      </c>
      <c r="D6989" s="23" t="n">
        <v>20</v>
      </c>
      <c r="E6989" s="23" t="n">
        <v>24</v>
      </c>
      <c r="F6989" s="28" t="s">
        <v>551</v>
      </c>
      <c r="G6989" s="19" t="n">
        <v>0.0975</v>
      </c>
    </row>
    <row r="6990" customFormat="false" ht="15" hidden="false" customHeight="false" outlineLevel="0" collapsed="false">
      <c r="A6990" s="28" t="s">
        <v>216</v>
      </c>
      <c r="B6990" s="28" t="s">
        <v>217</v>
      </c>
      <c r="C6990" s="28" t="s">
        <v>218</v>
      </c>
      <c r="D6990" s="23" t="n">
        <v>20</v>
      </c>
      <c r="E6990" s="23" t="n">
        <v>24</v>
      </c>
      <c r="F6990" s="28" t="s">
        <v>451</v>
      </c>
      <c r="G6990" s="19" t="n">
        <v>0.0661</v>
      </c>
    </row>
    <row r="6991" customFormat="false" ht="15" hidden="false" customHeight="false" outlineLevel="0" collapsed="false">
      <c r="A6991" s="28" t="s">
        <v>216</v>
      </c>
      <c r="B6991" s="28" t="s">
        <v>217</v>
      </c>
      <c r="C6991" s="28" t="s">
        <v>218</v>
      </c>
      <c r="D6991" s="23" t="n">
        <v>20</v>
      </c>
      <c r="E6991" s="23" t="n">
        <v>24</v>
      </c>
      <c r="F6991" s="28" t="s">
        <v>905</v>
      </c>
      <c r="G6991" s="19" t="n">
        <v>0.0687</v>
      </c>
    </row>
    <row r="6992" customFormat="false" ht="15" hidden="false" customHeight="false" outlineLevel="0" collapsed="false">
      <c r="A6992" s="28" t="s">
        <v>216</v>
      </c>
      <c r="B6992" s="28" t="s">
        <v>217</v>
      </c>
      <c r="C6992" s="28" t="s">
        <v>218</v>
      </c>
      <c r="D6992" s="23" t="n">
        <v>20</v>
      </c>
      <c r="E6992" s="23" t="n">
        <v>24</v>
      </c>
      <c r="F6992" s="28" t="s">
        <v>906</v>
      </c>
      <c r="G6992" s="19" t="n">
        <v>0.0701</v>
      </c>
    </row>
    <row r="6993" customFormat="false" ht="15" hidden="false" customHeight="false" outlineLevel="0" collapsed="false">
      <c r="A6993" s="28" t="s">
        <v>216</v>
      </c>
      <c r="B6993" s="28" t="s">
        <v>217</v>
      </c>
      <c r="C6993" s="28" t="s">
        <v>218</v>
      </c>
      <c r="D6993" s="23" t="n">
        <v>20</v>
      </c>
      <c r="E6993" s="23" t="n">
        <v>24</v>
      </c>
      <c r="F6993" s="28" t="s">
        <v>907</v>
      </c>
      <c r="G6993" s="19" t="n">
        <v>0.0698</v>
      </c>
    </row>
    <row r="6994" customFormat="false" ht="15" hidden="false" customHeight="false" outlineLevel="0" collapsed="false">
      <c r="A6994" s="28" t="s">
        <v>216</v>
      </c>
      <c r="B6994" s="28" t="s">
        <v>217</v>
      </c>
      <c r="C6994" s="28" t="s">
        <v>218</v>
      </c>
      <c r="D6994" s="23" t="n">
        <v>20</v>
      </c>
      <c r="E6994" s="23" t="n">
        <v>24</v>
      </c>
      <c r="F6994" s="28" t="s">
        <v>908</v>
      </c>
      <c r="G6994" s="19" t="n">
        <v>0.0714</v>
      </c>
    </row>
    <row r="6995" customFormat="false" ht="15" hidden="false" customHeight="false" outlineLevel="0" collapsed="false">
      <c r="A6995" s="28" t="s">
        <v>216</v>
      </c>
      <c r="B6995" s="28" t="s">
        <v>217</v>
      </c>
      <c r="C6995" s="28" t="s">
        <v>218</v>
      </c>
      <c r="D6995" s="23" t="n">
        <v>20</v>
      </c>
      <c r="E6995" s="23" t="n">
        <v>24</v>
      </c>
      <c r="F6995" s="28" t="s">
        <v>909</v>
      </c>
      <c r="G6995" s="19" t="n">
        <v>0.0715</v>
      </c>
    </row>
    <row r="6996" customFormat="false" ht="15" hidden="false" customHeight="false" outlineLevel="0" collapsed="false">
      <c r="A6996" s="28" t="s">
        <v>216</v>
      </c>
      <c r="B6996" s="28" t="s">
        <v>217</v>
      </c>
      <c r="C6996" s="28" t="s">
        <v>218</v>
      </c>
      <c r="D6996" s="23" t="n">
        <v>20</v>
      </c>
      <c r="E6996" s="23" t="n">
        <v>24</v>
      </c>
      <c r="F6996" s="28" t="s">
        <v>910</v>
      </c>
      <c r="G6996" s="19" t="n">
        <v>0.0719</v>
      </c>
    </row>
    <row r="6997" customFormat="false" ht="15" hidden="false" customHeight="false" outlineLevel="0" collapsed="false">
      <c r="A6997" s="28" t="s">
        <v>216</v>
      </c>
      <c r="B6997" s="28" t="s">
        <v>217</v>
      </c>
      <c r="C6997" s="28" t="s">
        <v>218</v>
      </c>
      <c r="D6997" s="23" t="n">
        <v>20</v>
      </c>
      <c r="E6997" s="23" t="n">
        <v>24</v>
      </c>
      <c r="F6997" s="28" t="s">
        <v>911</v>
      </c>
      <c r="G6997" s="19" t="n">
        <v>0.073</v>
      </c>
    </row>
    <row r="6998" customFormat="false" ht="15" hidden="false" customHeight="false" outlineLevel="0" collapsed="false">
      <c r="A6998" s="28" t="s">
        <v>216</v>
      </c>
      <c r="B6998" s="28" t="s">
        <v>217</v>
      </c>
      <c r="C6998" s="28" t="s">
        <v>218</v>
      </c>
      <c r="D6998" s="23" t="n">
        <v>20</v>
      </c>
      <c r="E6998" s="23" t="n">
        <v>24</v>
      </c>
      <c r="F6998" s="28" t="s">
        <v>912</v>
      </c>
      <c r="G6998" s="19" t="n">
        <v>0.0744</v>
      </c>
    </row>
    <row r="6999" customFormat="false" ht="15" hidden="false" customHeight="false" outlineLevel="0" collapsed="false">
      <c r="A6999" s="28" t="s">
        <v>216</v>
      </c>
      <c r="B6999" s="28" t="s">
        <v>217</v>
      </c>
      <c r="C6999" s="28" t="s">
        <v>218</v>
      </c>
      <c r="D6999" s="23" t="n">
        <v>20</v>
      </c>
      <c r="E6999" s="23" t="n">
        <v>24</v>
      </c>
      <c r="F6999" s="28" t="s">
        <v>913</v>
      </c>
      <c r="G6999" s="19" t="n">
        <v>0.0793</v>
      </c>
    </row>
    <row r="7000" customFormat="false" ht="15" hidden="false" customHeight="false" outlineLevel="0" collapsed="false">
      <c r="A7000" s="28" t="s">
        <v>216</v>
      </c>
      <c r="B7000" s="28" t="s">
        <v>217</v>
      </c>
      <c r="C7000" s="28" t="s">
        <v>218</v>
      </c>
      <c r="D7000" s="23" t="n">
        <v>20</v>
      </c>
      <c r="E7000" s="23" t="n">
        <v>24</v>
      </c>
      <c r="F7000" s="28" t="s">
        <v>914</v>
      </c>
      <c r="G7000" s="19" t="n">
        <v>0.0791</v>
      </c>
    </row>
    <row r="7001" customFormat="false" ht="15" hidden="false" customHeight="false" outlineLevel="0" collapsed="false">
      <c r="A7001" s="28" t="s">
        <v>216</v>
      </c>
      <c r="B7001" s="28" t="s">
        <v>217</v>
      </c>
      <c r="C7001" s="28" t="s">
        <v>218</v>
      </c>
      <c r="D7001" s="23" t="n">
        <v>20</v>
      </c>
      <c r="E7001" s="23" t="n">
        <v>24</v>
      </c>
      <c r="F7001" s="28" t="s">
        <v>915</v>
      </c>
      <c r="G7001" s="19" t="n">
        <v>0.0949</v>
      </c>
    </row>
  </sheetData>
  <autoFilter ref="A1:G7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4" min="3" style="0" width="20"/>
    <col collapsed="false" customWidth="true" hidden="false" outlineLevel="0" max="5" min="5" style="0" width="14"/>
    <col collapsed="false" customWidth="true" hidden="false" outlineLevel="0" max="6" min="6" style="0" width="27"/>
    <col collapsed="false" customWidth="true" hidden="false" outlineLevel="0" max="7" min="7" style="0" width="14"/>
    <col collapsed="false" customWidth="true" hidden="false" outlineLevel="0" max="8" min="8" style="0" width="26"/>
    <col collapsed="false" customWidth="true" hidden="false" outlineLevel="0" max="9" min="9" style="0" width="21"/>
    <col collapsed="false" customWidth="true" hidden="false" outlineLevel="0" max="10" min="10" style="0" width="20"/>
    <col collapsed="false" customWidth="true" hidden="false" outlineLevel="0" max="11" min="11" style="0" width="17"/>
  </cols>
  <sheetData>
    <row r="1" customFormat="false" ht="30" hidden="false" customHeight="true" outlineLevel="0" collapsed="false">
      <c r="A1" s="27" t="s">
        <v>157</v>
      </c>
      <c r="B1" s="27" t="s">
        <v>868</v>
      </c>
      <c r="C1" s="27" t="s">
        <v>629</v>
      </c>
      <c r="D1" s="27" t="s">
        <v>632</v>
      </c>
      <c r="E1" s="27" t="s">
        <v>916</v>
      </c>
      <c r="F1" s="27" t="s">
        <v>917</v>
      </c>
      <c r="G1" s="27" t="s">
        <v>918</v>
      </c>
      <c r="H1" s="27" t="s">
        <v>919</v>
      </c>
      <c r="I1" s="27" t="s">
        <v>649</v>
      </c>
      <c r="J1" s="27" t="s">
        <v>639</v>
      </c>
      <c r="K1" s="27" t="s">
        <v>636</v>
      </c>
    </row>
    <row r="2" customFormat="false" ht="15" hidden="false" customHeight="false" outlineLevel="0" collapsed="false">
      <c r="A2" s="28" t="s">
        <v>172</v>
      </c>
      <c r="B2" s="23" t="n">
        <v>1</v>
      </c>
      <c r="C2" s="23" t="n">
        <v>31767.6643047975</v>
      </c>
      <c r="D2" s="23" t="n">
        <v>10848.4874214937</v>
      </c>
      <c r="E2" s="15" t="n">
        <f aca="false">C2-D2</f>
        <v>20919.1768833038</v>
      </c>
      <c r="F2" s="23" t="n">
        <v>855</v>
      </c>
      <c r="G2" s="15" t="n">
        <f aca="false">E2+F2+H2-I2-J2-K2</f>
        <v>7512.0948692936</v>
      </c>
      <c r="H2" s="23" t="n">
        <v>13202.3111666667</v>
      </c>
      <c r="I2" s="23" t="n">
        <v>25860.83034875</v>
      </c>
      <c r="J2" s="23" t="n">
        <v>1603.56283192684</v>
      </c>
      <c r="K2" s="23" t="n">
        <v>0</v>
      </c>
    </row>
    <row r="3" customFormat="false" ht="15" hidden="false" customHeight="false" outlineLevel="0" collapsed="false">
      <c r="A3" s="28" t="s">
        <v>172</v>
      </c>
      <c r="B3" s="23" t="n">
        <v>2</v>
      </c>
      <c r="C3" s="23" t="n">
        <v>31521.0102301705</v>
      </c>
      <c r="D3" s="23" t="n">
        <v>8387.19025765068</v>
      </c>
      <c r="E3" s="15" t="n">
        <f aca="false">C3-D3</f>
        <v>23133.8199725198</v>
      </c>
      <c r="F3" s="23" t="n">
        <v>855</v>
      </c>
      <c r="G3" s="15" t="n">
        <f aca="false">E3+F3+H3-I3-J3-K3</f>
        <v>9662.24710975965</v>
      </c>
      <c r="H3" s="23" t="n">
        <v>13202.3111666667</v>
      </c>
      <c r="I3" s="23" t="n">
        <v>25925.3211975</v>
      </c>
      <c r="J3" s="23" t="n">
        <v>1603.56283192684</v>
      </c>
      <c r="K3" s="23" t="n">
        <v>0</v>
      </c>
    </row>
    <row r="4" customFormat="false" ht="15" hidden="false" customHeight="false" outlineLevel="0" collapsed="false">
      <c r="A4" s="28" t="s">
        <v>172</v>
      </c>
      <c r="B4" s="23" t="n">
        <v>3</v>
      </c>
      <c r="C4" s="23" t="n">
        <v>31276.2832112317</v>
      </c>
      <c r="D4" s="23" t="n">
        <v>7146.23314082432</v>
      </c>
      <c r="E4" s="15" t="n">
        <f aca="false">C4-D4</f>
        <v>24130.0500704074</v>
      </c>
      <c r="F4" s="23" t="n">
        <v>855</v>
      </c>
      <c r="G4" s="15" t="n">
        <f aca="false">E4+F4+H4-I4-J4-K4</f>
        <v>10593.9863588972</v>
      </c>
      <c r="H4" s="23" t="n">
        <v>13202.3111666667</v>
      </c>
      <c r="I4" s="23" t="n">
        <v>25989.81204625</v>
      </c>
      <c r="J4" s="23" t="n">
        <v>1603.56283192684</v>
      </c>
      <c r="K4" s="23" t="n">
        <v>0</v>
      </c>
    </row>
    <row r="5" customFormat="false" ht="15" hidden="false" customHeight="false" outlineLevel="0" collapsed="false">
      <c r="A5" s="28" t="s">
        <v>172</v>
      </c>
      <c r="B5" s="23" t="n">
        <v>4</v>
      </c>
      <c r="C5" s="23" t="n">
        <v>31043.2142937308</v>
      </c>
      <c r="D5" s="23" t="n">
        <v>6445.80348664797</v>
      </c>
      <c r="E5" s="15" t="n">
        <f aca="false">C5-D5</f>
        <v>24597.4108070828</v>
      </c>
      <c r="F5" s="23" t="n">
        <v>855</v>
      </c>
      <c r="G5" s="15" t="n">
        <f aca="false">E5+F5+H5-I5-J5-K5</f>
        <v>10996.8562468226</v>
      </c>
      <c r="H5" s="23" t="n">
        <v>13202.3111666667</v>
      </c>
      <c r="I5" s="23" t="n">
        <v>26054.302895</v>
      </c>
      <c r="J5" s="23" t="n">
        <v>1603.56283192684</v>
      </c>
      <c r="K5" s="23" t="n">
        <v>0</v>
      </c>
    </row>
    <row r="6" customFormat="false" ht="15" hidden="false" customHeight="false" outlineLevel="0" collapsed="false">
      <c r="A6" s="28" t="s">
        <v>172</v>
      </c>
      <c r="B6" s="23" t="n">
        <v>5</v>
      </c>
      <c r="C6" s="23" t="n">
        <v>30816.6648162748</v>
      </c>
      <c r="D6" s="23" t="n">
        <v>6122.15226162667</v>
      </c>
      <c r="E6" s="15" t="n">
        <f aca="false">C6-D6</f>
        <v>24694.5125546482</v>
      </c>
      <c r="F6" s="23" t="n">
        <v>855</v>
      </c>
      <c r="G6" s="15" t="n">
        <f aca="false">E6+F6+H6-I6-J6-K6</f>
        <v>11029.467145638</v>
      </c>
      <c r="H6" s="23" t="n">
        <v>13202.3111666667</v>
      </c>
      <c r="I6" s="23" t="n">
        <v>26118.79374375</v>
      </c>
      <c r="J6" s="23" t="n">
        <v>1603.56283192684</v>
      </c>
      <c r="K6" s="23" t="n">
        <v>0</v>
      </c>
    </row>
    <row r="7" customFormat="false" ht="15" hidden="false" customHeight="false" outlineLevel="0" collapsed="false">
      <c r="A7" s="28" t="s">
        <v>172</v>
      </c>
      <c r="B7" s="23" t="n">
        <v>6</v>
      </c>
      <c r="C7" s="23" t="n">
        <v>30596.4593336826</v>
      </c>
      <c r="D7" s="23" t="n">
        <v>5798.50103660538</v>
      </c>
      <c r="E7" s="15" t="n">
        <f aca="false">C7-D7</f>
        <v>24797.9582970772</v>
      </c>
      <c r="F7" s="23" t="n">
        <v>855</v>
      </c>
      <c r="G7" s="15" t="n">
        <f aca="false">E7+F7+H7-I7-J7-K7</f>
        <v>11068.4220393171</v>
      </c>
      <c r="H7" s="23" t="n">
        <v>13202.3111666667</v>
      </c>
      <c r="I7" s="23" t="n">
        <v>26183.2845925</v>
      </c>
      <c r="J7" s="23" t="n">
        <v>1603.56283192684</v>
      </c>
      <c r="K7" s="23" t="n">
        <v>0</v>
      </c>
    </row>
    <row r="8" customFormat="false" ht="15" hidden="false" customHeight="false" outlineLevel="0" collapsed="false">
      <c r="A8" s="28" t="s">
        <v>172</v>
      </c>
      <c r="B8" s="23" t="n">
        <v>7</v>
      </c>
      <c r="C8" s="23" t="n">
        <v>30382.4272066258</v>
      </c>
      <c r="D8" s="23" t="n">
        <v>5474.84981158408</v>
      </c>
      <c r="E8" s="15" t="n">
        <f aca="false">C8-D8</f>
        <v>24907.5773950417</v>
      </c>
      <c r="F8" s="23" t="n">
        <v>855</v>
      </c>
      <c r="G8" s="15" t="n">
        <f aca="false">E8+F8+H8-I8-J8-K8</f>
        <v>11113.5502885316</v>
      </c>
      <c r="H8" s="23" t="n">
        <v>13202.3111666667</v>
      </c>
      <c r="I8" s="23" t="n">
        <v>26247.77544125</v>
      </c>
      <c r="J8" s="23" t="n">
        <v>1603.56283192684</v>
      </c>
      <c r="K8" s="23" t="n">
        <v>0</v>
      </c>
    </row>
    <row r="9" customFormat="false" ht="15" hidden="false" customHeight="false" outlineLevel="0" collapsed="false">
      <c r="A9" s="28" t="s">
        <v>172</v>
      </c>
      <c r="B9" s="23" t="n">
        <v>8</v>
      </c>
      <c r="C9" s="23" t="n">
        <v>30174.4024633081</v>
      </c>
      <c r="D9" s="23" t="n">
        <v>5260.68933322161</v>
      </c>
      <c r="E9" s="15" t="n">
        <f aca="false">C9-D9</f>
        <v>24913.7131300865</v>
      </c>
      <c r="F9" s="23" t="n">
        <v>855</v>
      </c>
      <c r="G9" s="15" t="n">
        <f aca="false">E9+F9+H9-I9-J9-K9</f>
        <v>-4944.80482517367</v>
      </c>
      <c r="H9" s="23" t="n">
        <v>13202.3111666667</v>
      </c>
      <c r="I9" s="23" t="n">
        <v>26312.26629</v>
      </c>
      <c r="J9" s="23" t="n">
        <v>1603.56283192684</v>
      </c>
      <c r="K9" s="23" t="n">
        <v>16000</v>
      </c>
    </row>
    <row r="10" customFormat="false" ht="15" hidden="false" customHeight="false" outlineLevel="0" collapsed="false">
      <c r="A10" s="28" t="s">
        <v>172</v>
      </c>
      <c r="B10" s="23" t="n">
        <v>9</v>
      </c>
      <c r="C10" s="23" t="n">
        <v>29972.223665388</v>
      </c>
      <c r="D10" s="23" t="n">
        <v>5046.52885485915</v>
      </c>
      <c r="E10" s="15" t="n">
        <f aca="false">C10-D10</f>
        <v>24925.6948105288</v>
      </c>
      <c r="F10" s="23" t="n">
        <v>855</v>
      </c>
      <c r="G10" s="15" t="n">
        <f aca="false">E10+F10+H10-I10-J10-K10</f>
        <v>11002.6860065186</v>
      </c>
      <c r="H10" s="23" t="n">
        <v>13202.3111666667</v>
      </c>
      <c r="I10" s="23" t="n">
        <v>26376.75713875</v>
      </c>
      <c r="J10" s="23" t="n">
        <v>1603.56283192684</v>
      </c>
      <c r="K10" s="23" t="n">
        <v>0</v>
      </c>
    </row>
    <row r="11" customFormat="false" ht="15" hidden="false" customHeight="false" outlineLevel="0" collapsed="false">
      <c r="A11" s="28" t="s">
        <v>172</v>
      </c>
      <c r="B11" s="23" t="n">
        <v>10</v>
      </c>
      <c r="C11" s="23" t="n">
        <v>29646.1504446734</v>
      </c>
      <c r="D11" s="23" t="n">
        <v>4832.36837649669</v>
      </c>
      <c r="E11" s="15" t="n">
        <f aca="false">C11-D11</f>
        <v>24813.7820681767</v>
      </c>
      <c r="F11" s="23" t="n">
        <v>855</v>
      </c>
      <c r="G11" s="15" t="n">
        <f aca="false">E11+F11+H11-I11-J11-K11</f>
        <v>10826.2824154166</v>
      </c>
      <c r="H11" s="23" t="n">
        <v>13202.3111666667</v>
      </c>
      <c r="I11" s="23" t="n">
        <v>26441.2479875</v>
      </c>
      <c r="J11" s="23" t="n">
        <v>1603.56283192684</v>
      </c>
      <c r="K11" s="23" t="n">
        <v>0</v>
      </c>
    </row>
    <row r="12" customFormat="false" ht="15" hidden="false" customHeight="false" outlineLevel="0" collapsed="false">
      <c r="A12" s="28" t="s">
        <v>172</v>
      </c>
      <c r="B12" s="23" t="n">
        <v>11</v>
      </c>
      <c r="C12" s="23" t="n">
        <v>29455.1967104549</v>
      </c>
      <c r="D12" s="23" t="n">
        <v>4662.77474540409</v>
      </c>
      <c r="E12" s="15" t="n">
        <f aca="false">C12-D12</f>
        <v>24792.4219650508</v>
      </c>
      <c r="F12" s="23" t="n">
        <v>855</v>
      </c>
      <c r="G12" s="15" t="n">
        <f aca="false">E12+F12+H12-I12-J12-K12</f>
        <v>10740.4314635406</v>
      </c>
      <c r="H12" s="23" t="n">
        <v>13202.3111666667</v>
      </c>
      <c r="I12" s="23" t="n">
        <v>26505.73883625</v>
      </c>
      <c r="J12" s="23" t="n">
        <v>1603.56283192684</v>
      </c>
      <c r="K12" s="23" t="n">
        <v>0</v>
      </c>
    </row>
    <row r="13" customFormat="false" ht="15" hidden="false" customHeight="false" outlineLevel="0" collapsed="false">
      <c r="A13" s="28" t="s">
        <v>172</v>
      </c>
      <c r="B13" s="23" t="n">
        <v>12</v>
      </c>
      <c r="C13" s="23" t="n">
        <v>29269.6305273462</v>
      </c>
      <c r="D13" s="23" t="n">
        <v>4493.1811143115</v>
      </c>
      <c r="E13" s="15" t="n">
        <f aca="false">C13-D13</f>
        <v>24776.4494130347</v>
      </c>
      <c r="F13" s="23" t="n">
        <v>855</v>
      </c>
      <c r="G13" s="15" t="n">
        <f aca="false">E13+F13+H13-I13-J13-K13</f>
        <v>10659.9680627746</v>
      </c>
      <c r="H13" s="23" t="n">
        <v>13202.3111666667</v>
      </c>
      <c r="I13" s="23" t="n">
        <v>26570.229685</v>
      </c>
      <c r="J13" s="23" t="n">
        <v>1603.56283192684</v>
      </c>
      <c r="K13" s="23" t="n">
        <v>0</v>
      </c>
    </row>
    <row r="14" customFormat="false" ht="15" hidden="false" customHeight="false" outlineLevel="0" collapsed="false">
      <c r="A14" s="28" t="s">
        <v>172</v>
      </c>
      <c r="B14" s="23" t="n">
        <v>13</v>
      </c>
      <c r="C14" s="23" t="n">
        <v>29089.3073301761</v>
      </c>
      <c r="D14" s="23" t="n">
        <v>4323.58748321891</v>
      </c>
      <c r="E14" s="15" t="n">
        <f aca="false">C14-D14</f>
        <v>24765.7198469572</v>
      </c>
      <c r="F14" s="23" t="n">
        <v>855</v>
      </c>
      <c r="G14" s="15" t="n">
        <f aca="false">E14+F14+H14-I14-J14-K14</f>
        <v>10584.747647947</v>
      </c>
      <c r="H14" s="23" t="n">
        <v>13202.3111666667</v>
      </c>
      <c r="I14" s="23" t="n">
        <v>26634.72053375</v>
      </c>
      <c r="J14" s="23" t="n">
        <v>1603.56283192684</v>
      </c>
      <c r="K14" s="23" t="n">
        <v>0</v>
      </c>
    </row>
    <row r="15" customFormat="false" ht="15" hidden="false" customHeight="false" outlineLevel="0" collapsed="false">
      <c r="A15" s="28" t="s">
        <v>172</v>
      </c>
      <c r="B15" s="23" t="n">
        <v>14</v>
      </c>
      <c r="C15" s="23" t="n">
        <v>28914.0864758089</v>
      </c>
      <c r="D15" s="23" t="n">
        <v>4269.05999630941</v>
      </c>
      <c r="E15" s="15" t="n">
        <f aca="false">C15-D15</f>
        <v>24645.0264794995</v>
      </c>
      <c r="F15" s="23" t="n">
        <v>855</v>
      </c>
      <c r="G15" s="15" t="n">
        <f aca="false">E15+F15+H15-I15-J15-K15</f>
        <v>10399.5634317394</v>
      </c>
      <c r="H15" s="23" t="n">
        <v>13202.3111666667</v>
      </c>
      <c r="I15" s="23" t="n">
        <v>26699.2113825</v>
      </c>
      <c r="J15" s="23" t="n">
        <v>1603.56283192684</v>
      </c>
      <c r="K15" s="23" t="n">
        <v>0</v>
      </c>
    </row>
    <row r="16" customFormat="false" ht="15" hidden="false" customHeight="false" outlineLevel="0" collapsed="false">
      <c r="A16" s="28" t="s">
        <v>172</v>
      </c>
      <c r="B16" s="23" t="n">
        <v>15</v>
      </c>
      <c r="C16" s="23" t="n">
        <v>28743.8311317793</v>
      </c>
      <c r="D16" s="23" t="n">
        <v>4214.53250939991</v>
      </c>
      <c r="E16" s="15" t="n">
        <f aca="false">C16-D16</f>
        <v>24529.2986223794</v>
      </c>
      <c r="F16" s="23" t="n">
        <v>855</v>
      </c>
      <c r="G16" s="15" t="n">
        <f aca="false">E16+F16+H16-I16-J16-K16</f>
        <v>10219.3447258692</v>
      </c>
      <c r="H16" s="23" t="n">
        <v>13202.3111666667</v>
      </c>
      <c r="I16" s="23" t="n">
        <v>26763.70223125</v>
      </c>
      <c r="J16" s="23" t="n">
        <v>1603.56283192684</v>
      </c>
      <c r="K16" s="23" t="n">
        <v>0</v>
      </c>
    </row>
    <row r="17" customFormat="false" ht="15" hidden="false" customHeight="false" outlineLevel="0" collapsed="false">
      <c r="A17" s="28" t="s">
        <v>172</v>
      </c>
      <c r="B17" s="23" t="n">
        <v>16</v>
      </c>
      <c r="C17" s="23" t="n">
        <v>28624.2415016261</v>
      </c>
      <c r="D17" s="23" t="n">
        <v>4160.00502249041</v>
      </c>
      <c r="E17" s="15" t="n">
        <f aca="false">C17-D17</f>
        <v>24464.2364791357</v>
      </c>
      <c r="F17" s="23" t="n">
        <v>855</v>
      </c>
      <c r="G17" s="15" t="n">
        <f aca="false">E17+F17+H17-I17-J17-K17</f>
        <v>10089.7917338755</v>
      </c>
      <c r="H17" s="23" t="n">
        <v>13202.3111666667</v>
      </c>
      <c r="I17" s="23" t="n">
        <v>26828.19308</v>
      </c>
      <c r="J17" s="23" t="n">
        <v>1603.56283192684</v>
      </c>
      <c r="K17" s="23" t="n">
        <v>0</v>
      </c>
    </row>
    <row r="18" customFormat="false" ht="15" hidden="false" customHeight="false" outlineLevel="0" collapsed="false">
      <c r="A18" s="28" t="s">
        <v>172</v>
      </c>
      <c r="B18" s="23" t="n">
        <v>17</v>
      </c>
      <c r="C18" s="23" t="n">
        <v>28463.5213868197</v>
      </c>
      <c r="D18" s="23" t="n">
        <v>4105.47753558091</v>
      </c>
      <c r="E18" s="15" t="n">
        <f aca="false">C18-D18</f>
        <v>24358.0438512388</v>
      </c>
      <c r="F18" s="23" t="n">
        <v>855</v>
      </c>
      <c r="G18" s="15" t="n">
        <f aca="false">E18+F18+H18-I18-J18-K18</f>
        <v>9919.10825722859</v>
      </c>
      <c r="H18" s="23" t="n">
        <v>13202.3111666667</v>
      </c>
      <c r="I18" s="23" t="n">
        <v>26892.68392875</v>
      </c>
      <c r="J18" s="23" t="n">
        <v>1603.56283192684</v>
      </c>
      <c r="K18" s="23" t="n">
        <v>0</v>
      </c>
    </row>
    <row r="19" customFormat="false" ht="15" hidden="false" customHeight="false" outlineLevel="0" collapsed="false">
      <c r="A19" s="28" t="s">
        <v>172</v>
      </c>
      <c r="B19" s="23" t="n">
        <v>18</v>
      </c>
      <c r="C19" s="23" t="n">
        <v>28307.3780851751</v>
      </c>
      <c r="D19" s="23" t="n">
        <v>4050.95004867141</v>
      </c>
      <c r="E19" s="15" t="n">
        <f aca="false">C19-D19</f>
        <v>24256.4280365037</v>
      </c>
      <c r="F19" s="23" t="n">
        <v>855</v>
      </c>
      <c r="G19" s="15" t="n">
        <f aca="false">E19+F19+H19-I19-J19-K19</f>
        <v>9753.00159374352</v>
      </c>
      <c r="H19" s="23" t="n">
        <v>13202.3111666667</v>
      </c>
      <c r="I19" s="23" t="n">
        <v>26957.1747775</v>
      </c>
      <c r="J19" s="23" t="n">
        <v>1603.56283192684</v>
      </c>
      <c r="K19" s="23" t="n">
        <v>0</v>
      </c>
    </row>
    <row r="20" customFormat="false" ht="15" hidden="false" customHeight="false" outlineLevel="0" collapsed="false">
      <c r="A20" s="28" t="s">
        <v>172</v>
      </c>
      <c r="B20" s="23" t="n">
        <v>19</v>
      </c>
      <c r="C20" s="23" t="n">
        <v>28155.6889589847</v>
      </c>
      <c r="D20" s="23" t="n">
        <v>3996.42256176191</v>
      </c>
      <c r="E20" s="15" t="n">
        <f aca="false">C20-D20</f>
        <v>24159.2663972228</v>
      </c>
      <c r="F20" s="23" t="n">
        <v>855</v>
      </c>
      <c r="G20" s="15" t="n">
        <f aca="false">E20+F20+H20-I20-J20-K20</f>
        <v>9591.34910571266</v>
      </c>
      <c r="H20" s="23" t="n">
        <v>13202.3111666667</v>
      </c>
      <c r="I20" s="23" t="n">
        <v>27021.66562625</v>
      </c>
      <c r="J20" s="23" t="n">
        <v>1603.56283192684</v>
      </c>
      <c r="K20" s="23" t="n">
        <v>0</v>
      </c>
    </row>
    <row r="21" customFormat="false" ht="15" hidden="false" customHeight="false" outlineLevel="0" collapsed="false">
      <c r="A21" s="28" t="s">
        <v>172</v>
      </c>
      <c r="B21" s="23" t="n">
        <v>20</v>
      </c>
      <c r="C21" s="23" t="n">
        <v>28008.3346727718</v>
      </c>
      <c r="D21" s="23" t="n">
        <v>3956.06781428366</v>
      </c>
      <c r="E21" s="15" t="n">
        <f aca="false">C21-D21</f>
        <v>24052.2668584882</v>
      </c>
      <c r="F21" s="23" t="n">
        <v>855</v>
      </c>
      <c r="G21" s="15" t="n">
        <f aca="false">E21+F21+H21-I21-J21-K21</f>
        <v>-6580.14128177201</v>
      </c>
      <c r="H21" s="23" t="n">
        <v>13202.3111666667</v>
      </c>
      <c r="I21" s="23" t="n">
        <v>27086.156475</v>
      </c>
      <c r="J21" s="23" t="n">
        <v>1603.56283192684</v>
      </c>
      <c r="K21" s="23" t="n">
        <v>16000</v>
      </c>
    </row>
    <row r="22" customFormat="false" ht="15" hidden="false" customHeight="false" outlineLevel="0" collapsed="false">
      <c r="A22" s="28" t="s">
        <v>172</v>
      </c>
      <c r="B22" s="23" t="n">
        <v>21</v>
      </c>
      <c r="C22" s="23" t="n">
        <v>27865.1991005704</v>
      </c>
      <c r="D22" s="23" t="n">
        <v>3915.71306680541</v>
      </c>
      <c r="E22" s="15" t="n">
        <f aca="false">C22-D22</f>
        <v>23949.486033765</v>
      </c>
      <c r="F22" s="23" t="n">
        <v>855</v>
      </c>
      <c r="G22" s="15" t="n">
        <f aca="false">E22+F22+H22-I22-J22-K22</f>
        <v>9252.58704475482</v>
      </c>
      <c r="H22" s="23" t="n">
        <v>13202.3111666667</v>
      </c>
      <c r="I22" s="23" t="n">
        <v>27150.64732375</v>
      </c>
      <c r="J22" s="23" t="n">
        <v>1603.56283192684</v>
      </c>
      <c r="K22" s="23" t="n">
        <v>0</v>
      </c>
    </row>
    <row r="23" customFormat="false" ht="15" hidden="false" customHeight="false" outlineLevel="0" collapsed="false">
      <c r="A23" s="28" t="s">
        <v>172</v>
      </c>
      <c r="B23" s="23" t="n">
        <v>22</v>
      </c>
      <c r="C23" s="23" t="n">
        <v>27726.1692359736</v>
      </c>
      <c r="D23" s="23" t="n">
        <v>3875.35831932716</v>
      </c>
      <c r="E23" s="15" t="n">
        <f aca="false">C23-D23</f>
        <v>23850.8109166464</v>
      </c>
      <c r="F23" s="23" t="n">
        <v>855</v>
      </c>
      <c r="G23" s="15" t="n">
        <f aca="false">E23+F23+H23-I23-J23-K23</f>
        <v>9089.42107888627</v>
      </c>
      <c r="H23" s="23" t="n">
        <v>13202.3111666667</v>
      </c>
      <c r="I23" s="23" t="n">
        <v>27215.1381725</v>
      </c>
      <c r="J23" s="23" t="n">
        <v>1603.56283192684</v>
      </c>
      <c r="K23" s="23" t="n">
        <v>0</v>
      </c>
    </row>
    <row r="24" customFormat="false" ht="15" hidden="false" customHeight="false" outlineLevel="0" collapsed="false">
      <c r="A24" s="28" t="s">
        <v>172</v>
      </c>
      <c r="B24" s="23" t="n">
        <v>23</v>
      </c>
      <c r="C24" s="23" t="n">
        <v>27591.1351048621</v>
      </c>
      <c r="D24" s="23" t="n">
        <v>3835.00357184891</v>
      </c>
      <c r="E24" s="15" t="n">
        <f aca="false">C24-D24</f>
        <v>23756.1315330132</v>
      </c>
      <c r="F24" s="23" t="n">
        <v>855</v>
      </c>
      <c r="G24" s="15" t="n">
        <f aca="false">E24+F24+H24-I24-J24-K24</f>
        <v>8930.25084650302</v>
      </c>
      <c r="H24" s="23" t="n">
        <v>13202.3111666667</v>
      </c>
      <c r="I24" s="23" t="n">
        <v>27279.62902125</v>
      </c>
      <c r="J24" s="23" t="n">
        <v>1603.56283192684</v>
      </c>
      <c r="K24" s="23" t="n">
        <v>0</v>
      </c>
    </row>
    <row r="25" customFormat="false" ht="15" hidden="false" customHeight="false" outlineLevel="0" collapsed="false">
      <c r="A25" s="28" t="s">
        <v>172</v>
      </c>
      <c r="B25" s="23" t="n">
        <v>24</v>
      </c>
      <c r="C25" s="23" t="n">
        <v>27459.9896807272</v>
      </c>
      <c r="D25" s="23" t="n">
        <v>3794.64882437066</v>
      </c>
      <c r="E25" s="15" t="n">
        <f aca="false">C25-D25</f>
        <v>23665.3408563566</v>
      </c>
      <c r="F25" s="23" t="n">
        <v>855</v>
      </c>
      <c r="G25" s="15" t="n">
        <f aca="false">E25+F25+H25-I25-J25-K25</f>
        <v>8774.96932109638</v>
      </c>
      <c r="H25" s="23" t="n">
        <v>13202.3111666667</v>
      </c>
      <c r="I25" s="23" t="n">
        <v>27344.11987</v>
      </c>
      <c r="J25" s="23" t="n">
        <v>1603.56283192684</v>
      </c>
      <c r="K25" s="23" t="n">
        <v>0</v>
      </c>
    </row>
    <row r="26" customFormat="false" ht="15" hidden="false" customHeight="false" outlineLevel="0" collapsed="false">
      <c r="A26" s="28" t="s">
        <v>176</v>
      </c>
      <c r="B26" s="23" t="n">
        <v>1</v>
      </c>
      <c r="C26" s="23" t="n">
        <v>33666.8278010568</v>
      </c>
      <c r="D26" s="23" t="n">
        <v>10848.4874214937</v>
      </c>
      <c r="E26" s="15" t="n">
        <f aca="false">C26-D26</f>
        <v>22818.3403795631</v>
      </c>
      <c r="F26" s="23" t="n">
        <v>720</v>
      </c>
      <c r="G26" s="15" t="n">
        <f aca="false">E26+F26+H26-I26-J26-K26</f>
        <v>9276.25836555292</v>
      </c>
      <c r="H26" s="23" t="n">
        <v>13202.3111666667</v>
      </c>
      <c r="I26" s="23" t="n">
        <v>25860.83034875</v>
      </c>
      <c r="J26" s="23" t="n">
        <v>1603.56283192684</v>
      </c>
      <c r="K26" s="23" t="n">
        <v>0</v>
      </c>
    </row>
    <row r="27" customFormat="false" ht="15" hidden="false" customHeight="false" outlineLevel="0" collapsed="false">
      <c r="A27" s="28" t="s">
        <v>176</v>
      </c>
      <c r="B27" s="23" t="n">
        <v>2</v>
      </c>
      <c r="C27" s="23" t="n">
        <v>33553.9252664136</v>
      </c>
      <c r="D27" s="23" t="n">
        <v>9195.6066634011</v>
      </c>
      <c r="E27" s="15" t="n">
        <f aca="false">C27-D27</f>
        <v>24358.3186030125</v>
      </c>
      <c r="F27" s="23" t="n">
        <v>720</v>
      </c>
      <c r="G27" s="15" t="n">
        <f aca="false">E27+F27+H27-I27-J27-K27</f>
        <v>10751.7457402523</v>
      </c>
      <c r="H27" s="23" t="n">
        <v>13202.3111666667</v>
      </c>
      <c r="I27" s="23" t="n">
        <v>25925.3211975</v>
      </c>
      <c r="J27" s="23" t="n">
        <v>1603.56283192684</v>
      </c>
      <c r="K27" s="23" t="n">
        <v>0</v>
      </c>
    </row>
    <row r="28" customFormat="false" ht="15" hidden="false" customHeight="false" outlineLevel="0" collapsed="false">
      <c r="A28" s="28" t="s">
        <v>176</v>
      </c>
      <c r="B28" s="23" t="n">
        <v>3</v>
      </c>
      <c r="C28" s="23" t="n">
        <v>33440.4126945863</v>
      </c>
      <c r="D28" s="23" t="n">
        <v>8364.75815887516</v>
      </c>
      <c r="E28" s="15" t="n">
        <f aca="false">C28-D28</f>
        <v>25075.6545357111</v>
      </c>
      <c r="F28" s="23" t="n">
        <v>720</v>
      </c>
      <c r="G28" s="15" t="n">
        <f aca="false">E28+F28+H28-I28-J28-K28</f>
        <v>11404.5908242009</v>
      </c>
      <c r="H28" s="23" t="n">
        <v>13202.3111666667</v>
      </c>
      <c r="I28" s="23" t="n">
        <v>25989.81204625</v>
      </c>
      <c r="J28" s="23" t="n">
        <v>1603.56283192684</v>
      </c>
      <c r="K28" s="23" t="n">
        <v>0</v>
      </c>
    </row>
    <row r="29" customFormat="false" ht="15" hidden="false" customHeight="false" outlineLevel="0" collapsed="false">
      <c r="A29" s="28" t="s">
        <v>176</v>
      </c>
      <c r="B29" s="23" t="n">
        <v>4</v>
      </c>
      <c r="C29" s="23" t="n">
        <v>33332.8559817918</v>
      </c>
      <c r="D29" s="23" t="n">
        <v>7874.64224403255</v>
      </c>
      <c r="E29" s="15" t="n">
        <f aca="false">C29-D29</f>
        <v>25458.2137377593</v>
      </c>
      <c r="F29" s="23" t="n">
        <v>720</v>
      </c>
      <c r="G29" s="15" t="n">
        <f aca="false">E29+F29+H29-I29-J29-K29</f>
        <v>11722.6591774991</v>
      </c>
      <c r="H29" s="23" t="n">
        <v>13202.3111666667</v>
      </c>
      <c r="I29" s="23" t="n">
        <v>26054.302895</v>
      </c>
      <c r="J29" s="23" t="n">
        <v>1603.56283192684</v>
      </c>
      <c r="K29" s="23" t="n">
        <v>0</v>
      </c>
    </row>
    <row r="30" customFormat="false" ht="15" hidden="false" customHeight="false" outlineLevel="0" collapsed="false">
      <c r="A30" s="28" t="s">
        <v>176</v>
      </c>
      <c r="B30" s="23" t="n">
        <v>5</v>
      </c>
      <c r="C30" s="23" t="n">
        <v>33227.8891433177</v>
      </c>
      <c r="D30" s="23" t="n">
        <v>7659.92909744445</v>
      </c>
      <c r="E30" s="15" t="n">
        <f aca="false">C30-D30</f>
        <v>25567.9600458733</v>
      </c>
      <c r="F30" s="23" t="n">
        <v>720</v>
      </c>
      <c r="G30" s="15" t="n">
        <f aca="false">E30+F30+H30-I30-J30-K30</f>
        <v>11767.9146368631</v>
      </c>
      <c r="H30" s="23" t="n">
        <v>13202.3111666667</v>
      </c>
      <c r="I30" s="23" t="n">
        <v>26118.79374375</v>
      </c>
      <c r="J30" s="23" t="n">
        <v>1603.56283192684</v>
      </c>
      <c r="K30" s="23" t="n">
        <v>0</v>
      </c>
    </row>
    <row r="31" customFormat="false" ht="15" hidden="false" customHeight="false" outlineLevel="0" collapsed="false">
      <c r="A31" s="28" t="s">
        <v>176</v>
      </c>
      <c r="B31" s="23" t="n">
        <v>6</v>
      </c>
      <c r="C31" s="23" t="n">
        <v>33125.4583015369</v>
      </c>
      <c r="D31" s="23" t="n">
        <v>7445.21595085634</v>
      </c>
      <c r="E31" s="15" t="n">
        <f aca="false">C31-D31</f>
        <v>25680.2423506805</v>
      </c>
      <c r="F31" s="23" t="n">
        <v>720</v>
      </c>
      <c r="G31" s="15" t="n">
        <f aca="false">E31+F31+H31-I31-J31-K31</f>
        <v>11815.7060929204</v>
      </c>
      <c r="H31" s="23" t="n">
        <v>13202.3111666667</v>
      </c>
      <c r="I31" s="23" t="n">
        <v>26183.2845925</v>
      </c>
      <c r="J31" s="23" t="n">
        <v>1603.56283192684</v>
      </c>
      <c r="K31" s="23" t="n">
        <v>0</v>
      </c>
    </row>
    <row r="32" customFormat="false" ht="15" hidden="false" customHeight="false" outlineLevel="0" collapsed="false">
      <c r="A32" s="28" t="s">
        <v>176</v>
      </c>
      <c r="B32" s="23" t="n">
        <v>7</v>
      </c>
      <c r="C32" s="23" t="n">
        <v>33025.5106611271</v>
      </c>
      <c r="D32" s="23" t="n">
        <v>7230.50280426824</v>
      </c>
      <c r="E32" s="15" t="n">
        <f aca="false">C32-D32</f>
        <v>25795.0078568589</v>
      </c>
      <c r="F32" s="23" t="n">
        <v>720</v>
      </c>
      <c r="G32" s="15" t="n">
        <f aca="false">E32+F32+H32-I32-J32-K32</f>
        <v>11865.9807503487</v>
      </c>
      <c r="H32" s="23" t="n">
        <v>13202.3111666667</v>
      </c>
      <c r="I32" s="23" t="n">
        <v>26247.77544125</v>
      </c>
      <c r="J32" s="23" t="n">
        <v>1603.56283192684</v>
      </c>
      <c r="K32" s="23" t="n">
        <v>0</v>
      </c>
    </row>
    <row r="33" customFormat="false" ht="15" hidden="false" customHeight="false" outlineLevel="0" collapsed="false">
      <c r="A33" s="28" t="s">
        <v>176</v>
      </c>
      <c r="B33" s="23" t="n">
        <v>8</v>
      </c>
      <c r="C33" s="23" t="n">
        <v>32927.9944873871</v>
      </c>
      <c r="D33" s="23" t="n">
        <v>7092.05443956814</v>
      </c>
      <c r="E33" s="15" t="n">
        <f aca="false">C33-D33</f>
        <v>25835.9400478189</v>
      </c>
      <c r="F33" s="23" t="n">
        <v>720</v>
      </c>
      <c r="G33" s="15" t="n">
        <f aca="false">E33+F33+H33-I33-J33-K33</f>
        <v>-4157.57790744124</v>
      </c>
      <c r="H33" s="23" t="n">
        <v>13202.3111666667</v>
      </c>
      <c r="I33" s="23" t="n">
        <v>26312.26629</v>
      </c>
      <c r="J33" s="23" t="n">
        <v>1603.56283192684</v>
      </c>
      <c r="K33" s="23" t="n">
        <v>16000</v>
      </c>
    </row>
    <row r="34" customFormat="false" ht="15" hidden="false" customHeight="false" outlineLevel="0" collapsed="false">
      <c r="A34" s="28" t="s">
        <v>176</v>
      </c>
      <c r="B34" s="23" t="n">
        <v>9</v>
      </c>
      <c r="C34" s="23" t="n">
        <v>32832.8590849886</v>
      </c>
      <c r="D34" s="23" t="n">
        <v>6953.60607486804</v>
      </c>
      <c r="E34" s="15" t="n">
        <f aca="false">C34-D34</f>
        <v>25879.2530101206</v>
      </c>
      <c r="F34" s="23" t="n">
        <v>720</v>
      </c>
      <c r="G34" s="15" t="n">
        <f aca="false">E34+F34+H34-I34-J34-K34</f>
        <v>11821.2442061104</v>
      </c>
      <c r="H34" s="23" t="n">
        <v>13202.3111666667</v>
      </c>
      <c r="I34" s="23" t="n">
        <v>26376.75713875</v>
      </c>
      <c r="J34" s="23" t="n">
        <v>1603.56283192684</v>
      </c>
      <c r="K34" s="23" t="n">
        <v>0</v>
      </c>
    </row>
    <row r="35" customFormat="false" ht="15" hidden="false" customHeight="false" outlineLevel="0" collapsed="false">
      <c r="A35" s="28" t="s">
        <v>176</v>
      </c>
      <c r="B35" s="23" t="n">
        <v>10</v>
      </c>
      <c r="C35" s="23" t="n">
        <v>32652.1381104904</v>
      </c>
      <c r="D35" s="23" t="n">
        <v>6815.15771016794</v>
      </c>
      <c r="E35" s="15" t="n">
        <f aca="false">C35-D35</f>
        <v>25836.9804003224</v>
      </c>
      <c r="F35" s="23" t="n">
        <v>720</v>
      </c>
      <c r="G35" s="15" t="n">
        <f aca="false">E35+F35+H35-I35-J35-K35</f>
        <v>11714.4807475623</v>
      </c>
      <c r="H35" s="23" t="n">
        <v>13202.3111666667</v>
      </c>
      <c r="I35" s="23" t="n">
        <v>26441.2479875</v>
      </c>
      <c r="J35" s="23" t="n">
        <v>1603.56283192684</v>
      </c>
      <c r="K35" s="23" t="n">
        <v>0</v>
      </c>
    </row>
    <row r="36" customFormat="false" ht="15" hidden="false" customHeight="false" outlineLevel="0" collapsed="false">
      <c r="A36" s="28" t="s">
        <v>176</v>
      </c>
      <c r="B36" s="23" t="n">
        <v>11</v>
      </c>
      <c r="C36" s="23" t="n">
        <v>32561.6162186044</v>
      </c>
      <c r="D36" s="23" t="n">
        <v>6707.54279396576</v>
      </c>
      <c r="E36" s="15" t="n">
        <f aca="false">C36-D36</f>
        <v>25854.0734246386</v>
      </c>
      <c r="F36" s="23" t="n">
        <v>720</v>
      </c>
      <c r="G36" s="15" t="n">
        <f aca="false">E36+F36+H36-I36-J36-K36</f>
        <v>11667.0829231284</v>
      </c>
      <c r="H36" s="23" t="n">
        <v>13202.3111666667</v>
      </c>
      <c r="I36" s="23" t="n">
        <v>26505.73883625</v>
      </c>
      <c r="J36" s="23" t="n">
        <v>1603.56283192684</v>
      </c>
      <c r="K36" s="23" t="n">
        <v>0</v>
      </c>
    </row>
    <row r="37" customFormat="false" ht="15" hidden="false" customHeight="false" outlineLevel="0" collapsed="false">
      <c r="A37" s="28" t="s">
        <v>176</v>
      </c>
      <c r="B37" s="23" t="n">
        <v>12</v>
      </c>
      <c r="C37" s="23" t="n">
        <v>32473.3290422064</v>
      </c>
      <c r="D37" s="23" t="n">
        <v>6599.92787776359</v>
      </c>
      <c r="E37" s="15" t="n">
        <f aca="false">C37-D37</f>
        <v>25873.4011644428</v>
      </c>
      <c r="F37" s="23" t="n">
        <v>720</v>
      </c>
      <c r="G37" s="15" t="n">
        <f aca="false">E37+F37+H37-I37-J37-K37</f>
        <v>11621.9198141826</v>
      </c>
      <c r="H37" s="23" t="n">
        <v>13202.3111666667</v>
      </c>
      <c r="I37" s="23" t="n">
        <v>26570.229685</v>
      </c>
      <c r="J37" s="23" t="n">
        <v>1603.56283192684</v>
      </c>
      <c r="K37" s="23" t="n">
        <v>0</v>
      </c>
    </row>
    <row r="38" customFormat="false" ht="15" hidden="false" customHeight="false" outlineLevel="0" collapsed="false">
      <c r="A38" s="28" t="s">
        <v>176</v>
      </c>
      <c r="B38" s="23" t="n">
        <v>13</v>
      </c>
      <c r="C38" s="23" t="n">
        <v>32387.2298394156</v>
      </c>
      <c r="D38" s="23" t="n">
        <v>6492.31296156141</v>
      </c>
      <c r="E38" s="15" t="n">
        <f aca="false">C38-D38</f>
        <v>25894.9168778542</v>
      </c>
      <c r="F38" s="23" t="n">
        <v>720</v>
      </c>
      <c r="G38" s="15" t="n">
        <f aca="false">E38+F38+H38-I38-J38-K38</f>
        <v>11578.944678844</v>
      </c>
      <c r="H38" s="23" t="n">
        <v>13202.3111666667</v>
      </c>
      <c r="I38" s="23" t="n">
        <v>26634.72053375</v>
      </c>
      <c r="J38" s="23" t="n">
        <v>1603.56283192684</v>
      </c>
      <c r="K38" s="23" t="n">
        <v>0</v>
      </c>
    </row>
    <row r="39" customFormat="false" ht="15" hidden="false" customHeight="false" outlineLevel="0" collapsed="false">
      <c r="A39" s="28" t="s">
        <v>176</v>
      </c>
      <c r="B39" s="23" t="n">
        <v>14</v>
      </c>
      <c r="C39" s="23" t="n">
        <v>32303.2728077352</v>
      </c>
      <c r="D39" s="23" t="n">
        <v>6456.73246829983</v>
      </c>
      <c r="E39" s="15" t="n">
        <f aca="false">C39-D39</f>
        <v>25846.5403394353</v>
      </c>
      <c r="F39" s="23" t="n">
        <v>720</v>
      </c>
      <c r="G39" s="15" t="n">
        <f aca="false">E39+F39+H39-I39-J39-K39</f>
        <v>11466.0772916752</v>
      </c>
      <c r="H39" s="23" t="n">
        <v>13202.3111666667</v>
      </c>
      <c r="I39" s="23" t="n">
        <v>26699.2113825</v>
      </c>
      <c r="J39" s="23" t="n">
        <v>1603.56283192684</v>
      </c>
      <c r="K39" s="23" t="n">
        <v>0</v>
      </c>
    </row>
    <row r="40" customFormat="false" ht="15" hidden="false" customHeight="false" outlineLevel="0" collapsed="false">
      <c r="A40" s="28" t="s">
        <v>176</v>
      </c>
      <c r="B40" s="23" t="n">
        <v>15</v>
      </c>
      <c r="C40" s="23" t="n">
        <v>32221.4130652458</v>
      </c>
      <c r="D40" s="23" t="n">
        <v>6421.15197503824</v>
      </c>
      <c r="E40" s="15" t="n">
        <f aca="false">C40-D40</f>
        <v>25800.2610902076</v>
      </c>
      <c r="F40" s="23" t="n">
        <v>720</v>
      </c>
      <c r="G40" s="15" t="n">
        <f aca="false">E40+F40+H40-I40-J40-K40</f>
        <v>11355.3071936974</v>
      </c>
      <c r="H40" s="23" t="n">
        <v>13202.3111666667</v>
      </c>
      <c r="I40" s="23" t="n">
        <v>26763.70223125</v>
      </c>
      <c r="J40" s="23" t="n">
        <v>1603.56283192684</v>
      </c>
      <c r="K40" s="23" t="n">
        <v>0</v>
      </c>
    </row>
    <row r="41" customFormat="false" ht="15" hidden="false" customHeight="false" outlineLevel="0" collapsed="false">
      <c r="A41" s="28" t="s">
        <v>176</v>
      </c>
      <c r="B41" s="23" t="n">
        <v>16</v>
      </c>
      <c r="C41" s="23" t="n">
        <v>32270.7732988448</v>
      </c>
      <c r="D41" s="23" t="n">
        <v>6385.57148177666</v>
      </c>
      <c r="E41" s="15" t="n">
        <f aca="false">C41-D41</f>
        <v>25885.2018170681</v>
      </c>
      <c r="F41" s="23" t="n">
        <v>720</v>
      </c>
      <c r="G41" s="15" t="n">
        <f aca="false">E41+F41+H41-I41-J41-K41</f>
        <v>11375.757071808</v>
      </c>
      <c r="H41" s="23" t="n">
        <v>13202.3111666667</v>
      </c>
      <c r="I41" s="23" t="n">
        <v>26828.19308</v>
      </c>
      <c r="J41" s="23" t="n">
        <v>1603.56283192684</v>
      </c>
      <c r="K41" s="23" t="n">
        <v>0</v>
      </c>
    </row>
    <row r="42" customFormat="false" ht="15" hidden="false" customHeight="false" outlineLevel="0" collapsed="false">
      <c r="A42" s="28" t="s">
        <v>176</v>
      </c>
      <c r="B42" s="23" t="n">
        <v>17</v>
      </c>
      <c r="C42" s="23" t="n">
        <v>32192.9770795217</v>
      </c>
      <c r="D42" s="23" t="n">
        <v>6349.99098851508</v>
      </c>
      <c r="E42" s="15" t="n">
        <f aca="false">C42-D42</f>
        <v>25842.9860910066</v>
      </c>
      <c r="F42" s="23" t="n">
        <v>720</v>
      </c>
      <c r="G42" s="15" t="n">
        <f aca="false">E42+F42+H42-I42-J42-K42</f>
        <v>11269.0504969965</v>
      </c>
      <c r="H42" s="23" t="n">
        <v>13202.3111666667</v>
      </c>
      <c r="I42" s="23" t="n">
        <v>26892.68392875</v>
      </c>
      <c r="J42" s="23" t="n">
        <v>1603.56283192684</v>
      </c>
      <c r="K42" s="23" t="n">
        <v>0</v>
      </c>
    </row>
    <row r="43" customFormat="false" ht="15" hidden="false" customHeight="false" outlineLevel="0" collapsed="false">
      <c r="A43" s="28" t="s">
        <v>176</v>
      </c>
      <c r="B43" s="23" t="n">
        <v>18</v>
      </c>
      <c r="C43" s="23" t="n">
        <v>32117.1488446652</v>
      </c>
      <c r="D43" s="23" t="n">
        <v>6314.41049525349</v>
      </c>
      <c r="E43" s="15" t="n">
        <f aca="false">C43-D43</f>
        <v>25802.7383494117</v>
      </c>
      <c r="F43" s="23" t="n">
        <v>720</v>
      </c>
      <c r="G43" s="15" t="n">
        <f aca="false">E43+F43+H43-I43-J43-K43</f>
        <v>11164.3119066515</v>
      </c>
      <c r="H43" s="23" t="n">
        <v>13202.3111666667</v>
      </c>
      <c r="I43" s="23" t="n">
        <v>26957.1747775</v>
      </c>
      <c r="J43" s="23" t="n">
        <v>1603.56283192684</v>
      </c>
      <c r="K43" s="23" t="n">
        <v>0</v>
      </c>
    </row>
    <row r="44" customFormat="false" ht="15" hidden="false" customHeight="false" outlineLevel="0" collapsed="false">
      <c r="A44" s="28" t="s">
        <v>176</v>
      </c>
      <c r="B44" s="23" t="n">
        <v>19</v>
      </c>
      <c r="C44" s="23" t="n">
        <v>32043.2472140581</v>
      </c>
      <c r="D44" s="23" t="n">
        <v>6278.83000199191</v>
      </c>
      <c r="E44" s="15" t="n">
        <f aca="false">C44-D44</f>
        <v>25764.4172120662</v>
      </c>
      <c r="F44" s="23" t="n">
        <v>720</v>
      </c>
      <c r="G44" s="15" t="n">
        <f aca="false">E44+F44+H44-I44-J44-K44</f>
        <v>11061.4999205561</v>
      </c>
      <c r="H44" s="23" t="n">
        <v>13202.3111666667</v>
      </c>
      <c r="I44" s="23" t="n">
        <v>27021.66562625</v>
      </c>
      <c r="J44" s="23" t="n">
        <v>1603.56283192684</v>
      </c>
      <c r="K44" s="23" t="n">
        <v>0</v>
      </c>
    </row>
    <row r="45" customFormat="false" ht="15" hidden="false" customHeight="false" outlineLevel="0" collapsed="false">
      <c r="A45" s="28" t="s">
        <v>176</v>
      </c>
      <c r="B45" s="23" t="n">
        <v>20</v>
      </c>
      <c r="C45" s="23" t="n">
        <v>31971.2316395556</v>
      </c>
      <c r="D45" s="23" t="n">
        <v>6251.88458736644</v>
      </c>
      <c r="E45" s="15" t="n">
        <f aca="false">C45-D45</f>
        <v>25719.3470521891</v>
      </c>
      <c r="F45" s="23" t="n">
        <v>720</v>
      </c>
      <c r="G45" s="15" t="n">
        <f aca="false">E45+F45+H45-I45-J45-K45</f>
        <v>-5048.06108807105</v>
      </c>
      <c r="H45" s="23" t="n">
        <v>13202.3111666667</v>
      </c>
      <c r="I45" s="23" t="n">
        <v>27086.156475</v>
      </c>
      <c r="J45" s="23" t="n">
        <v>1603.56283192684</v>
      </c>
      <c r="K45" s="23" t="n">
        <v>16000</v>
      </c>
    </row>
    <row r="46" customFormat="false" ht="15" hidden="false" customHeight="false" outlineLevel="0" collapsed="false">
      <c r="A46" s="28" t="s">
        <v>176</v>
      </c>
      <c r="B46" s="23" t="n">
        <v>21</v>
      </c>
      <c r="C46" s="23" t="n">
        <v>31901.062388437</v>
      </c>
      <c r="D46" s="23" t="n">
        <v>6224.93917274097</v>
      </c>
      <c r="E46" s="15" t="n">
        <f aca="false">C46-D46</f>
        <v>25676.1232156961</v>
      </c>
      <c r="F46" s="23" t="n">
        <v>720</v>
      </c>
      <c r="G46" s="15" t="n">
        <f aca="false">E46+F46+H46-I46-J46-K46</f>
        <v>10844.2242266859</v>
      </c>
      <c r="H46" s="23" t="n">
        <v>13202.3111666667</v>
      </c>
      <c r="I46" s="23" t="n">
        <v>27150.64732375</v>
      </c>
      <c r="J46" s="23" t="n">
        <v>1603.56283192684</v>
      </c>
      <c r="K46" s="23" t="n">
        <v>0</v>
      </c>
    </row>
    <row r="47" customFormat="false" ht="15" hidden="false" customHeight="false" outlineLevel="0" collapsed="false">
      <c r="A47" s="28" t="s">
        <v>176</v>
      </c>
      <c r="B47" s="23" t="n">
        <v>22</v>
      </c>
      <c r="C47" s="23" t="n">
        <v>31832.7005270943</v>
      </c>
      <c r="D47" s="23" t="n">
        <v>6197.99375811549</v>
      </c>
      <c r="E47" s="15" t="n">
        <f aca="false">C47-D47</f>
        <v>25634.7067689788</v>
      </c>
      <c r="F47" s="23" t="n">
        <v>720</v>
      </c>
      <c r="G47" s="15" t="n">
        <f aca="false">E47+F47+H47-I47-J47-K47</f>
        <v>10738.3169312186</v>
      </c>
      <c r="H47" s="23" t="n">
        <v>13202.3111666667</v>
      </c>
      <c r="I47" s="23" t="n">
        <v>27215.1381725</v>
      </c>
      <c r="J47" s="23" t="n">
        <v>1603.56283192684</v>
      </c>
      <c r="K47" s="23" t="n">
        <v>0</v>
      </c>
    </row>
    <row r="48" customFormat="false" ht="15" hidden="false" customHeight="false" outlineLevel="0" collapsed="false">
      <c r="A48" s="28" t="s">
        <v>176</v>
      </c>
      <c r="B48" s="23" t="n">
        <v>23</v>
      </c>
      <c r="C48" s="23" t="n">
        <v>31766.1079050465</v>
      </c>
      <c r="D48" s="23" t="n">
        <v>6171.04834349002</v>
      </c>
      <c r="E48" s="15" t="n">
        <f aca="false">C48-D48</f>
        <v>25595.0595615565</v>
      </c>
      <c r="F48" s="23" t="n">
        <v>720</v>
      </c>
      <c r="G48" s="15" t="n">
        <f aca="false">E48+F48+H48-I48-J48-K48</f>
        <v>10634.1788750463</v>
      </c>
      <c r="H48" s="23" t="n">
        <v>13202.3111666667</v>
      </c>
      <c r="I48" s="23" t="n">
        <v>27279.62902125</v>
      </c>
      <c r="J48" s="23" t="n">
        <v>1603.56283192684</v>
      </c>
      <c r="K48" s="23" t="n">
        <v>0</v>
      </c>
    </row>
    <row r="49" customFormat="false" ht="15" hidden="false" customHeight="false" outlineLevel="0" collapsed="false">
      <c r="A49" s="28" t="s">
        <v>176</v>
      </c>
      <c r="B49" s="23" t="n">
        <v>24</v>
      </c>
      <c r="C49" s="23" t="n">
        <v>31701.2471392773</v>
      </c>
      <c r="D49" s="23" t="n">
        <v>6144.10292886455</v>
      </c>
      <c r="E49" s="15" t="n">
        <f aca="false">C49-D49</f>
        <v>25557.1442104127</v>
      </c>
      <c r="F49" s="23" t="n">
        <v>720</v>
      </c>
      <c r="G49" s="15" t="n">
        <f aca="false">E49+F49+H49-I49-J49-K49</f>
        <v>10531.7726751525</v>
      </c>
      <c r="H49" s="23" t="n">
        <v>13202.3111666667</v>
      </c>
      <c r="I49" s="23" t="n">
        <v>27344.11987</v>
      </c>
      <c r="J49" s="23" t="n">
        <v>1603.56283192684</v>
      </c>
      <c r="K49" s="23" t="n">
        <v>0</v>
      </c>
    </row>
    <row r="50" customFormat="false" ht="15" hidden="false" customHeight="false" outlineLevel="0" collapsed="false">
      <c r="A50" s="28" t="s">
        <v>178</v>
      </c>
      <c r="B50" s="23" t="n">
        <v>1</v>
      </c>
      <c r="C50" s="23" t="n">
        <v>35730.3456617728</v>
      </c>
      <c r="D50" s="23" t="n">
        <v>10874.3487485437</v>
      </c>
      <c r="E50" s="15" t="n">
        <f aca="false">C50-D50</f>
        <v>24855.996913229</v>
      </c>
      <c r="F50" s="23" t="n">
        <v>585</v>
      </c>
      <c r="G50" s="15" t="n">
        <f aca="false">E50+F50+H50-I50-J50-K50</f>
        <v>11178.9148992189</v>
      </c>
      <c r="H50" s="23" t="n">
        <v>13202.3111666667</v>
      </c>
      <c r="I50" s="23" t="n">
        <v>25860.83034875</v>
      </c>
      <c r="J50" s="23" t="n">
        <v>1603.56283192684</v>
      </c>
      <c r="K50" s="23" t="n">
        <v>0</v>
      </c>
    </row>
    <row r="51" customFormat="false" ht="15" hidden="false" customHeight="false" outlineLevel="0" collapsed="false">
      <c r="A51" s="28" t="s">
        <v>178</v>
      </c>
      <c r="B51" s="23" t="n">
        <v>2</v>
      </c>
      <c r="C51" s="23" t="n">
        <v>35722.2476088567</v>
      </c>
      <c r="D51" s="23" t="n">
        <v>10035.3843962015</v>
      </c>
      <c r="E51" s="15" t="n">
        <f aca="false">C51-D51</f>
        <v>25686.8632126552</v>
      </c>
      <c r="F51" s="23" t="n">
        <v>585</v>
      </c>
      <c r="G51" s="15" t="n">
        <f aca="false">E51+F51+H51-I51-J51-K51</f>
        <v>11945.290349895</v>
      </c>
      <c r="H51" s="23" t="n">
        <v>13202.3111666667</v>
      </c>
      <c r="I51" s="23" t="n">
        <v>25925.3211975</v>
      </c>
      <c r="J51" s="23" t="n">
        <v>1603.56283192684</v>
      </c>
      <c r="K51" s="23" t="n">
        <v>0</v>
      </c>
    </row>
    <row r="52" customFormat="false" ht="15" hidden="false" customHeight="false" outlineLevel="0" collapsed="false">
      <c r="A52" s="28" t="s">
        <v>178</v>
      </c>
      <c r="B52" s="23" t="n">
        <v>3</v>
      </c>
      <c r="C52" s="23" t="n">
        <v>35712.9493763028</v>
      </c>
      <c r="D52" s="23" t="n">
        <v>9614.64450397599</v>
      </c>
      <c r="E52" s="15" t="n">
        <f aca="false">C52-D52</f>
        <v>26098.3048723268</v>
      </c>
      <c r="F52" s="23" t="n">
        <v>585</v>
      </c>
      <c r="G52" s="15" t="n">
        <f aca="false">E52+F52+H52-I52-J52-K52</f>
        <v>12292.2411608167</v>
      </c>
      <c r="H52" s="23" t="n">
        <v>13202.3111666667</v>
      </c>
      <c r="I52" s="23" t="n">
        <v>25989.81204625</v>
      </c>
      <c r="J52" s="23" t="n">
        <v>1603.56283192684</v>
      </c>
      <c r="K52" s="23" t="n">
        <v>0</v>
      </c>
    </row>
    <row r="53" customFormat="false" ht="15" hidden="false" customHeight="false" outlineLevel="0" collapsed="false">
      <c r="A53" s="28" t="s">
        <v>178</v>
      </c>
      <c r="B53" s="23" t="n">
        <v>4</v>
      </c>
      <c r="C53" s="23" t="n">
        <v>35705.7686891558</v>
      </c>
      <c r="D53" s="23" t="n">
        <v>9334.84232846714</v>
      </c>
      <c r="E53" s="15" t="n">
        <f aca="false">C53-D53</f>
        <v>26370.9263606887</v>
      </c>
      <c r="F53" s="23" t="n">
        <v>585</v>
      </c>
      <c r="G53" s="15" t="n">
        <f aca="false">E53+F53+H53-I53-J53-K53</f>
        <v>12500.3718004285</v>
      </c>
      <c r="H53" s="23" t="n">
        <v>13202.3111666667</v>
      </c>
      <c r="I53" s="23" t="n">
        <v>26054.302895</v>
      </c>
      <c r="J53" s="23" t="n">
        <v>1603.56283192684</v>
      </c>
      <c r="K53" s="23" t="n">
        <v>0</v>
      </c>
    </row>
    <row r="54" customFormat="false" ht="15" hidden="false" customHeight="false" outlineLevel="0" collapsed="false">
      <c r="A54" s="28" t="s">
        <v>178</v>
      </c>
      <c r="B54" s="23" t="n">
        <v>5</v>
      </c>
      <c r="C54" s="23" t="n">
        <v>35699.0322464966</v>
      </c>
      <c r="D54" s="23" t="n">
        <v>9229.06726031223</v>
      </c>
      <c r="E54" s="15" t="n">
        <f aca="false">C54-D54</f>
        <v>26469.9649861844</v>
      </c>
      <c r="F54" s="23" t="n">
        <v>585</v>
      </c>
      <c r="G54" s="15" t="n">
        <f aca="false">E54+F54+H54-I54-J54-K54</f>
        <v>12534.9195771742</v>
      </c>
      <c r="H54" s="23" t="n">
        <v>13202.3111666667</v>
      </c>
      <c r="I54" s="23" t="n">
        <v>26118.79374375</v>
      </c>
      <c r="J54" s="23" t="n">
        <v>1603.56283192684</v>
      </c>
      <c r="K54" s="23" t="n">
        <v>0</v>
      </c>
    </row>
    <row r="55" customFormat="false" ht="15" hidden="false" customHeight="false" outlineLevel="0" collapsed="false">
      <c r="A55" s="28" t="s">
        <v>178</v>
      </c>
      <c r="B55" s="23" t="n">
        <v>6</v>
      </c>
      <c r="C55" s="23" t="n">
        <v>35692.7306684836</v>
      </c>
      <c r="D55" s="23" t="n">
        <v>9123.29219215732</v>
      </c>
      <c r="E55" s="15" t="n">
        <f aca="false">C55-D55</f>
        <v>26569.4384763263</v>
      </c>
      <c r="F55" s="23" t="n">
        <v>585</v>
      </c>
      <c r="G55" s="15" t="n">
        <f aca="false">E55+F55+H55-I55-J55-K55</f>
        <v>12569.9022185662</v>
      </c>
      <c r="H55" s="23" t="n">
        <v>13202.3111666667</v>
      </c>
      <c r="I55" s="23" t="n">
        <v>26183.2845925</v>
      </c>
      <c r="J55" s="23" t="n">
        <v>1603.56283192684</v>
      </c>
      <c r="K55" s="23" t="n">
        <v>0</v>
      </c>
    </row>
    <row r="56" customFormat="false" ht="15" hidden="false" customHeight="false" outlineLevel="0" collapsed="false">
      <c r="A56" s="28" t="s">
        <v>178</v>
      </c>
      <c r="B56" s="23" t="n">
        <v>7</v>
      </c>
      <c r="C56" s="23" t="n">
        <v>35686.8547552117</v>
      </c>
      <c r="D56" s="23" t="n">
        <v>9017.51712400241</v>
      </c>
      <c r="E56" s="15" t="n">
        <f aca="false">C56-D56</f>
        <v>26669.3376312093</v>
      </c>
      <c r="F56" s="23" t="n">
        <v>585</v>
      </c>
      <c r="G56" s="15" t="n">
        <f aca="false">E56+F56+H56-I56-J56-K56</f>
        <v>12605.3105246992</v>
      </c>
      <c r="H56" s="23" t="n">
        <v>13202.3111666667</v>
      </c>
      <c r="I56" s="23" t="n">
        <v>26247.77544125</v>
      </c>
      <c r="J56" s="23" t="n">
        <v>1603.56283192684</v>
      </c>
      <c r="K56" s="23" t="n">
        <v>0</v>
      </c>
    </row>
    <row r="57" customFormat="false" ht="15" hidden="false" customHeight="false" outlineLevel="0" collapsed="false">
      <c r="A57" s="28" t="s">
        <v>178</v>
      </c>
      <c r="B57" s="23" t="n">
        <v>8</v>
      </c>
      <c r="C57" s="23" t="n">
        <v>35681.3954832881</v>
      </c>
      <c r="D57" s="23" t="n">
        <v>8954.78087296467</v>
      </c>
      <c r="E57" s="15" t="n">
        <f aca="false">C57-D57</f>
        <v>26726.6146103234</v>
      </c>
      <c r="F57" s="23" t="n">
        <v>585</v>
      </c>
      <c r="G57" s="15" t="n">
        <f aca="false">E57+F57+H57-I57-J57-K57</f>
        <v>-3401.90334493675</v>
      </c>
      <c r="H57" s="23" t="n">
        <v>13202.3111666667</v>
      </c>
      <c r="I57" s="23" t="n">
        <v>26312.26629</v>
      </c>
      <c r="J57" s="23" t="n">
        <v>1603.56283192684</v>
      </c>
      <c r="K57" s="23" t="n">
        <v>16000</v>
      </c>
    </row>
    <row r="58" customFormat="false" ht="15" hidden="false" customHeight="false" outlineLevel="0" collapsed="false">
      <c r="A58" s="28" t="s">
        <v>178</v>
      </c>
      <c r="B58" s="23" t="n">
        <v>9</v>
      </c>
      <c r="C58" s="23" t="n">
        <v>35676.344002473</v>
      </c>
      <c r="D58" s="23" t="n">
        <v>8892.04462192693</v>
      </c>
      <c r="E58" s="15" t="n">
        <f aca="false">C58-D58</f>
        <v>26784.2993805461</v>
      </c>
      <c r="F58" s="23" t="n">
        <v>585</v>
      </c>
      <c r="G58" s="15" t="n">
        <f aca="false">E58+F58+H58-I58-J58-K58</f>
        <v>12591.2905765359</v>
      </c>
      <c r="H58" s="23" t="n">
        <v>13202.3111666667</v>
      </c>
      <c r="I58" s="23" t="n">
        <v>26376.75713875</v>
      </c>
      <c r="J58" s="23" t="n">
        <v>1603.56283192684</v>
      </c>
      <c r="K58" s="23" t="n">
        <v>0</v>
      </c>
    </row>
    <row r="59" customFormat="false" ht="15" hidden="false" customHeight="false" outlineLevel="0" collapsed="false">
      <c r="A59" s="28" t="s">
        <v>178</v>
      </c>
      <c r="B59" s="23" t="n">
        <v>10</v>
      </c>
      <c r="C59" s="23" t="n">
        <v>35625.4416323849</v>
      </c>
      <c r="D59" s="23" t="n">
        <v>8829.30837088918</v>
      </c>
      <c r="E59" s="15" t="n">
        <f aca="false">C59-D59</f>
        <v>26796.1332614957</v>
      </c>
      <c r="F59" s="23" t="n">
        <v>585</v>
      </c>
      <c r="G59" s="15" t="n">
        <f aca="false">E59+F59+H59-I59-J59-K59</f>
        <v>12538.6336087356</v>
      </c>
      <c r="H59" s="23" t="n">
        <v>13202.3111666667</v>
      </c>
      <c r="I59" s="23" t="n">
        <v>26441.2479875</v>
      </c>
      <c r="J59" s="23" t="n">
        <v>1603.56283192684</v>
      </c>
      <c r="K59" s="23" t="n">
        <v>0</v>
      </c>
    </row>
    <row r="60" customFormat="false" ht="15" hidden="false" customHeight="false" outlineLevel="0" collapsed="false">
      <c r="A60" s="28" t="s">
        <v>178</v>
      </c>
      <c r="B60" s="23" t="n">
        <v>11</v>
      </c>
      <c r="C60" s="23" t="n">
        <v>35621.1798592684</v>
      </c>
      <c r="D60" s="23" t="n">
        <v>8783.67216957743</v>
      </c>
      <c r="E60" s="15" t="n">
        <f aca="false">C60-D60</f>
        <v>26837.507689691</v>
      </c>
      <c r="F60" s="23" t="n">
        <v>585</v>
      </c>
      <c r="G60" s="15" t="n">
        <f aca="false">E60+F60+H60-I60-J60-K60</f>
        <v>12515.5171881808</v>
      </c>
      <c r="H60" s="23" t="n">
        <v>13202.3111666667</v>
      </c>
      <c r="I60" s="23" t="n">
        <v>26505.73883625</v>
      </c>
      <c r="J60" s="23" t="n">
        <v>1603.56283192684</v>
      </c>
      <c r="K60" s="23" t="n">
        <v>0</v>
      </c>
    </row>
    <row r="61" customFormat="false" ht="15" hidden="false" customHeight="false" outlineLevel="0" collapsed="false">
      <c r="A61" s="28" t="s">
        <v>178</v>
      </c>
      <c r="B61" s="23" t="n">
        <v>12</v>
      </c>
      <c r="C61" s="23" t="n">
        <v>35617.3003328235</v>
      </c>
      <c r="D61" s="23" t="n">
        <v>8738.03596826567</v>
      </c>
      <c r="E61" s="15" t="n">
        <f aca="false">C61-D61</f>
        <v>26879.2643645578</v>
      </c>
      <c r="F61" s="23" t="n">
        <v>585</v>
      </c>
      <c r="G61" s="15" t="n">
        <f aca="false">E61+F61+H61-I61-J61-K61</f>
        <v>12492.7830142976</v>
      </c>
      <c r="H61" s="23" t="n">
        <v>13202.3111666667</v>
      </c>
      <c r="I61" s="23" t="n">
        <v>26570.229685</v>
      </c>
      <c r="J61" s="23" t="n">
        <v>1603.56283192684</v>
      </c>
      <c r="K61" s="23" t="n">
        <v>0</v>
      </c>
    </row>
    <row r="62" customFormat="false" ht="15" hidden="false" customHeight="false" outlineLevel="0" collapsed="false">
      <c r="A62" s="28" t="s">
        <v>178</v>
      </c>
      <c r="B62" s="23" t="n">
        <v>13</v>
      </c>
      <c r="C62" s="23" t="n">
        <v>35613.7948630956</v>
      </c>
      <c r="D62" s="23" t="n">
        <v>8692.39976695391</v>
      </c>
      <c r="E62" s="15" t="n">
        <f aca="false">C62-D62</f>
        <v>26921.3950961416</v>
      </c>
      <c r="F62" s="23" t="n">
        <v>585</v>
      </c>
      <c r="G62" s="15" t="n">
        <f aca="false">E62+F62+H62-I62-J62-K62</f>
        <v>12470.4228971315</v>
      </c>
      <c r="H62" s="23" t="n">
        <v>13202.3111666667</v>
      </c>
      <c r="I62" s="23" t="n">
        <v>26634.72053375</v>
      </c>
      <c r="J62" s="23" t="n">
        <v>1603.56283192684</v>
      </c>
      <c r="K62" s="23" t="n">
        <v>0</v>
      </c>
    </row>
    <row r="63" customFormat="false" ht="15" hidden="false" customHeight="false" outlineLevel="0" collapsed="false">
      <c r="A63" s="28" t="s">
        <v>178</v>
      </c>
      <c r="B63" s="23" t="n">
        <v>14</v>
      </c>
      <c r="C63" s="23" t="n">
        <v>35610.6554174246</v>
      </c>
      <c r="D63" s="23" t="n">
        <v>8675.76626734024</v>
      </c>
      <c r="E63" s="15" t="n">
        <f aca="false">C63-D63</f>
        <v>26934.8891500844</v>
      </c>
      <c r="F63" s="23" t="n">
        <v>585</v>
      </c>
      <c r="G63" s="15" t="n">
        <f aca="false">E63+F63+H63-I63-J63-K63</f>
        <v>12419.4261023242</v>
      </c>
      <c r="H63" s="23" t="n">
        <v>13202.3111666667</v>
      </c>
      <c r="I63" s="23" t="n">
        <v>26699.2113825</v>
      </c>
      <c r="J63" s="23" t="n">
        <v>1603.56283192684</v>
      </c>
      <c r="K63" s="23" t="n">
        <v>0</v>
      </c>
    </row>
    <row r="64" customFormat="false" ht="15" hidden="false" customHeight="false" outlineLevel="0" collapsed="false">
      <c r="A64" s="28" t="s">
        <v>178</v>
      </c>
      <c r="B64" s="23" t="n">
        <v>15</v>
      </c>
      <c r="C64" s="23" t="n">
        <v>35607.8741174526</v>
      </c>
      <c r="D64" s="23" t="n">
        <v>8659.13276772657</v>
      </c>
      <c r="E64" s="15" t="n">
        <f aca="false">C64-D64</f>
        <v>26948.7413497261</v>
      </c>
      <c r="F64" s="23" t="n">
        <v>585</v>
      </c>
      <c r="G64" s="15" t="n">
        <f aca="false">E64+F64+H64-I64-J64-K64</f>
        <v>12368.7874532159</v>
      </c>
      <c r="H64" s="23" t="n">
        <v>13202.3111666667</v>
      </c>
      <c r="I64" s="23" t="n">
        <v>26763.70223125</v>
      </c>
      <c r="J64" s="23" t="n">
        <v>1603.56283192684</v>
      </c>
      <c r="K64" s="23" t="n">
        <v>0</v>
      </c>
    </row>
    <row r="65" customFormat="false" ht="15" hidden="false" customHeight="false" outlineLevel="0" collapsed="false">
      <c r="A65" s="28" t="s">
        <v>178</v>
      </c>
      <c r="B65" s="23" t="n">
        <v>16</v>
      </c>
      <c r="C65" s="23" t="n">
        <v>35817.9432361879</v>
      </c>
      <c r="D65" s="23" t="n">
        <v>8642.49926811291</v>
      </c>
      <c r="E65" s="15" t="n">
        <f aca="false">C65-D65</f>
        <v>27175.443968075</v>
      </c>
      <c r="F65" s="23" t="n">
        <v>585</v>
      </c>
      <c r="G65" s="15" t="n">
        <f aca="false">E65+F65+H65-I65-J65-K65</f>
        <v>12530.9992228148</v>
      </c>
      <c r="H65" s="23" t="n">
        <v>13202.3111666667</v>
      </c>
      <c r="I65" s="23" t="n">
        <v>26828.19308</v>
      </c>
      <c r="J65" s="23" t="n">
        <v>1603.56283192684</v>
      </c>
      <c r="K65" s="23" t="n">
        <v>0</v>
      </c>
    </row>
    <row r="66" customFormat="false" ht="15" hidden="false" customHeight="false" outlineLevel="0" collapsed="false">
      <c r="A66" s="28" t="s">
        <v>178</v>
      </c>
      <c r="B66" s="23" t="n">
        <v>17</v>
      </c>
      <c r="C66" s="23" t="n">
        <v>35815.8551951254</v>
      </c>
      <c r="D66" s="23" t="n">
        <v>8625.86576849924</v>
      </c>
      <c r="E66" s="15" t="n">
        <f aca="false">C66-D66</f>
        <v>27189.9894266262</v>
      </c>
      <c r="F66" s="23" t="n">
        <v>585</v>
      </c>
      <c r="G66" s="15" t="n">
        <f aca="false">E66+F66+H66-I66-J66-K66</f>
        <v>12481.053832616</v>
      </c>
      <c r="H66" s="23" t="n">
        <v>13202.3111666667</v>
      </c>
      <c r="I66" s="23" t="n">
        <v>26892.68392875</v>
      </c>
      <c r="J66" s="23" t="n">
        <v>1603.56283192684</v>
      </c>
      <c r="K66" s="23" t="n">
        <v>0</v>
      </c>
    </row>
    <row r="67" customFormat="false" ht="15" hidden="false" customHeight="false" outlineLevel="0" collapsed="false">
      <c r="A67" s="28" t="s">
        <v>178</v>
      </c>
      <c r="B67" s="23" t="n">
        <v>18</v>
      </c>
      <c r="C67" s="23" t="n">
        <v>35814.1025614221</v>
      </c>
      <c r="D67" s="23" t="n">
        <v>8609.23226888557</v>
      </c>
      <c r="E67" s="15" t="n">
        <f aca="false">C67-D67</f>
        <v>27204.8702925365</v>
      </c>
      <c r="F67" s="23" t="n">
        <v>585</v>
      </c>
      <c r="G67" s="15" t="n">
        <f aca="false">E67+F67+H67-I67-J67-K67</f>
        <v>12431.4438497764</v>
      </c>
      <c r="H67" s="23" t="n">
        <v>13202.3111666667</v>
      </c>
      <c r="I67" s="23" t="n">
        <v>26957.1747775</v>
      </c>
      <c r="J67" s="23" t="n">
        <v>1603.56283192684</v>
      </c>
      <c r="K67" s="23" t="n">
        <v>0</v>
      </c>
    </row>
    <row r="68" customFormat="false" ht="15" hidden="false" customHeight="false" outlineLevel="0" collapsed="false">
      <c r="A68" s="28" t="s">
        <v>178</v>
      </c>
      <c r="B68" s="23" t="n">
        <v>19</v>
      </c>
      <c r="C68" s="23" t="n">
        <v>35812.6780451258</v>
      </c>
      <c r="D68" s="23" t="n">
        <v>8592.59876927191</v>
      </c>
      <c r="E68" s="15" t="n">
        <f aca="false">C68-D68</f>
        <v>27220.0792758539</v>
      </c>
      <c r="F68" s="23" t="n">
        <v>585</v>
      </c>
      <c r="G68" s="15" t="n">
        <f aca="false">E68+F68+H68-I68-J68-K68</f>
        <v>12382.1619843437</v>
      </c>
      <c r="H68" s="23" t="n">
        <v>13202.3111666667</v>
      </c>
      <c r="I68" s="23" t="n">
        <v>27021.66562625</v>
      </c>
      <c r="J68" s="23" t="n">
        <v>1603.56283192684</v>
      </c>
      <c r="K68" s="23" t="n">
        <v>0</v>
      </c>
    </row>
    <row r="69" customFormat="false" ht="15" hidden="false" customHeight="false" outlineLevel="0" collapsed="false">
      <c r="A69" s="28" t="s">
        <v>178</v>
      </c>
      <c r="B69" s="23" t="n">
        <v>20</v>
      </c>
      <c r="C69" s="23" t="n">
        <v>35811.5744964574</v>
      </c>
      <c r="D69" s="23" t="n">
        <v>8579.06268749921</v>
      </c>
      <c r="E69" s="15" t="n">
        <f aca="false">C69-D69</f>
        <v>27232.5118089582</v>
      </c>
      <c r="F69" s="23" t="n">
        <v>585</v>
      </c>
      <c r="G69" s="15" t="n">
        <f aca="false">E69+F69+H69-I69-J69-K69</f>
        <v>-3669.89633130202</v>
      </c>
      <c r="H69" s="23" t="n">
        <v>13202.3111666667</v>
      </c>
      <c r="I69" s="23" t="n">
        <v>27086.156475</v>
      </c>
      <c r="J69" s="23" t="n">
        <v>1603.56283192684</v>
      </c>
      <c r="K69" s="23" t="n">
        <v>16000</v>
      </c>
    </row>
    <row r="70" customFormat="false" ht="15" hidden="false" customHeight="false" outlineLevel="0" collapsed="false">
      <c r="A70" s="28" t="s">
        <v>178</v>
      </c>
      <c r="B70" s="23" t="n">
        <v>21</v>
      </c>
      <c r="C70" s="23" t="n">
        <v>35810.7849031441</v>
      </c>
      <c r="D70" s="23" t="n">
        <v>8565.52660572652</v>
      </c>
      <c r="E70" s="15" t="n">
        <f aca="false">C70-D70</f>
        <v>27245.2582974176</v>
      </c>
      <c r="F70" s="23" t="n">
        <v>585</v>
      </c>
      <c r="G70" s="15" t="n">
        <f aca="false">E70+F70+H70-I70-J70-K70</f>
        <v>12278.3593084074</v>
      </c>
      <c r="H70" s="23" t="n">
        <v>13202.3111666667</v>
      </c>
      <c r="I70" s="23" t="n">
        <v>27150.64732375</v>
      </c>
      <c r="J70" s="23" t="n">
        <v>1603.56283192684</v>
      </c>
      <c r="K70" s="23" t="n">
        <v>0</v>
      </c>
    </row>
    <row r="71" customFormat="false" ht="15" hidden="false" customHeight="false" outlineLevel="0" collapsed="false">
      <c r="A71" s="28" t="s">
        <v>178</v>
      </c>
      <c r="B71" s="23" t="n">
        <v>22</v>
      </c>
      <c r="C71" s="23" t="n">
        <v>35810.3023878043</v>
      </c>
      <c r="D71" s="23" t="n">
        <v>8551.99052395382</v>
      </c>
      <c r="E71" s="15" t="n">
        <f aca="false">C71-D71</f>
        <v>27258.3118638505</v>
      </c>
      <c r="F71" s="23" t="n">
        <v>585</v>
      </c>
      <c r="G71" s="15" t="n">
        <f aca="false">E71+F71+H71-I71-J71-K71</f>
        <v>12226.9220260903</v>
      </c>
      <c r="H71" s="23" t="n">
        <v>13202.3111666667</v>
      </c>
      <c r="I71" s="23" t="n">
        <v>27215.1381725</v>
      </c>
      <c r="J71" s="23" t="n">
        <v>1603.56283192684</v>
      </c>
      <c r="K71" s="23" t="n">
        <v>0</v>
      </c>
    </row>
    <row r="72" customFormat="false" ht="15" hidden="false" customHeight="false" outlineLevel="0" collapsed="false">
      <c r="A72" s="28" t="s">
        <v>178</v>
      </c>
      <c r="B72" s="23" t="n">
        <v>23</v>
      </c>
      <c r="C72" s="23" t="n">
        <v>35810.1202053817</v>
      </c>
      <c r="D72" s="23" t="n">
        <v>8538.45444218113</v>
      </c>
      <c r="E72" s="15" t="n">
        <f aca="false">C72-D72</f>
        <v>27271.6657632005</v>
      </c>
      <c r="F72" s="23" t="n">
        <v>585</v>
      </c>
      <c r="G72" s="15" t="n">
        <f aca="false">E72+F72+H72-I72-J72-K72</f>
        <v>12175.7850766904</v>
      </c>
      <c r="H72" s="23" t="n">
        <v>13202.3111666667</v>
      </c>
      <c r="I72" s="23" t="n">
        <v>27279.62902125</v>
      </c>
      <c r="J72" s="23" t="n">
        <v>1603.56283192684</v>
      </c>
      <c r="K72" s="23" t="n">
        <v>0</v>
      </c>
    </row>
    <row r="73" customFormat="false" ht="15" hidden="false" customHeight="false" outlineLevel="0" collapsed="false">
      <c r="A73" s="28" t="s">
        <v>178</v>
      </c>
      <c r="B73" s="23" t="n">
        <v>24</v>
      </c>
      <c r="C73" s="23" t="n">
        <v>35810.2317406285</v>
      </c>
      <c r="D73" s="23" t="n">
        <v>8524.91836040844</v>
      </c>
      <c r="E73" s="15" t="n">
        <f aca="false">C73-D73</f>
        <v>27285.31338022</v>
      </c>
      <c r="F73" s="23" t="n">
        <v>585</v>
      </c>
      <c r="G73" s="15" t="n">
        <f aca="false">E73+F73+H73-I73-J73-K73</f>
        <v>12124.9418449599</v>
      </c>
      <c r="H73" s="23" t="n">
        <v>13202.3111666667</v>
      </c>
      <c r="I73" s="23" t="n">
        <v>27344.11987</v>
      </c>
      <c r="J73" s="23" t="n">
        <v>1603.56283192684</v>
      </c>
      <c r="K73" s="23" t="n">
        <v>0</v>
      </c>
    </row>
    <row r="74" customFormat="false" ht="15" hidden="false" customHeight="false" outlineLevel="0" collapsed="false">
      <c r="A74" s="28" t="s">
        <v>180</v>
      </c>
      <c r="B74" s="23" t="n">
        <v>1</v>
      </c>
      <c r="C74" s="23" t="n">
        <v>37793.8635224887</v>
      </c>
      <c r="D74" s="23" t="n">
        <v>10900.2100755937</v>
      </c>
      <c r="E74" s="15" t="n">
        <f aca="false">C74-D74</f>
        <v>26893.653446895</v>
      </c>
      <c r="F74" s="23" t="n">
        <v>450</v>
      </c>
      <c r="G74" s="15" t="n">
        <f aca="false">E74+F74+H74-I74-J74-K74</f>
        <v>13081.5714328849</v>
      </c>
      <c r="H74" s="23" t="n">
        <v>13202.3111666667</v>
      </c>
      <c r="I74" s="23" t="n">
        <v>25860.83034875</v>
      </c>
      <c r="J74" s="23" t="n">
        <v>1603.56283192684</v>
      </c>
      <c r="K74" s="23" t="n">
        <v>0</v>
      </c>
    </row>
    <row r="75" customFormat="false" ht="15" hidden="false" customHeight="false" outlineLevel="0" collapsed="false">
      <c r="A75" s="28" t="s">
        <v>180</v>
      </c>
      <c r="B75" s="23" t="n">
        <v>2</v>
      </c>
      <c r="C75" s="23" t="n">
        <v>37870.1424275427</v>
      </c>
      <c r="D75" s="23" t="n">
        <v>10891.6621290019</v>
      </c>
      <c r="E75" s="15" t="n">
        <f aca="false">C75-D75</f>
        <v>26978.4802985408</v>
      </c>
      <c r="F75" s="23" t="n">
        <v>450</v>
      </c>
      <c r="G75" s="15" t="n">
        <f aca="false">E75+F75+H75-I75-J75-K75</f>
        <v>13101.9074357806</v>
      </c>
      <c r="H75" s="23" t="n">
        <v>13202.3111666667</v>
      </c>
      <c r="I75" s="23" t="n">
        <v>25925.3211975</v>
      </c>
      <c r="J75" s="23" t="n">
        <v>1603.56283192684</v>
      </c>
      <c r="K75" s="23" t="n">
        <v>0</v>
      </c>
    </row>
    <row r="76" customFormat="false" ht="15" hidden="false" customHeight="false" outlineLevel="0" collapsed="false">
      <c r="A76" s="28" t="s">
        <v>180</v>
      </c>
      <c r="B76" s="23" t="n">
        <v>3</v>
      </c>
      <c r="C76" s="23" t="n">
        <v>37945.5078771933</v>
      </c>
      <c r="D76" s="23" t="n">
        <v>10883.1141824102</v>
      </c>
      <c r="E76" s="15" t="n">
        <f aca="false">C76-D76</f>
        <v>27062.3936947831</v>
      </c>
      <c r="F76" s="23" t="n">
        <v>450</v>
      </c>
      <c r="G76" s="15" t="n">
        <f aca="false">E76+F76+H76-I76-J76-K76</f>
        <v>13121.3299832729</v>
      </c>
      <c r="H76" s="23" t="n">
        <v>13202.3111666667</v>
      </c>
      <c r="I76" s="23" t="n">
        <v>25989.81204625</v>
      </c>
      <c r="J76" s="23" t="n">
        <v>1603.56283192684</v>
      </c>
      <c r="K76" s="23" t="n">
        <v>0</v>
      </c>
    </row>
    <row r="77" customFormat="false" ht="15" hidden="false" customHeight="false" outlineLevel="0" collapsed="false">
      <c r="A77" s="28" t="s">
        <v>180</v>
      </c>
      <c r="B77" s="23" t="n">
        <v>4</v>
      </c>
      <c r="C77" s="23" t="n">
        <v>38020.0057123992</v>
      </c>
      <c r="D77" s="23" t="n">
        <v>10874.5662358184</v>
      </c>
      <c r="E77" s="15" t="n">
        <f aca="false">C77-D77</f>
        <v>27145.4394765808</v>
      </c>
      <c r="F77" s="23" t="n">
        <v>450</v>
      </c>
      <c r="G77" s="15" t="n">
        <f aca="false">E77+F77+H77-I77-J77-K77</f>
        <v>13139.8849163206</v>
      </c>
      <c r="H77" s="23" t="n">
        <v>13202.3111666667</v>
      </c>
      <c r="I77" s="23" t="n">
        <v>26054.302895</v>
      </c>
      <c r="J77" s="23" t="n">
        <v>1603.56283192684</v>
      </c>
      <c r="K77" s="23" t="n">
        <v>0</v>
      </c>
    </row>
    <row r="78" customFormat="false" ht="15" hidden="false" customHeight="false" outlineLevel="0" collapsed="false">
      <c r="A78" s="28" t="s">
        <v>180</v>
      </c>
      <c r="B78" s="23" t="n">
        <v>5</v>
      </c>
      <c r="C78" s="23" t="n">
        <v>38093.6321453571</v>
      </c>
      <c r="D78" s="23" t="n">
        <v>10877.7292460967</v>
      </c>
      <c r="E78" s="15" t="n">
        <f aca="false">C78-D78</f>
        <v>27215.9028992604</v>
      </c>
      <c r="F78" s="23" t="n">
        <v>450</v>
      </c>
      <c r="G78" s="15" t="n">
        <f aca="false">E78+F78+H78-I78-J78-K78</f>
        <v>13145.8574902502</v>
      </c>
      <c r="H78" s="23" t="n">
        <v>13202.3111666667</v>
      </c>
      <c r="I78" s="23" t="n">
        <v>26118.79374375</v>
      </c>
      <c r="J78" s="23" t="n">
        <v>1603.56283192684</v>
      </c>
      <c r="K78" s="23" t="n">
        <v>0</v>
      </c>
    </row>
    <row r="79" customFormat="false" ht="15" hidden="false" customHeight="false" outlineLevel="0" collapsed="false">
      <c r="A79" s="28" t="s">
        <v>180</v>
      </c>
      <c r="B79" s="23" t="n">
        <v>6</v>
      </c>
      <c r="C79" s="23" t="n">
        <v>38166.3996537761</v>
      </c>
      <c r="D79" s="23" t="n">
        <v>10880.892256375</v>
      </c>
      <c r="E79" s="15" t="n">
        <f aca="false">C79-D79</f>
        <v>27285.5073974011</v>
      </c>
      <c r="F79" s="23" t="n">
        <v>450</v>
      </c>
      <c r="G79" s="15" t="n">
        <f aca="false">E79+F79+H79-I79-J79-K79</f>
        <v>13150.9711396409</v>
      </c>
      <c r="H79" s="23" t="n">
        <v>13202.3111666667</v>
      </c>
      <c r="I79" s="23" t="n">
        <v>26183.2845925</v>
      </c>
      <c r="J79" s="23" t="n">
        <v>1603.56283192684</v>
      </c>
      <c r="K79" s="23" t="n">
        <v>0</v>
      </c>
    </row>
    <row r="80" customFormat="false" ht="15" hidden="false" customHeight="false" outlineLevel="0" collapsed="false">
      <c r="A80" s="28" t="s">
        <v>180</v>
      </c>
      <c r="B80" s="23" t="n">
        <v>7</v>
      </c>
      <c r="C80" s="23" t="n">
        <v>38238.3205118363</v>
      </c>
      <c r="D80" s="23" t="n">
        <v>10884.0552666532</v>
      </c>
      <c r="E80" s="15" t="n">
        <f aca="false">C80-D80</f>
        <v>27354.265245183</v>
      </c>
      <c r="F80" s="23" t="n">
        <v>450</v>
      </c>
      <c r="G80" s="15" t="n">
        <f aca="false">E80+F80+H80-I80-J80-K80</f>
        <v>13155.2381386728</v>
      </c>
      <c r="H80" s="23" t="n">
        <v>13202.3111666667</v>
      </c>
      <c r="I80" s="23" t="n">
        <v>26247.77544125</v>
      </c>
      <c r="J80" s="23" t="n">
        <v>1603.56283192684</v>
      </c>
      <c r="K80" s="23" t="n">
        <v>0</v>
      </c>
    </row>
    <row r="81" customFormat="false" ht="15" hidden="false" customHeight="false" outlineLevel="0" collapsed="false">
      <c r="A81" s="28" t="s">
        <v>180</v>
      </c>
      <c r="B81" s="23" t="n">
        <v>8</v>
      </c>
      <c r="C81" s="23" t="n">
        <v>38309.4067937314</v>
      </c>
      <c r="D81" s="23" t="n">
        <v>10897.0311292779</v>
      </c>
      <c r="E81" s="15" t="n">
        <f aca="false">C81-D81</f>
        <v>27412.3756644535</v>
      </c>
      <c r="F81" s="23" t="n">
        <v>450</v>
      </c>
      <c r="G81" s="15" t="n">
        <f aca="false">E81+F81+H81-I81-J81-K81</f>
        <v>-2851.14229080663</v>
      </c>
      <c r="H81" s="23" t="n">
        <v>13202.3111666667</v>
      </c>
      <c r="I81" s="23" t="n">
        <v>26312.26629</v>
      </c>
      <c r="J81" s="23" t="n">
        <v>1603.56283192684</v>
      </c>
      <c r="K81" s="23" t="n">
        <v>16000</v>
      </c>
    </row>
    <row r="82" customFormat="false" ht="15" hidden="false" customHeight="false" outlineLevel="0" collapsed="false">
      <c r="A82" s="28" t="s">
        <v>180</v>
      </c>
      <c r="B82" s="23" t="n">
        <v>9</v>
      </c>
      <c r="C82" s="23" t="n">
        <v>38379.6703771477</v>
      </c>
      <c r="D82" s="23" t="n">
        <v>10910.0069919025</v>
      </c>
      <c r="E82" s="15" t="n">
        <f aca="false">C82-D82</f>
        <v>27469.6633852452</v>
      </c>
      <c r="F82" s="23" t="n">
        <v>450</v>
      </c>
      <c r="G82" s="15" t="n">
        <f aca="false">E82+F82+H82-I82-J82-K82</f>
        <v>13141.6545812351</v>
      </c>
      <c r="H82" s="23" t="n">
        <v>13202.3111666667</v>
      </c>
      <c r="I82" s="23" t="n">
        <v>26376.75713875</v>
      </c>
      <c r="J82" s="23" t="n">
        <v>1603.56283192684</v>
      </c>
      <c r="K82" s="23" t="n">
        <v>0</v>
      </c>
    </row>
    <row r="83" customFormat="false" ht="15" hidden="false" customHeight="false" outlineLevel="0" collapsed="false">
      <c r="A83" s="28" t="s">
        <v>180</v>
      </c>
      <c r="B83" s="23" t="n">
        <v>10</v>
      </c>
      <c r="C83" s="23" t="n">
        <v>38444.5396133459</v>
      </c>
      <c r="D83" s="23" t="n">
        <v>10922.9828545271</v>
      </c>
      <c r="E83" s="15" t="n">
        <f aca="false">C83-D83</f>
        <v>27521.5567588188</v>
      </c>
      <c r="F83" s="23" t="n">
        <v>450</v>
      </c>
      <c r="G83" s="15" t="n">
        <f aca="false">E83+F83+H83-I83-J83-K83</f>
        <v>13129.0571060586</v>
      </c>
      <c r="H83" s="23" t="n">
        <v>13202.3111666667</v>
      </c>
      <c r="I83" s="23" t="n">
        <v>26441.2479875</v>
      </c>
      <c r="J83" s="23" t="n">
        <v>1603.56283192684</v>
      </c>
      <c r="K83" s="23" t="n">
        <v>0</v>
      </c>
    </row>
    <row r="84" customFormat="false" ht="15" hidden="false" customHeight="false" outlineLevel="0" collapsed="false">
      <c r="A84" s="28" t="s">
        <v>180</v>
      </c>
      <c r="B84" s="23" t="n">
        <v>11</v>
      </c>
      <c r="C84" s="23" t="n">
        <v>38513.1926638482</v>
      </c>
      <c r="D84" s="23" t="n">
        <v>10939.3253681058</v>
      </c>
      <c r="E84" s="15" t="n">
        <f aca="false">C84-D84</f>
        <v>27573.8672957424</v>
      </c>
      <c r="F84" s="23" t="n">
        <v>450</v>
      </c>
      <c r="G84" s="15" t="n">
        <f aca="false">E84+F84+H84-I84-J84-K84</f>
        <v>13116.8767942323</v>
      </c>
      <c r="H84" s="23" t="n">
        <v>13202.3111666667</v>
      </c>
      <c r="I84" s="23" t="n">
        <v>26505.73883625</v>
      </c>
      <c r="J84" s="23" t="n">
        <v>1603.56283192684</v>
      </c>
      <c r="K84" s="23" t="n">
        <v>0</v>
      </c>
    </row>
    <row r="85" customFormat="false" ht="15" hidden="false" customHeight="false" outlineLevel="0" collapsed="false">
      <c r="A85" s="28" t="s">
        <v>180</v>
      </c>
      <c r="B85" s="23" t="n">
        <v>12</v>
      </c>
      <c r="C85" s="23" t="n">
        <v>38581.0575037317</v>
      </c>
      <c r="D85" s="23" t="n">
        <v>10955.6678816844</v>
      </c>
      <c r="E85" s="15" t="n">
        <f aca="false">C85-D85</f>
        <v>27625.3896220473</v>
      </c>
      <c r="F85" s="23" t="n">
        <v>450</v>
      </c>
      <c r="G85" s="15" t="n">
        <f aca="false">E85+F85+H85-I85-J85-K85</f>
        <v>13103.9082717871</v>
      </c>
      <c r="H85" s="23" t="n">
        <v>13202.3111666667</v>
      </c>
      <c r="I85" s="23" t="n">
        <v>26570.229685</v>
      </c>
      <c r="J85" s="23" t="n">
        <v>1603.56283192684</v>
      </c>
      <c r="K85" s="23" t="n">
        <v>0</v>
      </c>
    </row>
    <row r="86" customFormat="false" ht="15" hidden="false" customHeight="false" outlineLevel="0" collapsed="false">
      <c r="A86" s="28" t="s">
        <v>180</v>
      </c>
      <c r="B86" s="23" t="n">
        <v>13</v>
      </c>
      <c r="C86" s="23" t="n">
        <v>38648.1452581949</v>
      </c>
      <c r="D86" s="23" t="n">
        <v>10972.0103952631</v>
      </c>
      <c r="E86" s="15" t="n">
        <f aca="false">C86-D86</f>
        <v>27676.1348629318</v>
      </c>
      <c r="F86" s="23" t="n">
        <v>450</v>
      </c>
      <c r="G86" s="15" t="n">
        <f aca="false">E86+F86+H86-I86-J86-K86</f>
        <v>13090.1626639217</v>
      </c>
      <c r="H86" s="23" t="n">
        <v>13202.3111666667</v>
      </c>
      <c r="I86" s="23" t="n">
        <v>26634.72053375</v>
      </c>
      <c r="J86" s="23" t="n">
        <v>1603.56283192684</v>
      </c>
      <c r="K86" s="23" t="n">
        <v>0</v>
      </c>
    </row>
    <row r="87" customFormat="false" ht="15" hidden="false" customHeight="false" outlineLevel="0" collapsed="false">
      <c r="A87" s="28" t="s">
        <v>180</v>
      </c>
      <c r="B87" s="23" t="n">
        <v>14</v>
      </c>
      <c r="C87" s="23" t="n">
        <v>38714.4668723996</v>
      </c>
      <c r="D87" s="23" t="n">
        <v>10974.3238892973</v>
      </c>
      <c r="E87" s="15" t="n">
        <f aca="false">C87-D87</f>
        <v>27740.1429831023</v>
      </c>
      <c r="F87" s="23" t="n">
        <v>450</v>
      </c>
      <c r="G87" s="15" t="n">
        <f aca="false">E87+F87+H87-I87-J87-K87</f>
        <v>13089.6799353421</v>
      </c>
      <c r="H87" s="23" t="n">
        <v>13202.3111666667</v>
      </c>
      <c r="I87" s="23" t="n">
        <v>26699.2113825</v>
      </c>
      <c r="J87" s="23" t="n">
        <v>1603.56283192684</v>
      </c>
      <c r="K87" s="23" t="n">
        <v>0</v>
      </c>
    </row>
    <row r="88" customFormat="false" ht="15" hidden="false" customHeight="false" outlineLevel="0" collapsed="false">
      <c r="A88" s="28" t="s">
        <v>180</v>
      </c>
      <c r="B88" s="23" t="n">
        <v>15</v>
      </c>
      <c r="C88" s="23" t="n">
        <v>38780.0331145885</v>
      </c>
      <c r="D88" s="23" t="n">
        <v>10976.6373833316</v>
      </c>
      <c r="E88" s="15" t="n">
        <f aca="false">C88-D88</f>
        <v>27803.3957312569</v>
      </c>
      <c r="F88" s="23" t="n">
        <v>450</v>
      </c>
      <c r="G88" s="15" t="n">
        <f aca="false">E88+F88+H88-I88-J88-K88</f>
        <v>13088.4418347467</v>
      </c>
      <c r="H88" s="23" t="n">
        <v>13202.3111666667</v>
      </c>
      <c r="I88" s="23" t="n">
        <v>26763.70223125</v>
      </c>
      <c r="J88" s="23" t="n">
        <v>1603.56283192684</v>
      </c>
      <c r="K88" s="23" t="n">
        <v>0</v>
      </c>
    </row>
    <row r="89" customFormat="false" ht="15" hidden="false" customHeight="false" outlineLevel="0" collapsed="false">
      <c r="A89" s="28" t="s">
        <v>180</v>
      </c>
      <c r="B89" s="23" t="n">
        <v>16</v>
      </c>
      <c r="C89" s="23" t="n">
        <v>39140.68791248</v>
      </c>
      <c r="D89" s="23" t="n">
        <v>10978.9508773658</v>
      </c>
      <c r="E89" s="15" t="n">
        <f aca="false">C89-D89</f>
        <v>28161.7370351142</v>
      </c>
      <c r="F89" s="23" t="n">
        <v>450</v>
      </c>
      <c r="G89" s="15" t="n">
        <f aca="false">E89+F89+H89-I89-J89-K89</f>
        <v>13382.292289854</v>
      </c>
      <c r="H89" s="23" t="n">
        <v>13202.3111666667</v>
      </c>
      <c r="I89" s="23" t="n">
        <v>26828.19308</v>
      </c>
      <c r="J89" s="23" t="n">
        <v>1603.56283192684</v>
      </c>
      <c r="K89" s="23" t="n">
        <v>0</v>
      </c>
    </row>
    <row r="90" customFormat="false" ht="15" hidden="false" customHeight="false" outlineLevel="0" collapsed="false">
      <c r="A90" s="28" t="s">
        <v>180</v>
      </c>
      <c r="B90" s="23" t="n">
        <v>17</v>
      </c>
      <c r="C90" s="23" t="n">
        <v>39204.7750229416</v>
      </c>
      <c r="D90" s="23" t="n">
        <v>10981.2643714001</v>
      </c>
      <c r="E90" s="15" t="n">
        <f aca="false">C90-D90</f>
        <v>28223.5106515415</v>
      </c>
      <c r="F90" s="23" t="n">
        <v>450</v>
      </c>
      <c r="G90" s="15" t="n">
        <f aca="false">E90+F90+H90-I90-J90-K90</f>
        <v>13379.5750575314</v>
      </c>
      <c r="H90" s="23" t="n">
        <v>13202.3111666667</v>
      </c>
      <c r="I90" s="23" t="n">
        <v>26892.68392875</v>
      </c>
      <c r="J90" s="23" t="n">
        <v>1603.56283192684</v>
      </c>
      <c r="K90" s="23" t="n">
        <v>0</v>
      </c>
    </row>
    <row r="91" customFormat="false" ht="15" hidden="false" customHeight="false" outlineLevel="0" collapsed="false">
      <c r="A91" s="28" t="s">
        <v>180</v>
      </c>
      <c r="B91" s="23" t="n">
        <v>18</v>
      </c>
      <c r="C91" s="23" t="n">
        <v>39268.1380349413</v>
      </c>
      <c r="D91" s="23" t="n">
        <v>10983.5778654343</v>
      </c>
      <c r="E91" s="15" t="n">
        <f aca="false">C91-D91</f>
        <v>28284.560169507</v>
      </c>
      <c r="F91" s="23" t="n">
        <v>450</v>
      </c>
      <c r="G91" s="15" t="n">
        <f aca="false">E91+F91+H91-I91-J91-K91</f>
        <v>13376.1337267468</v>
      </c>
      <c r="H91" s="23" t="n">
        <v>13202.3111666667</v>
      </c>
      <c r="I91" s="23" t="n">
        <v>26957.1747775</v>
      </c>
      <c r="J91" s="23" t="n">
        <v>1603.56283192684</v>
      </c>
      <c r="K91" s="23" t="n">
        <v>0</v>
      </c>
    </row>
    <row r="92" customFormat="false" ht="15" hidden="false" customHeight="false" outlineLevel="0" collapsed="false">
      <c r="A92" s="28" t="s">
        <v>180</v>
      </c>
      <c r="B92" s="23" t="n">
        <v>19</v>
      </c>
      <c r="C92" s="23" t="n">
        <v>39330.7870391136</v>
      </c>
      <c r="D92" s="23" t="n">
        <v>10985.8913594686</v>
      </c>
      <c r="E92" s="15" t="n">
        <f aca="false">C92-D92</f>
        <v>28344.895679645</v>
      </c>
      <c r="F92" s="23" t="n">
        <v>450</v>
      </c>
      <c r="G92" s="15" t="n">
        <f aca="false">E92+F92+H92-I92-J92-K92</f>
        <v>13371.9783881349</v>
      </c>
      <c r="H92" s="23" t="n">
        <v>13202.3111666667</v>
      </c>
      <c r="I92" s="23" t="n">
        <v>27021.66562625</v>
      </c>
      <c r="J92" s="23" t="n">
        <v>1603.56283192684</v>
      </c>
      <c r="K92" s="23" t="n">
        <v>0</v>
      </c>
    </row>
    <row r="93" customFormat="false" ht="15" hidden="false" customHeight="false" outlineLevel="0" collapsed="false">
      <c r="A93" s="28" t="s">
        <v>180</v>
      </c>
      <c r="B93" s="23" t="n">
        <v>20</v>
      </c>
      <c r="C93" s="23" t="n">
        <v>39392.7319639395</v>
      </c>
      <c r="D93" s="23" t="n">
        <v>10985.7646105487</v>
      </c>
      <c r="E93" s="15" t="n">
        <f aca="false">C93-D93</f>
        <v>28406.9673533908</v>
      </c>
      <c r="F93" s="23" t="n">
        <v>450</v>
      </c>
      <c r="G93" s="15" t="n">
        <f aca="false">E93+F93+H93-I93-J93-K93</f>
        <v>-2630.44078686937</v>
      </c>
      <c r="H93" s="23" t="n">
        <v>13202.3111666667</v>
      </c>
      <c r="I93" s="23" t="n">
        <v>27086.156475</v>
      </c>
      <c r="J93" s="23" t="n">
        <v>1603.56283192684</v>
      </c>
      <c r="K93" s="23" t="n">
        <v>16000</v>
      </c>
    </row>
    <row r="94" customFormat="false" ht="15" hidden="false" customHeight="false" outlineLevel="0" collapsed="false">
      <c r="A94" s="28" t="s">
        <v>180</v>
      </c>
      <c r="B94" s="23" t="n">
        <v>21</v>
      </c>
      <c r="C94" s="23" t="n">
        <v>39453.9825785419</v>
      </c>
      <c r="D94" s="23" t="n">
        <v>10985.6378616287</v>
      </c>
      <c r="E94" s="15" t="n">
        <f aca="false">C94-D94</f>
        <v>28468.3447169131</v>
      </c>
      <c r="F94" s="23" t="n">
        <v>450</v>
      </c>
      <c r="G94" s="15" t="n">
        <f aca="false">E94+F94+H94-I94-J94-K94</f>
        <v>13366.445727903</v>
      </c>
      <c r="H94" s="23" t="n">
        <v>13202.3111666667</v>
      </c>
      <c r="I94" s="23" t="n">
        <v>27150.64732375</v>
      </c>
      <c r="J94" s="23" t="n">
        <v>1603.56283192684</v>
      </c>
      <c r="K94" s="23" t="n">
        <v>0</v>
      </c>
    </row>
    <row r="95" customFormat="false" ht="15" hidden="false" customHeight="false" outlineLevel="0" collapsed="false">
      <c r="A95" s="28" t="s">
        <v>180</v>
      </c>
      <c r="B95" s="23" t="n">
        <v>22</v>
      </c>
      <c r="C95" s="23" t="n">
        <v>39514.5484954312</v>
      </c>
      <c r="D95" s="23" t="n">
        <v>10985.5111127088</v>
      </c>
      <c r="E95" s="15" t="n">
        <f aca="false">C95-D95</f>
        <v>28529.0373827224</v>
      </c>
      <c r="F95" s="23" t="n">
        <v>450</v>
      </c>
      <c r="G95" s="15" t="n">
        <f aca="false">E95+F95+H95-I95-J95-K95</f>
        <v>13362.6475449622</v>
      </c>
      <c r="H95" s="23" t="n">
        <v>13202.3111666667</v>
      </c>
      <c r="I95" s="23" t="n">
        <v>27215.1381725</v>
      </c>
      <c r="J95" s="23" t="n">
        <v>1603.56283192684</v>
      </c>
      <c r="K95" s="23" t="n">
        <v>0</v>
      </c>
    </row>
    <row r="96" customFormat="false" ht="15" hidden="false" customHeight="false" outlineLevel="0" collapsed="false">
      <c r="A96" s="28" t="s">
        <v>180</v>
      </c>
      <c r="B96" s="23" t="n">
        <v>23</v>
      </c>
      <c r="C96" s="23" t="n">
        <v>39574.4391732011</v>
      </c>
      <c r="D96" s="23" t="n">
        <v>10985.3843637889</v>
      </c>
      <c r="E96" s="15" t="n">
        <f aca="false">C96-D96</f>
        <v>28589.0548094122</v>
      </c>
      <c r="F96" s="23" t="n">
        <v>450</v>
      </c>
      <c r="G96" s="15" t="n">
        <f aca="false">E96+F96+H96-I96-J96-K96</f>
        <v>13358.1741229021</v>
      </c>
      <c r="H96" s="23" t="n">
        <v>13202.3111666667</v>
      </c>
      <c r="I96" s="23" t="n">
        <v>27279.62902125</v>
      </c>
      <c r="J96" s="23" t="n">
        <v>1603.56283192684</v>
      </c>
      <c r="K96" s="23" t="n">
        <v>0</v>
      </c>
    </row>
    <row r="97" customFormat="false" ht="15" hidden="false" customHeight="false" outlineLevel="0" collapsed="false">
      <c r="A97" s="28" t="s">
        <v>180</v>
      </c>
      <c r="B97" s="23" t="n">
        <v>24</v>
      </c>
      <c r="C97" s="23" t="n">
        <v>39633.6639191762</v>
      </c>
      <c r="D97" s="23" t="n">
        <v>10985.257614869</v>
      </c>
      <c r="E97" s="15" t="n">
        <f aca="false">C97-D97</f>
        <v>28648.4063043072</v>
      </c>
      <c r="F97" s="23" t="n">
        <v>450</v>
      </c>
      <c r="G97" s="15" t="n">
        <f aca="false">E97+F97+H97-I97-J97-K97</f>
        <v>13353.034769047</v>
      </c>
      <c r="H97" s="23" t="n">
        <v>13202.3111666667</v>
      </c>
      <c r="I97" s="23" t="n">
        <v>27344.11987</v>
      </c>
      <c r="J97" s="23" t="n">
        <v>1603.56283192684</v>
      </c>
      <c r="K97" s="23" t="n">
        <v>0</v>
      </c>
    </row>
    <row r="98" customFormat="false" ht="15" hidden="false" customHeight="false" outlineLevel="0" collapsed="false">
      <c r="A98" s="28" t="s">
        <v>182</v>
      </c>
      <c r="B98" s="23" t="n">
        <v>1</v>
      </c>
      <c r="C98" s="23" t="n">
        <v>39857.3813832047</v>
      </c>
      <c r="D98" s="23" t="n">
        <v>10969.5631083978</v>
      </c>
      <c r="E98" s="15" t="n">
        <f aca="false">C98-D98</f>
        <v>28887.8182748069</v>
      </c>
      <c r="F98" s="23" t="n">
        <v>315</v>
      </c>
      <c r="G98" s="15" t="n">
        <f aca="false">E98+F98+H98-I98-J98-K98</f>
        <v>14940.7362607967</v>
      </c>
      <c r="H98" s="23" t="n">
        <v>13202.3111666667</v>
      </c>
      <c r="I98" s="23" t="n">
        <v>25860.83034875</v>
      </c>
      <c r="J98" s="23" t="n">
        <v>1603.56283192684</v>
      </c>
      <c r="K98" s="23" t="n">
        <v>0</v>
      </c>
    </row>
    <row r="99" customFormat="false" ht="15" hidden="false" customHeight="false" outlineLevel="0" collapsed="false">
      <c r="A99" s="28" t="s">
        <v>182</v>
      </c>
      <c r="B99" s="23" t="n">
        <v>2</v>
      </c>
      <c r="C99" s="23" t="n">
        <v>40010.8098400753</v>
      </c>
      <c r="D99" s="23" t="n">
        <v>11964.6076535196</v>
      </c>
      <c r="E99" s="15" t="n">
        <f aca="false">C99-D99</f>
        <v>28046.2021865557</v>
      </c>
      <c r="F99" s="23" t="n">
        <v>315</v>
      </c>
      <c r="G99" s="15" t="n">
        <f aca="false">E99+F99+H99-I99-J99-K99</f>
        <v>14034.6293237955</v>
      </c>
      <c r="H99" s="23" t="n">
        <v>13202.3111666667</v>
      </c>
      <c r="I99" s="23" t="n">
        <v>25925.3211975</v>
      </c>
      <c r="J99" s="23" t="n">
        <v>1603.56283192684</v>
      </c>
      <c r="K99" s="23" t="n">
        <v>0</v>
      </c>
    </row>
    <row r="100" customFormat="false" ht="15" hidden="false" customHeight="false" outlineLevel="0" collapsed="false">
      <c r="A100" s="28" t="s">
        <v>182</v>
      </c>
      <c r="B100" s="23" t="n">
        <v>3</v>
      </c>
      <c r="C100" s="23" t="n">
        <v>40163.9995601251</v>
      </c>
      <c r="D100" s="23" t="n">
        <v>12501.8150032616</v>
      </c>
      <c r="E100" s="15" t="n">
        <f aca="false">C100-D100</f>
        <v>27662.1845568635</v>
      </c>
      <c r="F100" s="23" t="n">
        <v>315</v>
      </c>
      <c r="G100" s="15" t="n">
        <f aca="false">E100+F100+H100-I100-J100-K100</f>
        <v>13586.1208453533</v>
      </c>
      <c r="H100" s="23" t="n">
        <v>13202.3111666667</v>
      </c>
      <c r="I100" s="23" t="n">
        <v>25989.81204625</v>
      </c>
      <c r="J100" s="23" t="n">
        <v>1603.56283192684</v>
      </c>
      <c r="K100" s="23" t="n">
        <v>0</v>
      </c>
    </row>
    <row r="101" customFormat="false" ht="15" hidden="false" customHeight="false" outlineLevel="0" collapsed="false">
      <c r="A101" s="28" t="s">
        <v>182</v>
      </c>
      <c r="B101" s="23" t="n">
        <v>4</v>
      </c>
      <c r="C101" s="23" t="n">
        <v>40313.7139103541</v>
      </c>
      <c r="D101" s="23" t="n">
        <v>12844.3689559843</v>
      </c>
      <c r="E101" s="15" t="n">
        <f aca="false">C101-D101</f>
        <v>27469.3449543698</v>
      </c>
      <c r="F101" s="23" t="n">
        <v>315</v>
      </c>
      <c r="G101" s="15" t="n">
        <f aca="false">E101+F101+H101-I101-J101-K101</f>
        <v>13328.7903941097</v>
      </c>
      <c r="H101" s="23" t="n">
        <v>13202.3111666667</v>
      </c>
      <c r="I101" s="23" t="n">
        <v>26054.302895</v>
      </c>
      <c r="J101" s="23" t="n">
        <v>1603.56283192684</v>
      </c>
      <c r="K101" s="23" t="n">
        <v>0</v>
      </c>
    </row>
    <row r="102" customFormat="false" ht="15" hidden="false" customHeight="false" outlineLevel="0" collapsed="false">
      <c r="A102" s="28" t="s">
        <v>182</v>
      </c>
      <c r="B102" s="23" t="n">
        <v>5</v>
      </c>
      <c r="C102" s="23" t="n">
        <v>40461.6082596533</v>
      </c>
      <c r="D102" s="23" t="n">
        <v>12995.5807508744</v>
      </c>
      <c r="E102" s="15" t="n">
        <f aca="false">C102-D102</f>
        <v>27466.0275087789</v>
      </c>
      <c r="F102" s="23" t="n">
        <v>315</v>
      </c>
      <c r="G102" s="15" t="n">
        <f aca="false">E102+F102+H102-I102-J102-K102</f>
        <v>13260.9820997687</v>
      </c>
      <c r="H102" s="23" t="n">
        <v>13202.3111666667</v>
      </c>
      <c r="I102" s="23" t="n">
        <v>26118.79374375</v>
      </c>
      <c r="J102" s="23" t="n">
        <v>1603.56283192684</v>
      </c>
      <c r="K102" s="23" t="n">
        <v>0</v>
      </c>
    </row>
    <row r="103" customFormat="false" ht="15" hidden="false" customHeight="false" outlineLevel="0" collapsed="false">
      <c r="A103" s="28" t="s">
        <v>182</v>
      </c>
      <c r="B103" s="23" t="n">
        <v>6</v>
      </c>
      <c r="C103" s="23" t="n">
        <v>40607.7068155571</v>
      </c>
      <c r="D103" s="23" t="n">
        <v>13146.7925457646</v>
      </c>
      <c r="E103" s="15" t="n">
        <f aca="false">C103-D103</f>
        <v>27460.9142697926</v>
      </c>
      <c r="F103" s="23" t="n">
        <v>315</v>
      </c>
      <c r="G103" s="15" t="n">
        <f aca="false">E103+F103+H103-I103-J103-K103</f>
        <v>13191.3780120324</v>
      </c>
      <c r="H103" s="23" t="n">
        <v>13202.3111666667</v>
      </c>
      <c r="I103" s="23" t="n">
        <v>26183.2845925</v>
      </c>
      <c r="J103" s="23" t="n">
        <v>1603.56283192684</v>
      </c>
      <c r="K103" s="23" t="n">
        <v>0</v>
      </c>
    </row>
    <row r="104" customFormat="false" ht="15" hidden="false" customHeight="false" outlineLevel="0" collapsed="false">
      <c r="A104" s="28" t="s">
        <v>182</v>
      </c>
      <c r="B104" s="23" t="n">
        <v>7</v>
      </c>
      <c r="C104" s="23" t="n">
        <v>40752.0334226383</v>
      </c>
      <c r="D104" s="23" t="n">
        <v>13298.0043406547</v>
      </c>
      <c r="E104" s="15" t="n">
        <f aca="false">C104-D104</f>
        <v>27454.0290819836</v>
      </c>
      <c r="F104" s="23" t="n">
        <v>315</v>
      </c>
      <c r="G104" s="15" t="n">
        <f aca="false">E104+F104+H104-I104-J104-K104</f>
        <v>13120.0019754735</v>
      </c>
      <c r="H104" s="23" t="n">
        <v>13202.3111666667</v>
      </c>
      <c r="I104" s="23" t="n">
        <v>26247.77544125</v>
      </c>
      <c r="J104" s="23" t="n">
        <v>1603.56283192684</v>
      </c>
      <c r="K104" s="23" t="n">
        <v>0</v>
      </c>
    </row>
    <row r="105" customFormat="false" ht="15" hidden="false" customHeight="false" outlineLevel="0" collapsed="false">
      <c r="A105" s="28" t="s">
        <v>182</v>
      </c>
      <c r="B105" s="23" t="n">
        <v>8</v>
      </c>
      <c r="C105" s="23" t="n">
        <v>40894.6115684453</v>
      </c>
      <c r="D105" s="23" t="n">
        <v>13425.8030231204</v>
      </c>
      <c r="E105" s="15" t="n">
        <f aca="false">C105-D105</f>
        <v>27468.808545325</v>
      </c>
      <c r="F105" s="23" t="n">
        <v>315</v>
      </c>
      <c r="G105" s="15" t="n">
        <f aca="false">E105+F105+H105-I105-J105-K105</f>
        <v>-2929.70940993519</v>
      </c>
      <c r="H105" s="23" t="n">
        <v>13202.3111666667</v>
      </c>
      <c r="I105" s="23" t="n">
        <v>26312.26629</v>
      </c>
      <c r="J105" s="23" t="n">
        <v>1603.56283192684</v>
      </c>
      <c r="K105" s="23" t="n">
        <v>16000</v>
      </c>
    </row>
    <row r="106" customFormat="false" ht="15" hidden="false" customHeight="false" outlineLevel="0" collapsed="false">
      <c r="A106" s="28" t="s">
        <v>182</v>
      </c>
      <c r="B106" s="23" t="n">
        <v>9</v>
      </c>
      <c r="C106" s="23" t="n">
        <v>41035.4643893353</v>
      </c>
      <c r="D106" s="23" t="n">
        <v>13553.601705586</v>
      </c>
      <c r="E106" s="15" t="n">
        <f aca="false">C106-D106</f>
        <v>27481.8626837493</v>
      </c>
      <c r="F106" s="23" t="n">
        <v>315</v>
      </c>
      <c r="G106" s="15" t="n">
        <f aca="false">E106+F106+H106-I106-J106-K106</f>
        <v>13018.8538797391</v>
      </c>
      <c r="H106" s="23" t="n">
        <v>13202.3111666667</v>
      </c>
      <c r="I106" s="23" t="n">
        <v>26376.75713875</v>
      </c>
      <c r="J106" s="23" t="n">
        <v>1603.56283192684</v>
      </c>
      <c r="K106" s="23" t="n">
        <v>0</v>
      </c>
    </row>
    <row r="107" customFormat="false" ht="15" hidden="false" customHeight="false" outlineLevel="0" collapsed="false">
      <c r="A107" s="28" t="s">
        <v>182</v>
      </c>
      <c r="B107" s="23" t="n">
        <v>10</v>
      </c>
      <c r="C107" s="23" t="n">
        <v>41211.6980095379</v>
      </c>
      <c r="D107" s="23" t="n">
        <v>13681.4003880516</v>
      </c>
      <c r="E107" s="15" t="n">
        <f aca="false">C107-D107</f>
        <v>27530.2976214863</v>
      </c>
      <c r="F107" s="23" t="n">
        <v>315</v>
      </c>
      <c r="G107" s="15" t="n">
        <f aca="false">E107+F107+H107-I107-J107-K107</f>
        <v>13002.7979687261</v>
      </c>
      <c r="H107" s="23" t="n">
        <v>13202.3111666667</v>
      </c>
      <c r="I107" s="23" t="n">
        <v>26441.2479875</v>
      </c>
      <c r="J107" s="23" t="n">
        <v>1603.56283192684</v>
      </c>
      <c r="K107" s="23" t="n">
        <v>0</v>
      </c>
    </row>
    <row r="108" customFormat="false" ht="15" hidden="false" customHeight="false" outlineLevel="0" collapsed="false">
      <c r="A108" s="28" t="s">
        <v>182</v>
      </c>
      <c r="B108" s="23" t="n">
        <v>11</v>
      </c>
      <c r="C108" s="23" t="n">
        <v>41349.168213452</v>
      </c>
      <c r="D108" s="23" t="n">
        <v>13798.8323226994</v>
      </c>
      <c r="E108" s="15" t="n">
        <f aca="false">C108-D108</f>
        <v>27550.3358907526</v>
      </c>
      <c r="F108" s="23" t="n">
        <v>315</v>
      </c>
      <c r="G108" s="15" t="n">
        <f aca="false">E108+F108+H108-I108-J108-K108</f>
        <v>12958.3453892424</v>
      </c>
      <c r="H108" s="23" t="n">
        <v>13202.3111666667</v>
      </c>
      <c r="I108" s="23" t="n">
        <v>26505.73883625</v>
      </c>
      <c r="J108" s="23" t="n">
        <v>1603.56283192684</v>
      </c>
      <c r="K108" s="23" t="n">
        <v>0</v>
      </c>
    </row>
    <row r="109" customFormat="false" ht="15" hidden="false" customHeight="false" outlineLevel="0" collapsed="false">
      <c r="A109" s="28" t="s">
        <v>182</v>
      </c>
      <c r="B109" s="23" t="n">
        <v>12</v>
      </c>
      <c r="C109" s="23" t="n">
        <v>41484.9804511759</v>
      </c>
      <c r="D109" s="23" t="n">
        <v>13916.2642573471</v>
      </c>
      <c r="E109" s="15" t="n">
        <f aca="false">C109-D109</f>
        <v>27568.7161938288</v>
      </c>
      <c r="F109" s="23" t="n">
        <v>315</v>
      </c>
      <c r="G109" s="15" t="n">
        <f aca="false">E109+F109+H109-I109-J109-K109</f>
        <v>12912.2348435687</v>
      </c>
      <c r="H109" s="23" t="n">
        <v>13202.3111666667</v>
      </c>
      <c r="I109" s="23" t="n">
        <v>26570.229685</v>
      </c>
      <c r="J109" s="23" t="n">
        <v>1603.56283192684</v>
      </c>
      <c r="K109" s="23" t="n">
        <v>0</v>
      </c>
    </row>
    <row r="110" customFormat="false" ht="15" hidden="false" customHeight="false" outlineLevel="0" collapsed="false">
      <c r="A110" s="28" t="s">
        <v>182</v>
      </c>
      <c r="B110" s="23" t="n">
        <v>13</v>
      </c>
      <c r="C110" s="23" t="n">
        <v>41619.156510609</v>
      </c>
      <c r="D110" s="23" t="n">
        <v>13994.5854858162</v>
      </c>
      <c r="E110" s="15" t="n">
        <f aca="false">C110-D110</f>
        <v>27624.5710247928</v>
      </c>
      <c r="F110" s="23" t="n">
        <v>315</v>
      </c>
      <c r="G110" s="15" t="n">
        <f aca="false">E110+F110+H110-I110-J110-K110</f>
        <v>12903.5988257826</v>
      </c>
      <c r="H110" s="23" t="n">
        <v>13202.3111666667</v>
      </c>
      <c r="I110" s="23" t="n">
        <v>26634.72053375</v>
      </c>
      <c r="J110" s="23" t="n">
        <v>1603.56283192684</v>
      </c>
      <c r="K110" s="23" t="n">
        <v>0</v>
      </c>
    </row>
    <row r="111" customFormat="false" ht="15" hidden="false" customHeight="false" outlineLevel="0" collapsed="false">
      <c r="A111" s="28" t="s">
        <v>182</v>
      </c>
      <c r="B111" s="23" t="n">
        <v>14</v>
      </c>
      <c r="C111" s="23" t="n">
        <v>41751.7178561228</v>
      </c>
      <c r="D111" s="23" t="n">
        <v>14015.8459734984</v>
      </c>
      <c r="E111" s="15" t="n">
        <f aca="false">C111-D111</f>
        <v>27735.8718826244</v>
      </c>
      <c r="F111" s="23" t="n">
        <v>315</v>
      </c>
      <c r="G111" s="15" t="n">
        <f aca="false">E111+F111+H111-I111-J111-K111</f>
        <v>12950.4088348642</v>
      </c>
      <c r="H111" s="23" t="n">
        <v>13202.3111666667</v>
      </c>
      <c r="I111" s="23" t="n">
        <v>26699.2113825</v>
      </c>
      <c r="J111" s="23" t="n">
        <v>1603.56283192684</v>
      </c>
      <c r="K111" s="23" t="n">
        <v>0</v>
      </c>
    </row>
    <row r="112" customFormat="false" ht="15" hidden="false" customHeight="false" outlineLevel="0" collapsed="false">
      <c r="A112" s="28" t="s">
        <v>182</v>
      </c>
      <c r="B112" s="23" t="n">
        <v>15</v>
      </c>
      <c r="C112" s="23" t="n">
        <v>41882.6856338073</v>
      </c>
      <c r="D112" s="23" t="n">
        <v>14037.1064611805</v>
      </c>
      <c r="E112" s="15" t="n">
        <f aca="false">C112-D112</f>
        <v>27845.5791726268</v>
      </c>
      <c r="F112" s="23" t="n">
        <v>315</v>
      </c>
      <c r="G112" s="15" t="n">
        <f aca="false">E112+F112+H112-I112-J112-K112</f>
        <v>12995.6252761166</v>
      </c>
      <c r="H112" s="23" t="n">
        <v>13202.3111666667</v>
      </c>
      <c r="I112" s="23" t="n">
        <v>26763.70223125</v>
      </c>
      <c r="J112" s="23" t="n">
        <v>1603.56283192684</v>
      </c>
      <c r="K112" s="23" t="n">
        <v>0</v>
      </c>
    </row>
    <row r="113" customFormat="false" ht="15" hidden="false" customHeight="false" outlineLevel="0" collapsed="false">
      <c r="A113" s="28" t="s">
        <v>182</v>
      </c>
      <c r="B113" s="23" t="n">
        <v>16</v>
      </c>
      <c r="C113" s="23" t="n">
        <v>42391.2473432915</v>
      </c>
      <c r="D113" s="23" t="n">
        <v>14058.3669488627</v>
      </c>
      <c r="E113" s="15" t="n">
        <f aca="false">C113-D113</f>
        <v>28332.8803944288</v>
      </c>
      <c r="F113" s="23" t="n">
        <v>315</v>
      </c>
      <c r="G113" s="15" t="n">
        <f aca="false">E113+F113+H113-I113-J113-K113</f>
        <v>13418.4356491686</v>
      </c>
      <c r="H113" s="23" t="n">
        <v>13202.3111666667</v>
      </c>
      <c r="I113" s="23" t="n">
        <v>26828.19308</v>
      </c>
      <c r="J113" s="23" t="n">
        <v>1603.56283192684</v>
      </c>
      <c r="K113" s="23" t="n">
        <v>0</v>
      </c>
    </row>
    <row r="114" customFormat="false" ht="15" hidden="false" customHeight="false" outlineLevel="0" collapsed="false">
      <c r="A114" s="28" t="s">
        <v>182</v>
      </c>
      <c r="B114" s="23" t="n">
        <v>17</v>
      </c>
      <c r="C114" s="23" t="n">
        <v>42519.0901761403</v>
      </c>
      <c r="D114" s="23" t="n">
        <v>14079.6274365449</v>
      </c>
      <c r="E114" s="15" t="n">
        <f aca="false">C114-D114</f>
        <v>28439.4627395954</v>
      </c>
      <c r="F114" s="23" t="n">
        <v>315</v>
      </c>
      <c r="G114" s="15" t="n">
        <f aca="false">E114+F114+H114-I114-J114-K114</f>
        <v>13460.5271455852</v>
      </c>
      <c r="H114" s="23" t="n">
        <v>13202.3111666667</v>
      </c>
      <c r="I114" s="23" t="n">
        <v>26892.68392875</v>
      </c>
      <c r="J114" s="23" t="n">
        <v>1603.56283192684</v>
      </c>
      <c r="K114" s="23" t="n">
        <v>0</v>
      </c>
    </row>
    <row r="115" customFormat="false" ht="15" hidden="false" customHeight="false" outlineLevel="0" collapsed="false">
      <c r="A115" s="28" t="s">
        <v>182</v>
      </c>
      <c r="B115" s="23" t="n">
        <v>18</v>
      </c>
      <c r="C115" s="23" t="n">
        <v>42645.4010208306</v>
      </c>
      <c r="D115" s="23" t="n">
        <v>14100.887924227</v>
      </c>
      <c r="E115" s="15" t="n">
        <f aca="false">C115-D115</f>
        <v>28544.5130966036</v>
      </c>
      <c r="F115" s="23" t="n">
        <v>315</v>
      </c>
      <c r="G115" s="15" t="n">
        <f aca="false">E115+F115+H115-I115-J115-K115</f>
        <v>13501.0866538434</v>
      </c>
      <c r="H115" s="23" t="n">
        <v>13202.3111666667</v>
      </c>
      <c r="I115" s="23" t="n">
        <v>26957.1747775</v>
      </c>
      <c r="J115" s="23" t="n">
        <v>1603.56283192684</v>
      </c>
      <c r="K115" s="23" t="n">
        <v>0</v>
      </c>
    </row>
    <row r="116" customFormat="false" ht="15" hidden="false" customHeight="false" outlineLevel="0" collapsed="false">
      <c r="A116" s="28" t="s">
        <v>182</v>
      </c>
      <c r="B116" s="23" t="n">
        <v>19</v>
      </c>
      <c r="C116" s="23" t="n">
        <v>42770.1998009742</v>
      </c>
      <c r="D116" s="23" t="n">
        <v>14122.1484119092</v>
      </c>
      <c r="E116" s="15" t="n">
        <f aca="false">C116-D116</f>
        <v>28648.051389065</v>
      </c>
      <c r="F116" s="23" t="n">
        <v>315</v>
      </c>
      <c r="G116" s="15" t="n">
        <f aca="false">E116+F116+H116-I116-J116-K116</f>
        <v>13540.1340975548</v>
      </c>
      <c r="H116" s="23" t="n">
        <v>13202.3111666667</v>
      </c>
      <c r="I116" s="23" t="n">
        <v>27021.66562625</v>
      </c>
      <c r="J116" s="23" t="n">
        <v>1603.56283192684</v>
      </c>
      <c r="K116" s="23" t="n">
        <v>0</v>
      </c>
    </row>
    <row r="117" customFormat="false" ht="15" hidden="false" customHeight="false" outlineLevel="0" collapsed="false">
      <c r="A117" s="28" t="s">
        <v>182</v>
      </c>
      <c r="B117" s="23" t="n">
        <v>20</v>
      </c>
      <c r="C117" s="23" t="n">
        <v>42893.5061467884</v>
      </c>
      <c r="D117" s="23" t="n">
        <v>14135.4309958421</v>
      </c>
      <c r="E117" s="15" t="n">
        <f aca="false">C117-D117</f>
        <v>28758.0751509463</v>
      </c>
      <c r="F117" s="23" t="n">
        <v>315</v>
      </c>
      <c r="G117" s="15" t="n">
        <f aca="false">E117+F117+H117-I117-J117-K117</f>
        <v>-2414.33298931386</v>
      </c>
      <c r="H117" s="23" t="n">
        <v>13202.3111666667</v>
      </c>
      <c r="I117" s="23" t="n">
        <v>27086.156475</v>
      </c>
      <c r="J117" s="23" t="n">
        <v>1603.56283192684</v>
      </c>
      <c r="K117" s="23" t="n">
        <v>16000</v>
      </c>
    </row>
    <row r="118" customFormat="false" ht="15" hidden="false" customHeight="false" outlineLevel="0" collapsed="false">
      <c r="A118" s="28" t="s">
        <v>182</v>
      </c>
      <c r="B118" s="23" t="n">
        <v>21</v>
      </c>
      <c r="C118" s="23" t="n">
        <v>43015.3393998172</v>
      </c>
      <c r="D118" s="23" t="n">
        <v>14148.7135797749</v>
      </c>
      <c r="E118" s="15" t="n">
        <f aca="false">C118-D118</f>
        <v>28866.6258200423</v>
      </c>
      <c r="F118" s="23" t="n">
        <v>315</v>
      </c>
      <c r="G118" s="15" t="n">
        <f aca="false">E118+F118+H118-I118-J118-K118</f>
        <v>13629.7268310321</v>
      </c>
      <c r="H118" s="23" t="n">
        <v>13202.3111666667</v>
      </c>
      <c r="I118" s="23" t="n">
        <v>27150.64732375</v>
      </c>
      <c r="J118" s="23" t="n">
        <v>1603.56283192684</v>
      </c>
      <c r="K118" s="23" t="n">
        <v>0</v>
      </c>
    </row>
    <row r="119" customFormat="false" ht="15" hidden="false" customHeight="false" outlineLevel="0" collapsed="false">
      <c r="A119" s="28" t="s">
        <v>182</v>
      </c>
      <c r="B119" s="23" t="n">
        <v>22</v>
      </c>
      <c r="C119" s="23" t="n">
        <v>43135.7186175706</v>
      </c>
      <c r="D119" s="23" t="n">
        <v>14161.9961637078</v>
      </c>
      <c r="E119" s="15" t="n">
        <f aca="false">C119-D119</f>
        <v>28973.7224538628</v>
      </c>
      <c r="F119" s="23" t="n">
        <v>315</v>
      </c>
      <c r="G119" s="15" t="n">
        <f aca="false">E119+F119+H119-I119-J119-K119</f>
        <v>13672.3326161026</v>
      </c>
      <c r="H119" s="23" t="n">
        <v>13202.3111666667</v>
      </c>
      <c r="I119" s="23" t="n">
        <v>27215.1381725</v>
      </c>
      <c r="J119" s="23" t="n">
        <v>1603.56283192684</v>
      </c>
      <c r="K119" s="23" t="n">
        <v>0</v>
      </c>
    </row>
    <row r="120" customFormat="false" ht="15" hidden="false" customHeight="false" outlineLevel="0" collapsed="false">
      <c r="A120" s="28" t="s">
        <v>182</v>
      </c>
      <c r="B120" s="23" t="n">
        <v>23</v>
      </c>
      <c r="C120" s="23" t="n">
        <v>43254.6625780832</v>
      </c>
      <c r="D120" s="23" t="n">
        <v>14175.2787476406</v>
      </c>
      <c r="E120" s="15" t="n">
        <f aca="false">C120-D120</f>
        <v>29079.3838304426</v>
      </c>
      <c r="F120" s="23" t="n">
        <v>315</v>
      </c>
      <c r="G120" s="15" t="n">
        <f aca="false">E120+F120+H120-I120-J120-K120</f>
        <v>13713.5031439324</v>
      </c>
      <c r="H120" s="23" t="n">
        <v>13202.3111666667</v>
      </c>
      <c r="I120" s="23" t="n">
        <v>27279.62902125</v>
      </c>
      <c r="J120" s="23" t="n">
        <v>1603.56283192684</v>
      </c>
      <c r="K120" s="23" t="n">
        <v>0</v>
      </c>
    </row>
    <row r="121" customFormat="false" ht="15" hidden="false" customHeight="false" outlineLevel="0" collapsed="false">
      <c r="A121" s="28" t="s">
        <v>182</v>
      </c>
      <c r="B121" s="23" t="n">
        <v>24</v>
      </c>
      <c r="C121" s="23" t="n">
        <v>43372.1897843947</v>
      </c>
      <c r="D121" s="23" t="n">
        <v>14188.5613315735</v>
      </c>
      <c r="E121" s="15" t="n">
        <f aca="false">C121-D121</f>
        <v>29183.6284528212</v>
      </c>
      <c r="F121" s="23" t="n">
        <v>315</v>
      </c>
      <c r="G121" s="15" t="n">
        <f aca="false">E121+F121+H121-I121-J121-K121</f>
        <v>13753.2569175611</v>
      </c>
      <c r="H121" s="23" t="n">
        <v>13202.3111666667</v>
      </c>
      <c r="I121" s="23" t="n">
        <v>27344.11987</v>
      </c>
      <c r="J121" s="23" t="n">
        <v>1603.56283192684</v>
      </c>
      <c r="K121" s="23" t="n">
        <v>0</v>
      </c>
    </row>
    <row r="122" customFormat="false" ht="15" hidden="false" customHeight="false" outlineLevel="0" collapsed="false">
      <c r="A122" s="28" t="s">
        <v>184</v>
      </c>
      <c r="B122" s="23" t="n">
        <v>1</v>
      </c>
      <c r="C122" s="23" t="n">
        <v>41920.8992439207</v>
      </c>
      <c r="D122" s="23" t="n">
        <v>11063.4739254191</v>
      </c>
      <c r="E122" s="15" t="n">
        <f aca="false">C122-D122</f>
        <v>30857.4253185016</v>
      </c>
      <c r="F122" s="23" t="n">
        <v>180</v>
      </c>
      <c r="G122" s="15" t="n">
        <f aca="false">E122+F122+H122-I122-J122-K122</f>
        <v>16775.3433044914</v>
      </c>
      <c r="H122" s="23" t="n">
        <v>13202.3111666667</v>
      </c>
      <c r="I122" s="23" t="n">
        <v>25860.83034875</v>
      </c>
      <c r="J122" s="23" t="n">
        <v>1603.56283192684</v>
      </c>
      <c r="K122" s="23" t="n">
        <v>0</v>
      </c>
    </row>
    <row r="123" customFormat="false" ht="15" hidden="false" customHeight="false" outlineLevel="0" collapsed="false">
      <c r="A123" s="28" t="s">
        <v>184</v>
      </c>
      <c r="B123" s="23" t="n">
        <v>2</v>
      </c>
      <c r="C123" s="23" t="n">
        <v>42143.8010771845</v>
      </c>
      <c r="D123" s="23" t="n">
        <v>13074.1562273896</v>
      </c>
      <c r="E123" s="15" t="n">
        <f aca="false">C123-D123</f>
        <v>29069.6448497948</v>
      </c>
      <c r="F123" s="23" t="n">
        <v>180</v>
      </c>
      <c r="G123" s="15" t="n">
        <f aca="false">E123+F123+H123-I123-J123-K123</f>
        <v>14923.0719870346</v>
      </c>
      <c r="H123" s="23" t="n">
        <v>13202.3111666667</v>
      </c>
      <c r="I123" s="23" t="n">
        <v>25925.3211975</v>
      </c>
      <c r="J123" s="23" t="n">
        <v>1603.56283192684</v>
      </c>
      <c r="K123" s="23" t="n">
        <v>0</v>
      </c>
    </row>
    <row r="124" customFormat="false" ht="15" hidden="false" customHeight="false" outlineLevel="0" collapsed="false">
      <c r="A124" s="28" t="s">
        <v>184</v>
      </c>
      <c r="B124" s="23" t="n">
        <v>3</v>
      </c>
      <c r="C124" s="23" t="n">
        <v>42367.4877084457</v>
      </c>
      <c r="D124" s="23" t="n">
        <v>14169.7625842075</v>
      </c>
      <c r="E124" s="15" t="n">
        <f aca="false">C124-D124</f>
        <v>28197.7251242382</v>
      </c>
      <c r="F124" s="23" t="n">
        <v>180</v>
      </c>
      <c r="G124" s="15" t="n">
        <f aca="false">E124+F124+H124-I124-J124-K124</f>
        <v>13986.6614127281</v>
      </c>
      <c r="H124" s="23" t="n">
        <v>13202.3111666667</v>
      </c>
      <c r="I124" s="23" t="n">
        <v>25989.81204625</v>
      </c>
      <c r="J124" s="23" t="n">
        <v>1603.56283192684</v>
      </c>
      <c r="K124" s="23" t="n">
        <v>0</v>
      </c>
    </row>
    <row r="125" customFormat="false" ht="15" hidden="false" customHeight="false" outlineLevel="0" collapsed="false">
      <c r="A125" s="28" t="s">
        <v>184</v>
      </c>
      <c r="B125" s="23" t="n">
        <v>4</v>
      </c>
      <c r="C125" s="23" t="n">
        <v>42585.4325987318</v>
      </c>
      <c r="D125" s="23" t="n">
        <v>14877.3548164151</v>
      </c>
      <c r="E125" s="15" t="n">
        <f aca="false">C125-D125</f>
        <v>27708.0777823167</v>
      </c>
      <c r="F125" s="23" t="n">
        <v>180</v>
      </c>
      <c r="G125" s="15" t="n">
        <f aca="false">E125+F125+H125-I125-J125-K125</f>
        <v>13432.5232220566</v>
      </c>
      <c r="H125" s="23" t="n">
        <v>13202.3111666667</v>
      </c>
      <c r="I125" s="23" t="n">
        <v>26054.302895</v>
      </c>
      <c r="J125" s="23" t="n">
        <v>1603.56283192684</v>
      </c>
      <c r="K125" s="23" t="n">
        <v>0</v>
      </c>
    </row>
    <row r="126" customFormat="false" ht="15" hidden="false" customHeight="false" outlineLevel="0" collapsed="false">
      <c r="A126" s="28" t="s">
        <v>184</v>
      </c>
      <c r="B126" s="23" t="n">
        <v>5</v>
      </c>
      <c r="C126" s="23" t="n">
        <v>42800.9429666792</v>
      </c>
      <c r="D126" s="23" t="n">
        <v>15192.4111809833</v>
      </c>
      <c r="E126" s="15" t="n">
        <f aca="false">C126-D126</f>
        <v>27608.5317856959</v>
      </c>
      <c r="F126" s="23" t="n">
        <v>180</v>
      </c>
      <c r="G126" s="15" t="n">
        <f aca="false">E126+F126+H126-I126-J126-K126</f>
        <v>13268.4863766857</v>
      </c>
      <c r="H126" s="23" t="n">
        <v>13202.3111666667</v>
      </c>
      <c r="I126" s="23" t="n">
        <v>26118.79374375</v>
      </c>
      <c r="J126" s="23" t="n">
        <v>1603.56283192684</v>
      </c>
      <c r="K126" s="23" t="n">
        <v>0</v>
      </c>
    </row>
    <row r="127" customFormat="false" ht="15" hidden="false" customHeight="false" outlineLevel="0" collapsed="false">
      <c r="A127" s="28" t="s">
        <v>184</v>
      </c>
      <c r="B127" s="23" t="n">
        <v>6</v>
      </c>
      <c r="C127" s="23" t="n">
        <v>43014.0475658207</v>
      </c>
      <c r="D127" s="23" t="n">
        <v>15507.4675455515</v>
      </c>
      <c r="E127" s="15" t="n">
        <f aca="false">C127-D127</f>
        <v>27506.5800202691</v>
      </c>
      <c r="F127" s="23" t="n">
        <v>180</v>
      </c>
      <c r="G127" s="15" t="n">
        <f aca="false">E127+F127+H127-I127-J127-K127</f>
        <v>13102.043762509</v>
      </c>
      <c r="H127" s="23" t="n">
        <v>13202.3111666667</v>
      </c>
      <c r="I127" s="23" t="n">
        <v>26183.2845925</v>
      </c>
      <c r="J127" s="23" t="n">
        <v>1603.56283192684</v>
      </c>
      <c r="K127" s="23" t="n">
        <v>0</v>
      </c>
    </row>
    <row r="128" customFormat="false" ht="15" hidden="false" customHeight="false" outlineLevel="0" collapsed="false">
      <c r="A128" s="28" t="s">
        <v>184</v>
      </c>
      <c r="B128" s="23" t="n">
        <v>7</v>
      </c>
      <c r="C128" s="23" t="n">
        <v>43224.7747484997</v>
      </c>
      <c r="D128" s="23" t="n">
        <v>15822.5239101197</v>
      </c>
      <c r="E128" s="15" t="n">
        <f aca="false">C128-D128</f>
        <v>27402.25083838</v>
      </c>
      <c r="F128" s="23" t="n">
        <v>180</v>
      </c>
      <c r="G128" s="15" t="n">
        <f aca="false">E128+F128+H128-I128-J128-K128</f>
        <v>12933.2237318698</v>
      </c>
      <c r="H128" s="23" t="n">
        <v>13202.3111666667</v>
      </c>
      <c r="I128" s="23" t="n">
        <v>26247.77544125</v>
      </c>
      <c r="J128" s="23" t="n">
        <v>1603.56283192684</v>
      </c>
      <c r="K128" s="23" t="n">
        <v>0</v>
      </c>
    </row>
    <row r="129" customFormat="false" ht="15" hidden="false" customHeight="false" outlineLevel="0" collapsed="false">
      <c r="A129" s="28" t="s">
        <v>184</v>
      </c>
      <c r="B129" s="23" t="n">
        <v>8</v>
      </c>
      <c r="C129" s="23" t="n">
        <v>43433.1524723158</v>
      </c>
      <c r="D129" s="23" t="n">
        <v>16080.9411974926</v>
      </c>
      <c r="E129" s="15" t="n">
        <f aca="false">C129-D129</f>
        <v>27352.2112748232</v>
      </c>
      <c r="F129" s="23" t="n">
        <v>180</v>
      </c>
      <c r="G129" s="15" t="n">
        <f aca="false">E129+F129+H129-I129-J129-K129</f>
        <v>-3181.30668043696</v>
      </c>
      <c r="H129" s="23" t="n">
        <v>13202.3111666667</v>
      </c>
      <c r="I129" s="23" t="n">
        <v>26312.26629</v>
      </c>
      <c r="J129" s="23" t="n">
        <v>1603.56283192684</v>
      </c>
      <c r="K129" s="23" t="n">
        <v>16000</v>
      </c>
    </row>
    <row r="130" customFormat="false" ht="15" hidden="false" customHeight="false" outlineLevel="0" collapsed="false">
      <c r="A130" s="28" t="s">
        <v>184</v>
      </c>
      <c r="B130" s="23" t="n">
        <v>9</v>
      </c>
      <c r="C130" s="23" t="n">
        <v>43639.2083064522</v>
      </c>
      <c r="D130" s="23" t="n">
        <v>16339.3584848655</v>
      </c>
      <c r="E130" s="15" t="n">
        <f aca="false">C130-D130</f>
        <v>27299.8498215867</v>
      </c>
      <c r="F130" s="23" t="n">
        <v>180</v>
      </c>
      <c r="G130" s="15" t="n">
        <f aca="false">E130+F130+H130-I130-J130-K130</f>
        <v>12701.8410175765</v>
      </c>
      <c r="H130" s="23" t="n">
        <v>13202.3111666667</v>
      </c>
      <c r="I130" s="23" t="n">
        <v>26376.75713875</v>
      </c>
      <c r="J130" s="23" t="n">
        <v>1603.56283192684</v>
      </c>
      <c r="K130" s="23" t="n">
        <v>0</v>
      </c>
    </row>
    <row r="131" customFormat="false" ht="15" hidden="false" customHeight="false" outlineLevel="0" collapsed="false">
      <c r="A131" s="28" t="s">
        <v>184</v>
      </c>
      <c r="B131" s="23" t="n">
        <v>10</v>
      </c>
      <c r="C131" s="23" t="n">
        <v>43921.7194378885</v>
      </c>
      <c r="D131" s="23" t="n">
        <v>16597.7757722384</v>
      </c>
      <c r="E131" s="15" t="n">
        <f aca="false">C131-D131</f>
        <v>27323.9436656501</v>
      </c>
      <c r="F131" s="23" t="n">
        <v>180</v>
      </c>
      <c r="G131" s="15" t="n">
        <f aca="false">E131+F131+H131-I131-J131-K131</f>
        <v>12661.4440128899</v>
      </c>
      <c r="H131" s="23" t="n">
        <v>13202.3111666667</v>
      </c>
      <c r="I131" s="23" t="n">
        <v>26441.2479875</v>
      </c>
      <c r="J131" s="23" t="n">
        <v>1603.56283192684</v>
      </c>
      <c r="K131" s="23" t="n">
        <v>0</v>
      </c>
    </row>
    <row r="132" customFormat="false" ht="15" hidden="false" customHeight="false" outlineLevel="0" collapsed="false">
      <c r="A132" s="28" t="s">
        <v>184</v>
      </c>
      <c r="B132" s="23" t="n">
        <v>11</v>
      </c>
      <c r="C132" s="23" t="n">
        <v>44123.2126775005</v>
      </c>
      <c r="D132" s="23" t="n">
        <v>16832.0929130214</v>
      </c>
      <c r="E132" s="15" t="n">
        <f aca="false">C132-D132</f>
        <v>27291.1197644791</v>
      </c>
      <c r="F132" s="23" t="n">
        <v>180</v>
      </c>
      <c r="G132" s="15" t="n">
        <f aca="false">E132+F132+H132-I132-J132-K132</f>
        <v>12564.1292629689</v>
      </c>
      <c r="H132" s="23" t="n">
        <v>13202.3111666667</v>
      </c>
      <c r="I132" s="23" t="n">
        <v>26505.73883625</v>
      </c>
      <c r="J132" s="23" t="n">
        <v>1603.56283192684</v>
      </c>
      <c r="K132" s="23" t="n">
        <v>0</v>
      </c>
    </row>
    <row r="133" customFormat="false" ht="15" hidden="false" customHeight="false" outlineLevel="0" collapsed="false">
      <c r="A133" s="28" t="s">
        <v>184</v>
      </c>
      <c r="B133" s="23" t="n">
        <v>12</v>
      </c>
      <c r="C133" s="23" t="n">
        <v>44322.4644660504</v>
      </c>
      <c r="D133" s="23" t="n">
        <v>17066.4100538045</v>
      </c>
      <c r="E133" s="15" t="n">
        <f aca="false">C133-D133</f>
        <v>27256.0544122459</v>
      </c>
      <c r="F133" s="23" t="n">
        <v>180</v>
      </c>
      <c r="G133" s="15" t="n">
        <f aca="false">E133+F133+H133-I133-J133-K133</f>
        <v>12464.5730619858</v>
      </c>
      <c r="H133" s="23" t="n">
        <v>13202.3111666667</v>
      </c>
      <c r="I133" s="23" t="n">
        <v>26570.229685</v>
      </c>
      <c r="J133" s="23" t="n">
        <v>1603.56283192684</v>
      </c>
      <c r="K133" s="23" t="n">
        <v>0</v>
      </c>
    </row>
    <row r="134" customFormat="false" ht="15" hidden="false" customHeight="false" outlineLevel="0" collapsed="false">
      <c r="A134" s="28" t="s">
        <v>184</v>
      </c>
      <c r="B134" s="23" t="n">
        <v>13</v>
      </c>
      <c r="C134" s="23" t="n">
        <v>44519.5008800679</v>
      </c>
      <c r="D134" s="23" t="n">
        <v>17206.709997164</v>
      </c>
      <c r="E134" s="15" t="n">
        <f aca="false">C134-D134</f>
        <v>27312.7908829039</v>
      </c>
      <c r="F134" s="23" t="n">
        <v>180</v>
      </c>
      <c r="G134" s="15" t="n">
        <f aca="false">E134+F134+H134-I134-J134-K134</f>
        <v>12456.8186838937</v>
      </c>
      <c r="H134" s="23" t="n">
        <v>13202.3111666667</v>
      </c>
      <c r="I134" s="23" t="n">
        <v>26634.72053375</v>
      </c>
      <c r="J134" s="23" t="n">
        <v>1603.56283192684</v>
      </c>
      <c r="K134" s="23" t="n">
        <v>0</v>
      </c>
    </row>
    <row r="135" customFormat="false" ht="15" hidden="false" customHeight="false" outlineLevel="0" collapsed="false">
      <c r="A135" s="28" t="s">
        <v>184</v>
      </c>
      <c r="B135" s="23" t="n">
        <v>14</v>
      </c>
      <c r="C135" s="23" t="n">
        <v>44714.3476376253</v>
      </c>
      <c r="D135" s="23" t="n">
        <v>17246.917478494</v>
      </c>
      <c r="E135" s="15" t="n">
        <f aca="false">C135-D135</f>
        <v>27467.4301591312</v>
      </c>
      <c r="F135" s="23" t="n">
        <v>180</v>
      </c>
      <c r="G135" s="15" t="n">
        <f aca="false">E135+F135+H135-I135-J135-K135</f>
        <v>12546.9671113711</v>
      </c>
      <c r="H135" s="23" t="n">
        <v>13202.3111666667</v>
      </c>
      <c r="I135" s="23" t="n">
        <v>26699.2113825</v>
      </c>
      <c r="J135" s="23" t="n">
        <v>1603.56283192684</v>
      </c>
      <c r="K135" s="23" t="n">
        <v>0</v>
      </c>
    </row>
    <row r="136" customFormat="false" ht="15" hidden="false" customHeight="false" outlineLevel="0" collapsed="false">
      <c r="A136" s="28" t="s">
        <v>184</v>
      </c>
      <c r="B136" s="23" t="n">
        <v>15</v>
      </c>
      <c r="C136" s="23" t="n">
        <v>44907.0301040096</v>
      </c>
      <c r="D136" s="23" t="n">
        <v>17287.1249598241</v>
      </c>
      <c r="E136" s="15" t="n">
        <f aca="false">C136-D136</f>
        <v>27619.9051441854</v>
      </c>
      <c r="F136" s="23" t="n">
        <v>180</v>
      </c>
      <c r="G136" s="15" t="n">
        <f aca="false">E136+F136+H136-I136-J136-K136</f>
        <v>12634.9512476753</v>
      </c>
      <c r="H136" s="23" t="n">
        <v>13202.3111666667</v>
      </c>
      <c r="I136" s="23" t="n">
        <v>26763.70223125</v>
      </c>
      <c r="J136" s="23" t="n">
        <v>1603.56283192684</v>
      </c>
      <c r="K136" s="23" t="n">
        <v>0</v>
      </c>
    </row>
    <row r="137" customFormat="false" ht="15" hidden="false" customHeight="false" outlineLevel="0" collapsed="false">
      <c r="A137" s="28" t="s">
        <v>184</v>
      </c>
      <c r="B137" s="23" t="n">
        <v>16</v>
      </c>
      <c r="C137" s="23" t="n">
        <v>45560.0732972916</v>
      </c>
      <c r="D137" s="23" t="n">
        <v>17327.3324411542</v>
      </c>
      <c r="E137" s="15" t="n">
        <f aca="false">C137-D137</f>
        <v>28232.7408561374</v>
      </c>
      <c r="F137" s="23" t="n">
        <v>180</v>
      </c>
      <c r="G137" s="15" t="n">
        <f aca="false">E137+F137+H137-I137-J137-K137</f>
        <v>13183.2961108772</v>
      </c>
      <c r="H137" s="23" t="n">
        <v>13202.3111666667</v>
      </c>
      <c r="I137" s="23" t="n">
        <v>26828.19308</v>
      </c>
      <c r="J137" s="23" t="n">
        <v>1603.56283192684</v>
      </c>
      <c r="K137" s="23" t="n">
        <v>0</v>
      </c>
    </row>
    <row r="138" customFormat="false" ht="15" hidden="false" customHeight="false" outlineLevel="0" collapsed="false">
      <c r="A138" s="28" t="s">
        <v>184</v>
      </c>
      <c r="B138" s="23" t="n">
        <v>17</v>
      </c>
      <c r="C138" s="23" t="n">
        <v>45748.5018937961</v>
      </c>
      <c r="D138" s="23" t="n">
        <v>17367.5399224843</v>
      </c>
      <c r="E138" s="15" t="n">
        <f aca="false">C138-D138</f>
        <v>28380.9619713118</v>
      </c>
      <c r="F138" s="23" t="n">
        <v>180</v>
      </c>
      <c r="G138" s="15" t="n">
        <f aca="false">E138+F138+H138-I138-J138-K138</f>
        <v>13267.0263773016</v>
      </c>
      <c r="H138" s="23" t="n">
        <v>13202.3111666667</v>
      </c>
      <c r="I138" s="23" t="n">
        <v>26892.68392875</v>
      </c>
      <c r="J138" s="23" t="n">
        <v>1603.56283192684</v>
      </c>
      <c r="K138" s="23" t="n">
        <v>0</v>
      </c>
    </row>
    <row r="139" customFormat="false" ht="15" hidden="false" customHeight="false" outlineLevel="0" collapsed="false">
      <c r="A139" s="28" t="s">
        <v>184</v>
      </c>
      <c r="B139" s="23" t="n">
        <v>18</v>
      </c>
      <c r="C139" s="23" t="n">
        <v>45934.8402334733</v>
      </c>
      <c r="D139" s="23" t="n">
        <v>17407.7474038144</v>
      </c>
      <c r="E139" s="15" t="n">
        <f aca="false">C139-D139</f>
        <v>28527.0928296589</v>
      </c>
      <c r="F139" s="23" t="n">
        <v>180</v>
      </c>
      <c r="G139" s="15" t="n">
        <f aca="false">E139+F139+H139-I139-J139-K139</f>
        <v>13348.6663868987</v>
      </c>
      <c r="H139" s="23" t="n">
        <v>13202.3111666667</v>
      </c>
      <c r="I139" s="23" t="n">
        <v>26957.1747775</v>
      </c>
      <c r="J139" s="23" t="n">
        <v>1603.56283192684</v>
      </c>
      <c r="K139" s="23" t="n">
        <v>0</v>
      </c>
    </row>
    <row r="140" customFormat="false" ht="15" hidden="false" customHeight="false" outlineLevel="0" collapsed="false">
      <c r="A140" s="28" t="s">
        <v>184</v>
      </c>
      <c r="B140" s="23" t="n">
        <v>19</v>
      </c>
      <c r="C140" s="23" t="n">
        <v>46119.1123251754</v>
      </c>
      <c r="D140" s="23" t="n">
        <v>17447.9548851445</v>
      </c>
      <c r="E140" s="15" t="n">
        <f aca="false">C140-D140</f>
        <v>28671.1574400309</v>
      </c>
      <c r="F140" s="23" t="n">
        <v>180</v>
      </c>
      <c r="G140" s="15" t="n">
        <f aca="false">E140+F140+H140-I140-J140-K140</f>
        <v>13428.2401485207</v>
      </c>
      <c r="H140" s="23" t="n">
        <v>13202.3111666667</v>
      </c>
      <c r="I140" s="23" t="n">
        <v>27021.66562625</v>
      </c>
      <c r="J140" s="23" t="n">
        <v>1603.56283192684</v>
      </c>
      <c r="K140" s="23" t="n">
        <v>0</v>
      </c>
    </row>
    <row r="141" customFormat="false" ht="15" hidden="false" customHeight="false" outlineLevel="0" collapsed="false">
      <c r="A141" s="28" t="s">
        <v>184</v>
      </c>
      <c r="B141" s="23" t="n">
        <v>20</v>
      </c>
      <c r="C141" s="23" t="n">
        <v>46301.3418518383</v>
      </c>
      <c r="D141" s="23" t="n">
        <v>17474.6468019301</v>
      </c>
      <c r="E141" s="15" t="n">
        <f aca="false">C141-D141</f>
        <v>28826.6950499082</v>
      </c>
      <c r="F141" s="23" t="n">
        <v>180</v>
      </c>
      <c r="G141" s="15" t="n">
        <f aca="false">E141+F141+H141-I141-J141-K141</f>
        <v>-2480.713090352</v>
      </c>
      <c r="H141" s="23" t="n">
        <v>13202.3111666667</v>
      </c>
      <c r="I141" s="23" t="n">
        <v>27086.156475</v>
      </c>
      <c r="J141" s="23" t="n">
        <v>1603.56283192684</v>
      </c>
      <c r="K141" s="23" t="n">
        <v>16000</v>
      </c>
    </row>
    <row r="142" customFormat="false" ht="15" hidden="false" customHeight="false" outlineLevel="0" collapsed="false">
      <c r="A142" s="28" t="s">
        <v>184</v>
      </c>
      <c r="B142" s="23" t="n">
        <v>21</v>
      </c>
      <c r="C142" s="23" t="n">
        <v>46481.5521755716</v>
      </c>
      <c r="D142" s="23" t="n">
        <v>17501.3387187157</v>
      </c>
      <c r="E142" s="15" t="n">
        <f aca="false">C142-D142</f>
        <v>28980.2134568558</v>
      </c>
      <c r="F142" s="23" t="n">
        <v>180</v>
      </c>
      <c r="G142" s="15" t="n">
        <f aca="false">E142+F142+H142-I142-J142-K142</f>
        <v>13608.3144678457</v>
      </c>
      <c r="H142" s="23" t="n">
        <v>13202.3111666667</v>
      </c>
      <c r="I142" s="23" t="n">
        <v>27150.64732375</v>
      </c>
      <c r="J142" s="23" t="n">
        <v>1603.56283192684</v>
      </c>
      <c r="K142" s="23" t="n">
        <v>0</v>
      </c>
    </row>
    <row r="143" customFormat="false" ht="15" hidden="false" customHeight="false" outlineLevel="0" collapsed="false">
      <c r="A143" s="28" t="s">
        <v>184</v>
      </c>
      <c r="B143" s="23" t="n">
        <v>22</v>
      </c>
      <c r="C143" s="23" t="n">
        <v>46659.766342658</v>
      </c>
      <c r="D143" s="23" t="n">
        <v>17528.0306355014</v>
      </c>
      <c r="E143" s="15" t="n">
        <f aca="false">C143-D143</f>
        <v>29131.7357071566</v>
      </c>
      <c r="F143" s="23" t="n">
        <v>180</v>
      </c>
      <c r="G143" s="15" t="n">
        <f aca="false">E143+F143+H143-I143-J143-K143</f>
        <v>13695.3458693964</v>
      </c>
      <c r="H143" s="23" t="n">
        <v>13202.3111666667</v>
      </c>
      <c r="I143" s="23" t="n">
        <v>27215.1381725</v>
      </c>
      <c r="J143" s="23" t="n">
        <v>1603.56283192684</v>
      </c>
      <c r="K143" s="23" t="n">
        <v>0</v>
      </c>
    </row>
    <row r="144" customFormat="false" ht="15" hidden="false" customHeight="false" outlineLevel="0" collapsed="false">
      <c r="A144" s="28" t="s">
        <v>184</v>
      </c>
      <c r="B144" s="23" t="n">
        <v>23</v>
      </c>
      <c r="C144" s="23" t="n">
        <v>46836.0070884645</v>
      </c>
      <c r="D144" s="23" t="n">
        <v>17554.722552287</v>
      </c>
      <c r="E144" s="15" t="n">
        <f aca="false">C144-D144</f>
        <v>29281.2845361775</v>
      </c>
      <c r="F144" s="23" t="n">
        <v>180</v>
      </c>
      <c r="G144" s="15" t="n">
        <f aca="false">E144+F144+H144-I144-J144-K144</f>
        <v>13780.4038496673</v>
      </c>
      <c r="H144" s="23" t="n">
        <v>13202.3111666667</v>
      </c>
      <c r="I144" s="23" t="n">
        <v>27279.62902125</v>
      </c>
      <c r="J144" s="23" t="n">
        <v>1603.56283192684</v>
      </c>
      <c r="K144" s="23" t="n">
        <v>0</v>
      </c>
    </row>
    <row r="145" customFormat="false" ht="15" hidden="false" customHeight="false" outlineLevel="0" collapsed="false">
      <c r="A145" s="28" t="s">
        <v>184</v>
      </c>
      <c r="B145" s="23" t="n">
        <v>24</v>
      </c>
      <c r="C145" s="23" t="n">
        <v>47010.2968422665</v>
      </c>
      <c r="D145" s="23" t="n">
        <v>17581.4144690727</v>
      </c>
      <c r="E145" s="15" t="n">
        <f aca="false">C145-D145</f>
        <v>29428.8823731939</v>
      </c>
      <c r="F145" s="23" t="n">
        <v>180</v>
      </c>
      <c r="G145" s="15" t="n">
        <f aca="false">E145+F145+H145-I145-J145-K145</f>
        <v>13863.5108379337</v>
      </c>
      <c r="H145" s="23" t="n">
        <v>13202.3111666667</v>
      </c>
      <c r="I145" s="23" t="n">
        <v>27344.11987</v>
      </c>
      <c r="J145" s="23" t="n">
        <v>1603.56283192684</v>
      </c>
      <c r="K145" s="23" t="n">
        <v>0</v>
      </c>
    </row>
    <row r="146" customFormat="false" ht="15" hidden="false" customHeight="false" outlineLevel="0" collapsed="false">
      <c r="A146" s="28" t="s">
        <v>186</v>
      </c>
      <c r="B146" s="23" t="n">
        <v>1</v>
      </c>
      <c r="C146" s="23" t="n">
        <v>43984.4171046367</v>
      </c>
      <c r="D146" s="23" t="n">
        <v>11181.9425266575</v>
      </c>
      <c r="E146" s="15" t="n">
        <f aca="false">C146-D146</f>
        <v>32802.4745779792</v>
      </c>
      <c r="F146" s="23" t="n">
        <v>112.5</v>
      </c>
      <c r="G146" s="15" t="n">
        <f aca="false">E146+F146+H146-I146-J146-K146</f>
        <v>18652.892563969</v>
      </c>
      <c r="H146" s="23" t="n">
        <v>13202.3111666667</v>
      </c>
      <c r="I146" s="23" t="n">
        <v>25860.83034875</v>
      </c>
      <c r="J146" s="23" t="n">
        <v>1603.56283192684</v>
      </c>
      <c r="K146" s="23" t="n">
        <v>0</v>
      </c>
    </row>
    <row r="147" customFormat="false" ht="15" hidden="false" customHeight="false" outlineLevel="0" collapsed="false">
      <c r="A147" s="28" t="s">
        <v>186</v>
      </c>
      <c r="B147" s="23" t="n">
        <v>2</v>
      </c>
      <c r="C147" s="23" t="n">
        <v>44280.7937929251</v>
      </c>
      <c r="D147" s="23" t="n">
        <v>14220.307850612</v>
      </c>
      <c r="E147" s="15" t="n">
        <f aca="false">C147-D147</f>
        <v>30060.4859423131</v>
      </c>
      <c r="F147" s="23" t="n">
        <v>112.5</v>
      </c>
      <c r="G147" s="15" t="n">
        <f aca="false">E147+F147+H147-I147-J147-K147</f>
        <v>15846.4130795529</v>
      </c>
      <c r="H147" s="23" t="n">
        <v>13202.3111666667</v>
      </c>
      <c r="I147" s="23" t="n">
        <v>25925.3211975</v>
      </c>
      <c r="J147" s="23" t="n">
        <v>1603.56283192684</v>
      </c>
      <c r="K147" s="23" t="n">
        <v>0</v>
      </c>
    </row>
    <row r="148" customFormat="false" ht="15" hidden="false" customHeight="false" outlineLevel="0" collapsed="false">
      <c r="A148" s="28" t="s">
        <v>186</v>
      </c>
      <c r="B148" s="23" t="n">
        <v>3</v>
      </c>
      <c r="C148" s="23" t="n">
        <v>44578.7688155565</v>
      </c>
      <c r="D148" s="23" t="n">
        <v>15886.9569252479</v>
      </c>
      <c r="E148" s="15" t="n">
        <f aca="false">C148-D148</f>
        <v>28691.8118903086</v>
      </c>
      <c r="F148" s="23" t="n">
        <v>112.5</v>
      </c>
      <c r="G148" s="15" t="n">
        <f aca="false">E148+F148+H148-I148-J148-K148</f>
        <v>14413.2481787984</v>
      </c>
      <c r="H148" s="23" t="n">
        <v>13202.3111666667</v>
      </c>
      <c r="I148" s="23" t="n">
        <v>25989.81204625</v>
      </c>
      <c r="J148" s="23" t="n">
        <v>1603.56283192684</v>
      </c>
      <c r="K148" s="23" t="n">
        <v>0</v>
      </c>
    </row>
    <row r="149" customFormat="false" ht="15" hidden="false" customHeight="false" outlineLevel="0" collapsed="false">
      <c r="A149" s="28" t="s">
        <v>186</v>
      </c>
      <c r="B149" s="23" t="n">
        <v>4</v>
      </c>
      <c r="C149" s="23" t="n">
        <v>44868.5309849518</v>
      </c>
      <c r="D149" s="23" t="n">
        <v>16973.5238171108</v>
      </c>
      <c r="E149" s="15" t="n">
        <f aca="false">C149-D149</f>
        <v>27895.007167841</v>
      </c>
      <c r="F149" s="23" t="n">
        <v>112.5</v>
      </c>
      <c r="G149" s="15" t="n">
        <f aca="false">E149+F149+H149-I149-J149-K149</f>
        <v>13551.9526075808</v>
      </c>
      <c r="H149" s="23" t="n">
        <v>13202.3111666667</v>
      </c>
      <c r="I149" s="23" t="n">
        <v>26054.302895</v>
      </c>
      <c r="J149" s="23" t="n">
        <v>1603.56283192684</v>
      </c>
      <c r="K149" s="23" t="n">
        <v>0</v>
      </c>
    </row>
    <row r="150" customFormat="false" ht="15" hidden="false" customHeight="false" outlineLevel="0" collapsed="false">
      <c r="A150" s="28" t="s">
        <v>186</v>
      </c>
      <c r="B150" s="23" t="n">
        <v>5</v>
      </c>
      <c r="C150" s="23" t="n">
        <v>45155.0445232802</v>
      </c>
      <c r="D150" s="23" t="n">
        <v>17468.2205364233</v>
      </c>
      <c r="E150" s="15" t="n">
        <f aca="false">C150-D150</f>
        <v>27686.8239868569</v>
      </c>
      <c r="F150" s="23" t="n">
        <v>112.5</v>
      </c>
      <c r="G150" s="15" t="n">
        <f aca="false">E150+F150+H150-I150-J150-K150</f>
        <v>13279.2785778467</v>
      </c>
      <c r="H150" s="23" t="n">
        <v>13202.3111666667</v>
      </c>
      <c r="I150" s="23" t="n">
        <v>26118.79374375</v>
      </c>
      <c r="J150" s="23" t="n">
        <v>1603.56283192684</v>
      </c>
      <c r="K150" s="23" t="n">
        <v>0</v>
      </c>
    </row>
    <row r="151" customFormat="false" ht="15" hidden="false" customHeight="false" outlineLevel="0" collapsed="false">
      <c r="A151" s="28" t="s">
        <v>186</v>
      </c>
      <c r="B151" s="23" t="n">
        <v>6</v>
      </c>
      <c r="C151" s="23" t="n">
        <v>45438.3477820844</v>
      </c>
      <c r="D151" s="23" t="n">
        <v>17962.9172557358</v>
      </c>
      <c r="E151" s="15" t="n">
        <f aca="false">C151-D151</f>
        <v>27475.4305263486</v>
      </c>
      <c r="F151" s="23" t="n">
        <v>112.5</v>
      </c>
      <c r="G151" s="15" t="n">
        <f aca="false">E151+F151+H151-I151-J151-K151</f>
        <v>13003.3942685884</v>
      </c>
      <c r="H151" s="23" t="n">
        <v>13202.3111666667</v>
      </c>
      <c r="I151" s="23" t="n">
        <v>26183.2845925</v>
      </c>
      <c r="J151" s="23" t="n">
        <v>1603.56283192684</v>
      </c>
      <c r="K151" s="23" t="n">
        <v>0</v>
      </c>
    </row>
    <row r="152" customFormat="false" ht="15" hidden="false" customHeight="false" outlineLevel="0" collapsed="false">
      <c r="A152" s="28" t="s">
        <v>186</v>
      </c>
      <c r="B152" s="23" t="n">
        <v>7</v>
      </c>
      <c r="C152" s="23" t="n">
        <v>45718.4785734892</v>
      </c>
      <c r="D152" s="23" t="n">
        <v>18457.6139750483</v>
      </c>
      <c r="E152" s="15" t="n">
        <f aca="false">C152-D152</f>
        <v>27260.8645984409</v>
      </c>
      <c r="F152" s="23" t="n">
        <v>112.5</v>
      </c>
      <c r="G152" s="15" t="n">
        <f aca="false">E152+F152+H152-I152-J152-K152</f>
        <v>12724.3374919307</v>
      </c>
      <c r="H152" s="23" t="n">
        <v>13202.3111666667</v>
      </c>
      <c r="I152" s="23" t="n">
        <v>26247.77544125</v>
      </c>
      <c r="J152" s="23" t="n">
        <v>1603.56283192684</v>
      </c>
      <c r="K152" s="23" t="n">
        <v>0</v>
      </c>
    </row>
    <row r="153" customFormat="false" ht="15" hidden="false" customHeight="false" outlineLevel="0" collapsed="false">
      <c r="A153" s="28" t="s">
        <v>186</v>
      </c>
      <c r="B153" s="23" t="n">
        <v>8</v>
      </c>
      <c r="C153" s="23" t="n">
        <v>45995.4741788988</v>
      </c>
      <c r="D153" s="23" t="n">
        <v>18862.4456523947</v>
      </c>
      <c r="E153" s="15" t="n">
        <f aca="false">C153-D153</f>
        <v>27133.0285265042</v>
      </c>
      <c r="F153" s="23" t="n">
        <v>112.5</v>
      </c>
      <c r="G153" s="15" t="n">
        <f aca="false">E153+F153+H153-I153-J153-K153</f>
        <v>-3467.98942875599</v>
      </c>
      <c r="H153" s="23" t="n">
        <v>13202.3111666667</v>
      </c>
      <c r="I153" s="23" t="n">
        <v>26312.26629</v>
      </c>
      <c r="J153" s="23" t="n">
        <v>1603.56283192684</v>
      </c>
      <c r="K153" s="23" t="n">
        <v>16000</v>
      </c>
    </row>
    <row r="154" customFormat="false" ht="15" hidden="false" customHeight="false" outlineLevel="0" collapsed="false">
      <c r="A154" s="28" t="s">
        <v>186</v>
      </c>
      <c r="B154" s="23" t="n">
        <v>9</v>
      </c>
      <c r="C154" s="23" t="n">
        <v>46269.3713575355</v>
      </c>
      <c r="D154" s="23" t="n">
        <v>19267.277329741</v>
      </c>
      <c r="E154" s="15" t="n">
        <f aca="false">C154-D154</f>
        <v>27002.0940277945</v>
      </c>
      <c r="F154" s="23" t="n">
        <v>112.5</v>
      </c>
      <c r="G154" s="15" t="n">
        <f aca="false">E154+F154+H154-I154-J154-K154</f>
        <v>12336.5852237843</v>
      </c>
      <c r="H154" s="23" t="n">
        <v>13202.3111666667</v>
      </c>
      <c r="I154" s="23" t="n">
        <v>26376.75713875</v>
      </c>
      <c r="J154" s="23" t="n">
        <v>1603.56283192684</v>
      </c>
      <c r="K154" s="23" t="n">
        <v>0</v>
      </c>
    </row>
    <row r="155" customFormat="false" ht="15" hidden="false" customHeight="false" outlineLevel="0" collapsed="false">
      <c r="A155" s="28" t="s">
        <v>186</v>
      </c>
      <c r="B155" s="23" t="n">
        <v>10</v>
      </c>
      <c r="C155" s="23" t="n">
        <v>46660.6230214887</v>
      </c>
      <c r="D155" s="23" t="n">
        <v>19672.1090070874</v>
      </c>
      <c r="E155" s="15" t="n">
        <f aca="false">C155-D155</f>
        <v>26988.5140144013</v>
      </c>
      <c r="F155" s="23" t="n">
        <v>112.5</v>
      </c>
      <c r="G155" s="15" t="n">
        <f aca="false">E155+F155+H155-I155-J155-K155</f>
        <v>12258.5143616411</v>
      </c>
      <c r="H155" s="23" t="n">
        <v>13202.3111666667</v>
      </c>
      <c r="I155" s="23" t="n">
        <v>26441.2479875</v>
      </c>
      <c r="J155" s="23" t="n">
        <v>1603.56283192684</v>
      </c>
      <c r="K155" s="23" t="n">
        <v>0</v>
      </c>
    </row>
    <row r="156" customFormat="false" ht="15" hidden="false" customHeight="false" outlineLevel="0" collapsed="false">
      <c r="A156" s="28" t="s">
        <v>186</v>
      </c>
      <c r="B156" s="23" t="n">
        <v>11</v>
      </c>
      <c r="C156" s="23" t="n">
        <v>46928.4315772789</v>
      </c>
      <c r="D156" s="23" t="n">
        <v>20039.107139072</v>
      </c>
      <c r="E156" s="15" t="n">
        <f aca="false">C156-D156</f>
        <v>26889.3244382069</v>
      </c>
      <c r="F156" s="23" t="n">
        <v>112.5</v>
      </c>
      <c r="G156" s="15" t="n">
        <f aca="false">E156+F156+H156-I156-J156-K156</f>
        <v>12094.8339366968</v>
      </c>
      <c r="H156" s="23" t="n">
        <v>13202.3111666667</v>
      </c>
      <c r="I156" s="23" t="n">
        <v>26505.73883625</v>
      </c>
      <c r="J156" s="23" t="n">
        <v>1603.56283192684</v>
      </c>
      <c r="K156" s="23" t="n">
        <v>0</v>
      </c>
    </row>
    <row r="157" customFormat="false" ht="15" hidden="false" customHeight="false" outlineLevel="0" collapsed="false">
      <c r="A157" s="28" t="s">
        <v>186</v>
      </c>
      <c r="B157" s="23" t="n">
        <v>12</v>
      </c>
      <c r="C157" s="23" t="n">
        <v>47193.2489339389</v>
      </c>
      <c r="D157" s="23" t="n">
        <v>20406.1052710565</v>
      </c>
      <c r="E157" s="15" t="n">
        <f aca="false">C157-D157</f>
        <v>26787.1436628824</v>
      </c>
      <c r="F157" s="23" t="n">
        <v>112.5</v>
      </c>
      <c r="G157" s="15" t="n">
        <f aca="false">E157+F157+H157-I157-J157-K157</f>
        <v>11928.1623126222</v>
      </c>
      <c r="H157" s="23" t="n">
        <v>13202.3111666667</v>
      </c>
      <c r="I157" s="23" t="n">
        <v>26570.229685</v>
      </c>
      <c r="J157" s="23" t="n">
        <v>1603.56283192684</v>
      </c>
      <c r="K157" s="23" t="n">
        <v>0</v>
      </c>
    </row>
    <row r="158" customFormat="false" ht="15" hidden="false" customHeight="false" outlineLevel="0" collapsed="false">
      <c r="A158" s="28" t="s">
        <v>186</v>
      </c>
      <c r="B158" s="23" t="n">
        <v>13</v>
      </c>
      <c r="C158" s="23" t="n">
        <v>47455.1098442817</v>
      </c>
      <c r="D158" s="23" t="n">
        <v>20608.3839293064</v>
      </c>
      <c r="E158" s="15" t="n">
        <f aca="false">C158-D158</f>
        <v>26846.7259149753</v>
      </c>
      <c r="F158" s="23" t="n">
        <v>112.5</v>
      </c>
      <c r="G158" s="15" t="n">
        <f aca="false">E158+F158+H158-I158-J158-K158</f>
        <v>11923.2537159651</v>
      </c>
      <c r="H158" s="23" t="n">
        <v>13202.3111666667</v>
      </c>
      <c r="I158" s="23" t="n">
        <v>26634.72053375</v>
      </c>
      <c r="J158" s="23" t="n">
        <v>1603.56283192684</v>
      </c>
      <c r="K158" s="23" t="n">
        <v>0</v>
      </c>
    </row>
    <row r="159" customFormat="false" ht="15" hidden="false" customHeight="false" outlineLevel="0" collapsed="false">
      <c r="A159" s="28" t="s">
        <v>186</v>
      </c>
      <c r="B159" s="23" t="n">
        <v>14</v>
      </c>
      <c r="C159" s="23" t="n">
        <v>47714.0485793585</v>
      </c>
      <c r="D159" s="23" t="n">
        <v>20667.5384042844</v>
      </c>
      <c r="E159" s="15" t="n">
        <f aca="false">C159-D159</f>
        <v>27046.510175074</v>
      </c>
      <c r="F159" s="23" t="n">
        <v>112.5</v>
      </c>
      <c r="G159" s="15" t="n">
        <f aca="false">E159+F159+H159-I159-J159-K159</f>
        <v>12058.5471273139</v>
      </c>
      <c r="H159" s="23" t="n">
        <v>13202.3111666667</v>
      </c>
      <c r="I159" s="23" t="n">
        <v>26699.2113825</v>
      </c>
      <c r="J159" s="23" t="n">
        <v>1603.56283192684</v>
      </c>
      <c r="K159" s="23" t="n">
        <v>0</v>
      </c>
    </row>
    <row r="160" customFormat="false" ht="15" hidden="false" customHeight="false" outlineLevel="0" collapsed="false">
      <c r="A160" s="28" t="s">
        <v>186</v>
      </c>
      <c r="B160" s="23" t="n">
        <v>15</v>
      </c>
      <c r="C160" s="23" t="n">
        <v>47970.0989361091</v>
      </c>
      <c r="D160" s="23" t="n">
        <v>20726.6928792624</v>
      </c>
      <c r="E160" s="15" t="n">
        <f aca="false">C160-D160</f>
        <v>27243.4060568467</v>
      </c>
      <c r="F160" s="23" t="n">
        <v>112.5</v>
      </c>
      <c r="G160" s="15" t="n">
        <f aca="false">E160+F160+H160-I160-J160-K160</f>
        <v>12190.9521603365</v>
      </c>
      <c r="H160" s="23" t="n">
        <v>13202.3111666667</v>
      </c>
      <c r="I160" s="23" t="n">
        <v>26763.70223125</v>
      </c>
      <c r="J160" s="23" t="n">
        <v>1603.56283192684</v>
      </c>
      <c r="K160" s="23" t="n">
        <v>0</v>
      </c>
    </row>
    <row r="161" customFormat="false" ht="15" hidden="false" customHeight="false" outlineLevel="0" collapsed="false">
      <c r="A161" s="28" t="s">
        <v>186</v>
      </c>
      <c r="B161" s="23" t="n">
        <v>16</v>
      </c>
      <c r="C161" s="23" t="n">
        <v>48769.1275782087</v>
      </c>
      <c r="D161" s="23" t="n">
        <v>20785.8473542404</v>
      </c>
      <c r="E161" s="15" t="n">
        <f aca="false">C161-D161</f>
        <v>27983.2802239683</v>
      </c>
      <c r="F161" s="23" t="n">
        <v>112.5</v>
      </c>
      <c r="G161" s="15" t="n">
        <f aca="false">E161+F161+H161-I161-J161-K161</f>
        <v>12866.3354787081</v>
      </c>
      <c r="H161" s="23" t="n">
        <v>13202.3111666667</v>
      </c>
      <c r="I161" s="23" t="n">
        <v>26828.19308</v>
      </c>
      <c r="J161" s="23" t="n">
        <v>1603.56283192684</v>
      </c>
      <c r="K161" s="23" t="n">
        <v>0</v>
      </c>
    </row>
    <row r="162" customFormat="false" ht="15" hidden="false" customHeight="false" outlineLevel="0" collapsed="false">
      <c r="A162" s="28" t="s">
        <v>186</v>
      </c>
      <c r="B162" s="23" t="n">
        <v>17</v>
      </c>
      <c r="C162" s="23" t="n">
        <v>49019.5007101123</v>
      </c>
      <c r="D162" s="23" t="n">
        <v>20845.0018292184</v>
      </c>
      <c r="E162" s="15" t="n">
        <f aca="false">C162-D162</f>
        <v>28174.4988808938</v>
      </c>
      <c r="F162" s="23" t="n">
        <v>112.5</v>
      </c>
      <c r="G162" s="15" t="n">
        <f aca="false">E162+F162+H162-I162-J162-K162</f>
        <v>12993.0632868837</v>
      </c>
      <c r="H162" s="23" t="n">
        <v>13202.3111666667</v>
      </c>
      <c r="I162" s="23" t="n">
        <v>26892.68392875</v>
      </c>
      <c r="J162" s="23" t="n">
        <v>1603.56283192684</v>
      </c>
      <c r="K162" s="23" t="n">
        <v>0</v>
      </c>
    </row>
    <row r="163" customFormat="false" ht="15" hidden="false" customHeight="false" outlineLevel="0" collapsed="false">
      <c r="A163" s="28" t="s">
        <v>186</v>
      </c>
      <c r="B163" s="23" t="n">
        <v>18</v>
      </c>
      <c r="C163" s="23" t="n">
        <v>49267.0840842999</v>
      </c>
      <c r="D163" s="23" t="n">
        <v>20904.1563041964</v>
      </c>
      <c r="E163" s="15" t="n">
        <f aca="false">C163-D163</f>
        <v>28362.9277801035</v>
      </c>
      <c r="F163" s="23" t="n">
        <v>112.5</v>
      </c>
      <c r="G163" s="15" t="n">
        <f aca="false">E163+F163+H163-I163-J163-K163</f>
        <v>13117.0013373433</v>
      </c>
      <c r="H163" s="23" t="n">
        <v>13202.3111666667</v>
      </c>
      <c r="I163" s="23" t="n">
        <v>26957.1747775</v>
      </c>
      <c r="J163" s="23" t="n">
        <v>1603.56283192684</v>
      </c>
      <c r="K163" s="23" t="n">
        <v>0</v>
      </c>
    </row>
    <row r="164" customFormat="false" ht="15" hidden="false" customHeight="false" outlineLevel="0" collapsed="false">
      <c r="A164" s="28" t="s">
        <v>186</v>
      </c>
      <c r="B164" s="23" t="n">
        <v>19</v>
      </c>
      <c r="C164" s="23" t="n">
        <v>49511.9096750597</v>
      </c>
      <c r="D164" s="23" t="n">
        <v>20963.3107791744</v>
      </c>
      <c r="E164" s="15" t="n">
        <f aca="false">C164-D164</f>
        <v>28548.5988958853</v>
      </c>
      <c r="F164" s="23" t="n">
        <v>112.5</v>
      </c>
      <c r="G164" s="15" t="n">
        <f aca="false">E164+F164+H164-I164-J164-K164</f>
        <v>13238.1816043751</v>
      </c>
      <c r="H164" s="23" t="n">
        <v>13202.3111666667</v>
      </c>
      <c r="I164" s="23" t="n">
        <v>27021.66562625</v>
      </c>
      <c r="J164" s="23" t="n">
        <v>1603.56283192684</v>
      </c>
      <c r="K164" s="23" t="n">
        <v>0</v>
      </c>
    </row>
    <row r="165" customFormat="false" ht="15" hidden="false" customHeight="false" outlineLevel="0" collapsed="false">
      <c r="A165" s="28" t="s">
        <v>186</v>
      </c>
      <c r="B165" s="23" t="n">
        <v>20</v>
      </c>
      <c r="C165" s="23" t="n">
        <v>49754.00901881</v>
      </c>
      <c r="D165" s="23" t="n">
        <v>21003.4120288128</v>
      </c>
      <c r="E165" s="15" t="n">
        <f aca="false">C165-D165</f>
        <v>28750.5969899971</v>
      </c>
      <c r="F165" s="23" t="n">
        <v>112.5</v>
      </c>
      <c r="G165" s="15" t="n">
        <f aca="false">E165+F165+H165-I165-J165-K165</f>
        <v>-2624.31115026306</v>
      </c>
      <c r="H165" s="23" t="n">
        <v>13202.3111666667</v>
      </c>
      <c r="I165" s="23" t="n">
        <v>27086.156475</v>
      </c>
      <c r="J165" s="23" t="n">
        <v>1603.56283192684</v>
      </c>
      <c r="K165" s="23" t="n">
        <v>16000</v>
      </c>
    </row>
    <row r="166" customFormat="false" ht="15" hidden="false" customHeight="false" outlineLevel="0" collapsed="false">
      <c r="A166" s="28" t="s">
        <v>186</v>
      </c>
      <c r="B166" s="23" t="n">
        <v>21</v>
      </c>
      <c r="C166" s="23" t="n">
        <v>49993.4132209631</v>
      </c>
      <c r="D166" s="23" t="n">
        <v>21043.5132784513</v>
      </c>
      <c r="E166" s="15" t="n">
        <f aca="false">C166-D166</f>
        <v>28949.8999425118</v>
      </c>
      <c r="F166" s="23" t="n">
        <v>112.5</v>
      </c>
      <c r="G166" s="15" t="n">
        <f aca="false">E166+F166+H166-I166-J166-K166</f>
        <v>13510.5009535017</v>
      </c>
      <c r="H166" s="23" t="n">
        <v>13202.3111666667</v>
      </c>
      <c r="I166" s="23" t="n">
        <v>27150.64732375</v>
      </c>
      <c r="J166" s="23" t="n">
        <v>1603.56283192684</v>
      </c>
      <c r="K166" s="23" t="n">
        <v>0</v>
      </c>
    </row>
    <row r="167" customFormat="false" ht="15" hidden="false" customHeight="false" outlineLevel="0" collapsed="false">
      <c r="A167" s="28" t="s">
        <v>186</v>
      </c>
      <c r="B167" s="23" t="n">
        <v>22</v>
      </c>
      <c r="C167" s="23" t="n">
        <v>50230.1529626679</v>
      </c>
      <c r="D167" s="23" t="n">
        <v>21083.6145280897</v>
      </c>
      <c r="E167" s="15" t="n">
        <f aca="false">C167-D167</f>
        <v>29146.5384345782</v>
      </c>
      <c r="F167" s="23" t="n">
        <v>112.5</v>
      </c>
      <c r="G167" s="15" t="n">
        <f aca="false">E167+F167+H167-I167-J167-K167</f>
        <v>13642.648596818</v>
      </c>
      <c r="H167" s="23" t="n">
        <v>13202.3111666667</v>
      </c>
      <c r="I167" s="23" t="n">
        <v>27215.1381725</v>
      </c>
      <c r="J167" s="23" t="n">
        <v>1603.56283192684</v>
      </c>
      <c r="K167" s="23" t="n">
        <v>0</v>
      </c>
    </row>
    <row r="168" customFormat="false" ht="15" hidden="false" customHeight="false" outlineLevel="0" collapsed="false">
      <c r="A168" s="28" t="s">
        <v>186</v>
      </c>
      <c r="B168" s="23" t="n">
        <v>23</v>
      </c>
      <c r="C168" s="23" t="n">
        <v>50464.2585074316</v>
      </c>
      <c r="D168" s="23" t="n">
        <v>21123.7157777281</v>
      </c>
      <c r="E168" s="15" t="n">
        <f aca="false">C168-D168</f>
        <v>29340.5427297035</v>
      </c>
      <c r="F168" s="23" t="n">
        <v>112.5</v>
      </c>
      <c r="G168" s="15" t="n">
        <f aca="false">E168+F168+H168-I168-J168-K168</f>
        <v>13772.1620431933</v>
      </c>
      <c r="H168" s="23" t="n">
        <v>13202.3111666667</v>
      </c>
      <c r="I168" s="23" t="n">
        <v>27279.62902125</v>
      </c>
      <c r="J168" s="23" t="n">
        <v>1603.56283192684</v>
      </c>
      <c r="K168" s="23" t="n">
        <v>0</v>
      </c>
    </row>
    <row r="169" customFormat="false" ht="15" hidden="false" customHeight="false" outlineLevel="0" collapsed="false">
      <c r="A169" s="28" t="s">
        <v>186</v>
      </c>
      <c r="B169" s="23" t="n">
        <v>24</v>
      </c>
      <c r="C169" s="23" t="n">
        <v>50695.7597076253</v>
      </c>
      <c r="D169" s="23" t="n">
        <v>21163.8170273665</v>
      </c>
      <c r="E169" s="15" t="n">
        <f aca="false">C169-D169</f>
        <v>29531.9426802588</v>
      </c>
      <c r="F169" s="23" t="n">
        <v>112.5</v>
      </c>
      <c r="G169" s="15" t="n">
        <f aca="false">E169+F169+H169-I169-J169-K169</f>
        <v>13899.0711449987</v>
      </c>
      <c r="H169" s="23" t="n">
        <v>13202.3111666667</v>
      </c>
      <c r="I169" s="23" t="n">
        <v>27344.11987</v>
      </c>
      <c r="J169" s="23" t="n">
        <v>1603.56283192684</v>
      </c>
      <c r="K169" s="23" t="n">
        <v>0</v>
      </c>
    </row>
    <row r="170" customFormat="false" ht="15" hidden="false" customHeight="false" outlineLevel="0" collapsed="false">
      <c r="A170" s="28" t="s">
        <v>188</v>
      </c>
      <c r="B170" s="23" t="n">
        <v>1</v>
      </c>
      <c r="C170" s="23" t="n">
        <v>46041.9167597339</v>
      </c>
      <c r="D170" s="23" t="n">
        <v>11324.968912113</v>
      </c>
      <c r="E170" s="15" t="n">
        <f aca="false">C170-D170</f>
        <v>34716.9478476208</v>
      </c>
      <c r="F170" s="23" t="n">
        <v>112.5</v>
      </c>
      <c r="G170" s="15" t="n">
        <f aca="false">E170+F170+H170-I170-J170-K170</f>
        <v>20567.3658336107</v>
      </c>
      <c r="H170" s="23" t="n">
        <v>13202.3111666667</v>
      </c>
      <c r="I170" s="23" t="n">
        <v>25860.83034875</v>
      </c>
      <c r="J170" s="23" t="n">
        <v>1603.56283192684</v>
      </c>
      <c r="K170" s="23" t="n">
        <v>0</v>
      </c>
    </row>
    <row r="171" customFormat="false" ht="15" hidden="false" customHeight="false" outlineLevel="0" collapsed="false">
      <c r="A171" s="28" t="s">
        <v>188</v>
      </c>
      <c r="B171" s="23" t="n">
        <v>2</v>
      </c>
      <c r="C171" s="23" t="n">
        <v>46412.3458870658</v>
      </c>
      <c r="D171" s="23" t="n">
        <v>15403.0625231867</v>
      </c>
      <c r="E171" s="15" t="n">
        <f aca="false">C171-D171</f>
        <v>31009.2833638791</v>
      </c>
      <c r="F171" s="23" t="n">
        <v>112.5</v>
      </c>
      <c r="G171" s="15" t="n">
        <f aca="false">E171+F171+H171-I171-J171-K171</f>
        <v>16795.210501119</v>
      </c>
      <c r="H171" s="23" t="n">
        <v>13202.3111666667</v>
      </c>
      <c r="I171" s="23" t="n">
        <v>25925.3211975</v>
      </c>
      <c r="J171" s="23" t="n">
        <v>1603.56283192684</v>
      </c>
      <c r="K171" s="23" t="n">
        <v>0</v>
      </c>
    </row>
    <row r="172" customFormat="false" ht="15" hidden="false" customHeight="false" outlineLevel="0" collapsed="false">
      <c r="A172" s="28" t="s">
        <v>188</v>
      </c>
      <c r="B172" s="23" t="n">
        <v>3</v>
      </c>
      <c r="C172" s="23" t="n">
        <v>46785.1444632433</v>
      </c>
      <c r="D172" s="23" t="n">
        <v>17653.3980263828</v>
      </c>
      <c r="E172" s="15" t="n">
        <f aca="false">C172-D172</f>
        <v>29131.7464368605</v>
      </c>
      <c r="F172" s="23" t="n">
        <v>112.5</v>
      </c>
      <c r="G172" s="15" t="n">
        <f aca="false">E172+F172+H172-I172-J172-K172</f>
        <v>14853.1827253504</v>
      </c>
      <c r="H172" s="23" t="n">
        <v>13202.3111666667</v>
      </c>
      <c r="I172" s="23" t="n">
        <v>25989.81204625</v>
      </c>
      <c r="J172" s="23" t="n">
        <v>1603.56283192684</v>
      </c>
      <c r="K172" s="23" t="n">
        <v>0</v>
      </c>
    </row>
    <row r="173" customFormat="false" ht="15" hidden="false" customHeight="false" outlineLevel="0" collapsed="false">
      <c r="A173" s="28" t="s">
        <v>188</v>
      </c>
      <c r="B173" s="23" t="n">
        <v>4</v>
      </c>
      <c r="C173" s="23" t="n">
        <v>47147.2174088837</v>
      </c>
      <c r="D173" s="23" t="n">
        <v>19132.8759580713</v>
      </c>
      <c r="E173" s="15" t="n">
        <f aca="false">C173-D173</f>
        <v>28014.3414508124</v>
      </c>
      <c r="F173" s="23" t="n">
        <v>112.5</v>
      </c>
      <c r="G173" s="15" t="n">
        <f aca="false">E173+F173+H173-I173-J173-K173</f>
        <v>13671.2868905522</v>
      </c>
      <c r="H173" s="23" t="n">
        <v>13202.3111666667</v>
      </c>
      <c r="I173" s="23" t="n">
        <v>26054.302895</v>
      </c>
      <c r="J173" s="23" t="n">
        <v>1603.56283192684</v>
      </c>
      <c r="K173" s="23" t="n">
        <v>0</v>
      </c>
    </row>
    <row r="174" customFormat="false" ht="15" hidden="false" customHeight="false" outlineLevel="0" collapsed="false">
      <c r="A174" s="28" t="s">
        <v>188</v>
      </c>
      <c r="B174" s="23" t="n">
        <v>5</v>
      </c>
      <c r="C174" s="23" t="n">
        <v>47505.1866977754</v>
      </c>
      <c r="D174" s="23" t="n">
        <v>19823.0088171944</v>
      </c>
      <c r="E174" s="15" t="n">
        <f aca="false">C174-D174</f>
        <v>27682.177880581</v>
      </c>
      <c r="F174" s="23" t="n">
        <v>112.5</v>
      </c>
      <c r="G174" s="15" t="n">
        <f aca="false">E174+F174+H174-I174-J174-K174</f>
        <v>13274.6324715708</v>
      </c>
      <c r="H174" s="23" t="n">
        <v>13202.3111666667</v>
      </c>
      <c r="I174" s="23" t="n">
        <v>26118.79374375</v>
      </c>
      <c r="J174" s="23" t="n">
        <v>1603.56283192684</v>
      </c>
      <c r="K174" s="23" t="n">
        <v>0</v>
      </c>
    </row>
    <row r="175" customFormat="false" ht="15" hidden="false" customHeight="false" outlineLevel="0" collapsed="false">
      <c r="A175" s="28" t="s">
        <v>188</v>
      </c>
      <c r="B175" s="23" t="n">
        <v>6</v>
      </c>
      <c r="C175" s="23" t="n">
        <v>47859.1010189548</v>
      </c>
      <c r="D175" s="23" t="n">
        <v>20513.1416763174</v>
      </c>
      <c r="E175" s="15" t="n">
        <f aca="false">C175-D175</f>
        <v>27345.9593426374</v>
      </c>
      <c r="F175" s="23" t="n">
        <v>112.5</v>
      </c>
      <c r="G175" s="15" t="n">
        <f aca="false">E175+F175+H175-I175-J175-K175</f>
        <v>12873.9230848772</v>
      </c>
      <c r="H175" s="23" t="n">
        <v>13202.3111666667</v>
      </c>
      <c r="I175" s="23" t="n">
        <v>26183.2845925</v>
      </c>
      <c r="J175" s="23" t="n">
        <v>1603.56283192684</v>
      </c>
      <c r="K175" s="23" t="n">
        <v>0</v>
      </c>
    </row>
    <row r="176" customFormat="false" ht="15" hidden="false" customHeight="false" outlineLevel="0" collapsed="false">
      <c r="A176" s="28" t="s">
        <v>188</v>
      </c>
      <c r="B176" s="23" t="n">
        <v>7</v>
      </c>
      <c r="C176" s="23" t="n">
        <v>48209.0083753226</v>
      </c>
      <c r="D176" s="23" t="n">
        <v>21203.2745354405</v>
      </c>
      <c r="E176" s="15" t="n">
        <f aca="false">C176-D176</f>
        <v>27005.7338398821</v>
      </c>
      <c r="F176" s="23" t="n">
        <v>112.5</v>
      </c>
      <c r="G176" s="15" t="n">
        <f aca="false">E176+F176+H176-I176-J176-K176</f>
        <v>12469.2067333719</v>
      </c>
      <c r="H176" s="23" t="n">
        <v>13202.3111666667</v>
      </c>
      <c r="I176" s="23" t="n">
        <v>26247.77544125</v>
      </c>
      <c r="J176" s="23" t="n">
        <v>1603.56283192684</v>
      </c>
      <c r="K176" s="23" t="n">
        <v>0</v>
      </c>
    </row>
    <row r="177" customFormat="false" ht="15" hidden="false" customHeight="false" outlineLevel="0" collapsed="false">
      <c r="A177" s="28" t="s">
        <v>188</v>
      </c>
      <c r="B177" s="23" t="n">
        <v>8</v>
      </c>
      <c r="C177" s="23" t="n">
        <v>48554.9560947043</v>
      </c>
      <c r="D177" s="23" t="n">
        <v>21770.3163878265</v>
      </c>
      <c r="E177" s="15" t="n">
        <f aca="false">C177-D177</f>
        <v>26784.6397068778</v>
      </c>
      <c r="F177" s="23" t="n">
        <v>112.5</v>
      </c>
      <c r="G177" s="15" t="n">
        <f aca="false">E177+F177+H177-I177-J177-K177</f>
        <v>-3816.37824838233</v>
      </c>
      <c r="H177" s="23" t="n">
        <v>13202.3111666667</v>
      </c>
      <c r="I177" s="23" t="n">
        <v>26312.26629</v>
      </c>
      <c r="J177" s="23" t="n">
        <v>1603.56283192684</v>
      </c>
      <c r="K177" s="23" t="n">
        <v>16000</v>
      </c>
    </row>
    <row r="178" customFormat="false" ht="15" hidden="false" customHeight="false" outlineLevel="0" collapsed="false">
      <c r="A178" s="28" t="s">
        <v>188</v>
      </c>
      <c r="B178" s="23" t="n">
        <v>9</v>
      </c>
      <c r="C178" s="23" t="n">
        <v>48896.9908407098</v>
      </c>
      <c r="D178" s="23" t="n">
        <v>22337.3582402126</v>
      </c>
      <c r="E178" s="15" t="n">
        <f aca="false">C178-D178</f>
        <v>26559.6326004973</v>
      </c>
      <c r="F178" s="23" t="n">
        <v>112.5</v>
      </c>
      <c r="G178" s="15" t="n">
        <f aca="false">E178+F178+H178-I178-J178-K178</f>
        <v>11894.1237964871</v>
      </c>
      <c r="H178" s="23" t="n">
        <v>13202.3111666667</v>
      </c>
      <c r="I178" s="23" t="n">
        <v>26376.75713875</v>
      </c>
      <c r="J178" s="23" t="n">
        <v>1603.56283192684</v>
      </c>
      <c r="K178" s="23" t="n">
        <v>0</v>
      </c>
    </row>
    <row r="179" customFormat="false" ht="15" hidden="false" customHeight="false" outlineLevel="0" collapsed="false">
      <c r="A179" s="28" t="s">
        <v>188</v>
      </c>
      <c r="B179" s="23" t="n">
        <v>10</v>
      </c>
      <c r="C179" s="23" t="n">
        <v>49397.2419567274</v>
      </c>
      <c r="D179" s="23" t="n">
        <v>22904.4000925986</v>
      </c>
      <c r="E179" s="15" t="n">
        <f aca="false">C179-D179</f>
        <v>26492.8418641288</v>
      </c>
      <c r="F179" s="23" t="n">
        <v>112.5</v>
      </c>
      <c r="G179" s="15" t="n">
        <f aca="false">E179+F179+H179-I179-J179-K179</f>
        <v>11762.8422113687</v>
      </c>
      <c r="H179" s="23" t="n">
        <v>13202.3111666667</v>
      </c>
      <c r="I179" s="23" t="n">
        <v>26441.2479875</v>
      </c>
      <c r="J179" s="23" t="n">
        <v>1603.56283192684</v>
      </c>
      <c r="K179" s="23" t="n">
        <v>0</v>
      </c>
    </row>
    <row r="180" customFormat="false" ht="15" hidden="false" customHeight="false" outlineLevel="0" collapsed="false">
      <c r="A180" s="28" t="s">
        <v>188</v>
      </c>
      <c r="B180" s="23" t="n">
        <v>11</v>
      </c>
      <c r="C180" s="23" t="n">
        <v>49731.5881430587</v>
      </c>
      <c r="D180" s="23" t="n">
        <v>23419.8750008509</v>
      </c>
      <c r="E180" s="15" t="n">
        <f aca="false">C180-D180</f>
        <v>26311.7131422078</v>
      </c>
      <c r="F180" s="23" t="n">
        <v>112.5</v>
      </c>
      <c r="G180" s="15" t="n">
        <f aca="false">E180+F180+H180-I180-J180-K180</f>
        <v>11517.2226406976</v>
      </c>
      <c r="H180" s="23" t="n">
        <v>13202.3111666667</v>
      </c>
      <c r="I180" s="23" t="n">
        <v>26505.73883625</v>
      </c>
      <c r="J180" s="23" t="n">
        <v>1603.56283192684</v>
      </c>
      <c r="K180" s="23" t="n">
        <v>0</v>
      </c>
    </row>
    <row r="181" customFormat="false" ht="15" hidden="false" customHeight="false" outlineLevel="0" collapsed="false">
      <c r="A181" s="28" t="s">
        <v>188</v>
      </c>
      <c r="B181" s="23" t="n">
        <v>12</v>
      </c>
      <c r="C181" s="23" t="n">
        <v>50062.1574671962</v>
      </c>
      <c r="D181" s="23" t="n">
        <v>23935.3499091032</v>
      </c>
      <c r="E181" s="15" t="n">
        <f aca="false">C181-D181</f>
        <v>26126.807558093</v>
      </c>
      <c r="F181" s="23" t="n">
        <v>112.5</v>
      </c>
      <c r="G181" s="15" t="n">
        <f aca="false">E181+F181+H181-I181-J181-K181</f>
        <v>11267.8262078329</v>
      </c>
      <c r="H181" s="23" t="n">
        <v>13202.3111666667</v>
      </c>
      <c r="I181" s="23" t="n">
        <v>26570.229685</v>
      </c>
      <c r="J181" s="23" t="n">
        <v>1603.56283192684</v>
      </c>
      <c r="K181" s="23" t="n">
        <v>0</v>
      </c>
    </row>
    <row r="182" customFormat="false" ht="15" hidden="false" customHeight="false" outlineLevel="0" collapsed="false">
      <c r="A182" s="28" t="s">
        <v>188</v>
      </c>
      <c r="B182" s="23" t="n">
        <v>13</v>
      </c>
      <c r="C182" s="23" t="n">
        <v>50388.9940405825</v>
      </c>
      <c r="D182" s="23" t="n">
        <v>24199.6072822435</v>
      </c>
      <c r="E182" s="15" t="n">
        <f aca="false">C182-D182</f>
        <v>26189.3867583389</v>
      </c>
      <c r="F182" s="23" t="n">
        <v>112.5</v>
      </c>
      <c r="G182" s="15" t="n">
        <f aca="false">E182+F182+H182-I182-J182-K182</f>
        <v>11265.9145593287</v>
      </c>
      <c r="H182" s="23" t="n">
        <v>13202.3111666667</v>
      </c>
      <c r="I182" s="23" t="n">
        <v>26634.72053375</v>
      </c>
      <c r="J182" s="23" t="n">
        <v>1603.56283192684</v>
      </c>
      <c r="K182" s="23" t="n">
        <v>0</v>
      </c>
    </row>
    <row r="183" customFormat="false" ht="15" hidden="false" customHeight="false" outlineLevel="0" collapsed="false">
      <c r="A183" s="28" t="s">
        <v>188</v>
      </c>
      <c r="B183" s="23" t="n">
        <v>14</v>
      </c>
      <c r="C183" s="23" t="n">
        <v>50712.1413618525</v>
      </c>
      <c r="D183" s="23" t="n">
        <v>24277.7087508695</v>
      </c>
      <c r="E183" s="15" t="n">
        <f aca="false">C183-D183</f>
        <v>26434.432610983</v>
      </c>
      <c r="F183" s="23" t="n">
        <v>112.5</v>
      </c>
      <c r="G183" s="15" t="n">
        <f aca="false">E183+F183+H183-I183-J183-K183</f>
        <v>11446.4695632229</v>
      </c>
      <c r="H183" s="23" t="n">
        <v>13202.3111666667</v>
      </c>
      <c r="I183" s="23" t="n">
        <v>26699.2113825</v>
      </c>
      <c r="J183" s="23" t="n">
        <v>1603.56283192684</v>
      </c>
      <c r="K183" s="23" t="n">
        <v>0</v>
      </c>
    </row>
    <row r="184" customFormat="false" ht="15" hidden="false" customHeight="false" outlineLevel="0" collapsed="false">
      <c r="A184" s="28" t="s">
        <v>188</v>
      </c>
      <c r="B184" s="23" t="n">
        <v>15</v>
      </c>
      <c r="C184" s="23" t="n">
        <v>51031.6423265654</v>
      </c>
      <c r="D184" s="23" t="n">
        <v>24355.8102194954</v>
      </c>
      <c r="E184" s="15" t="n">
        <f aca="false">C184-D184</f>
        <v>26675.8321070701</v>
      </c>
      <c r="F184" s="23" t="n">
        <v>112.5</v>
      </c>
      <c r="G184" s="15" t="n">
        <f aca="false">E184+F184+H184-I184-J184-K184</f>
        <v>11623.3782105599</v>
      </c>
      <c r="H184" s="23" t="n">
        <v>13202.3111666667</v>
      </c>
      <c r="I184" s="23" t="n">
        <v>26763.70223125</v>
      </c>
      <c r="J184" s="23" t="n">
        <v>1603.56283192684</v>
      </c>
      <c r="K184" s="23" t="n">
        <v>0</v>
      </c>
    </row>
    <row r="185" customFormat="false" ht="15" hidden="false" customHeight="false" outlineLevel="0" collapsed="false">
      <c r="A185" s="28" t="s">
        <v>188</v>
      </c>
      <c r="B185" s="23" t="n">
        <v>16</v>
      </c>
      <c r="C185" s="23" t="n">
        <v>51976.7059034271</v>
      </c>
      <c r="D185" s="23" t="n">
        <v>24433.9116881213</v>
      </c>
      <c r="E185" s="15" t="n">
        <f aca="false">C185-D185</f>
        <v>27542.7942153058</v>
      </c>
      <c r="F185" s="23" t="n">
        <v>112.5</v>
      </c>
      <c r="G185" s="15" t="n">
        <f aca="false">E185+F185+H185-I185-J185-K185</f>
        <v>12425.8494700457</v>
      </c>
      <c r="H185" s="23" t="n">
        <v>13202.3111666667</v>
      </c>
      <c r="I185" s="23" t="n">
        <v>26828.19308</v>
      </c>
      <c r="J185" s="23" t="n">
        <v>1603.56283192684</v>
      </c>
      <c r="K185" s="23" t="n">
        <v>0</v>
      </c>
    </row>
    <row r="186" customFormat="false" ht="15" hidden="false" customHeight="false" outlineLevel="0" collapsed="false">
      <c r="A186" s="28" t="s">
        <v>188</v>
      </c>
      <c r="B186" s="23" t="n">
        <v>17</v>
      </c>
      <c r="C186" s="23" t="n">
        <v>52289.0404770079</v>
      </c>
      <c r="D186" s="23" t="n">
        <v>24512.0131567472</v>
      </c>
      <c r="E186" s="15" t="n">
        <f aca="false">C186-D186</f>
        <v>27777.0273202607</v>
      </c>
      <c r="F186" s="23" t="n">
        <v>112.5</v>
      </c>
      <c r="G186" s="15" t="n">
        <f aca="false">E186+F186+H186-I186-J186-K186</f>
        <v>12595.5917262505</v>
      </c>
      <c r="H186" s="23" t="n">
        <v>13202.3111666667</v>
      </c>
      <c r="I186" s="23" t="n">
        <v>26892.68392875</v>
      </c>
      <c r="J186" s="23" t="n">
        <v>1603.56283192684</v>
      </c>
      <c r="K186" s="23" t="n">
        <v>0</v>
      </c>
    </row>
    <row r="187" customFormat="false" ht="15" hidden="false" customHeight="false" outlineLevel="0" collapsed="false">
      <c r="A187" s="28" t="s">
        <v>188</v>
      </c>
      <c r="B187" s="23" t="n">
        <v>18</v>
      </c>
      <c r="C187" s="23" t="n">
        <v>52597.8538569591</v>
      </c>
      <c r="D187" s="23" t="n">
        <v>24590.1146253731</v>
      </c>
      <c r="E187" s="15" t="n">
        <f aca="false">C187-D187</f>
        <v>28007.739231586</v>
      </c>
      <c r="F187" s="23" t="n">
        <v>112.5</v>
      </c>
      <c r="G187" s="15" t="n">
        <f aca="false">E187+F187+H187-I187-J187-K187</f>
        <v>12761.8127888258</v>
      </c>
      <c r="H187" s="23" t="n">
        <v>13202.3111666667</v>
      </c>
      <c r="I187" s="23" t="n">
        <v>26957.1747775</v>
      </c>
      <c r="J187" s="23" t="n">
        <v>1603.56283192684</v>
      </c>
      <c r="K187" s="23" t="n">
        <v>0</v>
      </c>
    </row>
    <row r="188" customFormat="false" ht="15" hidden="false" customHeight="false" outlineLevel="0" collapsed="false">
      <c r="A188" s="28" t="s">
        <v>188</v>
      </c>
      <c r="B188" s="23" t="n">
        <v>19</v>
      </c>
      <c r="C188" s="23" t="n">
        <v>52903.1866203977</v>
      </c>
      <c r="D188" s="23" t="n">
        <v>24668.216093999</v>
      </c>
      <c r="E188" s="15" t="n">
        <f aca="false">C188-D188</f>
        <v>28234.9705263987</v>
      </c>
      <c r="F188" s="23" t="n">
        <v>112.5</v>
      </c>
      <c r="G188" s="15" t="n">
        <f aca="false">E188+F188+H188-I188-J188-K188</f>
        <v>12924.5532348885</v>
      </c>
      <c r="H188" s="23" t="n">
        <v>13202.3111666667</v>
      </c>
      <c r="I188" s="23" t="n">
        <v>27021.66562625</v>
      </c>
      <c r="J188" s="23" t="n">
        <v>1603.56283192684</v>
      </c>
      <c r="K188" s="23" t="n">
        <v>0</v>
      </c>
    </row>
    <row r="189" customFormat="false" ht="15" hidden="false" customHeight="false" outlineLevel="0" collapsed="false">
      <c r="A189" s="28" t="s">
        <v>188</v>
      </c>
      <c r="B189" s="23" t="n">
        <v>20</v>
      </c>
      <c r="C189" s="23" t="n">
        <v>53205.0787874634</v>
      </c>
      <c r="D189" s="23" t="n">
        <v>24721.7266764902</v>
      </c>
      <c r="E189" s="15" t="n">
        <f aca="false">C189-D189</f>
        <v>28483.3521109732</v>
      </c>
      <c r="F189" s="23" t="n">
        <v>112.5</v>
      </c>
      <c r="G189" s="15" t="n">
        <f aca="false">E189+F189+H189-I189-J189-K189</f>
        <v>-2891.55602928698</v>
      </c>
      <c r="H189" s="23" t="n">
        <v>13202.3111666667</v>
      </c>
      <c r="I189" s="23" t="n">
        <v>27086.156475</v>
      </c>
      <c r="J189" s="23" t="n">
        <v>1603.56283192684</v>
      </c>
      <c r="K189" s="23" t="n">
        <v>16000</v>
      </c>
    </row>
    <row r="190" customFormat="false" ht="15" hidden="false" customHeight="false" outlineLevel="0" collapsed="false">
      <c r="A190" s="28" t="s">
        <v>188</v>
      </c>
      <c r="B190" s="23" t="n">
        <v>21</v>
      </c>
      <c r="C190" s="23" t="n">
        <v>53503.56983005</v>
      </c>
      <c r="D190" s="23" t="n">
        <v>24775.2372589814</v>
      </c>
      <c r="E190" s="15" t="n">
        <f aca="false">C190-D190</f>
        <v>28728.3325710686</v>
      </c>
      <c r="F190" s="23" t="n">
        <v>112.5</v>
      </c>
      <c r="G190" s="15" t="n">
        <f aca="false">E190+F190+H190-I190-J190-K190</f>
        <v>13288.9335820584</v>
      </c>
      <c r="H190" s="23" t="n">
        <v>13202.3111666667</v>
      </c>
      <c r="I190" s="23" t="n">
        <v>27150.64732375</v>
      </c>
      <c r="J190" s="23" t="n">
        <v>1603.56283192684</v>
      </c>
      <c r="K190" s="23" t="n">
        <v>0</v>
      </c>
    </row>
    <row r="191" customFormat="false" ht="15" hidden="false" customHeight="false" outlineLevel="0" collapsed="false">
      <c r="A191" s="28" t="s">
        <v>188</v>
      </c>
      <c r="B191" s="23" t="n">
        <v>22</v>
      </c>
      <c r="C191" s="23" t="n">
        <v>53798.6986803819</v>
      </c>
      <c r="D191" s="23" t="n">
        <v>24828.7478414726</v>
      </c>
      <c r="E191" s="15" t="n">
        <f aca="false">C191-D191</f>
        <v>28969.9508389092</v>
      </c>
      <c r="F191" s="23" t="n">
        <v>112.5</v>
      </c>
      <c r="G191" s="15" t="n">
        <f aca="false">E191+F191+H191-I191-J191-K191</f>
        <v>13466.0610011491</v>
      </c>
      <c r="H191" s="23" t="n">
        <v>13202.3111666667</v>
      </c>
      <c r="I191" s="23" t="n">
        <v>27215.1381725</v>
      </c>
      <c r="J191" s="23" t="n">
        <v>1603.56283192684</v>
      </c>
      <c r="K191" s="23" t="n">
        <v>0</v>
      </c>
    </row>
    <row r="192" customFormat="false" ht="15" hidden="false" customHeight="false" outlineLevel="0" collapsed="false">
      <c r="A192" s="28" t="s">
        <v>188</v>
      </c>
      <c r="B192" s="23" t="n">
        <v>23</v>
      </c>
      <c r="C192" s="23" t="n">
        <v>54090.5037394383</v>
      </c>
      <c r="D192" s="23" t="n">
        <v>24882.2584239638</v>
      </c>
      <c r="E192" s="15" t="n">
        <f aca="false">C192-D192</f>
        <v>29208.2453154745</v>
      </c>
      <c r="F192" s="23" t="n">
        <v>112.5</v>
      </c>
      <c r="G192" s="15" t="n">
        <f aca="false">E192+F192+H192-I192-J192-K192</f>
        <v>13639.8646289643</v>
      </c>
      <c r="H192" s="23" t="n">
        <v>13202.3111666667</v>
      </c>
      <c r="I192" s="23" t="n">
        <v>27279.62902125</v>
      </c>
      <c r="J192" s="23" t="n">
        <v>1603.56283192684</v>
      </c>
      <c r="K192" s="23" t="n">
        <v>0</v>
      </c>
    </row>
    <row r="193" customFormat="false" ht="15" hidden="false" customHeight="false" outlineLevel="0" collapsed="false">
      <c r="A193" s="28" t="s">
        <v>188</v>
      </c>
      <c r="B193" s="23" t="n">
        <v>24</v>
      </c>
      <c r="C193" s="23" t="n">
        <v>54379.0228852287</v>
      </c>
      <c r="D193" s="23" t="n">
        <v>24935.769006455</v>
      </c>
      <c r="E193" s="15" t="n">
        <f aca="false">C193-D193</f>
        <v>29443.2538787737</v>
      </c>
      <c r="F193" s="23" t="n">
        <v>112.5</v>
      </c>
      <c r="G193" s="15" t="n">
        <f aca="false">E193+F193+H193-I193-J193-K193</f>
        <v>13810.3823435135</v>
      </c>
      <c r="H193" s="23" t="n">
        <v>13202.3111666667</v>
      </c>
      <c r="I193" s="23" t="n">
        <v>27344.11987</v>
      </c>
      <c r="J193" s="23" t="n">
        <v>1603.56283192684</v>
      </c>
      <c r="K193" s="23" t="n">
        <v>0</v>
      </c>
    </row>
    <row r="194" customFormat="false" ht="15" hidden="false" customHeight="false" outlineLevel="0" collapsed="false">
      <c r="A194" s="28" t="s">
        <v>190</v>
      </c>
      <c r="B194" s="23" t="n">
        <v>1</v>
      </c>
      <c r="C194" s="23" t="n">
        <v>37793.8635224887</v>
      </c>
      <c r="D194" s="23" t="n">
        <v>10900.2100755937</v>
      </c>
      <c r="E194" s="15" t="n">
        <f aca="false">C194-D194</f>
        <v>26893.653446895</v>
      </c>
      <c r="F194" s="23" t="n">
        <v>450</v>
      </c>
      <c r="G194" s="15" t="n">
        <f aca="false">E194+F194+H194-I194-J194-K194</f>
        <v>13081.5714328849</v>
      </c>
      <c r="H194" s="23" t="n">
        <v>13202.3111666667</v>
      </c>
      <c r="I194" s="23" t="n">
        <v>25860.83034875</v>
      </c>
      <c r="J194" s="23" t="n">
        <v>1603.56283192684</v>
      </c>
      <c r="K194" s="23" t="n">
        <v>0</v>
      </c>
    </row>
    <row r="195" customFormat="false" ht="15" hidden="false" customHeight="false" outlineLevel="0" collapsed="false">
      <c r="A195" s="28" t="s">
        <v>190</v>
      </c>
      <c r="B195" s="23" t="n">
        <v>2</v>
      </c>
      <c r="C195" s="23" t="n">
        <v>37526.2402732715</v>
      </c>
      <c r="D195" s="23" t="n">
        <v>10887.3519078269</v>
      </c>
      <c r="E195" s="15" t="n">
        <f aca="false">C195-D195</f>
        <v>26638.8883654446</v>
      </c>
      <c r="F195" s="23" t="n">
        <v>472.5</v>
      </c>
      <c r="G195" s="15" t="n">
        <f aca="false">E195+F195+H195-I195-J195-K195</f>
        <v>12784.8155026844</v>
      </c>
      <c r="H195" s="23" t="n">
        <v>13202.3111666667</v>
      </c>
      <c r="I195" s="23" t="n">
        <v>25925.3211975</v>
      </c>
      <c r="J195" s="23" t="n">
        <v>1603.56283192684</v>
      </c>
      <c r="K195" s="23" t="n">
        <v>0</v>
      </c>
    </row>
    <row r="196" customFormat="false" ht="15" hidden="false" customHeight="false" outlineLevel="0" collapsed="false">
      <c r="A196" s="28" t="s">
        <v>190</v>
      </c>
      <c r="B196" s="23" t="n">
        <v>3</v>
      </c>
      <c r="C196" s="23" t="n">
        <v>37243.727596698</v>
      </c>
      <c r="D196" s="23" t="n">
        <v>10736.0910057684</v>
      </c>
      <c r="E196" s="15" t="n">
        <f aca="false">C196-D196</f>
        <v>26507.6365909295</v>
      </c>
      <c r="F196" s="23" t="n">
        <v>495</v>
      </c>
      <c r="G196" s="15" t="n">
        <f aca="false">E196+F196+H196-I196-J196-K196</f>
        <v>12611.5728794194</v>
      </c>
      <c r="H196" s="23" t="n">
        <v>13202.3111666667</v>
      </c>
      <c r="I196" s="23" t="n">
        <v>25989.81204625</v>
      </c>
      <c r="J196" s="23" t="n">
        <v>1603.56283192684</v>
      </c>
      <c r="K196" s="23" t="n">
        <v>0</v>
      </c>
    </row>
    <row r="197" customFormat="false" ht="15" hidden="false" customHeight="false" outlineLevel="0" collapsed="false">
      <c r="A197" s="28" t="s">
        <v>190</v>
      </c>
      <c r="B197" s="23" t="n">
        <v>4</v>
      </c>
      <c r="C197" s="23" t="n">
        <v>36946.8462372493</v>
      </c>
      <c r="D197" s="23" t="n">
        <v>10516.0620016598</v>
      </c>
      <c r="E197" s="15" t="n">
        <f aca="false">C197-D197</f>
        <v>26430.7842355895</v>
      </c>
      <c r="F197" s="23" t="n">
        <v>517.5</v>
      </c>
      <c r="G197" s="15" t="n">
        <f aca="false">E197+F197+H197-I197-J197-K197</f>
        <v>12492.7296753293</v>
      </c>
      <c r="H197" s="23" t="n">
        <v>13202.3111666667</v>
      </c>
      <c r="I197" s="23" t="n">
        <v>26054.302895</v>
      </c>
      <c r="J197" s="23" t="n">
        <v>1603.56283192684</v>
      </c>
      <c r="K197" s="23" t="n">
        <v>0</v>
      </c>
    </row>
    <row r="198" customFormat="false" ht="15" hidden="false" customHeight="false" outlineLevel="0" collapsed="false">
      <c r="A198" s="28" t="s">
        <v>190</v>
      </c>
      <c r="B198" s="23" t="n">
        <v>5</v>
      </c>
      <c r="C198" s="23" t="n">
        <v>36634.778429917</v>
      </c>
      <c r="D198" s="23" t="n">
        <v>10270.9521606771</v>
      </c>
      <c r="E198" s="15" t="n">
        <f aca="false">C198-D198</f>
        <v>26363.8262692399</v>
      </c>
      <c r="F198" s="23" t="n">
        <v>540</v>
      </c>
      <c r="G198" s="15" t="n">
        <f aca="false">E198+F198+H198-I198-J198-K198</f>
        <v>12383.7808602297</v>
      </c>
      <c r="H198" s="23" t="n">
        <v>13202.3111666667</v>
      </c>
      <c r="I198" s="23" t="n">
        <v>26118.79374375</v>
      </c>
      <c r="J198" s="23" t="n">
        <v>1603.56283192684</v>
      </c>
      <c r="K198" s="23" t="n">
        <v>0</v>
      </c>
    </row>
    <row r="199" customFormat="false" ht="15" hidden="false" customHeight="false" outlineLevel="0" collapsed="false">
      <c r="A199" s="28" t="s">
        <v>190</v>
      </c>
      <c r="B199" s="23" t="n">
        <v>6</v>
      </c>
      <c r="C199" s="23" t="n">
        <v>36308.5783478093</v>
      </c>
      <c r="D199" s="23" t="n">
        <v>10007.6859732888</v>
      </c>
      <c r="E199" s="15" t="n">
        <f aca="false">C199-D199</f>
        <v>26300.8923745205</v>
      </c>
      <c r="F199" s="23" t="n">
        <v>562.5</v>
      </c>
      <c r="G199" s="15" t="n">
        <f aca="false">E199+F199+H199-I199-J199-K199</f>
        <v>12278.8561167604</v>
      </c>
      <c r="H199" s="23" t="n">
        <v>13202.3111666667</v>
      </c>
      <c r="I199" s="23" t="n">
        <v>26183.2845925</v>
      </c>
      <c r="J199" s="23" t="n">
        <v>1603.56283192684</v>
      </c>
      <c r="K199" s="23" t="n">
        <v>0</v>
      </c>
    </row>
    <row r="200" customFormat="false" ht="15" hidden="false" customHeight="false" outlineLevel="0" collapsed="false">
      <c r="A200" s="28" t="s">
        <v>190</v>
      </c>
      <c r="B200" s="23" t="n">
        <v>7</v>
      </c>
      <c r="C200" s="23" t="n">
        <v>35967.1149829764</v>
      </c>
      <c r="D200" s="23" t="n">
        <v>9726.26343949498</v>
      </c>
      <c r="E200" s="15" t="n">
        <f aca="false">C200-D200</f>
        <v>26240.8515434814</v>
      </c>
      <c r="F200" s="23" t="n">
        <v>585</v>
      </c>
      <c r="G200" s="15" t="n">
        <f aca="false">E200+F200+H200-I200-J200-K200</f>
        <v>12176.8244369712</v>
      </c>
      <c r="H200" s="23" t="n">
        <v>13202.3111666667</v>
      </c>
      <c r="I200" s="23" t="n">
        <v>26247.77544125</v>
      </c>
      <c r="J200" s="23" t="n">
        <v>1603.56283192684</v>
      </c>
      <c r="K200" s="23" t="n">
        <v>0</v>
      </c>
    </row>
    <row r="201" customFormat="false" ht="15" hidden="false" customHeight="false" outlineLevel="0" collapsed="false">
      <c r="A201" s="28" t="s">
        <v>190</v>
      </c>
      <c r="B201" s="23" t="n">
        <v>8</v>
      </c>
      <c r="C201" s="23" t="n">
        <v>35611.5772090869</v>
      </c>
      <c r="D201" s="23" t="n">
        <v>9469.72337641279</v>
      </c>
      <c r="E201" s="15" t="n">
        <f aca="false">C201-D201</f>
        <v>26141.8538326741</v>
      </c>
      <c r="F201" s="23" t="n">
        <v>607.5</v>
      </c>
      <c r="G201" s="15" t="n">
        <f aca="false">E201+F201+H201-I201-J201-K201</f>
        <v>-3964.16412258606</v>
      </c>
      <c r="H201" s="23" t="n">
        <v>13202.3111666667</v>
      </c>
      <c r="I201" s="23" t="n">
        <v>26312.26629</v>
      </c>
      <c r="J201" s="23" t="n">
        <v>1603.56283192684</v>
      </c>
      <c r="K201" s="23" t="n">
        <v>16000</v>
      </c>
    </row>
    <row r="202" customFormat="false" ht="15" hidden="false" customHeight="false" outlineLevel="0" collapsed="false">
      <c r="A202" s="28" t="s">
        <v>190</v>
      </c>
      <c r="B202" s="23" t="n">
        <v>9</v>
      </c>
      <c r="C202" s="23" t="n">
        <v>35240.2409965287</v>
      </c>
      <c r="D202" s="23" t="n">
        <v>9200.98129438688</v>
      </c>
      <c r="E202" s="15" t="n">
        <f aca="false">C202-D202</f>
        <v>26039.2597021419</v>
      </c>
      <c r="F202" s="23" t="n">
        <v>630</v>
      </c>
      <c r="G202" s="15" t="n">
        <f aca="false">E202+F202+H202-I202-J202-K202</f>
        <v>11891.2508981317</v>
      </c>
      <c r="H202" s="23" t="n">
        <v>13202.3111666667</v>
      </c>
      <c r="I202" s="23" t="n">
        <v>26376.75713875</v>
      </c>
      <c r="J202" s="23" t="n">
        <v>1603.56283192684</v>
      </c>
      <c r="K202" s="23" t="n">
        <v>0</v>
      </c>
    </row>
    <row r="203" customFormat="false" ht="15" hidden="false" customHeight="false" outlineLevel="0" collapsed="false">
      <c r="A203" s="28" t="s">
        <v>190</v>
      </c>
      <c r="B203" s="23" t="n">
        <v>10</v>
      </c>
      <c r="C203" s="23" t="n">
        <v>34793.5802502445</v>
      </c>
      <c r="D203" s="23" t="n">
        <v>8921.45386008391</v>
      </c>
      <c r="E203" s="15" t="n">
        <f aca="false">C203-D203</f>
        <v>25872.1263901606</v>
      </c>
      <c r="F203" s="23" t="n">
        <v>652.5</v>
      </c>
      <c r="G203" s="15" t="n">
        <f aca="false">E203+F203+H203-I203-J203-K203</f>
        <v>11682.1267374005</v>
      </c>
      <c r="H203" s="23" t="n">
        <v>13202.3111666667</v>
      </c>
      <c r="I203" s="23" t="n">
        <v>26441.2479875</v>
      </c>
      <c r="J203" s="23" t="n">
        <v>1603.56283192684</v>
      </c>
      <c r="K203" s="23" t="n">
        <v>0</v>
      </c>
    </row>
    <row r="204" customFormat="false" ht="15" hidden="false" customHeight="false" outlineLevel="0" collapsed="false">
      <c r="A204" s="28" t="s">
        <v>190</v>
      </c>
      <c r="B204" s="23" t="n">
        <v>11</v>
      </c>
      <c r="C204" s="23" t="n">
        <v>34390.0669223933</v>
      </c>
      <c r="D204" s="23" t="n">
        <v>8665.26457087972</v>
      </c>
      <c r="E204" s="15" t="n">
        <f aca="false">C204-D204</f>
        <v>25724.8023515135</v>
      </c>
      <c r="F204" s="23" t="n">
        <v>675</v>
      </c>
      <c r="G204" s="15" t="n">
        <f aca="false">E204+F204+H204-I204-J204-K204</f>
        <v>11492.8118500034</v>
      </c>
      <c r="H204" s="23" t="n">
        <v>13202.3111666667</v>
      </c>
      <c r="I204" s="23" t="n">
        <v>26505.73883625</v>
      </c>
      <c r="J204" s="23" t="n">
        <v>1603.56283192684</v>
      </c>
      <c r="K204" s="23" t="n">
        <v>0</v>
      </c>
    </row>
    <row r="205" customFormat="false" ht="15" hidden="false" customHeight="false" outlineLevel="0" collapsed="false">
      <c r="A205" s="28" t="s">
        <v>190</v>
      </c>
      <c r="B205" s="23" t="n">
        <v>12</v>
      </c>
      <c r="C205" s="23" t="n">
        <v>33969.8466607065</v>
      </c>
      <c r="D205" s="23" t="n">
        <v>8398.74549586046</v>
      </c>
      <c r="E205" s="15" t="n">
        <f aca="false">C205-D205</f>
        <v>25571.1011648461</v>
      </c>
      <c r="F205" s="23" t="n">
        <v>697.5</v>
      </c>
      <c r="G205" s="15" t="n">
        <f aca="false">E205+F205+H205-I205-J205-K205</f>
        <v>11297.1198145859</v>
      </c>
      <c r="H205" s="23" t="n">
        <v>13202.3111666667</v>
      </c>
      <c r="I205" s="23" t="n">
        <v>26570.229685</v>
      </c>
      <c r="J205" s="23" t="n">
        <v>1603.56283192684</v>
      </c>
      <c r="K205" s="23" t="n">
        <v>0</v>
      </c>
    </row>
    <row r="206" customFormat="false" ht="15" hidden="false" customHeight="false" outlineLevel="0" collapsed="false">
      <c r="A206" s="28" t="s">
        <v>190</v>
      </c>
      <c r="B206" s="23" t="n">
        <v>13</v>
      </c>
      <c r="C206" s="23" t="n">
        <v>33525.0148841543</v>
      </c>
      <c r="D206" s="23" t="n">
        <v>8121.89663502613</v>
      </c>
      <c r="E206" s="15" t="n">
        <f aca="false">C206-D206</f>
        <v>25403.1182491281</v>
      </c>
      <c r="F206" s="23" t="n">
        <v>720</v>
      </c>
      <c r="G206" s="15" t="n">
        <f aca="false">E206+F206+H206-I206-J206-K206</f>
        <v>11087.1460501179</v>
      </c>
      <c r="H206" s="23" t="n">
        <v>13202.3111666667</v>
      </c>
      <c r="I206" s="23" t="n">
        <v>26634.72053375</v>
      </c>
      <c r="J206" s="23" t="n">
        <v>1603.56283192684</v>
      </c>
      <c r="K206" s="23" t="n">
        <v>0</v>
      </c>
    </row>
    <row r="207" customFormat="false" ht="15" hidden="false" customHeight="false" outlineLevel="0" collapsed="false">
      <c r="A207" s="28" t="s">
        <v>190</v>
      </c>
      <c r="B207" s="23" t="n">
        <v>14</v>
      </c>
      <c r="C207" s="23" t="n">
        <v>33406.7609336586</v>
      </c>
      <c r="D207" s="23" t="n">
        <v>7659.51749799149</v>
      </c>
      <c r="E207" s="15" t="n">
        <f aca="false">C207-D207</f>
        <v>25747.2434356671</v>
      </c>
      <c r="F207" s="23" t="n">
        <v>720</v>
      </c>
      <c r="G207" s="15" t="n">
        <f aca="false">E207+F207+H207-I207-J207-K207</f>
        <v>11366.7803879069</v>
      </c>
      <c r="H207" s="23" t="n">
        <v>13202.3111666667</v>
      </c>
      <c r="I207" s="23" t="n">
        <v>26699.2113825</v>
      </c>
      <c r="J207" s="23" t="n">
        <v>1603.56283192684</v>
      </c>
      <c r="K207" s="23" t="n">
        <v>0</v>
      </c>
    </row>
    <row r="208" customFormat="false" ht="15" hidden="false" customHeight="false" outlineLevel="0" collapsed="false">
      <c r="A208" s="28" t="s">
        <v>190</v>
      </c>
      <c r="B208" s="23" t="n">
        <v>15</v>
      </c>
      <c r="C208" s="23" t="n">
        <v>33291.6383549878</v>
      </c>
      <c r="D208" s="23" t="n">
        <v>7331.87442858192</v>
      </c>
      <c r="E208" s="15" t="n">
        <f aca="false">C208-D208</f>
        <v>25959.7639264059</v>
      </c>
      <c r="F208" s="23" t="n">
        <v>720</v>
      </c>
      <c r="G208" s="15" t="n">
        <f aca="false">E208+F208+H208-I208-J208-K208</f>
        <v>11514.8100298957</v>
      </c>
      <c r="H208" s="23" t="n">
        <v>13202.3111666667</v>
      </c>
      <c r="I208" s="23" t="n">
        <v>26763.70223125</v>
      </c>
      <c r="J208" s="23" t="n">
        <v>1603.56283192684</v>
      </c>
      <c r="K208" s="23" t="n">
        <v>0</v>
      </c>
    </row>
    <row r="209" customFormat="false" ht="15" hidden="false" customHeight="false" outlineLevel="0" collapsed="false">
      <c r="A209" s="28" t="s">
        <v>190</v>
      </c>
      <c r="B209" s="23" t="n">
        <v>16</v>
      </c>
      <c r="C209" s="23" t="n">
        <v>33309.2816702456</v>
      </c>
      <c r="D209" s="23" t="n">
        <v>7072.58279455576</v>
      </c>
      <c r="E209" s="15" t="n">
        <f aca="false">C209-D209</f>
        <v>26236.6988756899</v>
      </c>
      <c r="F209" s="23" t="n">
        <v>720</v>
      </c>
      <c r="G209" s="15" t="n">
        <f aca="false">E209+F209+H209-I209-J209-K209</f>
        <v>11727.2541304297</v>
      </c>
      <c r="H209" s="23" t="n">
        <v>13202.3111666667</v>
      </c>
      <c r="I209" s="23" t="n">
        <v>26828.19308</v>
      </c>
      <c r="J209" s="23" t="n">
        <v>1603.56283192684</v>
      </c>
      <c r="K209" s="23" t="n">
        <v>0</v>
      </c>
    </row>
    <row r="210" customFormat="false" ht="15" hidden="false" customHeight="false" outlineLevel="0" collapsed="false">
      <c r="A210" s="28" t="s">
        <v>190</v>
      </c>
      <c r="B210" s="23" t="n">
        <v>17</v>
      </c>
      <c r="C210" s="23" t="n">
        <v>33201.0035147734</v>
      </c>
      <c r="D210" s="23" t="n">
        <v>6873.59518364438</v>
      </c>
      <c r="E210" s="15" t="n">
        <f aca="false">C210-D210</f>
        <v>26327.408331129</v>
      </c>
      <c r="F210" s="23" t="n">
        <v>720</v>
      </c>
      <c r="G210" s="15" t="n">
        <f aca="false">E210+F210+H210-I210-J210-K210</f>
        <v>11753.4727371189</v>
      </c>
      <c r="H210" s="23" t="n">
        <v>13202.3111666667</v>
      </c>
      <c r="I210" s="23" t="n">
        <v>26892.68392875</v>
      </c>
      <c r="J210" s="23" t="n">
        <v>1603.56283192684</v>
      </c>
      <c r="K210" s="23" t="n">
        <v>0</v>
      </c>
    </row>
    <row r="211" customFormat="false" ht="15" hidden="false" customHeight="false" outlineLevel="0" collapsed="false">
      <c r="A211" s="28" t="s">
        <v>190</v>
      </c>
      <c r="B211" s="23" t="n">
        <v>18</v>
      </c>
      <c r="C211" s="23" t="n">
        <v>33095.8927784863</v>
      </c>
      <c r="D211" s="23" t="n">
        <v>6692.76391913854</v>
      </c>
      <c r="E211" s="15" t="n">
        <f aca="false">C211-D211</f>
        <v>26403.1288593477</v>
      </c>
      <c r="F211" s="23" t="n">
        <v>720</v>
      </c>
      <c r="G211" s="15" t="n">
        <f aca="false">E211+F211+H211-I211-J211-K211</f>
        <v>11764.7024165876</v>
      </c>
      <c r="H211" s="23" t="n">
        <v>13202.3111666667</v>
      </c>
      <c r="I211" s="23" t="n">
        <v>26957.1747775</v>
      </c>
      <c r="J211" s="23" t="n">
        <v>1603.56283192684</v>
      </c>
      <c r="K211" s="23" t="n">
        <v>0</v>
      </c>
    </row>
    <row r="212" customFormat="false" ht="15" hidden="false" customHeight="false" outlineLevel="0" collapsed="false">
      <c r="A212" s="28" t="s">
        <v>190</v>
      </c>
      <c r="B212" s="23" t="n">
        <v>19</v>
      </c>
      <c r="C212" s="23" t="n">
        <v>32993.8733604008</v>
      </c>
      <c r="D212" s="23" t="n">
        <v>6530.08900103823</v>
      </c>
      <c r="E212" s="15" t="n">
        <f aca="false">C212-D212</f>
        <v>26463.7843593626</v>
      </c>
      <c r="F212" s="23" t="n">
        <v>720</v>
      </c>
      <c r="G212" s="15" t="n">
        <f aca="false">E212+F212+H212-I212-J212-K212</f>
        <v>11760.8670678524</v>
      </c>
      <c r="H212" s="23" t="n">
        <v>13202.3111666667</v>
      </c>
      <c r="I212" s="23" t="n">
        <v>27021.66562625</v>
      </c>
      <c r="J212" s="23" t="n">
        <v>1603.56283192684</v>
      </c>
      <c r="K212" s="23" t="n">
        <v>0</v>
      </c>
    </row>
    <row r="213" customFormat="false" ht="15" hidden="false" customHeight="false" outlineLevel="0" collapsed="false">
      <c r="A213" s="28" t="s">
        <v>190</v>
      </c>
      <c r="B213" s="23" t="n">
        <v>20</v>
      </c>
      <c r="C213" s="23" t="n">
        <v>32894.8708013428</v>
      </c>
      <c r="D213" s="23" t="n">
        <v>6427.4314727504</v>
      </c>
      <c r="E213" s="15" t="n">
        <f aca="false">C213-D213</f>
        <v>26467.4393285924</v>
      </c>
      <c r="F213" s="23" t="n">
        <v>720</v>
      </c>
      <c r="G213" s="15" t="n">
        <f aca="false">E213+F213+H213-I213-J213-K213</f>
        <v>-4299.96881166779</v>
      </c>
      <c r="H213" s="23" t="n">
        <v>13202.3111666667</v>
      </c>
      <c r="I213" s="23" t="n">
        <v>27086.156475</v>
      </c>
      <c r="J213" s="23" t="n">
        <v>1603.56283192684</v>
      </c>
      <c r="K213" s="23" t="n">
        <v>16000</v>
      </c>
    </row>
    <row r="214" customFormat="false" ht="15" hidden="false" customHeight="false" outlineLevel="0" collapsed="false">
      <c r="A214" s="28" t="s">
        <v>190</v>
      </c>
      <c r="B214" s="23" t="n">
        <v>21</v>
      </c>
      <c r="C214" s="23" t="n">
        <v>32798.8122506536</v>
      </c>
      <c r="D214" s="23" t="n">
        <v>6337.39263007296</v>
      </c>
      <c r="E214" s="15" t="n">
        <f aca="false">C214-D214</f>
        <v>26461.4196205806</v>
      </c>
      <c r="F214" s="23" t="n">
        <v>720</v>
      </c>
      <c r="G214" s="15" t="n">
        <f aca="false">E214+F214+H214-I214-J214-K214</f>
        <v>11629.5206315704</v>
      </c>
      <c r="H214" s="23" t="n">
        <v>13202.3111666667</v>
      </c>
      <c r="I214" s="23" t="n">
        <v>27150.64732375</v>
      </c>
      <c r="J214" s="23" t="n">
        <v>1603.56283192684</v>
      </c>
      <c r="K214" s="23" t="n">
        <v>0</v>
      </c>
    </row>
    <row r="215" customFormat="false" ht="15" hidden="false" customHeight="false" outlineLevel="0" collapsed="false">
      <c r="A215" s="28" t="s">
        <v>190</v>
      </c>
      <c r="B215" s="23" t="n">
        <v>22</v>
      </c>
      <c r="C215" s="23" t="n">
        <v>32705.6264335502</v>
      </c>
      <c r="D215" s="23" t="n">
        <v>6259.97247300591</v>
      </c>
      <c r="E215" s="15" t="n">
        <f aca="false">C215-D215</f>
        <v>26445.6539605443</v>
      </c>
      <c r="F215" s="23" t="n">
        <v>720</v>
      </c>
      <c r="G215" s="15" t="n">
        <f aca="false">E215+F215+H215-I215-J215-K215</f>
        <v>11549.2641227842</v>
      </c>
      <c r="H215" s="23" t="n">
        <v>13202.3111666667</v>
      </c>
      <c r="I215" s="23" t="n">
        <v>27215.1381725</v>
      </c>
      <c r="J215" s="23" t="n">
        <v>1603.56283192684</v>
      </c>
      <c r="K215" s="23" t="n">
        <v>0</v>
      </c>
    </row>
    <row r="216" customFormat="false" ht="15" hidden="false" customHeight="false" outlineLevel="0" collapsed="false">
      <c r="A216" s="28" t="s">
        <v>190</v>
      </c>
      <c r="B216" s="23" t="n">
        <v>23</v>
      </c>
      <c r="C216" s="23" t="n">
        <v>32615.2436191255</v>
      </c>
      <c r="D216" s="23" t="n">
        <v>6202.03770093523</v>
      </c>
      <c r="E216" s="15" t="n">
        <f aca="false">C216-D216</f>
        <v>26413.2059181903</v>
      </c>
      <c r="F216" s="23" t="n">
        <v>720</v>
      </c>
      <c r="G216" s="15" t="n">
        <f aca="false">E216+F216+H216-I216-J216-K216</f>
        <v>11452.3252316801</v>
      </c>
      <c r="H216" s="23" t="n">
        <v>13202.3111666667</v>
      </c>
      <c r="I216" s="23" t="n">
        <v>27279.62902125</v>
      </c>
      <c r="J216" s="23" t="n">
        <v>1603.56283192684</v>
      </c>
      <c r="K216" s="23" t="n">
        <v>0</v>
      </c>
    </row>
    <row r="217" customFormat="false" ht="15" hidden="false" customHeight="false" outlineLevel="0" collapsed="false">
      <c r="A217" s="28" t="s">
        <v>190</v>
      </c>
      <c r="B217" s="23" t="n">
        <v>24</v>
      </c>
      <c r="C217" s="23" t="n">
        <v>32527.5955889765</v>
      </c>
      <c r="D217" s="23" t="n">
        <v>6154.43271467962</v>
      </c>
      <c r="E217" s="15" t="n">
        <f aca="false">C217-D217</f>
        <v>26373.1628742969</v>
      </c>
      <c r="F217" s="23" t="n">
        <v>720</v>
      </c>
      <c r="G217" s="15" t="n">
        <f aca="false">E217+F217+H217-I217-J217-K217</f>
        <v>11347.7913390367</v>
      </c>
      <c r="H217" s="23" t="n">
        <v>13202.3111666667</v>
      </c>
      <c r="I217" s="23" t="n">
        <v>27344.11987</v>
      </c>
      <c r="J217" s="23" t="n">
        <v>1603.56283192684</v>
      </c>
      <c r="K217" s="23" t="n">
        <v>0</v>
      </c>
    </row>
    <row r="218" customFormat="false" ht="15" hidden="false" customHeight="false" outlineLevel="0" collapsed="false">
      <c r="A218" s="28" t="s">
        <v>194</v>
      </c>
      <c r="B218" s="23" t="n">
        <v>1</v>
      </c>
      <c r="C218" s="23" t="n">
        <v>37793.8635224887</v>
      </c>
      <c r="D218" s="23" t="n">
        <v>10900.2100755937</v>
      </c>
      <c r="E218" s="15" t="n">
        <f aca="false">C218-D218</f>
        <v>26893.653446895</v>
      </c>
      <c r="F218" s="23" t="n">
        <v>450</v>
      </c>
      <c r="G218" s="15" t="n">
        <f aca="false">E218+F218+H218-I218-J218-K218</f>
        <v>13081.5714328849</v>
      </c>
      <c r="H218" s="23" t="n">
        <v>13202.3111666667</v>
      </c>
      <c r="I218" s="23" t="n">
        <v>25860.83034875</v>
      </c>
      <c r="J218" s="23" t="n">
        <v>1603.56283192684</v>
      </c>
      <c r="K218" s="23" t="n">
        <v>0</v>
      </c>
    </row>
    <row r="219" customFormat="false" ht="15" hidden="false" customHeight="false" outlineLevel="0" collapsed="false">
      <c r="A219" s="28" t="s">
        <v>194</v>
      </c>
      <c r="B219" s="23" t="n">
        <v>2</v>
      </c>
      <c r="C219" s="23" t="n">
        <v>37698.1913504071</v>
      </c>
      <c r="D219" s="23" t="n">
        <v>10889.5070184144</v>
      </c>
      <c r="E219" s="15" t="n">
        <f aca="false">C219-D219</f>
        <v>26808.6843319927</v>
      </c>
      <c r="F219" s="23" t="n">
        <v>461.25</v>
      </c>
      <c r="G219" s="15" t="n">
        <f aca="false">E219+F219+H219-I219-J219-K219</f>
        <v>12943.3614692325</v>
      </c>
      <c r="H219" s="23" t="n">
        <v>13202.3111666667</v>
      </c>
      <c r="I219" s="23" t="n">
        <v>25925.3211975</v>
      </c>
      <c r="J219" s="23" t="n">
        <v>1603.56283192684</v>
      </c>
      <c r="K219" s="23" t="n">
        <v>0</v>
      </c>
    </row>
    <row r="220" customFormat="false" ht="15" hidden="false" customHeight="false" outlineLevel="0" collapsed="false">
      <c r="A220" s="28" t="s">
        <v>194</v>
      </c>
      <c r="B220" s="23" t="n">
        <v>3</v>
      </c>
      <c r="C220" s="23" t="n">
        <v>37594.6458313215</v>
      </c>
      <c r="D220" s="23" t="n">
        <v>10809.6025940893</v>
      </c>
      <c r="E220" s="15" t="n">
        <f aca="false">C220-D220</f>
        <v>26785.0432372322</v>
      </c>
      <c r="F220" s="23" t="n">
        <v>472.5</v>
      </c>
      <c r="G220" s="15" t="n">
        <f aca="false">E220+F220+H220-I220-J220-K220</f>
        <v>12866.479525722</v>
      </c>
      <c r="H220" s="23" t="n">
        <v>13202.3111666667</v>
      </c>
      <c r="I220" s="23" t="n">
        <v>25989.81204625</v>
      </c>
      <c r="J220" s="23" t="n">
        <v>1603.56283192684</v>
      </c>
      <c r="K220" s="23" t="n">
        <v>0</v>
      </c>
    </row>
    <row r="221" customFormat="false" ht="15" hidden="false" customHeight="false" outlineLevel="0" collapsed="false">
      <c r="A221" s="28" t="s">
        <v>194</v>
      </c>
      <c r="B221" s="23" t="n">
        <v>4</v>
      </c>
      <c r="C221" s="23" t="n">
        <v>37483.5503107844</v>
      </c>
      <c r="D221" s="23" t="n">
        <v>10695.3141187391</v>
      </c>
      <c r="E221" s="15" t="n">
        <f aca="false">C221-D221</f>
        <v>26788.2361920453</v>
      </c>
      <c r="F221" s="23" t="n">
        <v>483.75</v>
      </c>
      <c r="G221" s="15" t="n">
        <f aca="false">E221+F221+H221-I221-J221-K221</f>
        <v>12816.4316317851</v>
      </c>
      <c r="H221" s="23" t="n">
        <v>13202.3111666667</v>
      </c>
      <c r="I221" s="23" t="n">
        <v>26054.302895</v>
      </c>
      <c r="J221" s="23" t="n">
        <v>1603.56283192684</v>
      </c>
      <c r="K221" s="23" t="n">
        <v>0</v>
      </c>
    </row>
    <row r="222" customFormat="false" ht="15" hidden="false" customHeight="false" outlineLevel="0" collapsed="false">
      <c r="A222" s="28" t="s">
        <v>194</v>
      </c>
      <c r="B222" s="23" t="n">
        <v>5</v>
      </c>
      <c r="C222" s="23" t="n">
        <v>37364.4938174003</v>
      </c>
      <c r="D222" s="23" t="n">
        <v>10574.3407033869</v>
      </c>
      <c r="E222" s="15" t="n">
        <f aca="false">C222-D222</f>
        <v>26790.1531140134</v>
      </c>
      <c r="F222" s="23" t="n">
        <v>495</v>
      </c>
      <c r="G222" s="15" t="n">
        <f aca="false">E222+F222+H222-I222-J222-K222</f>
        <v>12765.1077050032</v>
      </c>
      <c r="H222" s="23" t="n">
        <v>13202.3111666667</v>
      </c>
      <c r="I222" s="23" t="n">
        <v>26118.79374375</v>
      </c>
      <c r="J222" s="23" t="n">
        <v>1603.56283192684</v>
      </c>
      <c r="K222" s="23" t="n">
        <v>0</v>
      </c>
    </row>
    <row r="223" customFormat="false" ht="15" hidden="false" customHeight="false" outlineLevel="0" collapsed="false">
      <c r="A223" s="28" t="s">
        <v>194</v>
      </c>
      <c r="B223" s="23" t="n">
        <v>6</v>
      </c>
      <c r="C223" s="23" t="n">
        <v>37238.0720816583</v>
      </c>
      <c r="D223" s="23" t="n">
        <v>10444.2891148319</v>
      </c>
      <c r="E223" s="15" t="n">
        <f aca="false">C223-D223</f>
        <v>26793.7829668264</v>
      </c>
      <c r="F223" s="23" t="n">
        <v>506.25</v>
      </c>
      <c r="G223" s="15" t="n">
        <f aca="false">E223+F223+H223-I223-J223-K223</f>
        <v>12715.4967090663</v>
      </c>
      <c r="H223" s="23" t="n">
        <v>13202.3111666667</v>
      </c>
      <c r="I223" s="23" t="n">
        <v>26183.2845925</v>
      </c>
      <c r="J223" s="23" t="n">
        <v>1603.56283192684</v>
      </c>
      <c r="K223" s="23" t="n">
        <v>0</v>
      </c>
    </row>
    <row r="224" customFormat="false" ht="15" hidden="false" customHeight="false" outlineLevel="0" collapsed="false">
      <c r="A224" s="28" t="s">
        <v>194</v>
      </c>
      <c r="B224" s="23" t="n">
        <v>7</v>
      </c>
      <c r="C224" s="23" t="n">
        <v>37103.7947382658</v>
      </c>
      <c r="D224" s="23" t="n">
        <v>10305.1593530741</v>
      </c>
      <c r="E224" s="15" t="n">
        <f aca="false">C224-D224</f>
        <v>26798.6353851917</v>
      </c>
      <c r="F224" s="23" t="n">
        <v>517.5</v>
      </c>
      <c r="G224" s="15" t="n">
        <f aca="false">E224+F224+H224-I224-J224-K224</f>
        <v>12667.1082786815</v>
      </c>
      <c r="H224" s="23" t="n">
        <v>13202.3111666667</v>
      </c>
      <c r="I224" s="23" t="n">
        <v>26247.77544125</v>
      </c>
      <c r="J224" s="23" t="n">
        <v>1603.56283192684</v>
      </c>
      <c r="K224" s="23" t="n">
        <v>0</v>
      </c>
    </row>
    <row r="225" customFormat="false" ht="15" hidden="false" customHeight="false" outlineLevel="0" collapsed="false">
      <c r="A225" s="28" t="s">
        <v>194</v>
      </c>
      <c r="B225" s="23" t="n">
        <v>8</v>
      </c>
      <c r="C225" s="23" t="n">
        <v>36962.2250399541</v>
      </c>
      <c r="D225" s="23" t="n">
        <v>10183.3772528453</v>
      </c>
      <c r="E225" s="15" t="n">
        <f aca="false">C225-D225</f>
        <v>26778.8477871087</v>
      </c>
      <c r="F225" s="23" t="n">
        <v>528.75</v>
      </c>
      <c r="G225" s="15" t="n">
        <f aca="false">E225+F225+H225-I225-J225-K225</f>
        <v>-3405.92016815143</v>
      </c>
      <c r="H225" s="23" t="n">
        <v>13202.3111666667</v>
      </c>
      <c r="I225" s="23" t="n">
        <v>26312.26629</v>
      </c>
      <c r="J225" s="23" t="n">
        <v>1603.56283192684</v>
      </c>
      <c r="K225" s="23" t="n">
        <v>16000</v>
      </c>
    </row>
    <row r="226" customFormat="false" ht="15" hidden="false" customHeight="false" outlineLevel="0" collapsed="false">
      <c r="A226" s="28" t="s">
        <v>194</v>
      </c>
      <c r="B226" s="23" t="n">
        <v>9</v>
      </c>
      <c r="C226" s="23" t="n">
        <v>36812.8445610322</v>
      </c>
      <c r="D226" s="23" t="n">
        <v>10055.2858098114</v>
      </c>
      <c r="E226" s="15" t="n">
        <f aca="false">C226-D226</f>
        <v>26757.5587512208</v>
      </c>
      <c r="F226" s="23" t="n">
        <v>540</v>
      </c>
      <c r="G226" s="15" t="n">
        <f aca="false">E226+F226+H226-I226-J226-K226</f>
        <v>12519.5499472106</v>
      </c>
      <c r="H226" s="23" t="n">
        <v>13202.3111666667</v>
      </c>
      <c r="I226" s="23" t="n">
        <v>26376.75713875</v>
      </c>
      <c r="J226" s="23" t="n">
        <v>1603.56283192684</v>
      </c>
      <c r="K226" s="23" t="n">
        <v>0</v>
      </c>
    </row>
    <row r="227" customFormat="false" ht="15" hidden="false" customHeight="false" outlineLevel="0" collapsed="false">
      <c r="A227" s="28" t="s">
        <v>194</v>
      </c>
      <c r="B227" s="23" t="n">
        <v>10</v>
      </c>
      <c r="C227" s="23" t="n">
        <v>36623.8782548819</v>
      </c>
      <c r="D227" s="23" t="n">
        <v>9920.88502397217</v>
      </c>
      <c r="E227" s="15" t="n">
        <f aca="false">C227-D227</f>
        <v>26702.9932309097</v>
      </c>
      <c r="F227" s="23" t="n">
        <v>551.25</v>
      </c>
      <c r="G227" s="15" t="n">
        <f aca="false">E227+F227+H227-I227-J227-K227</f>
        <v>12411.7435781495</v>
      </c>
      <c r="H227" s="23" t="n">
        <v>13202.3111666667</v>
      </c>
      <c r="I227" s="23" t="n">
        <v>26441.2479875</v>
      </c>
      <c r="J227" s="23" t="n">
        <v>1603.56283192684</v>
      </c>
      <c r="K227" s="23" t="n">
        <v>0</v>
      </c>
    </row>
    <row r="228" customFormat="false" ht="15" hidden="false" customHeight="false" outlineLevel="0" collapsed="false">
      <c r="A228" s="28" t="s">
        <v>194</v>
      </c>
      <c r="B228" s="23" t="n">
        <v>11</v>
      </c>
      <c r="C228" s="23" t="n">
        <v>36459.52629936</v>
      </c>
      <c r="D228" s="23" t="n">
        <v>9793.8415953608</v>
      </c>
      <c r="E228" s="15" t="n">
        <f aca="false">C228-D228</f>
        <v>26665.6847039992</v>
      </c>
      <c r="F228" s="23" t="n">
        <v>562.5</v>
      </c>
      <c r="G228" s="15" t="n">
        <f aca="false">E228+F228+H228-I228-J228-K228</f>
        <v>12321.194202489</v>
      </c>
      <c r="H228" s="23" t="n">
        <v>13202.3111666667</v>
      </c>
      <c r="I228" s="23" t="n">
        <v>26505.73883625</v>
      </c>
      <c r="J228" s="23" t="n">
        <v>1603.56283192684</v>
      </c>
      <c r="K228" s="23" t="n">
        <v>0</v>
      </c>
    </row>
    <row r="229" customFormat="false" ht="15" hidden="false" customHeight="false" outlineLevel="0" collapsed="false">
      <c r="A229" s="28" t="s">
        <v>194</v>
      </c>
      <c r="B229" s="23" t="n">
        <v>12</v>
      </c>
      <c r="C229" s="23" t="n">
        <v>36288.0033389813</v>
      </c>
      <c r="D229" s="23" t="n">
        <v>9661.63327384188</v>
      </c>
      <c r="E229" s="15" t="n">
        <f aca="false">C229-D229</f>
        <v>26626.3700651394</v>
      </c>
      <c r="F229" s="23" t="n">
        <v>573.75</v>
      </c>
      <c r="G229" s="15" t="n">
        <f aca="false">E229+F229+H229-I229-J229-K229</f>
        <v>12228.6387148793</v>
      </c>
      <c r="H229" s="23" t="n">
        <v>13202.3111666667</v>
      </c>
      <c r="I229" s="23" t="n">
        <v>26570.229685</v>
      </c>
      <c r="J229" s="23" t="n">
        <v>1603.56283192684</v>
      </c>
      <c r="K229" s="23" t="n">
        <v>0</v>
      </c>
    </row>
    <row r="230" customFormat="false" ht="15" hidden="false" customHeight="false" outlineLevel="0" collapsed="false">
      <c r="A230" s="28" t="s">
        <v>194</v>
      </c>
      <c r="B230" s="23" t="n">
        <v>13</v>
      </c>
      <c r="C230" s="23" t="n">
        <v>36105.6689520245</v>
      </c>
      <c r="D230" s="23" t="n">
        <v>9524.26005941544</v>
      </c>
      <c r="E230" s="15" t="n">
        <f aca="false">C230-D230</f>
        <v>26581.408892609</v>
      </c>
      <c r="F230" s="23" t="n">
        <v>585</v>
      </c>
      <c r="G230" s="15" t="n">
        <f aca="false">E230+F230+H230-I230-J230-K230</f>
        <v>12130.4366935989</v>
      </c>
      <c r="H230" s="23" t="n">
        <v>13202.3111666667</v>
      </c>
      <c r="I230" s="23" t="n">
        <v>26634.72053375</v>
      </c>
      <c r="J230" s="23" t="n">
        <v>1603.56283192684</v>
      </c>
      <c r="K230" s="23" t="n">
        <v>0</v>
      </c>
    </row>
    <row r="231" customFormat="false" ht="15" hidden="false" customHeight="false" outlineLevel="0" collapsed="false">
      <c r="A231" s="28" t="s">
        <v>194</v>
      </c>
      <c r="B231" s="23" t="n">
        <v>14</v>
      </c>
      <c r="C231" s="23" t="n">
        <v>36088.4732909707</v>
      </c>
      <c r="D231" s="23" t="n">
        <v>9287.31553044997</v>
      </c>
      <c r="E231" s="15" t="n">
        <f aca="false">C231-D231</f>
        <v>26801.1577605207</v>
      </c>
      <c r="F231" s="23" t="n">
        <v>585</v>
      </c>
      <c r="G231" s="15" t="n">
        <f aca="false">E231+F231+H231-I231-J231-K231</f>
        <v>12285.6947127606</v>
      </c>
      <c r="H231" s="23" t="n">
        <v>13202.3111666667</v>
      </c>
      <c r="I231" s="23" t="n">
        <v>26699.2113825</v>
      </c>
      <c r="J231" s="23" t="n">
        <v>1603.56283192684</v>
      </c>
      <c r="K231" s="23" t="n">
        <v>0</v>
      </c>
    </row>
    <row r="232" customFormat="false" ht="15" hidden="false" customHeight="false" outlineLevel="0" collapsed="false">
      <c r="A232" s="28" t="s">
        <v>194</v>
      </c>
      <c r="B232" s="23" t="n">
        <v>15</v>
      </c>
      <c r="C232" s="23" t="n">
        <v>36072.0415596601</v>
      </c>
      <c r="D232" s="23" t="n">
        <v>9119.57236863036</v>
      </c>
      <c r="E232" s="15" t="n">
        <f aca="false">C232-D232</f>
        <v>26952.4691910298</v>
      </c>
      <c r="F232" s="23" t="n">
        <v>585</v>
      </c>
      <c r="G232" s="15" t="n">
        <f aca="false">E232+F232+H232-I232-J232-K232</f>
        <v>12372.5152945196</v>
      </c>
      <c r="H232" s="23" t="n">
        <v>13202.3111666667</v>
      </c>
      <c r="I232" s="23" t="n">
        <v>26763.70223125</v>
      </c>
      <c r="J232" s="23" t="n">
        <v>1603.56283192684</v>
      </c>
      <c r="K232" s="23" t="n">
        <v>0</v>
      </c>
    </row>
    <row r="233" customFormat="false" ht="15" hidden="false" customHeight="false" outlineLevel="0" collapsed="false">
      <c r="A233" s="28" t="s">
        <v>194</v>
      </c>
      <c r="B233" s="23" t="n">
        <v>16</v>
      </c>
      <c r="C233" s="23" t="n">
        <v>36269.1287568151</v>
      </c>
      <c r="D233" s="23" t="n">
        <v>8986.00492450246</v>
      </c>
      <c r="E233" s="15" t="n">
        <f aca="false">C233-D233</f>
        <v>27283.1238323127</v>
      </c>
      <c r="F233" s="23" t="n">
        <v>585</v>
      </c>
      <c r="G233" s="15" t="n">
        <f aca="false">E233+F233+H233-I233-J233-K233</f>
        <v>12638.6790870525</v>
      </c>
      <c r="H233" s="23" t="n">
        <v>13202.3111666667</v>
      </c>
      <c r="I233" s="23" t="n">
        <v>26828.19308</v>
      </c>
      <c r="J233" s="23" t="n">
        <v>1603.56283192684</v>
      </c>
      <c r="K233" s="23" t="n">
        <v>0</v>
      </c>
    </row>
    <row r="234" customFormat="false" ht="15" hidden="false" customHeight="false" outlineLevel="0" collapsed="false">
      <c r="A234" s="28" t="s">
        <v>194</v>
      </c>
      <c r="B234" s="23" t="n">
        <v>17</v>
      </c>
      <c r="C234" s="23" t="n">
        <v>36254.5784102431</v>
      </c>
      <c r="D234" s="23" t="n">
        <v>8887.6678660639</v>
      </c>
      <c r="E234" s="15" t="n">
        <f aca="false">C234-D234</f>
        <v>27366.9105441792</v>
      </c>
      <c r="F234" s="23" t="n">
        <v>585</v>
      </c>
      <c r="G234" s="15" t="n">
        <f aca="false">E234+F234+H234-I234-J234-K234</f>
        <v>12657.974950169</v>
      </c>
      <c r="H234" s="23" t="n">
        <v>13202.3111666667</v>
      </c>
      <c r="I234" s="23" t="n">
        <v>26892.68392875</v>
      </c>
      <c r="J234" s="23" t="n">
        <v>1603.56283192684</v>
      </c>
      <c r="K234" s="23" t="n">
        <v>0</v>
      </c>
    </row>
    <row r="235" customFormat="false" ht="15" hidden="false" customHeight="false" outlineLevel="0" collapsed="false">
      <c r="A235" s="28" t="s">
        <v>194</v>
      </c>
      <c r="B235" s="23" t="n">
        <v>18</v>
      </c>
      <c r="C235" s="23" t="n">
        <v>36240.8716592408</v>
      </c>
      <c r="D235" s="23" t="n">
        <v>8798.4089808281</v>
      </c>
      <c r="E235" s="15" t="n">
        <f aca="false">C235-D235</f>
        <v>27442.4626784127</v>
      </c>
      <c r="F235" s="23" t="n">
        <v>585</v>
      </c>
      <c r="G235" s="15" t="n">
        <f aca="false">E235+F235+H235-I235-J235-K235</f>
        <v>12669.0362356525</v>
      </c>
      <c r="H235" s="23" t="n">
        <v>13202.3111666667</v>
      </c>
      <c r="I235" s="23" t="n">
        <v>26957.1747775</v>
      </c>
      <c r="J235" s="23" t="n">
        <v>1603.56283192684</v>
      </c>
      <c r="K235" s="23" t="n">
        <v>0</v>
      </c>
    </row>
    <row r="236" customFormat="false" ht="15" hidden="false" customHeight="false" outlineLevel="0" collapsed="false">
      <c r="A236" s="28" t="s">
        <v>194</v>
      </c>
      <c r="B236" s="23" t="n">
        <v>19</v>
      </c>
      <c r="C236" s="23" t="n">
        <v>36227.9899766859</v>
      </c>
      <c r="D236" s="23" t="n">
        <v>8718.22826879507</v>
      </c>
      <c r="E236" s="15" t="n">
        <f aca="false">C236-D236</f>
        <v>27509.7617078908</v>
      </c>
      <c r="F236" s="23" t="n">
        <v>585</v>
      </c>
      <c r="G236" s="15" t="n">
        <f aca="false">E236+F236+H236-I236-J236-K236</f>
        <v>12671.8444163806</v>
      </c>
      <c r="H236" s="23" t="n">
        <v>13202.3111666667</v>
      </c>
      <c r="I236" s="23" t="n">
        <v>27021.66562625</v>
      </c>
      <c r="J236" s="23" t="n">
        <v>1603.56283192684</v>
      </c>
      <c r="K236" s="23" t="n">
        <v>0</v>
      </c>
    </row>
    <row r="237" customFormat="false" ht="15" hidden="false" customHeight="false" outlineLevel="0" collapsed="false">
      <c r="A237" s="28" t="s">
        <v>194</v>
      </c>
      <c r="B237" s="23" t="n">
        <v>20</v>
      </c>
      <c r="C237" s="23" t="n">
        <v>36215.9151633157</v>
      </c>
      <c r="D237" s="23" t="n">
        <v>8666.83613019119</v>
      </c>
      <c r="E237" s="15" t="n">
        <f aca="false">C237-D237</f>
        <v>27549.0790331245</v>
      </c>
      <c r="F237" s="23" t="n">
        <v>585</v>
      </c>
      <c r="G237" s="15" t="n">
        <f aca="false">E237+F237+H237-I237-J237-K237</f>
        <v>-3353.32910713567</v>
      </c>
      <c r="H237" s="23" t="n">
        <v>13202.3111666667</v>
      </c>
      <c r="I237" s="23" t="n">
        <v>27086.156475</v>
      </c>
      <c r="J237" s="23" t="n">
        <v>1603.56283192684</v>
      </c>
      <c r="K237" s="23" t="n">
        <v>16000</v>
      </c>
    </row>
    <row r="238" customFormat="false" ht="15" hidden="false" customHeight="false" outlineLevel="0" collapsed="false">
      <c r="A238" s="28" t="s">
        <v>194</v>
      </c>
      <c r="B238" s="23" t="n">
        <v>21</v>
      </c>
      <c r="C238" s="23" t="n">
        <v>36204.629342106</v>
      </c>
      <c r="D238" s="23" t="n">
        <v>8621.75333439251</v>
      </c>
      <c r="E238" s="15" t="n">
        <f aca="false">C238-D238</f>
        <v>27582.8760077135</v>
      </c>
      <c r="F238" s="23" t="n">
        <v>585</v>
      </c>
      <c r="G238" s="15" t="n">
        <f aca="false">E238+F238+H238-I238-J238-K238</f>
        <v>12615.9770187034</v>
      </c>
      <c r="H238" s="23" t="n">
        <v>13202.3111666667</v>
      </c>
      <c r="I238" s="23" t="n">
        <v>27150.64732375</v>
      </c>
      <c r="J238" s="23" t="n">
        <v>1603.56283192684</v>
      </c>
      <c r="K238" s="23" t="n">
        <v>0</v>
      </c>
    </row>
    <row r="239" customFormat="false" ht="15" hidden="false" customHeight="false" outlineLevel="0" collapsed="false">
      <c r="A239" s="28" t="s">
        <v>194</v>
      </c>
      <c r="B239" s="23" t="n">
        <v>22</v>
      </c>
      <c r="C239" s="23" t="n">
        <v>36194.1149527492</v>
      </c>
      <c r="D239" s="23" t="n">
        <v>8582.97988139903</v>
      </c>
      <c r="E239" s="15" t="n">
        <f aca="false">C239-D239</f>
        <v>27611.1350713502</v>
      </c>
      <c r="F239" s="23" t="n">
        <v>585</v>
      </c>
      <c r="G239" s="15" t="n">
        <f aca="false">E239+F239+H239-I239-J239-K239</f>
        <v>12579.74523359</v>
      </c>
      <c r="H239" s="23" t="n">
        <v>13202.3111666667</v>
      </c>
      <c r="I239" s="23" t="n">
        <v>27215.1381725</v>
      </c>
      <c r="J239" s="23" t="n">
        <v>1603.56283192684</v>
      </c>
      <c r="K239" s="23" t="n">
        <v>0</v>
      </c>
    </row>
    <row r="240" customFormat="false" ht="15" hidden="false" customHeight="false" outlineLevel="0" collapsed="false">
      <c r="A240" s="28" t="s">
        <v>194</v>
      </c>
      <c r="B240" s="23" t="n">
        <v>23</v>
      </c>
      <c r="C240" s="23" t="n">
        <v>36184.3547462294</v>
      </c>
      <c r="D240" s="23" t="n">
        <v>8553.94912090374</v>
      </c>
      <c r="E240" s="15" t="n">
        <f aca="false">C240-D240</f>
        <v>27630.4056253257</v>
      </c>
      <c r="F240" s="23" t="n">
        <v>585</v>
      </c>
      <c r="G240" s="15" t="n">
        <f aca="false">E240+F240+H240-I240-J240-K240</f>
        <v>12534.5249388155</v>
      </c>
      <c r="H240" s="23" t="n">
        <v>13202.3111666667</v>
      </c>
      <c r="I240" s="23" t="n">
        <v>27279.62902125</v>
      </c>
      <c r="J240" s="23" t="n">
        <v>1603.56283192684</v>
      </c>
      <c r="K240" s="23" t="n">
        <v>0</v>
      </c>
    </row>
    <row r="241" customFormat="false" ht="15" hidden="false" customHeight="false" outlineLevel="0" collapsed="false">
      <c r="A241" s="28" t="s">
        <v>194</v>
      </c>
      <c r="B241" s="23" t="n">
        <v>24</v>
      </c>
      <c r="C241" s="23" t="n">
        <v>36175.3317794933</v>
      </c>
      <c r="D241" s="23" t="n">
        <v>8530.08325331597</v>
      </c>
      <c r="E241" s="15" t="n">
        <f aca="false">C241-D241</f>
        <v>27645.2485261774</v>
      </c>
      <c r="F241" s="23" t="n">
        <v>585</v>
      </c>
      <c r="G241" s="15" t="n">
        <f aca="false">E241+F241+H241-I241-J241-K241</f>
        <v>12484.8769909172</v>
      </c>
      <c r="H241" s="23" t="n">
        <v>13202.3111666667</v>
      </c>
      <c r="I241" s="23" t="n">
        <v>27344.11987</v>
      </c>
      <c r="J241" s="23" t="n">
        <v>1603.56283192684</v>
      </c>
      <c r="K241" s="23" t="n">
        <v>0</v>
      </c>
    </row>
    <row r="242" customFormat="false" ht="15" hidden="false" customHeight="false" outlineLevel="0" collapsed="false">
      <c r="A242" s="28" t="s">
        <v>196</v>
      </c>
      <c r="B242" s="23" t="n">
        <v>1</v>
      </c>
      <c r="C242" s="23" t="n">
        <v>37793.8635224887</v>
      </c>
      <c r="D242" s="23" t="n">
        <v>10900.2100755937</v>
      </c>
      <c r="E242" s="15" t="n">
        <f aca="false">C242-D242</f>
        <v>26893.653446895</v>
      </c>
      <c r="F242" s="23" t="n">
        <v>450</v>
      </c>
      <c r="G242" s="15" t="n">
        <f aca="false">E242+F242+H242-I242-J242-K242</f>
        <v>13081.5714328849</v>
      </c>
      <c r="H242" s="23" t="n">
        <v>13202.3111666667</v>
      </c>
      <c r="I242" s="23" t="n">
        <v>25860.83034875</v>
      </c>
      <c r="J242" s="23" t="n">
        <v>1603.56283192684</v>
      </c>
      <c r="K242" s="23" t="n">
        <v>0</v>
      </c>
    </row>
    <row r="243" customFormat="false" ht="15" hidden="false" customHeight="false" outlineLevel="0" collapsed="false">
      <c r="A243" s="28" t="s">
        <v>196</v>
      </c>
      <c r="B243" s="23" t="n">
        <v>2</v>
      </c>
      <c r="C243" s="23" t="n">
        <v>38042.0935046783</v>
      </c>
      <c r="D243" s="23" t="n">
        <v>10899.1899153652</v>
      </c>
      <c r="E243" s="15" t="n">
        <f aca="false">C243-D243</f>
        <v>27142.9035893131</v>
      </c>
      <c r="F243" s="23" t="n">
        <v>438.75</v>
      </c>
      <c r="G243" s="15" t="n">
        <f aca="false">E243+F243+H243-I243-J243-K243</f>
        <v>13255.080726553</v>
      </c>
      <c r="H243" s="23" t="n">
        <v>13202.3111666667</v>
      </c>
      <c r="I243" s="23" t="n">
        <v>25925.3211975</v>
      </c>
      <c r="J243" s="23" t="n">
        <v>1603.56283192684</v>
      </c>
      <c r="K243" s="23" t="n">
        <v>0</v>
      </c>
    </row>
    <row r="244" customFormat="false" ht="15" hidden="false" customHeight="false" outlineLevel="0" collapsed="false">
      <c r="A244" s="28" t="s">
        <v>196</v>
      </c>
      <c r="B244" s="23" t="n">
        <v>3</v>
      </c>
      <c r="C244" s="23" t="n">
        <v>38296.3138634485</v>
      </c>
      <c r="D244" s="23" t="n">
        <v>10984.4534664683</v>
      </c>
      <c r="E244" s="15" t="n">
        <f aca="false">C244-D244</f>
        <v>27311.8603969802</v>
      </c>
      <c r="F244" s="23" t="n">
        <v>427.5</v>
      </c>
      <c r="G244" s="15" t="n">
        <f aca="false">E244+F244+H244-I244-J244-K244</f>
        <v>13348.2966854701</v>
      </c>
      <c r="H244" s="23" t="n">
        <v>13202.3111666667</v>
      </c>
      <c r="I244" s="23" t="n">
        <v>25989.81204625</v>
      </c>
      <c r="J244" s="23" t="n">
        <v>1603.56283192684</v>
      </c>
      <c r="K244" s="23" t="n">
        <v>0</v>
      </c>
    </row>
    <row r="245" customFormat="false" ht="15" hidden="false" customHeight="false" outlineLevel="0" collapsed="false">
      <c r="A245" s="28" t="s">
        <v>196</v>
      </c>
      <c r="B245" s="23" t="n">
        <v>4</v>
      </c>
      <c r="C245" s="23" t="n">
        <v>38556.1850763882</v>
      </c>
      <c r="D245" s="23" t="n">
        <v>11118.1253950692</v>
      </c>
      <c r="E245" s="15" t="n">
        <f aca="false">C245-D245</f>
        <v>27438.0596813189</v>
      </c>
      <c r="F245" s="23" t="n">
        <v>416.25</v>
      </c>
      <c r="G245" s="15" t="n">
        <f aca="false">E245+F245+H245-I245-J245-K245</f>
        <v>13398.7551210588</v>
      </c>
      <c r="H245" s="23" t="n">
        <v>13202.3111666667</v>
      </c>
      <c r="I245" s="23" t="n">
        <v>26054.302895</v>
      </c>
      <c r="J245" s="23" t="n">
        <v>1603.56283192684</v>
      </c>
      <c r="K245" s="23" t="n">
        <v>0</v>
      </c>
    </row>
    <row r="246" customFormat="false" ht="15" hidden="false" customHeight="false" outlineLevel="0" collapsed="false">
      <c r="A246" s="28" t="s">
        <v>196</v>
      </c>
      <c r="B246" s="23" t="n">
        <v>5</v>
      </c>
      <c r="C246" s="23" t="n">
        <v>38822.0098512776</v>
      </c>
      <c r="D246" s="23" t="n">
        <v>11291.7451045906</v>
      </c>
      <c r="E246" s="15" t="n">
        <f aca="false">C246-D246</f>
        <v>27530.264746687</v>
      </c>
      <c r="F246" s="23" t="n">
        <v>405</v>
      </c>
      <c r="G246" s="15" t="n">
        <f aca="false">E246+F246+H246-I246-J246-K246</f>
        <v>13415.2193376768</v>
      </c>
      <c r="H246" s="23" t="n">
        <v>13202.3111666667</v>
      </c>
      <c r="I246" s="23" t="n">
        <v>26118.79374375</v>
      </c>
      <c r="J246" s="23" t="n">
        <v>1603.56283192684</v>
      </c>
      <c r="K246" s="23" t="n">
        <v>0</v>
      </c>
    </row>
    <row r="247" customFormat="false" ht="15" hidden="false" customHeight="false" outlineLevel="0" collapsed="false">
      <c r="A247" s="28" t="s">
        <v>196</v>
      </c>
      <c r="B247" s="23" t="n">
        <v>6</v>
      </c>
      <c r="C247" s="23" t="n">
        <v>39093.1517106871</v>
      </c>
      <c r="D247" s="23" t="n">
        <v>11481.1536836601</v>
      </c>
      <c r="E247" s="15" t="n">
        <f aca="false">C247-D247</f>
        <v>27611.998027027</v>
      </c>
      <c r="F247" s="23" t="n">
        <v>393.75</v>
      </c>
      <c r="G247" s="15" t="n">
        <f aca="false">E247+F247+H247-I247-J247-K247</f>
        <v>13421.2117692669</v>
      </c>
      <c r="H247" s="23" t="n">
        <v>13202.3111666667</v>
      </c>
      <c r="I247" s="23" t="n">
        <v>26183.2845925</v>
      </c>
      <c r="J247" s="23" t="n">
        <v>1603.56283192684</v>
      </c>
      <c r="K247" s="23" t="n">
        <v>0</v>
      </c>
    </row>
    <row r="248" customFormat="false" ht="15" hidden="false" customHeight="false" outlineLevel="0" collapsed="false">
      <c r="A248" s="28" t="s">
        <v>196</v>
      </c>
      <c r="B248" s="23" t="n">
        <v>7</v>
      </c>
      <c r="C248" s="23" t="n">
        <v>39370.077572629</v>
      </c>
      <c r="D248" s="23" t="n">
        <v>11686.6802111334</v>
      </c>
      <c r="E248" s="15" t="n">
        <f aca="false">C248-D248</f>
        <v>27683.3973614956</v>
      </c>
      <c r="F248" s="23" t="n">
        <v>382.5</v>
      </c>
      <c r="G248" s="15" t="n">
        <f aca="false">E248+F248+H248-I248-J248-K248</f>
        <v>13416.8702549854</v>
      </c>
      <c r="H248" s="23" t="n">
        <v>13202.3111666667</v>
      </c>
      <c r="I248" s="23" t="n">
        <v>26247.77544125</v>
      </c>
      <c r="J248" s="23" t="n">
        <v>1603.56283192684</v>
      </c>
      <c r="K248" s="23" t="n">
        <v>0</v>
      </c>
    </row>
    <row r="249" customFormat="false" ht="15" hidden="false" customHeight="false" outlineLevel="0" collapsed="false">
      <c r="A249" s="28" t="s">
        <v>196</v>
      </c>
      <c r="B249" s="23" t="n">
        <v>8</v>
      </c>
      <c r="C249" s="23" t="n">
        <v>39652.1613830521</v>
      </c>
      <c r="D249" s="23" t="n">
        <v>11901.853635827</v>
      </c>
      <c r="E249" s="15" t="n">
        <f aca="false">C249-D249</f>
        <v>27750.3077472251</v>
      </c>
      <c r="F249" s="23" t="n">
        <v>371.25</v>
      </c>
      <c r="G249" s="15" t="n">
        <f aca="false">E249+F249+H249-I249-J249-K249</f>
        <v>-2591.96020803506</v>
      </c>
      <c r="H249" s="23" t="n">
        <v>13202.3111666667</v>
      </c>
      <c r="I249" s="23" t="n">
        <v>26312.26629</v>
      </c>
      <c r="J249" s="23" t="n">
        <v>1603.56283192684</v>
      </c>
      <c r="K249" s="23" t="n">
        <v>16000</v>
      </c>
    </row>
    <row r="250" customFormat="false" ht="15" hidden="false" customHeight="false" outlineLevel="0" collapsed="false">
      <c r="A250" s="28" t="s">
        <v>196</v>
      </c>
      <c r="B250" s="23" t="n">
        <v>9</v>
      </c>
      <c r="C250" s="23" t="n">
        <v>39939.8804696628</v>
      </c>
      <c r="D250" s="23" t="n">
        <v>12131.0343362379</v>
      </c>
      <c r="E250" s="15" t="n">
        <f aca="false">C250-D250</f>
        <v>27808.846133425</v>
      </c>
      <c r="F250" s="23" t="n">
        <v>360</v>
      </c>
      <c r="G250" s="15" t="n">
        <f aca="false">E250+F250+H250-I250-J250-K250</f>
        <v>13390.8373294148</v>
      </c>
      <c r="H250" s="23" t="n">
        <v>13202.3111666667</v>
      </c>
      <c r="I250" s="23" t="n">
        <v>26376.75713875</v>
      </c>
      <c r="J250" s="23" t="n">
        <v>1603.56283192684</v>
      </c>
      <c r="K250" s="23" t="n">
        <v>0</v>
      </c>
    </row>
    <row r="251" customFormat="false" ht="15" hidden="false" customHeight="false" outlineLevel="0" collapsed="false">
      <c r="A251" s="28" t="s">
        <v>196</v>
      </c>
      <c r="B251" s="23" t="n">
        <v>10</v>
      </c>
      <c r="C251" s="23" t="n">
        <v>40255.813649249</v>
      </c>
      <c r="D251" s="23" t="n">
        <v>12374.5513912216</v>
      </c>
      <c r="E251" s="15" t="n">
        <f aca="false">C251-D251</f>
        <v>27881.2622580274</v>
      </c>
      <c r="F251" s="23" t="n">
        <v>348.75</v>
      </c>
      <c r="G251" s="15" t="n">
        <f aca="false">E251+F251+H251-I251-J251-K251</f>
        <v>13387.5126052672</v>
      </c>
      <c r="H251" s="23" t="n">
        <v>13202.3111666667</v>
      </c>
      <c r="I251" s="23" t="n">
        <v>26441.2479875</v>
      </c>
      <c r="J251" s="23" t="n">
        <v>1603.56283192684</v>
      </c>
      <c r="K251" s="23" t="n">
        <v>0</v>
      </c>
    </row>
    <row r="252" customFormat="false" ht="15" hidden="false" customHeight="false" outlineLevel="0" collapsed="false">
      <c r="A252" s="28" t="s">
        <v>196</v>
      </c>
      <c r="B252" s="23" t="n">
        <v>11</v>
      </c>
      <c r="C252" s="23" t="n">
        <v>40554.0598364625</v>
      </c>
      <c r="D252" s="23" t="n">
        <v>12625.8004815087</v>
      </c>
      <c r="E252" s="15" t="n">
        <f aca="false">C252-D252</f>
        <v>27928.2593549537</v>
      </c>
      <c r="F252" s="23" t="n">
        <v>337.5</v>
      </c>
      <c r="G252" s="15" t="n">
        <f aca="false">E252+F252+H252-I252-J252-K252</f>
        <v>13358.7688534436</v>
      </c>
      <c r="H252" s="23" t="n">
        <v>13202.3111666667</v>
      </c>
      <c r="I252" s="23" t="n">
        <v>26505.73883625</v>
      </c>
      <c r="J252" s="23" t="n">
        <v>1603.56283192684</v>
      </c>
      <c r="K252" s="23" t="n">
        <v>0</v>
      </c>
    </row>
    <row r="253" customFormat="false" ht="15" hidden="false" customHeight="false" outlineLevel="0" collapsed="false">
      <c r="A253" s="28" t="s">
        <v>196</v>
      </c>
      <c r="B253" s="23" t="n">
        <v>12</v>
      </c>
      <c r="C253" s="23" t="n">
        <v>40857.2084089513</v>
      </c>
      <c r="D253" s="23" t="n">
        <v>12890.8996341822</v>
      </c>
      <c r="E253" s="15" t="n">
        <f aca="false">C253-D253</f>
        <v>27966.3087747691</v>
      </c>
      <c r="F253" s="23" t="n">
        <v>326.25</v>
      </c>
      <c r="G253" s="15" t="n">
        <f aca="false">E253+F253+H253-I253-J253-K253</f>
        <v>13321.0774245089</v>
      </c>
      <c r="H253" s="23" t="n">
        <v>13202.3111666667</v>
      </c>
      <c r="I253" s="23" t="n">
        <v>26570.229685</v>
      </c>
      <c r="J253" s="23" t="n">
        <v>1603.56283192684</v>
      </c>
      <c r="K253" s="23" t="n">
        <v>0</v>
      </c>
    </row>
    <row r="254" customFormat="false" ht="15" hidden="false" customHeight="false" outlineLevel="0" collapsed="false">
      <c r="A254" s="28" t="s">
        <v>196</v>
      </c>
      <c r="B254" s="23" t="n">
        <v>13</v>
      </c>
      <c r="C254" s="23" t="n">
        <v>41168.9175486598</v>
      </c>
      <c r="D254" s="23" t="n">
        <v>13130.5719077358</v>
      </c>
      <c r="E254" s="15" t="n">
        <f aca="false">C254-D254</f>
        <v>28038.345640924</v>
      </c>
      <c r="F254" s="23" t="n">
        <v>315</v>
      </c>
      <c r="G254" s="15" t="n">
        <f aca="false">E254+F254+H254-I254-J254-K254</f>
        <v>13317.3734419139</v>
      </c>
      <c r="H254" s="23" t="n">
        <v>13202.3111666667</v>
      </c>
      <c r="I254" s="23" t="n">
        <v>26634.72053375</v>
      </c>
      <c r="J254" s="23" t="n">
        <v>1603.56283192684</v>
      </c>
      <c r="K254" s="23" t="n">
        <v>0</v>
      </c>
    </row>
    <row r="255" customFormat="false" ht="15" hidden="false" customHeight="false" outlineLevel="0" collapsed="false">
      <c r="A255" s="28" t="s">
        <v>196</v>
      </c>
      <c r="B255" s="23" t="n">
        <v>14</v>
      </c>
      <c r="C255" s="23" t="n">
        <v>41313.2692215208</v>
      </c>
      <c r="D255" s="23" t="n">
        <v>13390.7390353138</v>
      </c>
      <c r="E255" s="15" t="n">
        <f aca="false">C255-D255</f>
        <v>27922.5301862071</v>
      </c>
      <c r="F255" s="23" t="n">
        <v>315</v>
      </c>
      <c r="G255" s="15" t="n">
        <f aca="false">E255+F255+H255-I255-J255-K255</f>
        <v>13137.0671384469</v>
      </c>
      <c r="H255" s="23" t="n">
        <v>13202.3111666667</v>
      </c>
      <c r="I255" s="23" t="n">
        <v>26699.2113825</v>
      </c>
      <c r="J255" s="23" t="n">
        <v>1603.56283192684</v>
      </c>
      <c r="K255" s="23" t="n">
        <v>0</v>
      </c>
    </row>
    <row r="256" customFormat="false" ht="15" hidden="false" customHeight="false" outlineLevel="0" collapsed="false">
      <c r="A256" s="28" t="s">
        <v>196</v>
      </c>
      <c r="B256" s="23" t="n">
        <v>15</v>
      </c>
      <c r="C256" s="23" t="n">
        <v>41455.709257638</v>
      </c>
      <c r="D256" s="23" t="n">
        <v>13573.5045388705</v>
      </c>
      <c r="E256" s="15" t="n">
        <f aca="false">C256-D256</f>
        <v>27882.2047187675</v>
      </c>
      <c r="F256" s="23" t="n">
        <v>315</v>
      </c>
      <c r="G256" s="15" t="n">
        <f aca="false">E256+F256+H256-I256-J256-K256</f>
        <v>13032.2508222573</v>
      </c>
      <c r="H256" s="23" t="n">
        <v>13202.3111666667</v>
      </c>
      <c r="I256" s="23" t="n">
        <v>26763.70223125</v>
      </c>
      <c r="J256" s="23" t="n">
        <v>1603.56283192684</v>
      </c>
      <c r="K256" s="23" t="n">
        <v>0</v>
      </c>
    </row>
    <row r="257" customFormat="false" ht="15" hidden="false" customHeight="false" outlineLevel="0" collapsed="false">
      <c r="A257" s="28" t="s">
        <v>196</v>
      </c>
      <c r="B257" s="23" t="n">
        <v>16</v>
      </c>
      <c r="C257" s="23" t="n">
        <v>41975.1595072911</v>
      </c>
      <c r="D257" s="23" t="n">
        <v>13714.8612924731</v>
      </c>
      <c r="E257" s="15" t="n">
        <f aca="false">C257-D257</f>
        <v>28260.2982148179</v>
      </c>
      <c r="F257" s="23" t="n">
        <v>315</v>
      </c>
      <c r="G257" s="15" t="n">
        <f aca="false">E257+F257+H257-I257-J257-K257</f>
        <v>13345.8534695577</v>
      </c>
      <c r="H257" s="23" t="n">
        <v>13202.3111666667</v>
      </c>
      <c r="I257" s="23" t="n">
        <v>26828.19308</v>
      </c>
      <c r="J257" s="23" t="n">
        <v>1603.56283192684</v>
      </c>
      <c r="K257" s="23" t="n">
        <v>0</v>
      </c>
    </row>
    <row r="258" customFormat="false" ht="15" hidden="false" customHeight="false" outlineLevel="0" collapsed="false">
      <c r="A258" s="28" t="s">
        <v>196</v>
      </c>
      <c r="B258" s="23" t="n">
        <v>17</v>
      </c>
      <c r="C258" s="23" t="n">
        <v>42113.4532043492</v>
      </c>
      <c r="D258" s="23" t="n">
        <v>13817.8253389802</v>
      </c>
      <c r="E258" s="15" t="n">
        <f aca="false">C258-D258</f>
        <v>28295.627865369</v>
      </c>
      <c r="F258" s="23" t="n">
        <v>315</v>
      </c>
      <c r="G258" s="15" t="n">
        <f aca="false">E258+F258+H258-I258-J258-K258</f>
        <v>13316.6922713588</v>
      </c>
      <c r="H258" s="23" t="n">
        <v>13202.3111666667</v>
      </c>
      <c r="I258" s="23" t="n">
        <v>26892.68392875</v>
      </c>
      <c r="J258" s="23" t="n">
        <v>1603.56283192684</v>
      </c>
      <c r="K258" s="23" t="n">
        <v>0</v>
      </c>
    </row>
    <row r="259" customFormat="false" ht="15" hidden="false" customHeight="false" outlineLevel="0" collapsed="false">
      <c r="A259" s="28" t="s">
        <v>196</v>
      </c>
      <c r="B259" s="23" t="n">
        <v>18</v>
      </c>
      <c r="C259" s="23" t="n">
        <v>42249.7858845529</v>
      </c>
      <c r="D259" s="23" t="n">
        <v>13911.7112122845</v>
      </c>
      <c r="E259" s="15" t="n">
        <f aca="false">C259-D259</f>
        <v>28338.0746722684</v>
      </c>
      <c r="F259" s="23" t="n">
        <v>315</v>
      </c>
      <c r="G259" s="15" t="n">
        <f aca="false">E259+F259+H259-I259-J259-K259</f>
        <v>13294.6482295082</v>
      </c>
      <c r="H259" s="23" t="n">
        <v>13202.3111666667</v>
      </c>
      <c r="I259" s="23" t="n">
        <v>26957.1747775</v>
      </c>
      <c r="J259" s="23" t="n">
        <v>1603.56283192684</v>
      </c>
      <c r="K259" s="23" t="n">
        <v>0</v>
      </c>
    </row>
    <row r="260" customFormat="false" ht="15" hidden="false" customHeight="false" outlineLevel="0" collapsed="false">
      <c r="A260" s="28" t="s">
        <v>196</v>
      </c>
      <c r="B260" s="23" t="n">
        <v>19</v>
      </c>
      <c r="C260" s="23" t="n">
        <v>42384.1859974368</v>
      </c>
      <c r="D260" s="23" t="n">
        <v>13996.518912386</v>
      </c>
      <c r="E260" s="15" t="n">
        <f aca="false">C260-D260</f>
        <v>28387.6670850508</v>
      </c>
      <c r="F260" s="23" t="n">
        <v>315</v>
      </c>
      <c r="G260" s="15" t="n">
        <f aca="false">E260+F260+H260-I260-J260-K260</f>
        <v>13279.7497935406</v>
      </c>
      <c r="H260" s="23" t="n">
        <v>13202.3111666667</v>
      </c>
      <c r="I260" s="23" t="n">
        <v>27021.66562625</v>
      </c>
      <c r="J260" s="23" t="n">
        <v>1603.56283192684</v>
      </c>
      <c r="K260" s="23" t="n">
        <v>0</v>
      </c>
    </row>
    <row r="261" customFormat="false" ht="15" hidden="false" customHeight="false" outlineLevel="0" collapsed="false">
      <c r="A261" s="28" t="s">
        <v>196</v>
      </c>
      <c r="B261" s="23" t="n">
        <v>20</v>
      </c>
      <c r="C261" s="23" t="n">
        <v>42516.6815793942</v>
      </c>
      <c r="D261" s="23" t="n">
        <v>14047.6575531501</v>
      </c>
      <c r="E261" s="15" t="n">
        <f aca="false">C261-D261</f>
        <v>28469.0240262441</v>
      </c>
      <c r="F261" s="23" t="n">
        <v>315</v>
      </c>
      <c r="G261" s="15" t="n">
        <f aca="false">E261+F261+H261-I261-J261-K261</f>
        <v>-2703.38411401604</v>
      </c>
      <c r="H261" s="23" t="n">
        <v>13202.3111666667</v>
      </c>
      <c r="I261" s="23" t="n">
        <v>27086.156475</v>
      </c>
      <c r="J261" s="23" t="n">
        <v>1603.56283192684</v>
      </c>
      <c r="K261" s="23" t="n">
        <v>16000</v>
      </c>
    </row>
    <row r="262" customFormat="false" ht="15" hidden="false" customHeight="false" outlineLevel="0" collapsed="false">
      <c r="A262" s="28" t="s">
        <v>196</v>
      </c>
      <c r="B262" s="23" t="n">
        <v>21</v>
      </c>
      <c r="C262" s="23" t="n">
        <v>42647.3002599694</v>
      </c>
      <c r="D262" s="23" t="n">
        <v>14092.4868511089</v>
      </c>
      <c r="E262" s="15" t="n">
        <f aca="false">C262-D262</f>
        <v>28554.8134088605</v>
      </c>
      <c r="F262" s="23" t="n">
        <v>315</v>
      </c>
      <c r="G262" s="15" t="n">
        <f aca="false">E262+F262+H262-I262-J262-K262</f>
        <v>13317.9144198503</v>
      </c>
      <c r="H262" s="23" t="n">
        <v>13202.3111666667</v>
      </c>
      <c r="I262" s="23" t="n">
        <v>27150.64732375</v>
      </c>
      <c r="J262" s="23" t="n">
        <v>1603.56283192684</v>
      </c>
      <c r="K262" s="23" t="n">
        <v>0</v>
      </c>
    </row>
    <row r="263" customFormat="false" ht="15" hidden="false" customHeight="false" outlineLevel="0" collapsed="false">
      <c r="A263" s="28" t="s">
        <v>196</v>
      </c>
      <c r="B263" s="23" t="n">
        <v>22</v>
      </c>
      <c r="C263" s="23" t="n">
        <v>42776.0692680459</v>
      </c>
      <c r="D263" s="23" t="n">
        <v>14131.0068062626</v>
      </c>
      <c r="E263" s="15" t="n">
        <f aca="false">C263-D263</f>
        <v>28645.0624617834</v>
      </c>
      <c r="F263" s="23" t="n">
        <v>315</v>
      </c>
      <c r="G263" s="15" t="n">
        <f aca="false">E263+F263+H263-I263-J263-K263</f>
        <v>13343.6726240232</v>
      </c>
      <c r="H263" s="23" t="n">
        <v>13202.3111666667</v>
      </c>
      <c r="I263" s="23" t="n">
        <v>27215.1381725</v>
      </c>
      <c r="J263" s="23" t="n">
        <v>1603.56283192684</v>
      </c>
      <c r="K263" s="23" t="n">
        <v>0</v>
      </c>
    </row>
    <row r="264" customFormat="false" ht="15" hidden="false" customHeight="false" outlineLevel="0" collapsed="false">
      <c r="A264" s="28" t="s">
        <v>196</v>
      </c>
      <c r="B264" s="23" t="n">
        <v>23</v>
      </c>
      <c r="C264" s="23" t="n">
        <v>42903.0154379324</v>
      </c>
      <c r="D264" s="23" t="n">
        <v>14159.784068918</v>
      </c>
      <c r="E264" s="15" t="n">
        <f aca="false">C264-D264</f>
        <v>28743.2313690144</v>
      </c>
      <c r="F264" s="23" t="n">
        <v>315</v>
      </c>
      <c r="G264" s="15" t="n">
        <f aca="false">E264+F264+H264-I264-J264-K264</f>
        <v>13377.3506825042</v>
      </c>
      <c r="H264" s="23" t="n">
        <v>13202.3111666667</v>
      </c>
      <c r="I264" s="23" t="n">
        <v>27279.62902125</v>
      </c>
      <c r="J264" s="23" t="n">
        <v>1603.56283192684</v>
      </c>
      <c r="K264" s="23" t="n">
        <v>0</v>
      </c>
    </row>
    <row r="265" customFormat="false" ht="15" hidden="false" customHeight="false" outlineLevel="0" collapsed="false">
      <c r="A265" s="28" t="s">
        <v>196</v>
      </c>
      <c r="B265" s="23" t="n">
        <v>24</v>
      </c>
      <c r="C265" s="23" t="n">
        <v>43028.1652153489</v>
      </c>
      <c r="D265" s="23" t="n">
        <v>14183.396438666</v>
      </c>
      <c r="E265" s="15" t="n">
        <f aca="false">C265-D265</f>
        <v>28844.768776683</v>
      </c>
      <c r="F265" s="23" t="n">
        <v>315</v>
      </c>
      <c r="G265" s="15" t="n">
        <f aca="false">E265+F265+H265-I265-J265-K265</f>
        <v>13414.3972414228</v>
      </c>
      <c r="H265" s="23" t="n">
        <v>13202.3111666667</v>
      </c>
      <c r="I265" s="23" t="n">
        <v>27344.11987</v>
      </c>
      <c r="J265" s="23" t="n">
        <v>1603.56283192684</v>
      </c>
      <c r="K265" s="23" t="n">
        <v>0</v>
      </c>
    </row>
    <row r="266" customFormat="false" ht="15" hidden="false" customHeight="false" outlineLevel="0" collapsed="false">
      <c r="A266" s="28" t="s">
        <v>198</v>
      </c>
      <c r="B266" s="23" t="n">
        <v>1</v>
      </c>
      <c r="C266" s="23" t="n">
        <v>37793.8635224887</v>
      </c>
      <c r="D266" s="23" t="n">
        <v>10900.2100755937</v>
      </c>
      <c r="E266" s="15" t="n">
        <f aca="false">C266-D266</f>
        <v>26893.653446895</v>
      </c>
      <c r="F266" s="23" t="n">
        <v>450</v>
      </c>
      <c r="G266" s="15" t="n">
        <f aca="false">E266+F266+H266-I266-J266-K266</f>
        <v>13081.5714328849</v>
      </c>
      <c r="H266" s="23" t="n">
        <v>13202.3111666667</v>
      </c>
      <c r="I266" s="23" t="n">
        <v>25860.83034875</v>
      </c>
      <c r="J266" s="23" t="n">
        <v>1603.56283192684</v>
      </c>
      <c r="K266" s="23" t="n">
        <v>0</v>
      </c>
    </row>
    <row r="267" customFormat="false" ht="15" hidden="false" customHeight="false" outlineLevel="0" collapsed="false">
      <c r="A267" s="28" t="s">
        <v>198</v>
      </c>
      <c r="B267" s="23" t="n">
        <v>2</v>
      </c>
      <c r="C267" s="23" t="n">
        <v>38214.0445818139</v>
      </c>
      <c r="D267" s="23" t="n">
        <v>10907.0587820648</v>
      </c>
      <c r="E267" s="15" t="n">
        <f aca="false">C267-D267</f>
        <v>27306.9857997491</v>
      </c>
      <c r="F267" s="23" t="n">
        <v>427.5</v>
      </c>
      <c r="G267" s="15" t="n">
        <f aca="false">E267+F267+H267-I267-J267-K267</f>
        <v>13407.9129369889</v>
      </c>
      <c r="H267" s="23" t="n">
        <v>13202.3111666667</v>
      </c>
      <c r="I267" s="23" t="n">
        <v>25925.3211975</v>
      </c>
      <c r="J267" s="23" t="n">
        <v>1603.56283192684</v>
      </c>
      <c r="K267" s="23" t="n">
        <v>0</v>
      </c>
    </row>
    <row r="268" customFormat="false" ht="15" hidden="false" customHeight="false" outlineLevel="0" collapsed="false">
      <c r="A268" s="28" t="s">
        <v>198</v>
      </c>
      <c r="B268" s="23" t="n">
        <v>3</v>
      </c>
      <c r="C268" s="23" t="n">
        <v>38647.0639186259</v>
      </c>
      <c r="D268" s="23" t="n">
        <v>11087.5785550636</v>
      </c>
      <c r="E268" s="15" t="n">
        <f aca="false">C268-D268</f>
        <v>27559.4853635623</v>
      </c>
      <c r="F268" s="23" t="n">
        <v>405</v>
      </c>
      <c r="G268" s="15" t="n">
        <f aca="false">E268+F268+H268-I268-J268-K268</f>
        <v>13573.4216520521</v>
      </c>
      <c r="H268" s="23" t="n">
        <v>13202.3111666667</v>
      </c>
      <c r="I268" s="23" t="n">
        <v>25989.81204625</v>
      </c>
      <c r="J268" s="23" t="n">
        <v>1603.56283192684</v>
      </c>
      <c r="K268" s="23" t="n">
        <v>0</v>
      </c>
    </row>
    <row r="269" customFormat="false" ht="15" hidden="false" customHeight="false" outlineLevel="0" collapsed="false">
      <c r="A269" s="28" t="s">
        <v>198</v>
      </c>
      <c r="B269" s="23" t="n">
        <v>4</v>
      </c>
      <c r="C269" s="23" t="n">
        <v>39092.0894950823</v>
      </c>
      <c r="D269" s="23" t="n">
        <v>11366.6241289527</v>
      </c>
      <c r="E269" s="15" t="n">
        <f aca="false">C269-D269</f>
        <v>27725.4653661295</v>
      </c>
      <c r="F269" s="23" t="n">
        <v>382.5</v>
      </c>
      <c r="G269" s="15" t="n">
        <f aca="false">E269+F269+H269-I269-J269-K269</f>
        <v>13652.4108058694</v>
      </c>
      <c r="H269" s="23" t="n">
        <v>13202.3111666667</v>
      </c>
      <c r="I269" s="23" t="n">
        <v>26054.302895</v>
      </c>
      <c r="J269" s="23" t="n">
        <v>1603.56283192684</v>
      </c>
      <c r="K269" s="23" t="n">
        <v>0</v>
      </c>
    </row>
    <row r="270" customFormat="false" ht="15" hidden="false" customHeight="false" outlineLevel="0" collapsed="false">
      <c r="A270" s="28" t="s">
        <v>198</v>
      </c>
      <c r="B270" s="23" t="n">
        <v>5</v>
      </c>
      <c r="C270" s="23" t="n">
        <v>39549.6310279803</v>
      </c>
      <c r="D270" s="23" t="n">
        <v>11716.1874465091</v>
      </c>
      <c r="E270" s="15" t="n">
        <f aca="false">C270-D270</f>
        <v>27833.4435814712</v>
      </c>
      <c r="F270" s="23" t="n">
        <v>360</v>
      </c>
      <c r="G270" s="15" t="n">
        <f aca="false">E270+F270+H270-I270-J270-K270</f>
        <v>13673.398172461</v>
      </c>
      <c r="H270" s="23" t="n">
        <v>13202.3111666667</v>
      </c>
      <c r="I270" s="23" t="n">
        <v>26118.79374375</v>
      </c>
      <c r="J270" s="23" t="n">
        <v>1603.56283192684</v>
      </c>
      <c r="K270" s="23" t="n">
        <v>0</v>
      </c>
    </row>
    <row r="271" customFormat="false" ht="15" hidden="false" customHeight="false" outlineLevel="0" collapsed="false">
      <c r="A271" s="28" t="s">
        <v>198</v>
      </c>
      <c r="B271" s="23" t="n">
        <v>6</v>
      </c>
      <c r="C271" s="23" t="n">
        <v>40018.3109025033</v>
      </c>
      <c r="D271" s="23" t="n">
        <v>12100.3456246377</v>
      </c>
      <c r="E271" s="15" t="n">
        <f aca="false">C271-D271</f>
        <v>27917.9652778655</v>
      </c>
      <c r="F271" s="23" t="n">
        <v>337.5</v>
      </c>
      <c r="G271" s="15" t="n">
        <f aca="false">E271+F271+H271-I271-J271-K271</f>
        <v>13670.9290201054</v>
      </c>
      <c r="H271" s="23" t="n">
        <v>13202.3111666667</v>
      </c>
      <c r="I271" s="23" t="n">
        <v>26183.2845925</v>
      </c>
      <c r="J271" s="23" t="n">
        <v>1603.56283192684</v>
      </c>
      <c r="K271" s="23" t="n">
        <v>0</v>
      </c>
    </row>
    <row r="272" customFormat="false" ht="15" hidden="false" customHeight="false" outlineLevel="0" collapsed="false">
      <c r="A272" s="28" t="s">
        <v>198</v>
      </c>
      <c r="B272" s="23" t="n">
        <v>7</v>
      </c>
      <c r="C272" s="23" t="n">
        <v>40498.965471174</v>
      </c>
      <c r="D272" s="23" t="n">
        <v>12520.4149787607</v>
      </c>
      <c r="E272" s="15" t="n">
        <f aca="false">C272-D272</f>
        <v>27978.5504924133</v>
      </c>
      <c r="F272" s="23" t="n">
        <v>315</v>
      </c>
      <c r="G272" s="15" t="n">
        <f aca="false">E272+F272+H272-I272-J272-K272</f>
        <v>13644.5233859031</v>
      </c>
      <c r="H272" s="23" t="n">
        <v>13202.3111666667</v>
      </c>
      <c r="I272" s="23" t="n">
        <v>26247.77544125</v>
      </c>
      <c r="J272" s="23" t="n">
        <v>1603.56283192684</v>
      </c>
      <c r="K272" s="23" t="n">
        <v>0</v>
      </c>
    </row>
    <row r="273" customFormat="false" ht="15" hidden="false" customHeight="false" outlineLevel="0" collapsed="false">
      <c r="A273" s="28" t="s">
        <v>198</v>
      </c>
      <c r="B273" s="23" t="n">
        <v>8</v>
      </c>
      <c r="C273" s="23" t="n">
        <v>40990.2520124253</v>
      </c>
      <c r="D273" s="23" t="n">
        <v>12954.2987118758</v>
      </c>
      <c r="E273" s="15" t="n">
        <f aca="false">C273-D273</f>
        <v>28035.9533005495</v>
      </c>
      <c r="F273" s="23" t="n">
        <v>292.5</v>
      </c>
      <c r="G273" s="15" t="n">
        <f aca="false">E273+F273+H273-I273-J273-K273</f>
        <v>-2385.06465471068</v>
      </c>
      <c r="H273" s="23" t="n">
        <v>13202.3111666667</v>
      </c>
      <c r="I273" s="23" t="n">
        <v>26312.26629</v>
      </c>
      <c r="J273" s="23" t="n">
        <v>1603.56283192684</v>
      </c>
      <c r="K273" s="23" t="n">
        <v>16000</v>
      </c>
    </row>
    <row r="274" customFormat="false" ht="15" hidden="false" customHeight="false" outlineLevel="0" collapsed="false">
      <c r="A274" s="28" t="s">
        <v>198</v>
      </c>
      <c r="B274" s="23" t="n">
        <v>9</v>
      </c>
      <c r="C274" s="23" t="n">
        <v>41493.0411592633</v>
      </c>
      <c r="D274" s="23" t="n">
        <v>13421.1885910345</v>
      </c>
      <c r="E274" s="15" t="n">
        <f aca="false">C274-D274</f>
        <v>28071.8525682288</v>
      </c>
      <c r="F274" s="23" t="n">
        <v>270</v>
      </c>
      <c r="G274" s="15" t="n">
        <f aca="false">E274+F274+H274-I274-J274-K274</f>
        <v>13563.8437642186</v>
      </c>
      <c r="H274" s="23" t="n">
        <v>13202.3111666667</v>
      </c>
      <c r="I274" s="23" t="n">
        <v>26376.75713875</v>
      </c>
      <c r="J274" s="23" t="n">
        <v>1603.56283192684</v>
      </c>
      <c r="K274" s="23" t="n">
        <v>0</v>
      </c>
    </row>
    <row r="275" customFormat="false" ht="15" hidden="false" customHeight="false" outlineLevel="0" collapsed="false">
      <c r="A275" s="28" t="s">
        <v>198</v>
      </c>
      <c r="B275" s="23" t="n">
        <v>10</v>
      </c>
      <c r="C275" s="23" t="n">
        <v>42056.9961947094</v>
      </c>
      <c r="D275" s="23" t="n">
        <v>13922.400931659</v>
      </c>
      <c r="E275" s="15" t="n">
        <f aca="false">C275-D275</f>
        <v>28134.5952630503</v>
      </c>
      <c r="F275" s="23" t="n">
        <v>247.5</v>
      </c>
      <c r="G275" s="15" t="n">
        <f aca="false">E275+F275+H275-I275-J275-K275</f>
        <v>13539.5956102902</v>
      </c>
      <c r="H275" s="23" t="n">
        <v>13202.3111666667</v>
      </c>
      <c r="I275" s="23" t="n">
        <v>26441.2479875</v>
      </c>
      <c r="J275" s="23" t="n">
        <v>1603.56283192684</v>
      </c>
      <c r="K275" s="23" t="n">
        <v>0</v>
      </c>
    </row>
    <row r="276" customFormat="false" ht="15" hidden="false" customHeight="false" outlineLevel="0" collapsed="false">
      <c r="A276" s="28" t="s">
        <v>198</v>
      </c>
      <c r="B276" s="23" t="n">
        <v>11</v>
      </c>
      <c r="C276" s="23" t="n">
        <v>42581.0767090609</v>
      </c>
      <c r="D276" s="23" t="n">
        <v>14442.0186019677</v>
      </c>
      <c r="E276" s="15" t="n">
        <f aca="false">C276-D276</f>
        <v>28139.0581070932</v>
      </c>
      <c r="F276" s="23" t="n">
        <v>225</v>
      </c>
      <c r="G276" s="15" t="n">
        <f aca="false">E276+F276+H276-I276-J276-K276</f>
        <v>13457.067605583</v>
      </c>
      <c r="H276" s="23" t="n">
        <v>13202.3111666667</v>
      </c>
      <c r="I276" s="23" t="n">
        <v>26505.73883625</v>
      </c>
      <c r="J276" s="23" t="n">
        <v>1603.56283192684</v>
      </c>
      <c r="K276" s="23" t="n">
        <v>0</v>
      </c>
    </row>
    <row r="277" customFormat="false" ht="15" hidden="false" customHeight="false" outlineLevel="0" collapsed="false">
      <c r="A277" s="28" t="s">
        <v>198</v>
      </c>
      <c r="B277" s="23" t="n">
        <v>12</v>
      </c>
      <c r="C277" s="23" t="n">
        <v>43114.9791280086</v>
      </c>
      <c r="D277" s="23" t="n">
        <v>14996.3024647911</v>
      </c>
      <c r="E277" s="15" t="n">
        <f aca="false">C277-D277</f>
        <v>28118.6766632174</v>
      </c>
      <c r="F277" s="23" t="n">
        <v>202.5</v>
      </c>
      <c r="G277" s="15" t="n">
        <f aca="false">E277+F277+H277-I277-J277-K277</f>
        <v>13349.6953129573</v>
      </c>
      <c r="H277" s="23" t="n">
        <v>13202.3111666667</v>
      </c>
      <c r="I277" s="23" t="n">
        <v>26570.229685</v>
      </c>
      <c r="J277" s="23" t="n">
        <v>1603.56283192684</v>
      </c>
      <c r="K277" s="23" t="n">
        <v>0</v>
      </c>
    </row>
    <row r="278" customFormat="false" ht="15" hidden="false" customHeight="false" outlineLevel="0" collapsed="false">
      <c r="A278" s="28" t="s">
        <v>198</v>
      </c>
      <c r="B278" s="23" t="n">
        <v>13</v>
      </c>
      <c r="C278" s="23" t="n">
        <v>43665.975513205</v>
      </c>
      <c r="D278" s="23" t="n">
        <v>15490.570381396</v>
      </c>
      <c r="E278" s="15" t="n">
        <f aca="false">C278-D278</f>
        <v>28175.405131809</v>
      </c>
      <c r="F278" s="23" t="n">
        <v>180</v>
      </c>
      <c r="G278" s="15" t="n">
        <f aca="false">E278+F278+H278-I278-J278-K278</f>
        <v>13319.4329327988</v>
      </c>
      <c r="H278" s="23" t="n">
        <v>13202.3111666667</v>
      </c>
      <c r="I278" s="23" t="n">
        <v>26634.72053375</v>
      </c>
      <c r="J278" s="23" t="n">
        <v>1603.56283192684</v>
      </c>
      <c r="K278" s="23" t="n">
        <v>0</v>
      </c>
    </row>
    <row r="279" customFormat="false" ht="15" hidden="false" customHeight="false" outlineLevel="0" collapsed="false">
      <c r="A279" s="28" t="s">
        <v>198</v>
      </c>
      <c r="B279" s="23" t="n">
        <v>14</v>
      </c>
      <c r="C279" s="23" t="n">
        <v>43882.3164308284</v>
      </c>
      <c r="D279" s="23" t="n">
        <v>15999.8291433667</v>
      </c>
      <c r="E279" s="15" t="n">
        <f aca="false">C279-D279</f>
        <v>27882.4872874616</v>
      </c>
      <c r="F279" s="23" t="n">
        <v>180</v>
      </c>
      <c r="G279" s="15" t="n">
        <f aca="false">E279+F279+H279-I279-J279-K279</f>
        <v>12962.0242397015</v>
      </c>
      <c r="H279" s="23" t="n">
        <v>13202.3111666667</v>
      </c>
      <c r="I279" s="23" t="n">
        <v>26699.2113825</v>
      </c>
      <c r="J279" s="23" t="n">
        <v>1603.56283192684</v>
      </c>
      <c r="K279" s="23" t="n">
        <v>0</v>
      </c>
    </row>
    <row r="280" customFormat="false" ht="15" hidden="false" customHeight="false" outlineLevel="0" collapsed="false">
      <c r="A280" s="28" t="s">
        <v>198</v>
      </c>
      <c r="B280" s="23" t="n">
        <v>15</v>
      </c>
      <c r="C280" s="23" t="n">
        <v>44095.9266560143</v>
      </c>
      <c r="D280" s="23" t="n">
        <v>16360.540916836</v>
      </c>
      <c r="E280" s="15" t="n">
        <f aca="false">C280-D280</f>
        <v>27735.3857391782</v>
      </c>
      <c r="F280" s="23" t="n">
        <v>180</v>
      </c>
      <c r="G280" s="15" t="n">
        <f aca="false">E280+F280+H280-I280-J280-K280</f>
        <v>12750.4318426681</v>
      </c>
      <c r="H280" s="23" t="n">
        <v>13202.3111666667</v>
      </c>
      <c r="I280" s="23" t="n">
        <v>26763.70223125</v>
      </c>
      <c r="J280" s="23" t="n">
        <v>1603.56283192684</v>
      </c>
      <c r="K280" s="23" t="n">
        <v>0</v>
      </c>
    </row>
    <row r="281" customFormat="false" ht="15" hidden="false" customHeight="false" outlineLevel="0" collapsed="false">
      <c r="A281" s="28" t="s">
        <v>198</v>
      </c>
      <c r="B281" s="23" t="n">
        <v>16</v>
      </c>
      <c r="C281" s="23" t="n">
        <v>44768.797687718</v>
      </c>
      <c r="D281" s="23" t="n">
        <v>16640.3211283751</v>
      </c>
      <c r="E281" s="15" t="n">
        <f aca="false">C281-D281</f>
        <v>28128.4765593429</v>
      </c>
      <c r="F281" s="23" t="n">
        <v>180</v>
      </c>
      <c r="G281" s="15" t="n">
        <f aca="false">E281+F281+H281-I281-J281-K281</f>
        <v>13079.0318140828</v>
      </c>
      <c r="H281" s="23" t="n">
        <v>13202.3111666667</v>
      </c>
      <c r="I281" s="23" t="n">
        <v>26828.19308</v>
      </c>
      <c r="J281" s="23" t="n">
        <v>1603.56283192684</v>
      </c>
      <c r="K281" s="23" t="n">
        <v>0</v>
      </c>
    </row>
    <row r="282" customFormat="false" ht="15" hidden="false" customHeight="false" outlineLevel="0" collapsed="false">
      <c r="A282" s="28" t="s">
        <v>198</v>
      </c>
      <c r="B282" s="23" t="n">
        <v>17</v>
      </c>
      <c r="C282" s="23" t="n">
        <v>44976.2441149636</v>
      </c>
      <c r="D282" s="23" t="n">
        <v>16843.935727355</v>
      </c>
      <c r="E282" s="15" t="n">
        <f aca="false">C282-D282</f>
        <v>28132.3083876086</v>
      </c>
      <c r="F282" s="23" t="n">
        <v>180</v>
      </c>
      <c r="G282" s="15" t="n">
        <f aca="false">E282+F282+H282-I282-J282-K282</f>
        <v>13018.3727935984</v>
      </c>
      <c r="H282" s="23" t="n">
        <v>13202.3111666667</v>
      </c>
      <c r="I282" s="23" t="n">
        <v>26892.68392875</v>
      </c>
      <c r="J282" s="23" t="n">
        <v>1603.56283192684</v>
      </c>
      <c r="K282" s="23" t="n">
        <v>0</v>
      </c>
    </row>
    <row r="283" customFormat="false" ht="15" hidden="false" customHeight="false" outlineLevel="0" collapsed="false">
      <c r="A283" s="28" t="s">
        <v>198</v>
      </c>
      <c r="B283" s="23" t="n">
        <v>18</v>
      </c>
      <c r="C283" s="23" t="n">
        <v>45180.8054480361</v>
      </c>
      <c r="D283" s="23" t="n">
        <v>17029.3939799293</v>
      </c>
      <c r="E283" s="15" t="n">
        <f aca="false">C283-D283</f>
        <v>28151.4114681068</v>
      </c>
      <c r="F283" s="23" t="n">
        <v>180</v>
      </c>
      <c r="G283" s="15" t="n">
        <f aca="false">E283+F283+H283-I283-J283-K283</f>
        <v>12972.9850253466</v>
      </c>
      <c r="H283" s="23" t="n">
        <v>13202.3111666667</v>
      </c>
      <c r="I283" s="23" t="n">
        <v>26957.1747775</v>
      </c>
      <c r="J283" s="23" t="n">
        <v>1603.56283192684</v>
      </c>
      <c r="K283" s="23" t="n">
        <v>0</v>
      </c>
    </row>
    <row r="284" customFormat="false" ht="15" hidden="false" customHeight="false" outlineLevel="0" collapsed="false">
      <c r="A284" s="28" t="s">
        <v>198</v>
      </c>
      <c r="B284" s="23" t="n">
        <v>19</v>
      </c>
      <c r="C284" s="23" t="n">
        <v>45382.5206703773</v>
      </c>
      <c r="D284" s="23" t="n">
        <v>17196.6958860981</v>
      </c>
      <c r="E284" s="15" t="n">
        <f aca="false">C284-D284</f>
        <v>28185.8247842792</v>
      </c>
      <c r="F284" s="23" t="n">
        <v>180</v>
      </c>
      <c r="G284" s="15" t="n">
        <f aca="false">E284+F284+H284-I284-J284-K284</f>
        <v>12942.907492769</v>
      </c>
      <c r="H284" s="23" t="n">
        <v>13202.3111666667</v>
      </c>
      <c r="I284" s="23" t="n">
        <v>27021.66562625</v>
      </c>
      <c r="J284" s="23" t="n">
        <v>1603.56283192684</v>
      </c>
      <c r="K284" s="23" t="n">
        <v>0</v>
      </c>
    </row>
    <row r="285" customFormat="false" ht="15" hidden="false" customHeight="false" outlineLevel="0" collapsed="false">
      <c r="A285" s="28" t="s">
        <v>198</v>
      </c>
      <c r="B285" s="23" t="n">
        <v>20</v>
      </c>
      <c r="C285" s="23" t="n">
        <v>45581.4282461857</v>
      </c>
      <c r="D285" s="23" t="n">
        <v>17299.0999165461</v>
      </c>
      <c r="E285" s="15" t="n">
        <f aca="false">C285-D285</f>
        <v>28282.3283296395</v>
      </c>
      <c r="F285" s="23" t="n">
        <v>180</v>
      </c>
      <c r="G285" s="15" t="n">
        <f aca="false">E285+F285+H285-I285-J285-K285</f>
        <v>-3025.07981062065</v>
      </c>
      <c r="H285" s="23" t="n">
        <v>13202.3111666667</v>
      </c>
      <c r="I285" s="23" t="n">
        <v>27086.156475</v>
      </c>
      <c r="J285" s="23" t="n">
        <v>1603.56283192684</v>
      </c>
      <c r="K285" s="23" t="n">
        <v>16000</v>
      </c>
    </row>
    <row r="286" customFormat="false" ht="15" hidden="false" customHeight="false" outlineLevel="0" collapsed="false">
      <c r="A286" s="28" t="s">
        <v>198</v>
      </c>
      <c r="B286" s="23" t="n">
        <v>21</v>
      </c>
      <c r="C286" s="23" t="n">
        <v>45777.5661278905</v>
      </c>
      <c r="D286" s="23" t="n">
        <v>17388.8852613838</v>
      </c>
      <c r="E286" s="15" t="n">
        <f aca="false">C286-D286</f>
        <v>28388.6808665067</v>
      </c>
      <c r="F286" s="23" t="n">
        <v>180</v>
      </c>
      <c r="G286" s="15" t="n">
        <f aca="false">E286+F286+H286-I286-J286-K286</f>
        <v>13016.7818774965</v>
      </c>
      <c r="H286" s="23" t="n">
        <v>13202.3111666667</v>
      </c>
      <c r="I286" s="23" t="n">
        <v>27150.64732375</v>
      </c>
      <c r="J286" s="23" t="n">
        <v>1603.56283192684</v>
      </c>
      <c r="K286" s="23" t="n">
        <v>0</v>
      </c>
    </row>
    <row r="287" customFormat="false" ht="15" hidden="false" customHeight="false" outlineLevel="0" collapsed="false">
      <c r="A287" s="28" t="s">
        <v>198</v>
      </c>
      <c r="B287" s="23" t="n">
        <v>22</v>
      </c>
      <c r="C287" s="23" t="n">
        <v>45970.9717635024</v>
      </c>
      <c r="D287" s="23" t="n">
        <v>17466.051920611</v>
      </c>
      <c r="E287" s="15" t="n">
        <f aca="false">C287-D287</f>
        <v>28504.9198428914</v>
      </c>
      <c r="F287" s="23" t="n">
        <v>180</v>
      </c>
      <c r="G287" s="15" t="n">
        <f aca="false">E287+F287+H287-I287-J287-K287</f>
        <v>13068.5300051313</v>
      </c>
      <c r="H287" s="23" t="n">
        <v>13202.3111666667</v>
      </c>
      <c r="I287" s="23" t="n">
        <v>27215.1381725</v>
      </c>
      <c r="J287" s="23" t="n">
        <v>1603.56283192684</v>
      </c>
      <c r="K287" s="23" t="n">
        <v>0</v>
      </c>
    </row>
    <row r="288" customFormat="false" ht="15" hidden="false" customHeight="false" outlineLevel="0" collapsed="false">
      <c r="A288" s="28" t="s">
        <v>198</v>
      </c>
      <c r="B288" s="23" t="n">
        <v>23</v>
      </c>
      <c r="C288" s="23" t="n">
        <v>46161.6821038428</v>
      </c>
      <c r="D288" s="23" t="n">
        <v>17523.7331948418</v>
      </c>
      <c r="E288" s="15" t="n">
        <f aca="false">C288-D288</f>
        <v>28637.948909001</v>
      </c>
      <c r="F288" s="23" t="n">
        <v>180</v>
      </c>
      <c r="G288" s="15" t="n">
        <f aca="false">E288+F288+H288-I288-J288-K288</f>
        <v>13137.0682224908</v>
      </c>
      <c r="H288" s="23" t="n">
        <v>13202.3111666667</v>
      </c>
      <c r="I288" s="23" t="n">
        <v>27279.62902125</v>
      </c>
      <c r="J288" s="23" t="n">
        <v>1603.56283192684</v>
      </c>
      <c r="K288" s="23" t="n">
        <v>0</v>
      </c>
    </row>
    <row r="289" customFormat="false" ht="15" hidden="false" customHeight="false" outlineLevel="0" collapsed="false">
      <c r="A289" s="28" t="s">
        <v>198</v>
      </c>
      <c r="B289" s="23" t="n">
        <v>24</v>
      </c>
      <c r="C289" s="23" t="n">
        <v>46349.733609654</v>
      </c>
      <c r="D289" s="23" t="n">
        <v>17571.0846832576</v>
      </c>
      <c r="E289" s="15" t="n">
        <f aca="false">C289-D289</f>
        <v>28778.6489263964</v>
      </c>
      <c r="F289" s="23" t="n">
        <v>180</v>
      </c>
      <c r="G289" s="15" t="n">
        <f aca="false">E289+F289+H289-I289-J289-K289</f>
        <v>13213.2773911362</v>
      </c>
      <c r="H289" s="23" t="n">
        <v>13202.3111666667</v>
      </c>
      <c r="I289" s="23" t="n">
        <v>27344.11987</v>
      </c>
      <c r="J289" s="23" t="n">
        <v>1603.56283192684</v>
      </c>
      <c r="K289" s="23" t="n">
        <v>0</v>
      </c>
    </row>
    <row r="290" customFormat="false" ht="15" hidden="false" customHeight="false" outlineLevel="0" collapsed="false">
      <c r="A290" s="28" t="s">
        <v>200</v>
      </c>
      <c r="B290" s="23" t="n">
        <v>1</v>
      </c>
      <c r="C290" s="23" t="n">
        <v>38830.76550262</v>
      </c>
      <c r="D290" s="23" t="n">
        <v>10932.2899629384</v>
      </c>
      <c r="E290" s="15" t="n">
        <f aca="false">C290-D290</f>
        <v>27898.4755396815</v>
      </c>
      <c r="F290" s="23" t="n">
        <v>247.5</v>
      </c>
      <c r="G290" s="15" t="n">
        <f aca="false">E290+F290+H290-I290-J290-K290</f>
        <v>13883.8935256714</v>
      </c>
      <c r="H290" s="23" t="n">
        <v>13202.3111666667</v>
      </c>
      <c r="I290" s="23" t="n">
        <v>25860.83034875</v>
      </c>
      <c r="J290" s="23" t="n">
        <v>1603.56283192684</v>
      </c>
      <c r="K290" s="23" t="n">
        <v>0</v>
      </c>
    </row>
    <row r="291" customFormat="false" ht="15" hidden="false" customHeight="false" outlineLevel="0" collapsed="false">
      <c r="A291" s="28" t="s">
        <v>200</v>
      </c>
      <c r="B291" s="23" t="n">
        <v>2</v>
      </c>
      <c r="C291" s="23" t="n">
        <v>38974.3495915818</v>
      </c>
      <c r="D291" s="23" t="n">
        <v>11434.1805108967</v>
      </c>
      <c r="E291" s="15" t="n">
        <f aca="false">C291-D291</f>
        <v>27540.1690806851</v>
      </c>
      <c r="F291" s="23" t="n">
        <v>247.5</v>
      </c>
      <c r="G291" s="15" t="n">
        <f aca="false">E291+F291+H291-I291-J291-K291</f>
        <v>13461.0962179249</v>
      </c>
      <c r="H291" s="23" t="n">
        <v>13202.3111666667</v>
      </c>
      <c r="I291" s="23" t="n">
        <v>25925.3211975</v>
      </c>
      <c r="J291" s="23" t="n">
        <v>1603.56283192684</v>
      </c>
      <c r="K291" s="23" t="n">
        <v>0</v>
      </c>
    </row>
    <row r="292" customFormat="false" ht="15" hidden="false" customHeight="false" outlineLevel="0" collapsed="false">
      <c r="A292" s="28" t="s">
        <v>200</v>
      </c>
      <c r="B292" s="23" t="n">
        <v>3</v>
      </c>
      <c r="C292" s="23" t="n">
        <v>39118.6694338849</v>
      </c>
      <c r="D292" s="23" t="n">
        <v>11707.0776554642</v>
      </c>
      <c r="E292" s="15" t="n">
        <f aca="false">C292-D292</f>
        <v>27411.5917784207</v>
      </c>
      <c r="F292" s="23" t="n">
        <v>247.5</v>
      </c>
      <c r="G292" s="15" t="n">
        <f aca="false">E292+F292+H292-I292-J292-K292</f>
        <v>13268.0280669105</v>
      </c>
      <c r="H292" s="23" t="n">
        <v>13202.3111666667</v>
      </c>
      <c r="I292" s="23" t="n">
        <v>25989.81204625</v>
      </c>
      <c r="J292" s="23" t="n">
        <v>1603.56283192684</v>
      </c>
      <c r="K292" s="23" t="n">
        <v>0</v>
      </c>
    </row>
    <row r="293" customFormat="false" ht="15" hidden="false" customHeight="false" outlineLevel="0" collapsed="false">
      <c r="A293" s="28" t="s">
        <v>200</v>
      </c>
      <c r="B293" s="23" t="n">
        <v>4</v>
      </c>
      <c r="C293" s="23" t="n">
        <v>39258.8392599154</v>
      </c>
      <c r="D293" s="23" t="n">
        <v>11882.4865178436</v>
      </c>
      <c r="E293" s="15" t="n">
        <f aca="false">C293-D293</f>
        <v>27376.3527420718</v>
      </c>
      <c r="F293" s="23" t="n">
        <v>247.5</v>
      </c>
      <c r="G293" s="15" t="n">
        <f aca="false">E293+F293+H293-I293-J293-K293</f>
        <v>13168.2981818116</v>
      </c>
      <c r="H293" s="23" t="n">
        <v>13202.3111666667</v>
      </c>
      <c r="I293" s="23" t="n">
        <v>26054.302895</v>
      </c>
      <c r="J293" s="23" t="n">
        <v>1603.56283192684</v>
      </c>
      <c r="K293" s="23" t="n">
        <v>0</v>
      </c>
    </row>
    <row r="294" customFormat="false" ht="15" hidden="false" customHeight="false" outlineLevel="0" collapsed="false">
      <c r="A294" s="28" t="s">
        <v>200</v>
      </c>
      <c r="B294" s="23" t="n">
        <v>5</v>
      </c>
      <c r="C294" s="23" t="n">
        <v>39397.3362222112</v>
      </c>
      <c r="D294" s="23" t="n">
        <v>11966.5523934515</v>
      </c>
      <c r="E294" s="15" t="n">
        <f aca="false">C294-D294</f>
        <v>27430.7838287597</v>
      </c>
      <c r="F294" s="23" t="n">
        <v>247.5</v>
      </c>
      <c r="G294" s="15" t="n">
        <f aca="false">E294+F294+H294-I294-J294-K294</f>
        <v>13158.2384197495</v>
      </c>
      <c r="H294" s="23" t="n">
        <v>13202.3111666667</v>
      </c>
      <c r="I294" s="23" t="n">
        <v>26118.79374375</v>
      </c>
      <c r="J294" s="23" t="n">
        <v>1603.56283192684</v>
      </c>
      <c r="K294" s="23" t="n">
        <v>0</v>
      </c>
    </row>
    <row r="295" customFormat="false" ht="15" hidden="false" customHeight="false" outlineLevel="0" collapsed="false">
      <c r="A295" s="28" t="s">
        <v>200</v>
      </c>
      <c r="B295" s="23" t="n">
        <v>6</v>
      </c>
      <c r="C295" s="23" t="n">
        <v>39534.1827019066</v>
      </c>
      <c r="D295" s="23" t="n">
        <v>12050.6182690594</v>
      </c>
      <c r="E295" s="15" t="n">
        <f aca="false">C295-D295</f>
        <v>27483.5644328472</v>
      </c>
      <c r="F295" s="23" t="n">
        <v>247.5</v>
      </c>
      <c r="G295" s="15" t="n">
        <f aca="false">E295+F295+H295-I295-J295-K295</f>
        <v>13146.528175087</v>
      </c>
      <c r="H295" s="23" t="n">
        <v>13202.3111666667</v>
      </c>
      <c r="I295" s="23" t="n">
        <v>26183.2845925</v>
      </c>
      <c r="J295" s="23" t="n">
        <v>1603.56283192684</v>
      </c>
      <c r="K295" s="23" t="n">
        <v>0</v>
      </c>
    </row>
    <row r="296" customFormat="false" ht="15" hidden="false" customHeight="false" outlineLevel="0" collapsed="false">
      <c r="A296" s="28" t="s">
        <v>200</v>
      </c>
      <c r="B296" s="23" t="n">
        <v>7</v>
      </c>
      <c r="C296" s="23" t="n">
        <v>39669.4007393227</v>
      </c>
      <c r="D296" s="23" t="n">
        <v>12134.6841446673</v>
      </c>
      <c r="E296" s="15" t="n">
        <f aca="false">C296-D296</f>
        <v>27534.7165946554</v>
      </c>
      <c r="F296" s="23" t="n">
        <v>247.5</v>
      </c>
      <c r="G296" s="15" t="n">
        <f aca="false">E296+F296+H296-I296-J296-K296</f>
        <v>13133.1894881452</v>
      </c>
      <c r="H296" s="23" t="n">
        <v>13202.3111666667</v>
      </c>
      <c r="I296" s="23" t="n">
        <v>26247.77544125</v>
      </c>
      <c r="J296" s="23" t="n">
        <v>1603.56283192684</v>
      </c>
      <c r="K296" s="23" t="n">
        <v>0</v>
      </c>
    </row>
    <row r="297" customFormat="false" ht="15" hidden="false" customHeight="false" outlineLevel="0" collapsed="false">
      <c r="A297" s="28" t="s">
        <v>200</v>
      </c>
      <c r="B297" s="23" t="n">
        <v>8</v>
      </c>
      <c r="C297" s="23" t="n">
        <v>39803.0120396067</v>
      </c>
      <c r="D297" s="23" t="n">
        <v>12209.3940467922</v>
      </c>
      <c r="E297" s="15" t="n">
        <f aca="false">C297-D297</f>
        <v>27593.6179928145</v>
      </c>
      <c r="F297" s="23" t="n">
        <v>247.5</v>
      </c>
      <c r="G297" s="15" t="n">
        <f aca="false">E297+F297+H297-I297-J297-K297</f>
        <v>-2872.39996244565</v>
      </c>
      <c r="H297" s="23" t="n">
        <v>13202.3111666667</v>
      </c>
      <c r="I297" s="23" t="n">
        <v>26312.26629</v>
      </c>
      <c r="J297" s="23" t="n">
        <v>1603.56283192684</v>
      </c>
      <c r="K297" s="23" t="n">
        <v>16000</v>
      </c>
    </row>
    <row r="298" customFormat="false" ht="15" hidden="false" customHeight="false" outlineLevel="0" collapsed="false">
      <c r="A298" s="28" t="s">
        <v>200</v>
      </c>
      <c r="B298" s="23" t="n">
        <v>9</v>
      </c>
      <c r="C298" s="23" t="n">
        <v>39935.0379782721</v>
      </c>
      <c r="D298" s="23" t="n">
        <v>12284.1039489171</v>
      </c>
      <c r="E298" s="15" t="n">
        <f aca="false">C298-D298</f>
        <v>27650.934029355</v>
      </c>
      <c r="F298" s="23" t="n">
        <v>247.5</v>
      </c>
      <c r="G298" s="15" t="n">
        <f aca="false">E298+F298+H298-I298-J298-K298</f>
        <v>13120.4252253448</v>
      </c>
      <c r="H298" s="23" t="n">
        <v>13202.3111666667</v>
      </c>
      <c r="I298" s="23" t="n">
        <v>26376.75713875</v>
      </c>
      <c r="J298" s="23" t="n">
        <v>1603.56283192684</v>
      </c>
      <c r="K298" s="23" t="n">
        <v>0</v>
      </c>
    </row>
    <row r="299" customFormat="false" ht="15" hidden="false" customHeight="false" outlineLevel="0" collapsed="false">
      <c r="A299" s="28" t="s">
        <v>200</v>
      </c>
      <c r="B299" s="23" t="n">
        <v>10</v>
      </c>
      <c r="C299" s="23" t="n">
        <v>40089.2282391187</v>
      </c>
      <c r="D299" s="23" t="n">
        <v>12358.813851042</v>
      </c>
      <c r="E299" s="15" t="n">
        <f aca="false">C299-D299</f>
        <v>27730.4143880767</v>
      </c>
      <c r="F299" s="23" t="n">
        <v>247.5</v>
      </c>
      <c r="G299" s="15" t="n">
        <f aca="false">E299+F299+H299-I299-J299-K299</f>
        <v>13135.4147353165</v>
      </c>
      <c r="H299" s="23" t="n">
        <v>13202.3111666667</v>
      </c>
      <c r="I299" s="23" t="n">
        <v>26441.2479875</v>
      </c>
      <c r="J299" s="23" t="n">
        <v>1603.56283192684</v>
      </c>
      <c r="K299" s="23" t="n">
        <v>0</v>
      </c>
    </row>
    <row r="300" customFormat="false" ht="15" hidden="false" customHeight="false" outlineLevel="0" collapsed="false">
      <c r="A300" s="28" t="s">
        <v>200</v>
      </c>
      <c r="B300" s="23" t="n">
        <v>11</v>
      </c>
      <c r="C300" s="23" t="n">
        <v>40218.1462896646</v>
      </c>
      <c r="D300" s="23" t="n">
        <v>12428.9672894448</v>
      </c>
      <c r="E300" s="15" t="n">
        <f aca="false">C300-D300</f>
        <v>27789.1790002197</v>
      </c>
      <c r="F300" s="23" t="n">
        <v>247.5</v>
      </c>
      <c r="G300" s="15" t="n">
        <f aca="false">E300+F300+H300-I300-J300-K300</f>
        <v>13129.6884987096</v>
      </c>
      <c r="H300" s="23" t="n">
        <v>13202.3111666667</v>
      </c>
      <c r="I300" s="23" t="n">
        <v>26505.73883625</v>
      </c>
      <c r="J300" s="23" t="n">
        <v>1603.56283192684</v>
      </c>
      <c r="K300" s="23" t="n">
        <v>0</v>
      </c>
    </row>
    <row r="301" customFormat="false" ht="15" hidden="false" customHeight="false" outlineLevel="0" collapsed="false">
      <c r="A301" s="28" t="s">
        <v>200</v>
      </c>
      <c r="B301" s="23" t="n">
        <v>12</v>
      </c>
      <c r="C301" s="23" t="n">
        <v>40345.5411812699</v>
      </c>
      <c r="D301" s="23" t="n">
        <v>12499.1207278476</v>
      </c>
      <c r="E301" s="15" t="n">
        <f aca="false">C301-D301</f>
        <v>27846.4204534223</v>
      </c>
      <c r="F301" s="23" t="n">
        <v>247.5</v>
      </c>
      <c r="G301" s="15" t="n">
        <f aca="false">E301+F301+H301-I301-J301-K301</f>
        <v>13122.4391031621</v>
      </c>
      <c r="H301" s="23" t="n">
        <v>13202.3111666667</v>
      </c>
      <c r="I301" s="23" t="n">
        <v>26570.229685</v>
      </c>
      <c r="J301" s="23" t="n">
        <v>1603.56283192684</v>
      </c>
      <c r="K301" s="23" t="n">
        <v>0</v>
      </c>
    </row>
    <row r="302" customFormat="false" ht="15" hidden="false" customHeight="false" outlineLevel="0" collapsed="false">
      <c r="A302" s="28" t="s">
        <v>200</v>
      </c>
      <c r="B302" s="23" t="n">
        <v>13</v>
      </c>
      <c r="C302" s="23" t="n">
        <v>40471.4330243821</v>
      </c>
      <c r="D302" s="23" t="n">
        <v>12551.2201923246</v>
      </c>
      <c r="E302" s="15" t="n">
        <f aca="false">C302-D302</f>
        <v>27920.2128320575</v>
      </c>
      <c r="F302" s="23" t="n">
        <v>247.5</v>
      </c>
      <c r="G302" s="15" t="n">
        <f aca="false">E302+F302+H302-I302-J302-K302</f>
        <v>13131.7406330473</v>
      </c>
      <c r="H302" s="23" t="n">
        <v>13202.3111666667</v>
      </c>
      <c r="I302" s="23" t="n">
        <v>26634.72053375</v>
      </c>
      <c r="J302" s="23" t="n">
        <v>1603.56283192684</v>
      </c>
      <c r="K302" s="23" t="n">
        <v>0</v>
      </c>
    </row>
    <row r="303" customFormat="false" ht="15" hidden="false" customHeight="false" outlineLevel="0" collapsed="false">
      <c r="A303" s="28" t="s">
        <v>200</v>
      </c>
      <c r="B303" s="23" t="n">
        <v>14</v>
      </c>
      <c r="C303" s="23" t="n">
        <v>40595.8416260835</v>
      </c>
      <c r="D303" s="23" t="n">
        <v>12566.4079256324</v>
      </c>
      <c r="E303" s="15" t="n">
        <f aca="false">C303-D303</f>
        <v>28029.4337004511</v>
      </c>
      <c r="F303" s="23" t="n">
        <v>247.5</v>
      </c>
      <c r="G303" s="15" t="n">
        <f aca="false">E303+F303+H303-I303-J303-K303</f>
        <v>13176.4706526909</v>
      </c>
      <c r="H303" s="23" t="n">
        <v>13202.3111666667</v>
      </c>
      <c r="I303" s="23" t="n">
        <v>26699.2113825</v>
      </c>
      <c r="J303" s="23" t="n">
        <v>1603.56283192684</v>
      </c>
      <c r="K303" s="23" t="n">
        <v>0</v>
      </c>
    </row>
    <row r="304" customFormat="false" ht="15" hidden="false" customHeight="false" outlineLevel="0" collapsed="false">
      <c r="A304" s="28" t="s">
        <v>200</v>
      </c>
      <c r="B304" s="23" t="n">
        <v>15</v>
      </c>
      <c r="C304" s="23" t="n">
        <v>40718.7864950718</v>
      </c>
      <c r="D304" s="23" t="n">
        <v>12581.5956589403</v>
      </c>
      <c r="E304" s="15" t="n">
        <f aca="false">C304-D304</f>
        <v>28137.1908361316</v>
      </c>
      <c r="F304" s="23" t="n">
        <v>247.5</v>
      </c>
      <c r="G304" s="15" t="n">
        <f aca="false">E304+F304+H304-I304-J304-K304</f>
        <v>13219.7369396214</v>
      </c>
      <c r="H304" s="23" t="n">
        <v>13202.3111666667</v>
      </c>
      <c r="I304" s="23" t="n">
        <v>26763.70223125</v>
      </c>
      <c r="J304" s="23" t="n">
        <v>1603.56283192684</v>
      </c>
      <c r="K304" s="23" t="n">
        <v>0</v>
      </c>
    </row>
    <row r="305" customFormat="false" ht="15" hidden="false" customHeight="false" outlineLevel="0" collapsed="false">
      <c r="A305" s="28" t="s">
        <v>200</v>
      </c>
      <c r="B305" s="23" t="n">
        <v>16</v>
      </c>
      <c r="C305" s="23" t="n">
        <v>41201.291120057</v>
      </c>
      <c r="D305" s="23" t="n">
        <v>12596.7833922481</v>
      </c>
      <c r="E305" s="15" t="n">
        <f aca="false">C305-D305</f>
        <v>28604.5077278089</v>
      </c>
      <c r="F305" s="23" t="n">
        <v>247.5</v>
      </c>
      <c r="G305" s="15" t="n">
        <f aca="false">E305+F305+H305-I305-J305-K305</f>
        <v>13622.5629825487</v>
      </c>
      <c r="H305" s="23" t="n">
        <v>13202.3111666667</v>
      </c>
      <c r="I305" s="23" t="n">
        <v>26828.19308</v>
      </c>
      <c r="J305" s="23" t="n">
        <v>1603.56283192684</v>
      </c>
      <c r="K305" s="23" t="n">
        <v>0</v>
      </c>
    </row>
    <row r="306" customFormat="false" ht="15" hidden="false" customHeight="false" outlineLevel="0" collapsed="false">
      <c r="A306" s="28" t="s">
        <v>200</v>
      </c>
      <c r="B306" s="23" t="n">
        <v>17</v>
      </c>
      <c r="C306" s="23" t="n">
        <v>41321.3658805517</v>
      </c>
      <c r="D306" s="23" t="n">
        <v>12611.9711255559</v>
      </c>
      <c r="E306" s="15" t="n">
        <f aca="false">C306-D306</f>
        <v>28709.3947549957</v>
      </c>
      <c r="F306" s="23" t="n">
        <v>247.5</v>
      </c>
      <c r="G306" s="15" t="n">
        <f aca="false">E306+F306+H306-I306-J306-K306</f>
        <v>13662.9591609856</v>
      </c>
      <c r="H306" s="23" t="n">
        <v>13202.3111666667</v>
      </c>
      <c r="I306" s="23" t="n">
        <v>26892.68392875</v>
      </c>
      <c r="J306" s="23" t="n">
        <v>1603.56283192684</v>
      </c>
      <c r="K306" s="23" t="n">
        <v>0</v>
      </c>
    </row>
    <row r="307" customFormat="false" ht="15" hidden="false" customHeight="false" outlineLevel="0" collapsed="false">
      <c r="A307" s="28" t="s">
        <v>200</v>
      </c>
      <c r="B307" s="23" t="n">
        <v>18</v>
      </c>
      <c r="C307" s="23" t="n">
        <v>41440.0336926201</v>
      </c>
      <c r="D307" s="23" t="n">
        <v>12627.1588588638</v>
      </c>
      <c r="E307" s="15" t="n">
        <f aca="false">C307-D307</f>
        <v>28812.8748337564</v>
      </c>
      <c r="F307" s="23" t="n">
        <v>247.5</v>
      </c>
      <c r="G307" s="15" t="n">
        <f aca="false">E307+F307+H307-I307-J307-K307</f>
        <v>13701.9483909962</v>
      </c>
      <c r="H307" s="23" t="n">
        <v>13202.3111666667</v>
      </c>
      <c r="I307" s="23" t="n">
        <v>26957.1747775</v>
      </c>
      <c r="J307" s="23" t="n">
        <v>1603.56283192684</v>
      </c>
      <c r="K307" s="23" t="n">
        <v>0</v>
      </c>
    </row>
    <row r="308" customFormat="false" ht="15" hidden="false" customHeight="false" outlineLevel="0" collapsed="false">
      <c r="A308" s="28" t="s">
        <v>200</v>
      </c>
      <c r="B308" s="23" t="n">
        <v>19</v>
      </c>
      <c r="C308" s="23" t="n">
        <v>41557.3129195018</v>
      </c>
      <c r="D308" s="23" t="n">
        <v>12642.3465921716</v>
      </c>
      <c r="E308" s="15" t="n">
        <f aca="false">C308-D308</f>
        <v>28914.9663273302</v>
      </c>
      <c r="F308" s="23" t="n">
        <v>247.5</v>
      </c>
      <c r="G308" s="15" t="n">
        <f aca="false">E308+F308+H308-I308-J308-K308</f>
        <v>13739.5490358201</v>
      </c>
      <c r="H308" s="23" t="n">
        <v>13202.3111666667</v>
      </c>
      <c r="I308" s="23" t="n">
        <v>27021.66562625</v>
      </c>
      <c r="J308" s="23" t="n">
        <v>1603.56283192684</v>
      </c>
      <c r="K308" s="23" t="n">
        <v>0</v>
      </c>
    </row>
    <row r="309" customFormat="false" ht="15" hidden="false" customHeight="false" outlineLevel="0" collapsed="false">
      <c r="A309" s="28" t="s">
        <v>200</v>
      </c>
      <c r="B309" s="23" t="n">
        <v>20</v>
      </c>
      <c r="C309" s="23" t="n">
        <v>41673.2216496757</v>
      </c>
      <c r="D309" s="23" t="n">
        <v>12651.3313130106</v>
      </c>
      <c r="E309" s="15" t="n">
        <f aca="false">C309-D309</f>
        <v>29021.8903366651</v>
      </c>
      <c r="F309" s="23" t="n">
        <v>247.5</v>
      </c>
      <c r="G309" s="15" t="n">
        <f aca="false">E309+F309+H309-I309-J309-K309</f>
        <v>-2218.01780359508</v>
      </c>
      <c r="H309" s="23" t="n">
        <v>13202.3111666667</v>
      </c>
      <c r="I309" s="23" t="n">
        <v>27086.156475</v>
      </c>
      <c r="J309" s="23" t="n">
        <v>1603.56283192684</v>
      </c>
      <c r="K309" s="23" t="n">
        <v>16000</v>
      </c>
    </row>
    <row r="310" customFormat="false" ht="15" hidden="false" customHeight="false" outlineLevel="0" collapsed="false">
      <c r="A310" s="28" t="s">
        <v>200</v>
      </c>
      <c r="B310" s="23" t="n">
        <v>21</v>
      </c>
      <c r="C310" s="23" t="n">
        <v>41787.7777013405</v>
      </c>
      <c r="D310" s="23" t="n">
        <v>12660.3160338497</v>
      </c>
      <c r="E310" s="15" t="n">
        <f aca="false">C310-D310</f>
        <v>29127.4616674908</v>
      </c>
      <c r="F310" s="23" t="n">
        <v>247.5</v>
      </c>
      <c r="G310" s="15" t="n">
        <f aca="false">E310+F310+H310-I310-J310-K310</f>
        <v>13823.0626784806</v>
      </c>
      <c r="H310" s="23" t="n">
        <v>13202.3111666667</v>
      </c>
      <c r="I310" s="23" t="n">
        <v>27150.64732375</v>
      </c>
      <c r="J310" s="23" t="n">
        <v>1603.56283192684</v>
      </c>
      <c r="K310" s="23" t="n">
        <v>0</v>
      </c>
    </row>
    <row r="311" customFormat="false" ht="15" hidden="false" customHeight="false" outlineLevel="0" collapsed="false">
      <c r="A311" s="28" t="s">
        <v>200</v>
      </c>
      <c r="B311" s="23" t="n">
        <v>22</v>
      </c>
      <c r="C311" s="23" t="n">
        <v>41900.9986268169</v>
      </c>
      <c r="D311" s="23" t="n">
        <v>12669.3007546887</v>
      </c>
      <c r="E311" s="15" t="n">
        <f aca="false">C311-D311</f>
        <v>29231.6978721282</v>
      </c>
      <c r="F311" s="23" t="n">
        <v>247.5</v>
      </c>
      <c r="G311" s="15" t="n">
        <f aca="false">E311+F311+H311-I311-J311-K311</f>
        <v>13862.808034368</v>
      </c>
      <c r="H311" s="23" t="n">
        <v>13202.3111666667</v>
      </c>
      <c r="I311" s="23" t="n">
        <v>27215.1381725</v>
      </c>
      <c r="J311" s="23" t="n">
        <v>1603.56283192684</v>
      </c>
      <c r="K311" s="23" t="n">
        <v>0</v>
      </c>
    </row>
    <row r="312" customFormat="false" ht="15" hidden="false" customHeight="false" outlineLevel="0" collapsed="false">
      <c r="A312" s="28" t="s">
        <v>200</v>
      </c>
      <c r="B312" s="23" t="n">
        <v>23</v>
      </c>
      <c r="C312" s="23" t="n">
        <v>42012.9017168738</v>
      </c>
      <c r="D312" s="23" t="n">
        <v>12678.2854755277</v>
      </c>
      <c r="E312" s="15" t="n">
        <f aca="false">C312-D312</f>
        <v>29334.6162413461</v>
      </c>
      <c r="F312" s="23" t="n">
        <v>247.5</v>
      </c>
      <c r="G312" s="15" t="n">
        <f aca="false">E312+F312+H312-I312-J312-K312</f>
        <v>13901.235554836</v>
      </c>
      <c r="H312" s="23" t="n">
        <v>13202.3111666667</v>
      </c>
      <c r="I312" s="23" t="n">
        <v>27279.62902125</v>
      </c>
      <c r="J312" s="23" t="n">
        <v>1603.56283192684</v>
      </c>
      <c r="K312" s="23" t="n">
        <v>0</v>
      </c>
    </row>
    <row r="313" customFormat="false" ht="15" hidden="false" customHeight="false" outlineLevel="0" collapsed="false">
      <c r="A313" s="28" t="s">
        <v>200</v>
      </c>
      <c r="B313" s="23" t="n">
        <v>24</v>
      </c>
      <c r="C313" s="23" t="n">
        <v>42123.5040049791</v>
      </c>
      <c r="D313" s="23" t="n">
        <v>12687.2701963667</v>
      </c>
      <c r="E313" s="15" t="n">
        <f aca="false">C313-D313</f>
        <v>29436.2338086123</v>
      </c>
      <c r="F313" s="23" t="n">
        <v>247.5</v>
      </c>
      <c r="G313" s="15" t="n">
        <f aca="false">E313+F313+H313-I313-J313-K313</f>
        <v>13938.3622733522</v>
      </c>
      <c r="H313" s="23" t="n">
        <v>13202.3111666667</v>
      </c>
      <c r="I313" s="23" t="n">
        <v>27344.11987</v>
      </c>
      <c r="J313" s="23" t="n">
        <v>1603.56283192684</v>
      </c>
      <c r="K313" s="23" t="n">
        <v>0</v>
      </c>
    </row>
    <row r="314" customFormat="false" ht="15" hidden="false" customHeight="false" outlineLevel="0" collapsed="false">
      <c r="A314" s="28" t="s">
        <v>203</v>
      </c>
      <c r="B314" s="23" t="n">
        <v>1</v>
      </c>
      <c r="C314" s="23" t="n">
        <v>37788.7204727155</v>
      </c>
      <c r="D314" s="23" t="n">
        <v>10900.2100755937</v>
      </c>
      <c r="E314" s="15" t="n">
        <f aca="false">C314-D314</f>
        <v>26888.5103971218</v>
      </c>
      <c r="F314" s="23" t="n">
        <v>585</v>
      </c>
      <c r="G314" s="15" t="n">
        <f aca="false">E314+F314+H314-I314-J314-K314</f>
        <v>13211.4283831116</v>
      </c>
      <c r="H314" s="23" t="n">
        <v>13202.3111666667</v>
      </c>
      <c r="I314" s="23" t="n">
        <v>25860.83034875</v>
      </c>
      <c r="J314" s="23" t="n">
        <v>1603.56283192684</v>
      </c>
      <c r="K314" s="23" t="n">
        <v>0</v>
      </c>
    </row>
    <row r="315" customFormat="false" ht="15" hidden="false" customHeight="false" outlineLevel="0" collapsed="false">
      <c r="A315" s="28" t="s">
        <v>203</v>
      </c>
      <c r="B315" s="23" t="n">
        <v>2</v>
      </c>
      <c r="C315" s="23" t="n">
        <v>37835.1892061189</v>
      </c>
      <c r="D315" s="23" t="n">
        <v>10881.9873161365</v>
      </c>
      <c r="E315" s="15" t="n">
        <f aca="false">C315-D315</f>
        <v>26953.2018899824</v>
      </c>
      <c r="F315" s="23" t="n">
        <v>585</v>
      </c>
      <c r="G315" s="15" t="n">
        <f aca="false">E315+F315+H315-I315-J315-K315</f>
        <v>13211.6290272222</v>
      </c>
      <c r="H315" s="23" t="n">
        <v>13202.3111666667</v>
      </c>
      <c r="I315" s="23" t="n">
        <v>25925.3211975</v>
      </c>
      <c r="J315" s="23" t="n">
        <v>1603.56283192684</v>
      </c>
      <c r="K315" s="23" t="n">
        <v>0</v>
      </c>
    </row>
    <row r="316" customFormat="false" ht="15" hidden="false" customHeight="false" outlineLevel="0" collapsed="false">
      <c r="A316" s="28" t="s">
        <v>203</v>
      </c>
      <c r="B316" s="23" t="n">
        <v>3</v>
      </c>
      <c r="C316" s="23" t="n">
        <v>37879.4892276171</v>
      </c>
      <c r="D316" s="23" t="n">
        <v>10863.7645566793</v>
      </c>
      <c r="E316" s="15" t="n">
        <f aca="false">C316-D316</f>
        <v>27015.7246709377</v>
      </c>
      <c r="F316" s="23" t="n">
        <v>585</v>
      </c>
      <c r="G316" s="15" t="n">
        <f aca="false">E316+F316+H316-I316-J316-K316</f>
        <v>13209.6609594276</v>
      </c>
      <c r="H316" s="23" t="n">
        <v>13202.3111666667</v>
      </c>
      <c r="I316" s="23" t="n">
        <v>25989.81204625</v>
      </c>
      <c r="J316" s="23" t="n">
        <v>1603.56283192684</v>
      </c>
      <c r="K316" s="23" t="n">
        <v>0</v>
      </c>
    </row>
    <row r="317" customFormat="false" ht="15" hidden="false" customHeight="false" outlineLevel="0" collapsed="false">
      <c r="A317" s="28" t="s">
        <v>203</v>
      </c>
      <c r="B317" s="23" t="n">
        <v>4</v>
      </c>
      <c r="C317" s="23" t="n">
        <v>37924.9553765809</v>
      </c>
      <c r="D317" s="23" t="n">
        <v>10845.5417972221</v>
      </c>
      <c r="E317" s="15" t="n">
        <f aca="false">C317-D317</f>
        <v>27079.4135793587</v>
      </c>
      <c r="F317" s="23" t="n">
        <v>585</v>
      </c>
      <c r="G317" s="15" t="n">
        <f aca="false">E317+F317+H317-I317-J317-K317</f>
        <v>13208.8590190986</v>
      </c>
      <c r="H317" s="23" t="n">
        <v>13202.3111666667</v>
      </c>
      <c r="I317" s="23" t="n">
        <v>26054.302895</v>
      </c>
      <c r="J317" s="23" t="n">
        <v>1603.56283192684</v>
      </c>
      <c r="K317" s="23" t="n">
        <v>0</v>
      </c>
    </row>
    <row r="318" customFormat="false" ht="15" hidden="false" customHeight="false" outlineLevel="0" collapsed="false">
      <c r="A318" s="28" t="s">
        <v>203</v>
      </c>
      <c r="B318" s="23" t="n">
        <v>5</v>
      </c>
      <c r="C318" s="23" t="n">
        <v>37969.9311544903</v>
      </c>
      <c r="D318" s="23" t="n">
        <v>10840.3249553133</v>
      </c>
      <c r="E318" s="15" t="n">
        <f aca="false">C318-D318</f>
        <v>27129.606199177</v>
      </c>
      <c r="F318" s="23" t="n">
        <v>585</v>
      </c>
      <c r="G318" s="15" t="n">
        <f aca="false">E318+F318+H318-I318-J318-K318</f>
        <v>13194.5607901669</v>
      </c>
      <c r="H318" s="23" t="n">
        <v>13202.3111666667</v>
      </c>
      <c r="I318" s="23" t="n">
        <v>26118.79374375</v>
      </c>
      <c r="J318" s="23" t="n">
        <v>1603.56283192684</v>
      </c>
      <c r="K318" s="23" t="n">
        <v>0</v>
      </c>
    </row>
    <row r="319" customFormat="false" ht="15" hidden="false" customHeight="false" outlineLevel="0" collapsed="false">
      <c r="A319" s="28" t="s">
        <v>203</v>
      </c>
      <c r="B319" s="23" t="n">
        <v>6</v>
      </c>
      <c r="C319" s="23" t="n">
        <v>38014.4236777839</v>
      </c>
      <c r="D319" s="23" t="n">
        <v>10835.1081134044</v>
      </c>
      <c r="E319" s="15" t="n">
        <f aca="false">C319-D319</f>
        <v>27179.3155643795</v>
      </c>
      <c r="F319" s="23" t="n">
        <v>585</v>
      </c>
      <c r="G319" s="15" t="n">
        <f aca="false">E319+F319+H319-I319-J319-K319</f>
        <v>13179.7793066194</v>
      </c>
      <c r="H319" s="23" t="n">
        <v>13202.3111666667</v>
      </c>
      <c r="I319" s="23" t="n">
        <v>26183.2845925</v>
      </c>
      <c r="J319" s="23" t="n">
        <v>1603.56283192684</v>
      </c>
      <c r="K319" s="23" t="n">
        <v>0</v>
      </c>
    </row>
    <row r="320" customFormat="false" ht="15" hidden="false" customHeight="false" outlineLevel="0" collapsed="false">
      <c r="A320" s="28" t="s">
        <v>203</v>
      </c>
      <c r="B320" s="23" t="n">
        <v>7</v>
      </c>
      <c r="C320" s="23" t="n">
        <v>38058.4399424164</v>
      </c>
      <c r="D320" s="23" t="n">
        <v>10829.8912714955</v>
      </c>
      <c r="E320" s="15" t="n">
        <f aca="false">C320-D320</f>
        <v>27228.548670921</v>
      </c>
      <c r="F320" s="23" t="n">
        <v>585</v>
      </c>
      <c r="G320" s="15" t="n">
        <f aca="false">E320+F320+H320-I320-J320-K320</f>
        <v>13164.5215644108</v>
      </c>
      <c r="H320" s="23" t="n">
        <v>13202.3111666667</v>
      </c>
      <c r="I320" s="23" t="n">
        <v>26247.77544125</v>
      </c>
      <c r="J320" s="23" t="n">
        <v>1603.56283192684</v>
      </c>
      <c r="K320" s="23" t="n">
        <v>0</v>
      </c>
    </row>
    <row r="321" customFormat="false" ht="15" hidden="false" customHeight="false" outlineLevel="0" collapsed="false">
      <c r="A321" s="28" t="s">
        <v>203</v>
      </c>
      <c r="B321" s="23" t="n">
        <v>8</v>
      </c>
      <c r="C321" s="23" t="n">
        <v>38101.9868260252</v>
      </c>
      <c r="D321" s="23" t="n">
        <v>10837.0431253768</v>
      </c>
      <c r="E321" s="15" t="n">
        <f aca="false">C321-D321</f>
        <v>27264.9437006484</v>
      </c>
      <c r="F321" s="23" t="n">
        <v>585</v>
      </c>
      <c r="G321" s="15" t="n">
        <f aca="false">E321+F321+H321-I321-J321-K321</f>
        <v>-2863.57425461178</v>
      </c>
      <c r="H321" s="23" t="n">
        <v>13202.3111666667</v>
      </c>
      <c r="I321" s="23" t="n">
        <v>26312.26629</v>
      </c>
      <c r="J321" s="23" t="n">
        <v>1603.56283192684</v>
      </c>
      <c r="K321" s="23" t="n">
        <v>16000</v>
      </c>
    </row>
    <row r="322" customFormat="false" ht="15" hidden="false" customHeight="false" outlineLevel="0" collapsed="false">
      <c r="A322" s="28" t="s">
        <v>203</v>
      </c>
      <c r="B322" s="23" t="n">
        <v>9</v>
      </c>
      <c r="C322" s="23" t="n">
        <v>38145.0710900565</v>
      </c>
      <c r="D322" s="23" t="n">
        <v>10844.1949792582</v>
      </c>
      <c r="E322" s="15" t="n">
        <f aca="false">C322-D322</f>
        <v>27300.8761107983</v>
      </c>
      <c r="F322" s="23" t="n">
        <v>585</v>
      </c>
      <c r="G322" s="15" t="n">
        <f aca="false">E322+F322+H322-I322-J322-K322</f>
        <v>13107.8673067882</v>
      </c>
      <c r="H322" s="23" t="n">
        <v>13202.3111666667</v>
      </c>
      <c r="I322" s="23" t="n">
        <v>26376.75713875</v>
      </c>
      <c r="J322" s="23" t="n">
        <v>1603.56283192684</v>
      </c>
      <c r="K322" s="23" t="n">
        <v>0</v>
      </c>
    </row>
    <row r="323" customFormat="false" ht="15" hidden="false" customHeight="false" outlineLevel="0" collapsed="false">
      <c r="A323" s="28" t="s">
        <v>203</v>
      </c>
      <c r="B323" s="23" t="n">
        <v>10</v>
      </c>
      <c r="C323" s="23" t="n">
        <v>38175.6374160404</v>
      </c>
      <c r="D323" s="23" t="n">
        <v>10851.3468331396</v>
      </c>
      <c r="E323" s="15" t="n">
        <f aca="false">C323-D323</f>
        <v>27324.2905829009</v>
      </c>
      <c r="F323" s="23" t="n">
        <v>585</v>
      </c>
      <c r="G323" s="15" t="n">
        <f aca="false">E323+F323+H323-I323-J323-K323</f>
        <v>13066.7909301407</v>
      </c>
      <c r="H323" s="23" t="n">
        <v>13202.3111666667</v>
      </c>
      <c r="I323" s="23" t="n">
        <v>26441.2479875</v>
      </c>
      <c r="J323" s="23" t="n">
        <v>1603.56283192684</v>
      </c>
      <c r="K323" s="23" t="n">
        <v>0</v>
      </c>
    </row>
    <row r="324" customFormat="false" ht="15" hidden="false" customHeight="false" outlineLevel="0" collapsed="false">
      <c r="A324" s="28" t="s">
        <v>203</v>
      </c>
      <c r="B324" s="23" t="n">
        <v>11</v>
      </c>
      <c r="C324" s="23" t="n">
        <v>38217.8162708865</v>
      </c>
      <c r="D324" s="23" t="n">
        <v>10862.9217532651</v>
      </c>
      <c r="E324" s="15" t="n">
        <f aca="false">C324-D324</f>
        <v>27354.8945176214</v>
      </c>
      <c r="F324" s="23" t="n">
        <v>585</v>
      </c>
      <c r="G324" s="15" t="n">
        <f aca="false">E324+F324+H324-I324-J324-K324</f>
        <v>13032.9040161112</v>
      </c>
      <c r="H324" s="23" t="n">
        <v>13202.3111666667</v>
      </c>
      <c r="I324" s="23" t="n">
        <v>26505.73883625</v>
      </c>
      <c r="J324" s="23" t="n">
        <v>1603.56283192684</v>
      </c>
      <c r="K324" s="23" t="n">
        <v>0</v>
      </c>
    </row>
    <row r="325" customFormat="false" ht="15" hidden="false" customHeight="false" outlineLevel="0" collapsed="false">
      <c r="A325" s="28" t="s">
        <v>203</v>
      </c>
      <c r="B325" s="23" t="n">
        <v>12</v>
      </c>
      <c r="C325" s="23" t="n">
        <v>38259.5521140226</v>
      </c>
      <c r="D325" s="23" t="n">
        <v>10874.4966733907</v>
      </c>
      <c r="E325" s="15" t="n">
        <f aca="false">C325-D325</f>
        <v>27385.055440632</v>
      </c>
      <c r="F325" s="23" t="n">
        <v>585</v>
      </c>
      <c r="G325" s="15" t="n">
        <f aca="false">E325+F325+H325-I325-J325-K325</f>
        <v>12998.5740903718</v>
      </c>
      <c r="H325" s="23" t="n">
        <v>13202.3111666667</v>
      </c>
      <c r="I325" s="23" t="n">
        <v>26570.229685</v>
      </c>
      <c r="J325" s="23" t="n">
        <v>1603.56283192684</v>
      </c>
      <c r="K325" s="23" t="n">
        <v>0</v>
      </c>
    </row>
    <row r="326" customFormat="false" ht="15" hidden="false" customHeight="false" outlineLevel="0" collapsed="false">
      <c r="A326" s="28" t="s">
        <v>203</v>
      </c>
      <c r="B326" s="23" t="n">
        <v>13</v>
      </c>
      <c r="C326" s="23" t="n">
        <v>38300.851262615</v>
      </c>
      <c r="D326" s="23" t="n">
        <v>10886.0715935162</v>
      </c>
      <c r="E326" s="15" t="n">
        <f aca="false">C326-D326</f>
        <v>27414.7796690987</v>
      </c>
      <c r="F326" s="23" t="n">
        <v>585</v>
      </c>
      <c r="G326" s="15" t="n">
        <f aca="false">E326+F326+H326-I326-J326-K326</f>
        <v>12963.8074700886</v>
      </c>
      <c r="H326" s="23" t="n">
        <v>13202.3111666667</v>
      </c>
      <c r="I326" s="23" t="n">
        <v>26634.72053375</v>
      </c>
      <c r="J326" s="23" t="n">
        <v>1603.56283192684</v>
      </c>
      <c r="K326" s="23" t="n">
        <v>0</v>
      </c>
    </row>
    <row r="327" customFormat="false" ht="15" hidden="false" customHeight="false" outlineLevel="0" collapsed="false">
      <c r="A327" s="28" t="s">
        <v>203</v>
      </c>
      <c r="B327" s="23" t="n">
        <v>14</v>
      </c>
      <c r="C327" s="23" t="n">
        <v>38341.7199276928</v>
      </c>
      <c r="D327" s="23" t="n">
        <v>10884.9843451008</v>
      </c>
      <c r="E327" s="15" t="n">
        <f aca="false">C327-D327</f>
        <v>27456.7355825919</v>
      </c>
      <c r="F327" s="23" t="n">
        <v>585</v>
      </c>
      <c r="G327" s="15" t="n">
        <f aca="false">E327+F327+H327-I327-J327-K327</f>
        <v>12941.2725348318</v>
      </c>
      <c r="H327" s="23" t="n">
        <v>13202.3111666667</v>
      </c>
      <c r="I327" s="23" t="n">
        <v>26699.2113825</v>
      </c>
      <c r="J327" s="23" t="n">
        <v>1603.56283192684</v>
      </c>
      <c r="K327" s="23" t="n">
        <v>0</v>
      </c>
    </row>
    <row r="328" customFormat="false" ht="15" hidden="false" customHeight="false" outlineLevel="0" collapsed="false">
      <c r="A328" s="28" t="s">
        <v>203</v>
      </c>
      <c r="B328" s="23" t="n">
        <v>15</v>
      </c>
      <c r="C328" s="23" t="n">
        <v>38382.1642160487</v>
      </c>
      <c r="D328" s="23" t="n">
        <v>10883.8970966855</v>
      </c>
      <c r="E328" s="15" t="n">
        <f aca="false">C328-D328</f>
        <v>27498.2671193632</v>
      </c>
      <c r="F328" s="23" t="n">
        <v>585</v>
      </c>
      <c r="G328" s="15" t="n">
        <f aca="false">E328+F328+H328-I328-J328-K328</f>
        <v>12918.313222853</v>
      </c>
      <c r="H328" s="23" t="n">
        <v>13202.3111666667</v>
      </c>
      <c r="I328" s="23" t="n">
        <v>26763.70223125</v>
      </c>
      <c r="J328" s="23" t="n">
        <v>1603.56283192684</v>
      </c>
      <c r="K328" s="23" t="n">
        <v>0</v>
      </c>
    </row>
    <row r="329" customFormat="false" ht="15" hidden="false" customHeight="false" outlineLevel="0" collapsed="false">
      <c r="A329" s="28" t="s">
        <v>203</v>
      </c>
      <c r="B329" s="23" t="n">
        <v>16</v>
      </c>
      <c r="C329" s="23" t="n">
        <v>38694.5191919328</v>
      </c>
      <c r="D329" s="23" t="n">
        <v>10882.8098482701</v>
      </c>
      <c r="E329" s="15" t="n">
        <f aca="false">C329-D329</f>
        <v>27811.7093436627</v>
      </c>
      <c r="F329" s="23" t="n">
        <v>585</v>
      </c>
      <c r="G329" s="15" t="n">
        <f aca="false">E329+F329+H329-I329-J329-K329</f>
        <v>13167.2645984025</v>
      </c>
      <c r="H329" s="23" t="n">
        <v>13202.3111666667</v>
      </c>
      <c r="I329" s="23" t="n">
        <v>26828.19308</v>
      </c>
      <c r="J329" s="23" t="n">
        <v>1603.56283192684</v>
      </c>
      <c r="K329" s="23" t="n">
        <v>0</v>
      </c>
    </row>
    <row r="330" customFormat="false" ht="15" hidden="false" customHeight="false" outlineLevel="0" collapsed="false">
      <c r="A330" s="28" t="s">
        <v>203</v>
      </c>
      <c r="B330" s="23" t="n">
        <v>17</v>
      </c>
      <c r="C330" s="23" t="n">
        <v>38734.1326395674</v>
      </c>
      <c r="D330" s="23" t="n">
        <v>10881.7225998547</v>
      </c>
      <c r="E330" s="15" t="n">
        <f aca="false">C330-D330</f>
        <v>27852.4100397126</v>
      </c>
      <c r="F330" s="23" t="n">
        <v>585</v>
      </c>
      <c r="G330" s="15" t="n">
        <f aca="false">E330+F330+H330-I330-J330-K330</f>
        <v>13143.4744457025</v>
      </c>
      <c r="H330" s="23" t="n">
        <v>13202.3111666667</v>
      </c>
      <c r="I330" s="23" t="n">
        <v>26892.68392875</v>
      </c>
      <c r="J330" s="23" t="n">
        <v>1603.56283192684</v>
      </c>
      <c r="K330" s="23" t="n">
        <v>0</v>
      </c>
    </row>
    <row r="331" customFormat="false" ht="15" hidden="false" customHeight="false" outlineLevel="0" collapsed="false">
      <c r="A331" s="28" t="s">
        <v>203</v>
      </c>
      <c r="B331" s="23" t="n">
        <v>18</v>
      </c>
      <c r="C331" s="23" t="n">
        <v>38773.3394239179</v>
      </c>
      <c r="D331" s="23" t="n">
        <v>10880.6353514393</v>
      </c>
      <c r="E331" s="15" t="n">
        <f aca="false">C331-D331</f>
        <v>27892.7040724786</v>
      </c>
      <c r="F331" s="23" t="n">
        <v>585</v>
      </c>
      <c r="G331" s="15" t="n">
        <f aca="false">E331+F331+H331-I331-J331-K331</f>
        <v>13119.2776297184</v>
      </c>
      <c r="H331" s="23" t="n">
        <v>13202.3111666667</v>
      </c>
      <c r="I331" s="23" t="n">
        <v>26957.1747775</v>
      </c>
      <c r="J331" s="23" t="n">
        <v>1603.56283192684</v>
      </c>
      <c r="K331" s="23" t="n">
        <v>0</v>
      </c>
    </row>
    <row r="332" customFormat="false" ht="15" hidden="false" customHeight="false" outlineLevel="0" collapsed="false">
      <c r="A332" s="28" t="s">
        <v>203</v>
      </c>
      <c r="B332" s="23" t="n">
        <v>19</v>
      </c>
      <c r="C332" s="23" t="n">
        <v>38812.1452531408</v>
      </c>
      <c r="D332" s="23" t="n">
        <v>10879.548103024</v>
      </c>
      <c r="E332" s="15" t="n">
        <f aca="false">C332-D332</f>
        <v>27932.5971501169</v>
      </c>
      <c r="F332" s="23" t="n">
        <v>585</v>
      </c>
      <c r="G332" s="15" t="n">
        <f aca="false">E332+F332+H332-I332-J332-K332</f>
        <v>13094.6798586067</v>
      </c>
      <c r="H332" s="23" t="n">
        <v>13202.3111666667</v>
      </c>
      <c r="I332" s="23" t="n">
        <v>27021.66562625</v>
      </c>
      <c r="J332" s="23" t="n">
        <v>1603.56283192684</v>
      </c>
      <c r="K332" s="23" t="n">
        <v>0</v>
      </c>
    </row>
    <row r="333" customFormat="false" ht="15" hidden="false" customHeight="false" outlineLevel="0" collapsed="false">
      <c r="A333" s="28" t="s">
        <v>203</v>
      </c>
      <c r="B333" s="23" t="n">
        <v>20</v>
      </c>
      <c r="C333" s="23" t="n">
        <v>38850.5557401432</v>
      </c>
      <c r="D333" s="23" t="n">
        <v>10877.0145507715</v>
      </c>
      <c r="E333" s="15" t="n">
        <f aca="false">C333-D333</f>
        <v>27973.5411893717</v>
      </c>
      <c r="F333" s="23" t="n">
        <v>585</v>
      </c>
      <c r="G333" s="15" t="n">
        <f aca="false">E333+F333+H333-I333-J333-K333</f>
        <v>-2928.86695088851</v>
      </c>
      <c r="H333" s="23" t="n">
        <v>13202.3111666667</v>
      </c>
      <c r="I333" s="23" t="n">
        <v>27086.156475</v>
      </c>
      <c r="J333" s="23" t="n">
        <v>1603.56283192684</v>
      </c>
      <c r="K333" s="23" t="n">
        <v>16000</v>
      </c>
    </row>
    <row r="334" customFormat="false" ht="15" hidden="false" customHeight="false" outlineLevel="0" collapsed="false">
      <c r="A334" s="28" t="s">
        <v>203</v>
      </c>
      <c r="B334" s="23" t="n">
        <v>21</v>
      </c>
      <c r="C334" s="23" t="n">
        <v>38888.5764042821</v>
      </c>
      <c r="D334" s="23" t="n">
        <v>10874.480998519</v>
      </c>
      <c r="E334" s="15" t="n">
        <f aca="false">C334-D334</f>
        <v>28014.0954057631</v>
      </c>
      <c r="F334" s="23" t="n">
        <v>585</v>
      </c>
      <c r="G334" s="15" t="n">
        <f aca="false">E334+F334+H334-I334-J334-K334</f>
        <v>13047.1964167529</v>
      </c>
      <c r="H334" s="23" t="n">
        <v>13202.3111666667</v>
      </c>
      <c r="I334" s="23" t="n">
        <v>27150.64732375</v>
      </c>
      <c r="J334" s="23" t="n">
        <v>1603.56283192684</v>
      </c>
      <c r="K334" s="23" t="n">
        <v>0</v>
      </c>
    </row>
    <row r="335" customFormat="false" ht="15" hidden="false" customHeight="false" outlineLevel="0" collapsed="false">
      <c r="A335" s="28" t="s">
        <v>203</v>
      </c>
      <c r="B335" s="23" t="n">
        <v>22</v>
      </c>
      <c r="C335" s="23" t="n">
        <v>38926.2126730327</v>
      </c>
      <c r="D335" s="23" t="n">
        <v>10871.9474462666</v>
      </c>
      <c r="E335" s="15" t="n">
        <f aca="false">C335-D335</f>
        <v>28054.2652267661</v>
      </c>
      <c r="F335" s="23" t="n">
        <v>585</v>
      </c>
      <c r="G335" s="15" t="n">
        <f aca="false">E335+F335+H335-I335-J335-K335</f>
        <v>13022.875389006</v>
      </c>
      <c r="H335" s="23" t="n">
        <v>13202.3111666667</v>
      </c>
      <c r="I335" s="23" t="n">
        <v>27215.1381725</v>
      </c>
      <c r="J335" s="23" t="n">
        <v>1603.56283192684</v>
      </c>
      <c r="K335" s="23" t="n">
        <v>0</v>
      </c>
    </row>
    <row r="336" customFormat="false" ht="15" hidden="false" customHeight="false" outlineLevel="0" collapsed="false">
      <c r="A336" s="28" t="s">
        <v>203</v>
      </c>
      <c r="B336" s="23" t="n">
        <v>23</v>
      </c>
      <c r="C336" s="23" t="n">
        <v>38963.4698836247</v>
      </c>
      <c r="D336" s="23" t="n">
        <v>10869.4138940141</v>
      </c>
      <c r="E336" s="15" t="n">
        <f aca="false">C336-D336</f>
        <v>28094.0559896106</v>
      </c>
      <c r="F336" s="23" t="n">
        <v>585</v>
      </c>
      <c r="G336" s="15" t="n">
        <f aca="false">E336+F336+H336-I336-J336-K336</f>
        <v>12998.1753031005</v>
      </c>
      <c r="H336" s="23" t="n">
        <v>13202.3111666667</v>
      </c>
      <c r="I336" s="23" t="n">
        <v>27279.62902125</v>
      </c>
      <c r="J336" s="23" t="n">
        <v>1603.56283192684</v>
      </c>
      <c r="K336" s="23" t="n">
        <v>0</v>
      </c>
    </row>
    <row r="337" customFormat="false" ht="15" hidden="false" customHeight="false" outlineLevel="0" collapsed="false">
      <c r="A337" s="28" t="s">
        <v>203</v>
      </c>
      <c r="B337" s="23" t="n">
        <v>24</v>
      </c>
      <c r="C337" s="23" t="n">
        <v>39000.3532846497</v>
      </c>
      <c r="D337" s="23" t="n">
        <v>10866.8803417616</v>
      </c>
      <c r="E337" s="15" t="n">
        <f aca="false">C337-D337</f>
        <v>28133.472942888</v>
      </c>
      <c r="F337" s="23" t="n">
        <v>585</v>
      </c>
      <c r="G337" s="15" t="n">
        <f aca="false">E337+F337+H337-I337-J337-K337</f>
        <v>12973.1014076279</v>
      </c>
      <c r="H337" s="23" t="n">
        <v>13202.3111666667</v>
      </c>
      <c r="I337" s="23" t="n">
        <v>27344.11987</v>
      </c>
      <c r="J337" s="23" t="n">
        <v>1603.56283192684</v>
      </c>
      <c r="K337" s="23" t="n">
        <v>0</v>
      </c>
    </row>
    <row r="338" customFormat="false" ht="15" hidden="false" customHeight="false" outlineLevel="0" collapsed="false">
      <c r="A338" s="28" t="s">
        <v>205</v>
      </c>
      <c r="B338" s="23" t="n">
        <v>1</v>
      </c>
      <c r="C338" s="23" t="n">
        <v>41914.2263281526</v>
      </c>
      <c r="D338" s="23" t="n">
        <v>11063.4739254191</v>
      </c>
      <c r="E338" s="15" t="n">
        <f aca="false">C338-D338</f>
        <v>30850.7524027335</v>
      </c>
      <c r="F338" s="23" t="n">
        <v>382.5</v>
      </c>
      <c r="G338" s="15" t="n">
        <f aca="false">E338+F338+H338-I338-J338-K338</f>
        <v>16971.1703887234</v>
      </c>
      <c r="H338" s="23" t="n">
        <v>13202.3111666667</v>
      </c>
      <c r="I338" s="23" t="n">
        <v>25860.83034875</v>
      </c>
      <c r="J338" s="23" t="n">
        <v>1603.56283192684</v>
      </c>
      <c r="K338" s="23" t="n">
        <v>0</v>
      </c>
    </row>
    <row r="339" customFormat="false" ht="15" hidden="false" customHeight="false" outlineLevel="0" collapsed="false">
      <c r="A339" s="28" t="s">
        <v>205</v>
      </c>
      <c r="B339" s="23" t="n">
        <v>2</v>
      </c>
      <c r="C339" s="23" t="n">
        <v>42105.1603808943</v>
      </c>
      <c r="D339" s="23" t="n">
        <v>13074.1562273896</v>
      </c>
      <c r="E339" s="15" t="n">
        <f aca="false">C339-D339</f>
        <v>29031.0041535046</v>
      </c>
      <c r="F339" s="23" t="n">
        <v>382.5</v>
      </c>
      <c r="G339" s="15" t="n">
        <f aca="false">E339+F339+H339-I339-J339-K339</f>
        <v>15086.9312907444</v>
      </c>
      <c r="H339" s="23" t="n">
        <v>13202.3111666667</v>
      </c>
      <c r="I339" s="23" t="n">
        <v>25925.3211975</v>
      </c>
      <c r="J339" s="23" t="n">
        <v>1603.56283192684</v>
      </c>
      <c r="K339" s="23" t="n">
        <v>0</v>
      </c>
    </row>
    <row r="340" customFormat="false" ht="15" hidden="false" customHeight="false" outlineLevel="0" collapsed="false">
      <c r="A340" s="28" t="s">
        <v>205</v>
      </c>
      <c r="B340" s="23" t="n">
        <v>3</v>
      </c>
      <c r="C340" s="23" t="n">
        <v>42294.6112399404</v>
      </c>
      <c r="D340" s="23" t="n">
        <v>14169.7625842075</v>
      </c>
      <c r="E340" s="15" t="n">
        <f aca="false">C340-D340</f>
        <v>28124.848655733</v>
      </c>
      <c r="F340" s="23" t="n">
        <v>382.5</v>
      </c>
      <c r="G340" s="15" t="n">
        <f aca="false">E340+F340+H340-I340-J340-K340</f>
        <v>14116.2849442228</v>
      </c>
      <c r="H340" s="23" t="n">
        <v>13202.3111666667</v>
      </c>
      <c r="I340" s="23" t="n">
        <v>25989.81204625</v>
      </c>
      <c r="J340" s="23" t="n">
        <v>1603.56283192684</v>
      </c>
      <c r="K340" s="23" t="n">
        <v>0</v>
      </c>
    </row>
    <row r="341" customFormat="false" ht="15" hidden="false" customHeight="false" outlineLevel="0" collapsed="false">
      <c r="A341" s="28" t="s">
        <v>205</v>
      </c>
      <c r="B341" s="23" t="n">
        <v>4</v>
      </c>
      <c r="C341" s="23" t="n">
        <v>42480.9934437588</v>
      </c>
      <c r="D341" s="23" t="n">
        <v>14877.3548164151</v>
      </c>
      <c r="E341" s="15" t="n">
        <f aca="false">C341-D341</f>
        <v>27603.6386273437</v>
      </c>
      <c r="F341" s="23" t="n">
        <v>382.5</v>
      </c>
      <c r="G341" s="15" t="n">
        <f aca="false">E341+F341+H341-I341-J341-K341</f>
        <v>13530.5840670836</v>
      </c>
      <c r="H341" s="23" t="n">
        <v>13202.3111666667</v>
      </c>
      <c r="I341" s="23" t="n">
        <v>26054.302895</v>
      </c>
      <c r="J341" s="23" t="n">
        <v>1603.56283192684</v>
      </c>
      <c r="K341" s="23" t="n">
        <v>0</v>
      </c>
    </row>
    <row r="342" customFormat="false" ht="15" hidden="false" customHeight="false" outlineLevel="0" collapsed="false">
      <c r="A342" s="28" t="s">
        <v>205</v>
      </c>
      <c r="B342" s="23" t="n">
        <v>5</v>
      </c>
      <c r="C342" s="23" t="n">
        <v>42665.142597951</v>
      </c>
      <c r="D342" s="23" t="n">
        <v>15192.4111809833</v>
      </c>
      <c r="E342" s="15" t="n">
        <f aca="false">C342-D342</f>
        <v>27472.7314169677</v>
      </c>
      <c r="F342" s="23" t="n">
        <v>382.5</v>
      </c>
      <c r="G342" s="15" t="n">
        <f aca="false">E342+F342+H342-I342-J342-K342</f>
        <v>13335.1860079575</v>
      </c>
      <c r="H342" s="23" t="n">
        <v>13202.3111666667</v>
      </c>
      <c r="I342" s="23" t="n">
        <v>26118.79374375</v>
      </c>
      <c r="J342" s="23" t="n">
        <v>1603.56283192684</v>
      </c>
      <c r="K342" s="23" t="n">
        <v>0</v>
      </c>
    </row>
    <row r="343" customFormat="false" ht="15" hidden="false" customHeight="false" outlineLevel="0" collapsed="false">
      <c r="A343" s="28" t="s">
        <v>205</v>
      </c>
      <c r="B343" s="23" t="n">
        <v>6</v>
      </c>
      <c r="C343" s="23" t="n">
        <v>42847.0867424771</v>
      </c>
      <c r="D343" s="23" t="n">
        <v>15507.4675455515</v>
      </c>
      <c r="E343" s="15" t="n">
        <f aca="false">C343-D343</f>
        <v>27339.6191969256</v>
      </c>
      <c r="F343" s="23" t="n">
        <v>382.5</v>
      </c>
      <c r="G343" s="15" t="n">
        <f aca="false">E343+F343+H343-I343-J343-K343</f>
        <v>13137.5829391654</v>
      </c>
      <c r="H343" s="23" t="n">
        <v>13202.3111666667</v>
      </c>
      <c r="I343" s="23" t="n">
        <v>26183.2845925</v>
      </c>
      <c r="J343" s="23" t="n">
        <v>1603.56283192684</v>
      </c>
      <c r="K343" s="23" t="n">
        <v>0</v>
      </c>
    </row>
    <row r="344" customFormat="false" ht="15" hidden="false" customHeight="false" outlineLevel="0" collapsed="false">
      <c r="A344" s="28" t="s">
        <v>205</v>
      </c>
      <c r="B344" s="23" t="n">
        <v>7</v>
      </c>
      <c r="C344" s="23" t="n">
        <v>43026.8535180117</v>
      </c>
      <c r="D344" s="23" t="n">
        <v>15822.5239101197</v>
      </c>
      <c r="E344" s="15" t="n">
        <f aca="false">C344-D344</f>
        <v>27204.3296078919</v>
      </c>
      <c r="F344" s="23" t="n">
        <v>382.5</v>
      </c>
      <c r="G344" s="15" t="n">
        <f aca="false">E344+F344+H344-I344-J344-K344</f>
        <v>12937.8025013818</v>
      </c>
      <c r="H344" s="23" t="n">
        <v>13202.3111666667</v>
      </c>
      <c r="I344" s="23" t="n">
        <v>26247.77544125</v>
      </c>
      <c r="J344" s="23" t="n">
        <v>1603.56283192684</v>
      </c>
      <c r="K344" s="23" t="n">
        <v>0</v>
      </c>
    </row>
    <row r="345" customFormat="false" ht="15" hidden="false" customHeight="false" outlineLevel="0" collapsed="false">
      <c r="A345" s="28" t="s">
        <v>205</v>
      </c>
      <c r="B345" s="23" t="n">
        <v>8</v>
      </c>
      <c r="C345" s="23" t="n">
        <v>43204.4701723333</v>
      </c>
      <c r="D345" s="23" t="n">
        <v>16080.9411974926</v>
      </c>
      <c r="E345" s="15" t="n">
        <f aca="false">C345-D345</f>
        <v>27123.5289748407</v>
      </c>
      <c r="F345" s="23" t="n">
        <v>382.5</v>
      </c>
      <c r="G345" s="15" t="n">
        <f aca="false">E345+F345+H345-I345-J345-K345</f>
        <v>-3207.48898041946</v>
      </c>
      <c r="H345" s="23" t="n">
        <v>13202.3111666667</v>
      </c>
      <c r="I345" s="23" t="n">
        <v>26312.26629</v>
      </c>
      <c r="J345" s="23" t="n">
        <v>1603.56283192684</v>
      </c>
      <c r="K345" s="23" t="n">
        <v>16000</v>
      </c>
    </row>
    <row r="346" customFormat="false" ht="15" hidden="false" customHeight="false" outlineLevel="0" collapsed="false">
      <c r="A346" s="28" t="s">
        <v>205</v>
      </c>
      <c r="B346" s="23" t="n">
        <v>9</v>
      </c>
      <c r="C346" s="23" t="n">
        <v>43379.9635666004</v>
      </c>
      <c r="D346" s="23" t="n">
        <v>16339.3584848655</v>
      </c>
      <c r="E346" s="15" t="n">
        <f aca="false">C346-D346</f>
        <v>27040.6050817349</v>
      </c>
      <c r="F346" s="23" t="n">
        <v>382.5</v>
      </c>
      <c r="G346" s="15" t="n">
        <f aca="false">E346+F346+H346-I346-J346-K346</f>
        <v>12645.0962777248</v>
      </c>
      <c r="H346" s="23" t="n">
        <v>13202.3111666667</v>
      </c>
      <c r="I346" s="23" t="n">
        <v>26376.75713875</v>
      </c>
      <c r="J346" s="23" t="n">
        <v>1603.56283192684</v>
      </c>
      <c r="K346" s="23" t="n">
        <v>0</v>
      </c>
    </row>
    <row r="347" customFormat="false" ht="15" hidden="false" customHeight="false" outlineLevel="0" collapsed="false">
      <c r="A347" s="28" t="s">
        <v>205</v>
      </c>
      <c r="B347" s="23" t="n">
        <v>10</v>
      </c>
      <c r="C347" s="23" t="n">
        <v>43625.1657370707</v>
      </c>
      <c r="D347" s="23" t="n">
        <v>16597.7757722384</v>
      </c>
      <c r="E347" s="15" t="n">
        <f aca="false">C347-D347</f>
        <v>27027.3899648323</v>
      </c>
      <c r="F347" s="23" t="n">
        <v>382.5</v>
      </c>
      <c r="G347" s="15" t="n">
        <f aca="false">E347+F347+H347-I347-J347-K347</f>
        <v>12567.3903120721</v>
      </c>
      <c r="H347" s="23" t="n">
        <v>13202.3111666667</v>
      </c>
      <c r="I347" s="23" t="n">
        <v>26441.2479875</v>
      </c>
      <c r="J347" s="23" t="n">
        <v>1603.56283192684</v>
      </c>
      <c r="K347" s="23" t="n">
        <v>0</v>
      </c>
    </row>
    <row r="348" customFormat="false" ht="15" hidden="false" customHeight="false" outlineLevel="0" collapsed="false">
      <c r="A348" s="28" t="s">
        <v>205</v>
      </c>
      <c r="B348" s="23" t="n">
        <v>11</v>
      </c>
      <c r="C348" s="23" t="n">
        <v>43796.4916789328</v>
      </c>
      <c r="D348" s="23" t="n">
        <v>16832.0929130214</v>
      </c>
      <c r="E348" s="15" t="n">
        <f aca="false">C348-D348</f>
        <v>26964.3987659114</v>
      </c>
      <c r="F348" s="23" t="n">
        <v>382.5</v>
      </c>
      <c r="G348" s="15" t="n">
        <f aca="false">E348+F348+H348-I348-J348-K348</f>
        <v>12439.9082644012</v>
      </c>
      <c r="H348" s="23" t="n">
        <v>13202.3111666667</v>
      </c>
      <c r="I348" s="23" t="n">
        <v>26505.73883625</v>
      </c>
      <c r="J348" s="23" t="n">
        <v>1603.56283192684</v>
      </c>
      <c r="K348" s="23" t="n">
        <v>0</v>
      </c>
    </row>
    <row r="349" customFormat="false" ht="15" hidden="false" customHeight="false" outlineLevel="0" collapsed="false">
      <c r="A349" s="28" t="s">
        <v>205</v>
      </c>
      <c r="B349" s="23" t="n">
        <v>12</v>
      </c>
      <c r="C349" s="23" t="n">
        <v>43965.7726855873</v>
      </c>
      <c r="D349" s="23" t="n">
        <v>17066.4100538045</v>
      </c>
      <c r="E349" s="15" t="n">
        <f aca="false">C349-D349</f>
        <v>26899.3626317828</v>
      </c>
      <c r="F349" s="23" t="n">
        <v>382.5</v>
      </c>
      <c r="G349" s="15" t="n">
        <f aca="false">E349+F349+H349-I349-J349-K349</f>
        <v>12310.3812815226</v>
      </c>
      <c r="H349" s="23" t="n">
        <v>13202.3111666667</v>
      </c>
      <c r="I349" s="23" t="n">
        <v>26570.229685</v>
      </c>
      <c r="J349" s="23" t="n">
        <v>1603.56283192684</v>
      </c>
      <c r="K349" s="23" t="n">
        <v>0</v>
      </c>
    </row>
    <row r="350" customFormat="false" ht="15" hidden="false" customHeight="false" outlineLevel="0" collapsed="false">
      <c r="A350" s="28" t="s">
        <v>205</v>
      </c>
      <c r="B350" s="23" t="n">
        <v>13</v>
      </c>
      <c r="C350" s="23" t="n">
        <v>44133.0341322652</v>
      </c>
      <c r="D350" s="23" t="n">
        <v>17206.709997164</v>
      </c>
      <c r="E350" s="15" t="n">
        <f aca="false">C350-D350</f>
        <v>26926.3241351012</v>
      </c>
      <c r="F350" s="23" t="n">
        <v>382.5</v>
      </c>
      <c r="G350" s="15" t="n">
        <f aca="false">E350+F350+H350-I350-J350-K350</f>
        <v>12272.8519360911</v>
      </c>
      <c r="H350" s="23" t="n">
        <v>13202.3111666667</v>
      </c>
      <c r="I350" s="23" t="n">
        <v>26634.72053375</v>
      </c>
      <c r="J350" s="23" t="n">
        <v>1603.56283192684</v>
      </c>
      <c r="K350" s="23" t="n">
        <v>0</v>
      </c>
    </row>
    <row r="351" customFormat="false" ht="15" hidden="false" customHeight="false" outlineLevel="0" collapsed="false">
      <c r="A351" s="28" t="s">
        <v>205</v>
      </c>
      <c r="B351" s="23" t="n">
        <v>14</v>
      </c>
      <c r="C351" s="23" t="n">
        <v>44298.3010373224</v>
      </c>
      <c r="D351" s="23" t="n">
        <v>17243.7596462194</v>
      </c>
      <c r="E351" s="15" t="n">
        <f aca="false">C351-D351</f>
        <v>27054.541391103</v>
      </c>
      <c r="F351" s="23" t="n">
        <v>382.5</v>
      </c>
      <c r="G351" s="15" t="n">
        <f aca="false">E351+F351+H351-I351-J351-K351</f>
        <v>12336.5783433428</v>
      </c>
      <c r="H351" s="23" t="n">
        <v>13202.3111666667</v>
      </c>
      <c r="I351" s="23" t="n">
        <v>26699.2113825</v>
      </c>
      <c r="J351" s="23" t="n">
        <v>1603.56283192684</v>
      </c>
      <c r="K351" s="23" t="n">
        <v>0</v>
      </c>
    </row>
    <row r="352" customFormat="false" ht="15" hidden="false" customHeight="false" outlineLevel="0" collapsed="false">
      <c r="A352" s="28" t="s">
        <v>205</v>
      </c>
      <c r="B352" s="23" t="n">
        <v>15</v>
      </c>
      <c r="C352" s="23" t="n">
        <v>44461.598067876</v>
      </c>
      <c r="D352" s="23" t="n">
        <v>17280.8092952748</v>
      </c>
      <c r="E352" s="15" t="n">
        <f aca="false">C352-D352</f>
        <v>27180.7887726012</v>
      </c>
      <c r="F352" s="23" t="n">
        <v>382.5</v>
      </c>
      <c r="G352" s="15" t="n">
        <f aca="false">E352+F352+H352-I352-J352-K352</f>
        <v>12398.334876091</v>
      </c>
      <c r="H352" s="23" t="n">
        <v>13202.3111666667</v>
      </c>
      <c r="I352" s="23" t="n">
        <v>26763.70223125</v>
      </c>
      <c r="J352" s="23" t="n">
        <v>1603.56283192684</v>
      </c>
      <c r="K352" s="23" t="n">
        <v>0</v>
      </c>
    </row>
    <row r="353" customFormat="false" ht="15" hidden="false" customHeight="false" outlineLevel="0" collapsed="false">
      <c r="A353" s="28" t="s">
        <v>205</v>
      </c>
      <c r="B353" s="23" t="n">
        <v>16</v>
      </c>
      <c r="C353" s="23" t="n">
        <v>45057.6717675647</v>
      </c>
      <c r="D353" s="23" t="n">
        <v>17317.8589443303</v>
      </c>
      <c r="E353" s="15" t="n">
        <f aca="false">C353-D353</f>
        <v>27739.8128232344</v>
      </c>
      <c r="F353" s="23" t="n">
        <v>382.5</v>
      </c>
      <c r="G353" s="15" t="n">
        <f aca="false">E353+F353+H353-I353-J353-K353</f>
        <v>12892.8680779743</v>
      </c>
      <c r="H353" s="23" t="n">
        <v>13202.3111666667</v>
      </c>
      <c r="I353" s="23" t="n">
        <v>26828.19308</v>
      </c>
      <c r="J353" s="23" t="n">
        <v>1603.56283192684</v>
      </c>
      <c r="K353" s="23" t="n">
        <v>0</v>
      </c>
    </row>
    <row r="354" customFormat="false" ht="15" hidden="false" customHeight="false" outlineLevel="0" collapsed="false">
      <c r="A354" s="28" t="s">
        <v>205</v>
      </c>
      <c r="B354" s="23" t="n">
        <v>17</v>
      </c>
      <c r="C354" s="23" t="n">
        <v>45217.1016730998</v>
      </c>
      <c r="D354" s="23" t="n">
        <v>17354.9085933857</v>
      </c>
      <c r="E354" s="15" t="n">
        <f aca="false">C354-D354</f>
        <v>27862.1930797141</v>
      </c>
      <c r="F354" s="23" t="n">
        <v>382.5</v>
      </c>
      <c r="G354" s="15" t="n">
        <f aca="false">E354+F354+H354-I354-J354-K354</f>
        <v>12950.7574857039</v>
      </c>
      <c r="H354" s="23" t="n">
        <v>13202.3111666667</v>
      </c>
      <c r="I354" s="23" t="n">
        <v>26892.68392875</v>
      </c>
      <c r="J354" s="23" t="n">
        <v>1603.56283192684</v>
      </c>
      <c r="K354" s="23" t="n">
        <v>0</v>
      </c>
    </row>
    <row r="355" customFormat="false" ht="15" hidden="false" customHeight="false" outlineLevel="0" collapsed="false">
      <c r="A355" s="28" t="s">
        <v>205</v>
      </c>
      <c r="B355" s="23" t="n">
        <v>18</v>
      </c>
      <c r="C355" s="23" t="n">
        <v>45374.6336529431</v>
      </c>
      <c r="D355" s="23" t="n">
        <v>17391.9582424411</v>
      </c>
      <c r="E355" s="15" t="n">
        <f aca="false">C355-D355</f>
        <v>27982.675410502</v>
      </c>
      <c r="F355" s="23" t="n">
        <v>382.5</v>
      </c>
      <c r="G355" s="15" t="n">
        <f aca="false">E355+F355+H355-I355-J355-K355</f>
        <v>13006.7489677418</v>
      </c>
      <c r="H355" s="23" t="n">
        <v>13202.3111666667</v>
      </c>
      <c r="I355" s="23" t="n">
        <v>26957.1747775</v>
      </c>
      <c r="J355" s="23" t="n">
        <v>1603.56283192684</v>
      </c>
      <c r="K355" s="23" t="n">
        <v>0</v>
      </c>
    </row>
    <row r="356" customFormat="false" ht="15" hidden="false" customHeight="false" outlineLevel="0" collapsed="false">
      <c r="A356" s="28" t="s">
        <v>205</v>
      </c>
      <c r="B356" s="23" t="n">
        <v>19</v>
      </c>
      <c r="C356" s="23" t="n">
        <v>45530.2910236697</v>
      </c>
      <c r="D356" s="23" t="n">
        <v>17429.0078914966</v>
      </c>
      <c r="E356" s="15" t="n">
        <f aca="false">C356-D356</f>
        <v>28101.2831321731</v>
      </c>
      <c r="F356" s="23" t="n">
        <v>382.5</v>
      </c>
      <c r="G356" s="15" t="n">
        <f aca="false">E356+F356+H356-I356-J356-K356</f>
        <v>13060.8658406629</v>
      </c>
      <c r="H356" s="23" t="n">
        <v>13202.3111666667</v>
      </c>
      <c r="I356" s="23" t="n">
        <v>27021.66562625</v>
      </c>
      <c r="J356" s="23" t="n">
        <v>1603.56283192684</v>
      </c>
      <c r="K356" s="23" t="n">
        <v>0</v>
      </c>
    </row>
    <row r="357" customFormat="false" ht="15" hidden="false" customHeight="false" outlineLevel="0" collapsed="false">
      <c r="A357" s="28" t="s">
        <v>205</v>
      </c>
      <c r="B357" s="23" t="n">
        <v>20</v>
      </c>
      <c r="C357" s="23" t="n">
        <v>45684.0967773485</v>
      </c>
      <c r="D357" s="23" t="n">
        <v>17453.4649194734</v>
      </c>
      <c r="E357" s="15" t="n">
        <f aca="false">C357-D357</f>
        <v>28230.6318578752</v>
      </c>
      <c r="F357" s="23" t="n">
        <v>382.5</v>
      </c>
      <c r="G357" s="15" t="n">
        <f aca="false">E357+F357+H357-I357-J357-K357</f>
        <v>-2874.27628238502</v>
      </c>
      <c r="H357" s="23" t="n">
        <v>13202.3111666667</v>
      </c>
      <c r="I357" s="23" t="n">
        <v>27086.156475</v>
      </c>
      <c r="J357" s="23" t="n">
        <v>1603.56283192684</v>
      </c>
      <c r="K357" s="23" t="n">
        <v>16000</v>
      </c>
    </row>
    <row r="358" customFormat="false" ht="15" hidden="false" customHeight="false" outlineLevel="0" collapsed="false">
      <c r="A358" s="28" t="s">
        <v>205</v>
      </c>
      <c r="B358" s="23" t="n">
        <v>21</v>
      </c>
      <c r="C358" s="23" t="n">
        <v>45836.0735866123</v>
      </c>
      <c r="D358" s="23" t="n">
        <v>17477.9219474502</v>
      </c>
      <c r="E358" s="15" t="n">
        <f aca="false">C358-D358</f>
        <v>28358.151639162</v>
      </c>
      <c r="F358" s="23" t="n">
        <v>382.5</v>
      </c>
      <c r="G358" s="15" t="n">
        <f aca="false">E358+F358+H358-I358-J358-K358</f>
        <v>13188.7526501519</v>
      </c>
      <c r="H358" s="23" t="n">
        <v>13202.3111666667</v>
      </c>
      <c r="I358" s="23" t="n">
        <v>27150.64732375</v>
      </c>
      <c r="J358" s="23" t="n">
        <v>1603.56283192684</v>
      </c>
      <c r="K358" s="23" t="n">
        <v>0</v>
      </c>
    </row>
    <row r="359" customFormat="false" ht="15" hidden="false" customHeight="false" outlineLevel="0" collapsed="false">
      <c r="A359" s="28" t="s">
        <v>205</v>
      </c>
      <c r="B359" s="23" t="n">
        <v>22</v>
      </c>
      <c r="C359" s="23" t="n">
        <v>45986.2438096375</v>
      </c>
      <c r="D359" s="23" t="n">
        <v>17502.3789754271</v>
      </c>
      <c r="E359" s="15" t="n">
        <f aca="false">C359-D359</f>
        <v>28483.8648342104</v>
      </c>
      <c r="F359" s="23" t="n">
        <v>382.5</v>
      </c>
      <c r="G359" s="15" t="n">
        <f aca="false">E359+F359+H359-I359-J359-K359</f>
        <v>13249.9749964503</v>
      </c>
      <c r="H359" s="23" t="n">
        <v>13202.3111666667</v>
      </c>
      <c r="I359" s="23" t="n">
        <v>27215.1381725</v>
      </c>
      <c r="J359" s="23" t="n">
        <v>1603.56283192684</v>
      </c>
      <c r="K359" s="23" t="n">
        <v>0</v>
      </c>
    </row>
    <row r="360" customFormat="false" ht="15" hidden="false" customHeight="false" outlineLevel="0" collapsed="false">
      <c r="A360" s="28" t="s">
        <v>205</v>
      </c>
      <c r="B360" s="23" t="n">
        <v>23</v>
      </c>
      <c r="C360" s="23" t="n">
        <v>46134.6294950391</v>
      </c>
      <c r="D360" s="23" t="n">
        <v>17526.8360034039</v>
      </c>
      <c r="E360" s="15" t="n">
        <f aca="false">C360-D360</f>
        <v>28607.7934916352</v>
      </c>
      <c r="F360" s="23" t="n">
        <v>382.5</v>
      </c>
      <c r="G360" s="15" t="n">
        <f aca="false">E360+F360+H360-I360-J360-K360</f>
        <v>13309.412805125</v>
      </c>
      <c r="H360" s="23" t="n">
        <v>13202.3111666667</v>
      </c>
      <c r="I360" s="23" t="n">
        <v>27279.62902125</v>
      </c>
      <c r="J360" s="23" t="n">
        <v>1603.56283192684</v>
      </c>
      <c r="K360" s="23" t="n">
        <v>0</v>
      </c>
    </row>
    <row r="361" customFormat="false" ht="15" hidden="false" customHeight="false" outlineLevel="0" collapsed="false">
      <c r="A361" s="28" t="s">
        <v>205</v>
      </c>
      <c r="B361" s="23" t="n">
        <v>24</v>
      </c>
      <c r="C361" s="23" t="n">
        <v>46281.2523866791</v>
      </c>
      <c r="D361" s="23" t="n">
        <v>17551.2930313808</v>
      </c>
      <c r="E361" s="15" t="n">
        <f aca="false">C361-D361</f>
        <v>28729.9593552983</v>
      </c>
      <c r="F361" s="23" t="n">
        <v>382.5</v>
      </c>
      <c r="G361" s="15" t="n">
        <f aca="false">E361+F361+H361-I361-J361-K361</f>
        <v>13367.0878200381</v>
      </c>
      <c r="H361" s="23" t="n">
        <v>13202.3111666667</v>
      </c>
      <c r="I361" s="23" t="n">
        <v>27344.11987</v>
      </c>
      <c r="J361" s="23" t="n">
        <v>1603.56283192684</v>
      </c>
      <c r="K361" s="23" t="n">
        <v>0</v>
      </c>
    </row>
    <row r="362" customFormat="false" ht="15" hidden="false" customHeight="false" outlineLevel="0" collapsed="false">
      <c r="A362" s="28" t="s">
        <v>207</v>
      </c>
      <c r="B362" s="23" t="n">
        <v>1</v>
      </c>
      <c r="C362" s="23" t="n">
        <v>38317.1622308715</v>
      </c>
      <c r="D362" s="23" t="n">
        <v>10916.3223303057</v>
      </c>
      <c r="E362" s="15" t="n">
        <f aca="false">C362-D362</f>
        <v>27400.8399005658</v>
      </c>
      <c r="F362" s="23" t="n">
        <v>339.3</v>
      </c>
      <c r="G362" s="15" t="n">
        <f aca="false">E362+F362+H362-I362-J362-K362</f>
        <v>13478.0578865556</v>
      </c>
      <c r="H362" s="23" t="n">
        <v>13202.3111666667</v>
      </c>
      <c r="I362" s="23" t="n">
        <v>25860.83034875</v>
      </c>
      <c r="J362" s="23" t="n">
        <v>1603.56283192684</v>
      </c>
      <c r="K362" s="23" t="n">
        <v>0</v>
      </c>
    </row>
    <row r="363" customFormat="false" ht="15" hidden="false" customHeight="false" outlineLevel="0" collapsed="false">
      <c r="A363" s="28" t="s">
        <v>207</v>
      </c>
      <c r="B363" s="23" t="n">
        <v>2</v>
      </c>
      <c r="C363" s="23" t="n">
        <v>38458.4233408134</v>
      </c>
      <c r="D363" s="23" t="n">
        <v>11202.6399503548</v>
      </c>
      <c r="E363" s="15" t="n">
        <f aca="false">C363-D363</f>
        <v>27255.7833904586</v>
      </c>
      <c r="F363" s="23" t="n">
        <v>339.3</v>
      </c>
      <c r="G363" s="15" t="n">
        <f aca="false">E363+F363+H363-I363-J363-K363</f>
        <v>13268.5105276985</v>
      </c>
      <c r="H363" s="23" t="n">
        <v>13202.3111666667</v>
      </c>
      <c r="I363" s="23" t="n">
        <v>25925.3211975</v>
      </c>
      <c r="J363" s="23" t="n">
        <v>1603.56283192684</v>
      </c>
      <c r="K363" s="23" t="n">
        <v>0</v>
      </c>
    </row>
    <row r="364" customFormat="false" ht="15" hidden="false" customHeight="false" outlineLevel="0" collapsed="false">
      <c r="A364" s="28" t="s">
        <v>207</v>
      </c>
      <c r="B364" s="23" t="n">
        <v>3</v>
      </c>
      <c r="C364" s="23" t="n">
        <v>38599.2913981364</v>
      </c>
      <c r="D364" s="23" t="n">
        <v>11374.4421672832</v>
      </c>
      <c r="E364" s="15" t="n">
        <f aca="false">C364-D364</f>
        <v>27224.8492308531</v>
      </c>
      <c r="F364" s="23" t="n">
        <v>339.3</v>
      </c>
      <c r="G364" s="15" t="n">
        <f aca="false">E364+F364+H364-I364-J364-K364</f>
        <v>13173.0855193429</v>
      </c>
      <c r="H364" s="23" t="n">
        <v>13202.3111666667</v>
      </c>
      <c r="I364" s="23" t="n">
        <v>25989.81204625</v>
      </c>
      <c r="J364" s="23" t="n">
        <v>1603.56283192684</v>
      </c>
      <c r="K364" s="23" t="n">
        <v>0</v>
      </c>
    </row>
    <row r="365" customFormat="false" ht="15" hidden="false" customHeight="false" outlineLevel="0" collapsed="false">
      <c r="A365" s="28" t="s">
        <v>207</v>
      </c>
      <c r="B365" s="23" t="n">
        <v>4</v>
      </c>
      <c r="C365" s="23" t="n">
        <v>38737.1212813426</v>
      </c>
      <c r="D365" s="23" t="n">
        <v>11497.459847198</v>
      </c>
      <c r="E365" s="15" t="n">
        <f aca="false">C365-D365</f>
        <v>27239.6614341445</v>
      </c>
      <c r="F365" s="23" t="n">
        <v>339.3</v>
      </c>
      <c r="G365" s="15" t="n">
        <f aca="false">E365+F365+H365-I365-J365-K365</f>
        <v>13123.4068738844</v>
      </c>
      <c r="H365" s="23" t="n">
        <v>13202.3111666667</v>
      </c>
      <c r="I365" s="23" t="n">
        <v>26054.302895</v>
      </c>
      <c r="J365" s="23" t="n">
        <v>1603.56283192684</v>
      </c>
      <c r="K365" s="23" t="n">
        <v>0</v>
      </c>
    </row>
    <row r="366" customFormat="false" ht="15" hidden="false" customHeight="false" outlineLevel="0" collapsed="false">
      <c r="A366" s="28" t="s">
        <v>207</v>
      </c>
      <c r="B366" s="23" t="n">
        <v>5</v>
      </c>
      <c r="C366" s="23" t="n">
        <v>38873.270364851</v>
      </c>
      <c r="D366" s="23" t="n">
        <v>11575.3588150122</v>
      </c>
      <c r="E366" s="15" t="n">
        <f aca="false">C366-D366</f>
        <v>27297.9115498388</v>
      </c>
      <c r="F366" s="23" t="n">
        <v>339.3</v>
      </c>
      <c r="G366" s="15" t="n">
        <f aca="false">E366+F366+H366-I366-J366-K366</f>
        <v>13117.1661408286</v>
      </c>
      <c r="H366" s="23" t="n">
        <v>13202.3111666667</v>
      </c>
      <c r="I366" s="23" t="n">
        <v>26118.79374375</v>
      </c>
      <c r="J366" s="23" t="n">
        <v>1603.56283192684</v>
      </c>
      <c r="K366" s="23" t="n">
        <v>0</v>
      </c>
    </row>
    <row r="367" customFormat="false" ht="15" hidden="false" customHeight="false" outlineLevel="0" collapsed="false">
      <c r="A367" s="28" t="s">
        <v>207</v>
      </c>
      <c r="B367" s="23" t="n">
        <v>6</v>
      </c>
      <c r="C367" s="23" t="n">
        <v>39007.7613863217</v>
      </c>
      <c r="D367" s="23" t="n">
        <v>11653.2577828264</v>
      </c>
      <c r="E367" s="15" t="n">
        <f aca="false">C367-D367</f>
        <v>27354.5036034953</v>
      </c>
      <c r="F367" s="23" t="n">
        <v>339.3</v>
      </c>
      <c r="G367" s="15" t="n">
        <f aca="false">E367+F367+H367-I367-J367-K367</f>
        <v>13109.2673457351</v>
      </c>
      <c r="H367" s="23" t="n">
        <v>13202.3111666667</v>
      </c>
      <c r="I367" s="23" t="n">
        <v>26183.2845925</v>
      </c>
      <c r="J367" s="23" t="n">
        <v>1603.56283192684</v>
      </c>
      <c r="K367" s="23" t="n">
        <v>0</v>
      </c>
    </row>
    <row r="368" customFormat="false" ht="15" hidden="false" customHeight="false" outlineLevel="0" collapsed="false">
      <c r="A368" s="28" t="s">
        <v>207</v>
      </c>
      <c r="B368" s="23" t="n">
        <v>7</v>
      </c>
      <c r="C368" s="23" t="n">
        <v>39140.616737126</v>
      </c>
      <c r="D368" s="23" t="n">
        <v>11731.1567506405</v>
      </c>
      <c r="E368" s="15" t="n">
        <f aca="false">C368-D368</f>
        <v>27409.4599864854</v>
      </c>
      <c r="F368" s="23" t="n">
        <v>339.3</v>
      </c>
      <c r="G368" s="15" t="n">
        <f aca="false">E368+F368+H368-I368-J368-K368</f>
        <v>13099.7328799752</v>
      </c>
      <c r="H368" s="23" t="n">
        <v>13202.3111666667</v>
      </c>
      <c r="I368" s="23" t="n">
        <v>26247.77544125</v>
      </c>
      <c r="J368" s="23" t="n">
        <v>1603.56283192684</v>
      </c>
      <c r="K368" s="23" t="n">
        <v>0</v>
      </c>
    </row>
    <row r="369" customFormat="false" ht="15" hidden="false" customHeight="false" outlineLevel="0" collapsed="false">
      <c r="A369" s="28" t="s">
        <v>207</v>
      </c>
      <c r="B369" s="23" t="n">
        <v>8</v>
      </c>
      <c r="C369" s="23" t="n">
        <v>39271.8584680632</v>
      </c>
      <c r="D369" s="23" t="n">
        <v>11798.9329919386</v>
      </c>
      <c r="E369" s="15" t="n">
        <f aca="false">C369-D369</f>
        <v>27472.9254761246</v>
      </c>
      <c r="F369" s="23" t="n">
        <v>339.3</v>
      </c>
      <c r="G369" s="15" t="n">
        <f aca="false">E369+F369+H369-I369-J369-K369</f>
        <v>-2901.29247913554</v>
      </c>
      <c r="H369" s="23" t="n">
        <v>13202.3111666667</v>
      </c>
      <c r="I369" s="23" t="n">
        <v>26312.26629</v>
      </c>
      <c r="J369" s="23" t="n">
        <v>1603.56283192684</v>
      </c>
      <c r="K369" s="23" t="n">
        <v>16000</v>
      </c>
    </row>
    <row r="370" customFormat="false" ht="15" hidden="false" customHeight="false" outlineLevel="0" collapsed="false">
      <c r="A370" s="28" t="s">
        <v>207</v>
      </c>
      <c r="B370" s="23" t="n">
        <v>9</v>
      </c>
      <c r="C370" s="23" t="n">
        <v>39401.5082949771</v>
      </c>
      <c r="D370" s="23" t="n">
        <v>11866.7092332366</v>
      </c>
      <c r="E370" s="15" t="n">
        <f aca="false">C370-D370</f>
        <v>27534.7990617406</v>
      </c>
      <c r="F370" s="23" t="n">
        <v>339.3</v>
      </c>
      <c r="G370" s="15" t="n">
        <f aca="false">E370+F370+H370-I370-J370-K370</f>
        <v>13096.0902577304</v>
      </c>
      <c r="H370" s="23" t="n">
        <v>13202.3111666667</v>
      </c>
      <c r="I370" s="23" t="n">
        <v>26376.75713875</v>
      </c>
      <c r="J370" s="23" t="n">
        <v>1603.56283192684</v>
      </c>
      <c r="K370" s="23" t="n">
        <v>0</v>
      </c>
    </row>
    <row r="371" customFormat="false" ht="15" hidden="false" customHeight="false" outlineLevel="0" collapsed="false">
      <c r="A371" s="28" t="s">
        <v>207</v>
      </c>
      <c r="B371" s="23" t="n">
        <v>10</v>
      </c>
      <c r="C371" s="23" t="n">
        <v>39556.2542709398</v>
      </c>
      <c r="D371" s="23" t="n">
        <v>11934.4854745346</v>
      </c>
      <c r="E371" s="15" t="n">
        <f aca="false">C371-D371</f>
        <v>27621.7687964053</v>
      </c>
      <c r="F371" s="23" t="n">
        <v>339.3</v>
      </c>
      <c r="G371" s="15" t="n">
        <f aca="false">E371+F371+H371-I371-J371-K371</f>
        <v>13118.5691436451</v>
      </c>
      <c r="H371" s="23" t="n">
        <v>13202.3111666667</v>
      </c>
      <c r="I371" s="23" t="n">
        <v>26441.2479875</v>
      </c>
      <c r="J371" s="23" t="n">
        <v>1603.56283192684</v>
      </c>
      <c r="K371" s="23" t="n">
        <v>0</v>
      </c>
    </row>
    <row r="372" customFormat="false" ht="15" hidden="false" customHeight="false" outlineLevel="0" collapsed="false">
      <c r="A372" s="28" t="s">
        <v>207</v>
      </c>
      <c r="B372" s="23" t="n">
        <v>11</v>
      </c>
      <c r="C372" s="23" t="n">
        <v>39682.7841250051</v>
      </c>
      <c r="D372" s="23" t="n">
        <v>11997.3883275234</v>
      </c>
      <c r="E372" s="15" t="n">
        <f aca="false">C372-D372</f>
        <v>27685.3957974817</v>
      </c>
      <c r="F372" s="23" t="n">
        <v>339.3</v>
      </c>
      <c r="G372" s="15" t="n">
        <f aca="false">E372+F372+H372-I372-J372-K372</f>
        <v>13117.7052959715</v>
      </c>
      <c r="H372" s="23" t="n">
        <v>13202.3111666667</v>
      </c>
      <c r="I372" s="23" t="n">
        <v>26505.73883625</v>
      </c>
      <c r="J372" s="23" t="n">
        <v>1603.56283192684</v>
      </c>
      <c r="K372" s="23" t="n">
        <v>0</v>
      </c>
    </row>
    <row r="373" customFormat="false" ht="15" hidden="false" customHeight="false" outlineLevel="0" collapsed="false">
      <c r="A373" s="28" t="s">
        <v>207</v>
      </c>
      <c r="B373" s="23" t="n">
        <v>12</v>
      </c>
      <c r="C373" s="23" t="n">
        <v>39807.7852675336</v>
      </c>
      <c r="D373" s="23" t="n">
        <v>12060.2911805123</v>
      </c>
      <c r="E373" s="15" t="n">
        <f aca="false">C373-D373</f>
        <v>27747.4940870213</v>
      </c>
      <c r="F373" s="23" t="n">
        <v>339.3</v>
      </c>
      <c r="G373" s="15" t="n">
        <f aca="false">E373+F373+H373-I373-J373-K373</f>
        <v>13115.3127367611</v>
      </c>
      <c r="H373" s="23" t="n">
        <v>13202.3111666667</v>
      </c>
      <c r="I373" s="23" t="n">
        <v>26570.229685</v>
      </c>
      <c r="J373" s="23" t="n">
        <v>1603.56283192684</v>
      </c>
      <c r="K373" s="23" t="n">
        <v>0</v>
      </c>
    </row>
    <row r="374" customFormat="false" ht="15" hidden="false" customHeight="false" outlineLevel="0" collapsed="false">
      <c r="A374" s="28" t="s">
        <v>207</v>
      </c>
      <c r="B374" s="23" t="n">
        <v>13</v>
      </c>
      <c r="C374" s="23" t="n">
        <v>39931.2781287572</v>
      </c>
      <c r="D374" s="23" t="n">
        <v>12113.8209230252</v>
      </c>
      <c r="E374" s="15" t="n">
        <f aca="false">C374-D374</f>
        <v>27817.457205732</v>
      </c>
      <c r="F374" s="23" t="n">
        <v>339.3</v>
      </c>
      <c r="G374" s="15" t="n">
        <f aca="false">E374+F374+H374-I374-J374-K374</f>
        <v>13120.7850067218</v>
      </c>
      <c r="H374" s="23" t="n">
        <v>13202.3111666667</v>
      </c>
      <c r="I374" s="23" t="n">
        <v>26634.72053375</v>
      </c>
      <c r="J374" s="23" t="n">
        <v>1603.56283192684</v>
      </c>
      <c r="K374" s="23" t="n">
        <v>0</v>
      </c>
    </row>
    <row r="375" customFormat="false" ht="15" hidden="false" customHeight="false" outlineLevel="0" collapsed="false">
      <c r="A375" s="28" t="s">
        <v>207</v>
      </c>
      <c r="B375" s="23" t="n">
        <v>14</v>
      </c>
      <c r="C375" s="23" t="n">
        <v>40053.2828305856</v>
      </c>
      <c r="D375" s="23" t="n">
        <v>12130.3446622954</v>
      </c>
      <c r="E375" s="15" t="n">
        <f aca="false">C375-D375</f>
        <v>27922.9381682902</v>
      </c>
      <c r="F375" s="23" t="n">
        <v>339.3</v>
      </c>
      <c r="G375" s="15" t="n">
        <f aca="false">E375+F375+H375-I375-J375-K375</f>
        <v>13161.77512053</v>
      </c>
      <c r="H375" s="23" t="n">
        <v>13202.3111666667</v>
      </c>
      <c r="I375" s="23" t="n">
        <v>26699.2113825</v>
      </c>
      <c r="J375" s="23" t="n">
        <v>1603.56283192684</v>
      </c>
      <c r="K375" s="23" t="n">
        <v>0</v>
      </c>
    </row>
    <row r="376" customFormat="false" ht="15" hidden="false" customHeight="false" outlineLevel="0" collapsed="false">
      <c r="A376" s="28" t="s">
        <v>207</v>
      </c>
      <c r="B376" s="23" t="n">
        <v>15</v>
      </c>
      <c r="C376" s="23" t="n">
        <v>40173.8191916559</v>
      </c>
      <c r="D376" s="23" t="n">
        <v>12146.8684015656</v>
      </c>
      <c r="E376" s="15" t="n">
        <f aca="false">C376-D376</f>
        <v>28026.9507900903</v>
      </c>
      <c r="F376" s="23" t="n">
        <v>339.3</v>
      </c>
      <c r="G376" s="15" t="n">
        <f aca="false">E376+F376+H376-I376-J376-K376</f>
        <v>13201.2968935801</v>
      </c>
      <c r="H376" s="23" t="n">
        <v>13202.3111666667</v>
      </c>
      <c r="I376" s="23" t="n">
        <v>26763.70223125</v>
      </c>
      <c r="J376" s="23" t="n">
        <v>1603.56283192684</v>
      </c>
      <c r="K376" s="23" t="n">
        <v>0</v>
      </c>
    </row>
    <row r="377" customFormat="false" ht="15" hidden="false" customHeight="false" outlineLevel="0" collapsed="false">
      <c r="A377" s="28" t="s">
        <v>207</v>
      </c>
      <c r="B377" s="23" t="n">
        <v>16</v>
      </c>
      <c r="C377" s="23" t="n">
        <v>40657.9067322936</v>
      </c>
      <c r="D377" s="23" t="n">
        <v>12163.3921408358</v>
      </c>
      <c r="E377" s="15" t="n">
        <f aca="false">C377-D377</f>
        <v>28494.5145914578</v>
      </c>
      <c r="F377" s="23" t="n">
        <v>339.3</v>
      </c>
      <c r="G377" s="15" t="n">
        <f aca="false">E377+F377+H377-I377-J377-K377</f>
        <v>13604.3698461976</v>
      </c>
      <c r="H377" s="23" t="n">
        <v>13202.3111666667</v>
      </c>
      <c r="I377" s="23" t="n">
        <v>26828.19308</v>
      </c>
      <c r="J377" s="23" t="n">
        <v>1603.56283192684</v>
      </c>
      <c r="K377" s="23" t="n">
        <v>0</v>
      </c>
    </row>
    <row r="378" customFormat="false" ht="15" hidden="false" customHeight="false" outlineLevel="0" collapsed="false">
      <c r="A378" s="28" t="s">
        <v>207</v>
      </c>
      <c r="B378" s="23" t="n">
        <v>17</v>
      </c>
      <c r="C378" s="23" t="n">
        <v>40775.5646793874</v>
      </c>
      <c r="D378" s="23" t="n">
        <v>12179.915880106</v>
      </c>
      <c r="E378" s="15" t="n">
        <f aca="false">C378-D378</f>
        <v>28595.6487992815</v>
      </c>
      <c r="F378" s="23" t="n">
        <v>339.3</v>
      </c>
      <c r="G378" s="15" t="n">
        <f aca="false">E378+F378+H378-I378-J378-K378</f>
        <v>13641.0132052713</v>
      </c>
      <c r="H378" s="23" t="n">
        <v>13202.3111666667</v>
      </c>
      <c r="I378" s="23" t="n">
        <v>26892.68392875</v>
      </c>
      <c r="J378" s="23" t="n">
        <v>1603.56283192684</v>
      </c>
      <c r="K378" s="23" t="n">
        <v>0</v>
      </c>
    </row>
    <row r="379" customFormat="false" ht="15" hidden="false" customHeight="false" outlineLevel="0" collapsed="false">
      <c r="A379" s="28" t="s">
        <v>207</v>
      </c>
      <c r="B379" s="23" t="n">
        <v>18</v>
      </c>
      <c r="C379" s="23" t="n">
        <v>40891.8119711788</v>
      </c>
      <c r="D379" s="23" t="n">
        <v>12196.4396193762</v>
      </c>
      <c r="E379" s="15" t="n">
        <f aca="false">C379-D379</f>
        <v>28695.3723518026</v>
      </c>
      <c r="F379" s="23" t="n">
        <v>339.3</v>
      </c>
      <c r="G379" s="15" t="n">
        <f aca="false">E379+F379+H379-I379-J379-K379</f>
        <v>13676.2459090424</v>
      </c>
      <c r="H379" s="23" t="n">
        <v>13202.3111666667</v>
      </c>
      <c r="I379" s="23" t="n">
        <v>26957.1747775</v>
      </c>
      <c r="J379" s="23" t="n">
        <v>1603.56283192684</v>
      </c>
      <c r="K379" s="23" t="n">
        <v>0</v>
      </c>
    </row>
    <row r="380" customFormat="false" ht="15" hidden="false" customHeight="false" outlineLevel="0" collapsed="false">
      <c r="A380" s="28" t="s">
        <v>207</v>
      </c>
      <c r="B380" s="23" t="n">
        <v>19</v>
      </c>
      <c r="C380" s="23" t="n">
        <v>41006.6672619673</v>
      </c>
      <c r="D380" s="23" t="n">
        <v>12212.9633586464</v>
      </c>
      <c r="E380" s="15" t="n">
        <f aca="false">C380-D380</f>
        <v>28793.7039033209</v>
      </c>
      <c r="F380" s="23" t="n">
        <v>339.3</v>
      </c>
      <c r="G380" s="15" t="n">
        <f aca="false">E380+F380+H380-I380-J380-K380</f>
        <v>13710.0866118108</v>
      </c>
      <c r="H380" s="23" t="n">
        <v>13202.3111666667</v>
      </c>
      <c r="I380" s="23" t="n">
        <v>27021.66562625</v>
      </c>
      <c r="J380" s="23" t="n">
        <v>1603.56283192684</v>
      </c>
      <c r="K380" s="23" t="n">
        <v>0</v>
      </c>
    </row>
    <row r="381" customFormat="false" ht="15" hidden="false" customHeight="false" outlineLevel="0" collapsed="false">
      <c r="A381" s="28" t="s">
        <v>207</v>
      </c>
      <c r="B381" s="23" t="n">
        <v>20</v>
      </c>
      <c r="C381" s="23" t="n">
        <v>41120.1489267352</v>
      </c>
      <c r="D381" s="23" t="n">
        <v>12222.893609366</v>
      </c>
      <c r="E381" s="15" t="n">
        <f aca="false">C381-D381</f>
        <v>28897.2553173692</v>
      </c>
      <c r="F381" s="23" t="n">
        <v>339.3</v>
      </c>
      <c r="G381" s="15" t="n">
        <f aca="false">E381+F381+H381-I381-J381-K381</f>
        <v>-2250.85282289099</v>
      </c>
      <c r="H381" s="23" t="n">
        <v>13202.3111666667</v>
      </c>
      <c r="I381" s="23" t="n">
        <v>27086.156475</v>
      </c>
      <c r="J381" s="23" t="n">
        <v>1603.56283192684</v>
      </c>
      <c r="K381" s="23" t="n">
        <v>16000</v>
      </c>
    </row>
    <row r="382" customFormat="false" ht="15" hidden="false" customHeight="false" outlineLevel="0" collapsed="false">
      <c r="A382" s="28" t="s">
        <v>207</v>
      </c>
      <c r="B382" s="23" t="n">
        <v>21</v>
      </c>
      <c r="C382" s="23" t="n">
        <v>41232.2750656906</v>
      </c>
      <c r="D382" s="23" t="n">
        <v>12232.8238600857</v>
      </c>
      <c r="E382" s="15" t="n">
        <f aca="false">C382-D382</f>
        <v>28999.4512056049</v>
      </c>
      <c r="F382" s="23" t="n">
        <v>339.3</v>
      </c>
      <c r="G382" s="15" t="n">
        <f aca="false">E382+F382+H382-I382-J382-K382</f>
        <v>13786.8522165947</v>
      </c>
      <c r="H382" s="23" t="n">
        <v>13202.3111666667</v>
      </c>
      <c r="I382" s="23" t="n">
        <v>27150.64732375</v>
      </c>
      <c r="J382" s="23" t="n">
        <v>1603.56283192684</v>
      </c>
      <c r="K382" s="23" t="n">
        <v>0</v>
      </c>
    </row>
    <row r="383" customFormat="false" ht="15" hidden="false" customHeight="false" outlineLevel="0" collapsed="false">
      <c r="A383" s="28" t="s">
        <v>207</v>
      </c>
      <c r="B383" s="23" t="n">
        <v>22</v>
      </c>
      <c r="C383" s="23" t="n">
        <v>41343.0635087319</v>
      </c>
      <c r="D383" s="23" t="n">
        <v>12242.7541108054</v>
      </c>
      <c r="E383" s="15" t="n">
        <f aca="false">C383-D383</f>
        <v>29100.3093979265</v>
      </c>
      <c r="F383" s="23" t="n">
        <v>339.3</v>
      </c>
      <c r="G383" s="15" t="n">
        <f aca="false">E383+F383+H383-I383-J383-K383</f>
        <v>13823.2195601664</v>
      </c>
      <c r="H383" s="23" t="n">
        <v>13202.3111666667</v>
      </c>
      <c r="I383" s="23" t="n">
        <v>27215.1381725</v>
      </c>
      <c r="J383" s="23" t="n">
        <v>1603.56283192684</v>
      </c>
      <c r="K383" s="23" t="n">
        <v>0</v>
      </c>
    </row>
    <row r="384" customFormat="false" ht="15" hidden="false" customHeight="false" outlineLevel="0" collapsed="false">
      <c r="A384" s="28" t="s">
        <v>207</v>
      </c>
      <c r="B384" s="23" t="n">
        <v>23</v>
      </c>
      <c r="C384" s="23" t="n">
        <v>41452.5318198351</v>
      </c>
      <c r="D384" s="23" t="n">
        <v>12252.684361525</v>
      </c>
      <c r="E384" s="15" t="n">
        <f aca="false">C384-D384</f>
        <v>29199.8474583101</v>
      </c>
      <c r="F384" s="23" t="n">
        <v>339.3</v>
      </c>
      <c r="G384" s="15" t="n">
        <f aca="false">E384+F384+H384-I384-J384-K384</f>
        <v>13858.2667717999</v>
      </c>
      <c r="H384" s="23" t="n">
        <v>13202.3111666667</v>
      </c>
      <c r="I384" s="23" t="n">
        <v>27279.62902125</v>
      </c>
      <c r="J384" s="23" t="n">
        <v>1603.56283192684</v>
      </c>
      <c r="K384" s="23" t="n">
        <v>0</v>
      </c>
    </row>
    <row r="385" customFormat="false" ht="15" hidden="false" customHeight="false" outlineLevel="0" collapsed="false">
      <c r="A385" s="28" t="s">
        <v>207</v>
      </c>
      <c r="B385" s="23" t="n">
        <v>24</v>
      </c>
      <c r="C385" s="23" t="n">
        <v>41560.6973013647</v>
      </c>
      <c r="D385" s="23" t="n">
        <v>12262.6146122447</v>
      </c>
      <c r="E385" s="15" t="n">
        <f aca="false">C385-D385</f>
        <v>29298.08268912</v>
      </c>
      <c r="F385" s="23" t="n">
        <v>339.3</v>
      </c>
      <c r="G385" s="15" t="n">
        <f aca="false">E385+F385+H385-I385-J385-K385</f>
        <v>13892.0111538599</v>
      </c>
      <c r="H385" s="23" t="n">
        <v>13202.3111666667</v>
      </c>
      <c r="I385" s="23" t="n">
        <v>27344.11987</v>
      </c>
      <c r="J385" s="23" t="n">
        <v>1603.56283192684</v>
      </c>
      <c r="K385" s="23" t="n">
        <v>0</v>
      </c>
    </row>
    <row r="386" customFormat="false" ht="15" hidden="false" customHeight="false" outlineLevel="0" collapsed="false">
      <c r="A386" s="28" t="s">
        <v>210</v>
      </c>
      <c r="B386" s="23" t="n">
        <v>1</v>
      </c>
      <c r="C386" s="23" t="n">
        <v>37793.8635224887</v>
      </c>
      <c r="D386" s="23" t="n">
        <v>10900.2100755937</v>
      </c>
      <c r="E386" s="15" t="n">
        <f aca="false">C386-D386</f>
        <v>26893.653446895</v>
      </c>
      <c r="F386" s="23" t="n">
        <v>450</v>
      </c>
      <c r="G386" s="15" t="n">
        <f aca="false">E386+F386+H386-I386-J386-K386</f>
        <v>13081.5714328849</v>
      </c>
      <c r="H386" s="23" t="n">
        <v>13202.3111666667</v>
      </c>
      <c r="I386" s="23" t="n">
        <v>25860.83034875</v>
      </c>
      <c r="J386" s="23" t="n">
        <v>1603.56283192684</v>
      </c>
      <c r="K386" s="23" t="n">
        <v>0</v>
      </c>
    </row>
    <row r="387" customFormat="false" ht="15" hidden="false" customHeight="false" outlineLevel="0" collapsed="false">
      <c r="A387" s="28" t="s">
        <v>210</v>
      </c>
      <c r="B387" s="23" t="n">
        <v>2</v>
      </c>
      <c r="C387" s="23" t="n">
        <v>38044.547353745</v>
      </c>
      <c r="D387" s="23" t="n">
        <v>10899.4290906499</v>
      </c>
      <c r="E387" s="15" t="n">
        <f aca="false">C387-D387</f>
        <v>27145.1182630951</v>
      </c>
      <c r="F387" s="23" t="n">
        <v>413.1</v>
      </c>
      <c r="G387" s="15" t="n">
        <f aca="false">E387+F387+H387-I387-J387-K387</f>
        <v>13231.6454003349</v>
      </c>
      <c r="H387" s="23" t="n">
        <v>13202.3111666667</v>
      </c>
      <c r="I387" s="23" t="n">
        <v>25925.3211975</v>
      </c>
      <c r="J387" s="23" t="n">
        <v>1603.56283192684</v>
      </c>
      <c r="K387" s="23" t="n">
        <v>0</v>
      </c>
    </row>
    <row r="388" customFormat="false" ht="15" hidden="false" customHeight="false" outlineLevel="0" collapsed="false">
      <c r="A388" s="28" t="s">
        <v>210</v>
      </c>
      <c r="B388" s="23" t="n">
        <v>3</v>
      </c>
      <c r="C388" s="23" t="n">
        <v>38317.1690449313</v>
      </c>
      <c r="D388" s="23" t="n">
        <v>11000.5619843558</v>
      </c>
      <c r="E388" s="15" t="n">
        <f aca="false">C388-D388</f>
        <v>27316.6070605755</v>
      </c>
      <c r="F388" s="23" t="n">
        <v>376.2</v>
      </c>
      <c r="G388" s="15" t="n">
        <f aca="false">E388+F388+H388-I388-J388-K388</f>
        <v>13301.7433490653</v>
      </c>
      <c r="H388" s="23" t="n">
        <v>13202.3111666667</v>
      </c>
      <c r="I388" s="23" t="n">
        <v>25989.81204625</v>
      </c>
      <c r="J388" s="23" t="n">
        <v>1603.56283192684</v>
      </c>
      <c r="K388" s="23" t="n">
        <v>0</v>
      </c>
    </row>
    <row r="389" customFormat="false" ht="15" hidden="false" customHeight="false" outlineLevel="0" collapsed="false">
      <c r="A389" s="28" t="s">
        <v>210</v>
      </c>
      <c r="B389" s="23" t="n">
        <v>4</v>
      </c>
      <c r="C389" s="23" t="n">
        <v>38610.0778881042</v>
      </c>
      <c r="D389" s="23" t="n">
        <v>11166.4509487319</v>
      </c>
      <c r="E389" s="15" t="n">
        <f aca="false">C389-D389</f>
        <v>27443.6269393723</v>
      </c>
      <c r="F389" s="23" t="n">
        <v>339.3</v>
      </c>
      <c r="G389" s="15" t="n">
        <f aca="false">E389+F389+H389-I389-J389-K389</f>
        <v>13327.3723791121</v>
      </c>
      <c r="H389" s="23" t="n">
        <v>13202.3111666667</v>
      </c>
      <c r="I389" s="23" t="n">
        <v>26054.302895</v>
      </c>
      <c r="J389" s="23" t="n">
        <v>1603.56283192684</v>
      </c>
      <c r="K389" s="23" t="n">
        <v>0</v>
      </c>
    </row>
    <row r="390" customFormat="false" ht="15" hidden="false" customHeight="false" outlineLevel="0" collapsed="false">
      <c r="A390" s="28" t="s">
        <v>210</v>
      </c>
      <c r="B390" s="23" t="n">
        <v>5</v>
      </c>
      <c r="C390" s="23" t="n">
        <v>39092.8402612099</v>
      </c>
      <c r="D390" s="23" t="n">
        <v>11401.2372006579</v>
      </c>
      <c r="E390" s="15" t="n">
        <f aca="false">C390-D390</f>
        <v>27691.6030605521</v>
      </c>
      <c r="F390" s="23" t="n">
        <v>331.95</v>
      </c>
      <c r="G390" s="15" t="n">
        <f aca="false">E390+F390+H390-I390-J390-K390</f>
        <v>13503.5076515419</v>
      </c>
      <c r="H390" s="23" t="n">
        <v>13202.3111666667</v>
      </c>
      <c r="I390" s="23" t="n">
        <v>26118.79374375</v>
      </c>
      <c r="J390" s="23" t="n">
        <v>1603.56283192684</v>
      </c>
      <c r="K390" s="23" t="n">
        <v>0</v>
      </c>
    </row>
    <row r="391" customFormat="false" ht="15" hidden="false" customHeight="false" outlineLevel="0" collapsed="false">
      <c r="A391" s="28" t="s">
        <v>210</v>
      </c>
      <c r="B391" s="23" t="n">
        <v>6</v>
      </c>
      <c r="C391" s="23" t="n">
        <v>39582.5601639076</v>
      </c>
      <c r="D391" s="23" t="n">
        <v>11739.5014243747</v>
      </c>
      <c r="E391" s="15" t="n">
        <f aca="false">C391-D391</f>
        <v>27843.0587395328</v>
      </c>
      <c r="F391" s="23" t="n">
        <v>324.6</v>
      </c>
      <c r="G391" s="15" t="n">
        <f aca="false">E391+F391+H391-I391-J391-K391</f>
        <v>13583.1224817727</v>
      </c>
      <c r="H391" s="23" t="n">
        <v>13202.3111666667</v>
      </c>
      <c r="I391" s="23" t="n">
        <v>26183.2845925</v>
      </c>
      <c r="J391" s="23" t="n">
        <v>1603.56283192684</v>
      </c>
      <c r="K391" s="23" t="n">
        <v>0</v>
      </c>
    </row>
    <row r="392" customFormat="false" ht="15" hidden="false" customHeight="false" outlineLevel="0" collapsed="false">
      <c r="A392" s="28" t="s">
        <v>210</v>
      </c>
      <c r="B392" s="23" t="n">
        <v>7</v>
      </c>
      <c r="C392" s="23" t="n">
        <v>40080.1896353913</v>
      </c>
      <c r="D392" s="23" t="n">
        <v>12144.2282515081</v>
      </c>
      <c r="E392" s="15" t="n">
        <f aca="false">C392-D392</f>
        <v>27935.9613838832</v>
      </c>
      <c r="F392" s="23" t="n">
        <v>317.25</v>
      </c>
      <c r="G392" s="15" t="n">
        <f aca="false">E392+F392+H392-I392-J392-K392</f>
        <v>13604.1842773731</v>
      </c>
      <c r="H392" s="23" t="n">
        <v>13202.3111666667</v>
      </c>
      <c r="I392" s="23" t="n">
        <v>26247.77544125</v>
      </c>
      <c r="J392" s="23" t="n">
        <v>1603.56283192684</v>
      </c>
      <c r="K392" s="23" t="n">
        <v>0</v>
      </c>
    </row>
    <row r="393" customFormat="false" ht="15" hidden="false" customHeight="false" outlineLevel="0" collapsed="false">
      <c r="A393" s="28" t="s">
        <v>210</v>
      </c>
      <c r="B393" s="23" t="n">
        <v>8</v>
      </c>
      <c r="C393" s="23" t="n">
        <v>40242.2593523387</v>
      </c>
      <c r="D393" s="23" t="n">
        <v>12501.0700224252</v>
      </c>
      <c r="E393" s="15" t="n">
        <f aca="false">C393-D393</f>
        <v>27741.1893299135</v>
      </c>
      <c r="F393" s="23" t="n">
        <v>309.9</v>
      </c>
      <c r="G393" s="15" t="n">
        <f aca="false">E393+F393+H393-I393-J393-K393</f>
        <v>-2662.42862534665</v>
      </c>
      <c r="H393" s="23" t="n">
        <v>13202.3111666667</v>
      </c>
      <c r="I393" s="23" t="n">
        <v>26312.26629</v>
      </c>
      <c r="J393" s="23" t="n">
        <v>1603.56283192684</v>
      </c>
      <c r="K393" s="23" t="n">
        <v>16000</v>
      </c>
    </row>
    <row r="394" customFormat="false" ht="15" hidden="false" customHeight="false" outlineLevel="0" collapsed="false">
      <c r="A394" s="28" t="s">
        <v>210</v>
      </c>
      <c r="B394" s="23" t="n">
        <v>9</v>
      </c>
      <c r="C394" s="23" t="n">
        <v>40404.0442704975</v>
      </c>
      <c r="D394" s="23" t="n">
        <v>12720.6326333341</v>
      </c>
      <c r="E394" s="15" t="n">
        <f aca="false">C394-D394</f>
        <v>27683.4116371634</v>
      </c>
      <c r="F394" s="23" t="n">
        <v>302.55</v>
      </c>
      <c r="G394" s="15" t="n">
        <f aca="false">E394+F394+H394-I394-J394-K394</f>
        <v>13207.9528331532</v>
      </c>
      <c r="H394" s="23" t="n">
        <v>13202.3111666667</v>
      </c>
      <c r="I394" s="23" t="n">
        <v>26376.75713875</v>
      </c>
      <c r="J394" s="23" t="n">
        <v>1603.56283192684</v>
      </c>
      <c r="K394" s="23" t="n">
        <v>0</v>
      </c>
    </row>
    <row r="395" customFormat="false" ht="15" hidden="false" customHeight="false" outlineLevel="0" collapsed="false">
      <c r="A395" s="28" t="s">
        <v>210</v>
      </c>
      <c r="B395" s="23" t="n">
        <v>10</v>
      </c>
      <c r="C395" s="23" t="n">
        <v>40611.0030550011</v>
      </c>
      <c r="D395" s="23" t="n">
        <v>12877.713751619</v>
      </c>
      <c r="E395" s="15" t="n">
        <f aca="false">C395-D395</f>
        <v>27733.2893033821</v>
      </c>
      <c r="F395" s="23" t="n">
        <v>295.2</v>
      </c>
      <c r="G395" s="15" t="n">
        <f aca="false">E395+F395+H395-I395-J395-K395</f>
        <v>13185.9896506219</v>
      </c>
      <c r="H395" s="23" t="n">
        <v>13202.3111666667</v>
      </c>
      <c r="I395" s="23" t="n">
        <v>26441.2479875</v>
      </c>
      <c r="J395" s="23" t="n">
        <v>1603.56283192684</v>
      </c>
      <c r="K395" s="23" t="n">
        <v>0</v>
      </c>
    </row>
    <row r="396" customFormat="false" ht="15" hidden="false" customHeight="false" outlineLevel="0" collapsed="false">
      <c r="A396" s="28" t="s">
        <v>210</v>
      </c>
      <c r="B396" s="23" t="n">
        <v>11</v>
      </c>
      <c r="C396" s="23" t="n">
        <v>40771.922264496</v>
      </c>
      <c r="D396" s="23" t="n">
        <v>12992.7895014905</v>
      </c>
      <c r="E396" s="15" t="n">
        <f aca="false">C396-D396</f>
        <v>27779.1327630055</v>
      </c>
      <c r="F396" s="23" t="n">
        <v>287.85</v>
      </c>
      <c r="G396" s="15" t="n">
        <f aca="false">E396+F396+H396-I396-J396-K396</f>
        <v>13159.9922614953</v>
      </c>
      <c r="H396" s="23" t="n">
        <v>13202.3111666667</v>
      </c>
      <c r="I396" s="23" t="n">
        <v>26505.73883625</v>
      </c>
      <c r="J396" s="23" t="n">
        <v>1603.56283192684</v>
      </c>
      <c r="K396" s="23" t="n">
        <v>0</v>
      </c>
    </row>
    <row r="397" customFormat="false" ht="15" hidden="false" customHeight="false" outlineLevel="0" collapsed="false">
      <c r="A397" s="28" t="s">
        <v>210</v>
      </c>
      <c r="B397" s="23" t="n">
        <v>12</v>
      </c>
      <c r="C397" s="23" t="n">
        <v>40932.2606339696</v>
      </c>
      <c r="D397" s="23" t="n">
        <v>13108.2020923539</v>
      </c>
      <c r="E397" s="15" t="n">
        <f aca="false">C397-D397</f>
        <v>27824.0585416157</v>
      </c>
      <c r="F397" s="23" t="n">
        <v>280.5</v>
      </c>
      <c r="G397" s="15" t="n">
        <f aca="false">E397+F397+H397-I397-J397-K397</f>
        <v>13133.0771913555</v>
      </c>
      <c r="H397" s="23" t="n">
        <v>13202.3111666667</v>
      </c>
      <c r="I397" s="23" t="n">
        <v>26570.229685</v>
      </c>
      <c r="J397" s="23" t="n">
        <v>1603.56283192684</v>
      </c>
      <c r="K397" s="23" t="n">
        <v>0</v>
      </c>
    </row>
    <row r="398" customFormat="false" ht="15" hidden="false" customHeight="false" outlineLevel="0" collapsed="false">
      <c r="A398" s="28" t="s">
        <v>210</v>
      </c>
      <c r="B398" s="23" t="n">
        <v>13</v>
      </c>
      <c r="C398" s="23" t="n">
        <v>41095.8784430601</v>
      </c>
      <c r="D398" s="23" t="n">
        <v>13192.877579491</v>
      </c>
      <c r="E398" s="15" t="n">
        <f aca="false">C398-D398</f>
        <v>27903.0008635691</v>
      </c>
      <c r="F398" s="23" t="n">
        <v>273.15</v>
      </c>
      <c r="G398" s="15" t="n">
        <f aca="false">E398+F398+H398-I398-J398-K398</f>
        <v>13140.178664559</v>
      </c>
      <c r="H398" s="23" t="n">
        <v>13202.3111666667</v>
      </c>
      <c r="I398" s="23" t="n">
        <v>26634.72053375</v>
      </c>
      <c r="J398" s="23" t="n">
        <v>1603.56283192684</v>
      </c>
      <c r="K398" s="23" t="n">
        <v>0</v>
      </c>
    </row>
    <row r="399" customFormat="false" ht="15" hidden="false" customHeight="false" outlineLevel="0" collapsed="false">
      <c r="A399" s="28" t="s">
        <v>210</v>
      </c>
      <c r="B399" s="23" t="n">
        <v>14</v>
      </c>
      <c r="C399" s="23" t="n">
        <v>41258.0221324577</v>
      </c>
      <c r="D399" s="23" t="n">
        <v>13357.0938840075</v>
      </c>
      <c r="E399" s="15" t="n">
        <f aca="false">C399-D399</f>
        <v>27900.9282484503</v>
      </c>
      <c r="F399" s="23" t="n">
        <v>273.15</v>
      </c>
      <c r="G399" s="15" t="n">
        <f aca="false">E399+F399+H399-I399-J399-K399</f>
        <v>13073.6152006901</v>
      </c>
      <c r="H399" s="23" t="n">
        <v>13202.3111666667</v>
      </c>
      <c r="I399" s="23" t="n">
        <v>26699.2113825</v>
      </c>
      <c r="J399" s="23" t="n">
        <v>1603.56283192684</v>
      </c>
      <c r="K399" s="23" t="n">
        <v>0</v>
      </c>
    </row>
    <row r="400" customFormat="false" ht="15" hidden="false" customHeight="false" outlineLevel="0" collapsed="false">
      <c r="A400" s="28" t="s">
        <v>210</v>
      </c>
      <c r="B400" s="23" t="n">
        <v>15</v>
      </c>
      <c r="C400" s="23" t="n">
        <v>41417.6956833427</v>
      </c>
      <c r="D400" s="23" t="n">
        <v>13496.1556750738</v>
      </c>
      <c r="E400" s="15" t="n">
        <f aca="false">C400-D400</f>
        <v>27921.5400082689</v>
      </c>
      <c r="F400" s="23" t="n">
        <v>273.15</v>
      </c>
      <c r="G400" s="15" t="n">
        <f aca="false">E400+F400+H400-I400-J400-K400</f>
        <v>13029.7361117587</v>
      </c>
      <c r="H400" s="23" t="n">
        <v>13202.3111666667</v>
      </c>
      <c r="I400" s="23" t="n">
        <v>26763.70223125</v>
      </c>
      <c r="J400" s="23" t="n">
        <v>1603.56283192684</v>
      </c>
      <c r="K400" s="23" t="n">
        <v>0</v>
      </c>
    </row>
    <row r="401" customFormat="false" ht="15" hidden="false" customHeight="false" outlineLevel="0" collapsed="false">
      <c r="A401" s="28" t="s">
        <v>210</v>
      </c>
      <c r="B401" s="23" t="n">
        <v>16</v>
      </c>
      <c r="C401" s="23" t="n">
        <v>41981.1897341075</v>
      </c>
      <c r="D401" s="23" t="n">
        <v>13610.0629526901</v>
      </c>
      <c r="E401" s="15" t="n">
        <f aca="false">C401-D401</f>
        <v>28371.1267814174</v>
      </c>
      <c r="F401" s="23" t="n">
        <v>273.15</v>
      </c>
      <c r="G401" s="15" t="n">
        <f aca="false">E401+F401+H401-I401-J401-K401</f>
        <v>13414.8320361572</v>
      </c>
      <c r="H401" s="23" t="n">
        <v>13202.3111666667</v>
      </c>
      <c r="I401" s="23" t="n">
        <v>26828.19308</v>
      </c>
      <c r="J401" s="23" t="n">
        <v>1603.56283192684</v>
      </c>
      <c r="K401" s="23" t="n">
        <v>0</v>
      </c>
    </row>
    <row r="402" customFormat="false" ht="15" hidden="false" customHeight="false" outlineLevel="0" collapsed="false">
      <c r="A402" s="28" t="s">
        <v>210</v>
      </c>
      <c r="B402" s="23" t="n">
        <v>17</v>
      </c>
      <c r="C402" s="23" t="n">
        <v>42135.8975704962</v>
      </c>
      <c r="D402" s="23" t="n">
        <v>13690.4114220545</v>
      </c>
      <c r="E402" s="15" t="n">
        <f aca="false">C402-D402</f>
        <v>28445.4861484417</v>
      </c>
      <c r="F402" s="23" t="n">
        <v>273.15</v>
      </c>
      <c r="G402" s="15" t="n">
        <f aca="false">E402+F402+H402-I402-J402-K402</f>
        <v>13424.7005544315</v>
      </c>
      <c r="H402" s="23" t="n">
        <v>13202.3111666667</v>
      </c>
      <c r="I402" s="23" t="n">
        <v>26892.68392875</v>
      </c>
      <c r="J402" s="23" t="n">
        <v>1603.56283192684</v>
      </c>
      <c r="K402" s="23" t="n">
        <v>0</v>
      </c>
    </row>
    <row r="403" customFormat="false" ht="15" hidden="false" customHeight="false" outlineLevel="0" collapsed="false">
      <c r="A403" s="28" t="s">
        <v>210</v>
      </c>
      <c r="B403" s="23" t="n">
        <v>18</v>
      </c>
      <c r="C403" s="23" t="n">
        <v>42288.2852835387</v>
      </c>
      <c r="D403" s="23" t="n">
        <v>13753.5439506477</v>
      </c>
      <c r="E403" s="15" t="n">
        <f aca="false">C403-D403</f>
        <v>28534.741332891</v>
      </c>
      <c r="F403" s="23" t="n">
        <v>273.15</v>
      </c>
      <c r="G403" s="15" t="n">
        <f aca="false">E403+F403+H403-I403-J403-K403</f>
        <v>13449.4648901308</v>
      </c>
      <c r="H403" s="23" t="n">
        <v>13202.3111666667</v>
      </c>
      <c r="I403" s="23" t="n">
        <v>26957.1747775</v>
      </c>
      <c r="J403" s="23" t="n">
        <v>1603.56283192684</v>
      </c>
      <c r="K403" s="23" t="n">
        <v>0</v>
      </c>
    </row>
    <row r="404" customFormat="false" ht="15" hidden="false" customHeight="false" outlineLevel="0" collapsed="false">
      <c r="A404" s="28" t="s">
        <v>210</v>
      </c>
      <c r="B404" s="23" t="n">
        <v>19</v>
      </c>
      <c r="C404" s="23" t="n">
        <v>42438.3868625796</v>
      </c>
      <c r="D404" s="23" t="n">
        <v>13799.4605384696</v>
      </c>
      <c r="E404" s="15" t="n">
        <f aca="false">C404-D404</f>
        <v>28638.92632411</v>
      </c>
      <c r="F404" s="23" t="n">
        <v>273.15</v>
      </c>
      <c r="G404" s="15" t="n">
        <f aca="false">E404+F404+H404-I404-J404-K404</f>
        <v>13489.1590325998</v>
      </c>
      <c r="H404" s="23" t="n">
        <v>13202.3111666667</v>
      </c>
      <c r="I404" s="23" t="n">
        <v>27021.66562625</v>
      </c>
      <c r="J404" s="23" t="n">
        <v>1603.56283192684</v>
      </c>
      <c r="K404" s="23" t="n">
        <v>0</v>
      </c>
    </row>
    <row r="405" customFormat="false" ht="15" hidden="false" customHeight="false" outlineLevel="0" collapsed="false">
      <c r="A405" s="28" t="s">
        <v>210</v>
      </c>
      <c r="B405" s="23" t="n">
        <v>20</v>
      </c>
      <c r="C405" s="23" t="n">
        <v>42586.6982755379</v>
      </c>
      <c r="D405" s="23" t="n">
        <v>13817.9738971052</v>
      </c>
      <c r="E405" s="15" t="n">
        <f aca="false">C405-D405</f>
        <v>28768.7243784327</v>
      </c>
      <c r="F405" s="23" t="n">
        <v>273.15</v>
      </c>
      <c r="G405" s="15" t="n">
        <f aca="false">E405+F405+H405-I405-J405-K405</f>
        <v>-2445.53376182742</v>
      </c>
      <c r="H405" s="23" t="n">
        <v>13202.3111666667</v>
      </c>
      <c r="I405" s="23" t="n">
        <v>27086.156475</v>
      </c>
      <c r="J405" s="23" t="n">
        <v>1603.56283192684</v>
      </c>
      <c r="K405" s="23" t="n">
        <v>16000</v>
      </c>
    </row>
    <row r="406" customFormat="false" ht="15" hidden="false" customHeight="false" outlineLevel="0" collapsed="false">
      <c r="A406" s="28" t="s">
        <v>210</v>
      </c>
      <c r="B406" s="23" t="n">
        <v>21</v>
      </c>
      <c r="C406" s="23" t="n">
        <v>42733.2422651744</v>
      </c>
      <c r="D406" s="23" t="n">
        <v>13836.1701708202</v>
      </c>
      <c r="E406" s="15" t="n">
        <f aca="false">C406-D406</f>
        <v>28897.0720943541</v>
      </c>
      <c r="F406" s="23" t="n">
        <v>273.15</v>
      </c>
      <c r="G406" s="15" t="n">
        <f aca="false">E406+F406+H406-I406-J406-K406</f>
        <v>13618.323105344</v>
      </c>
      <c r="H406" s="23" t="n">
        <v>13202.3111666667</v>
      </c>
      <c r="I406" s="23" t="n">
        <v>27150.64732375</v>
      </c>
      <c r="J406" s="23" t="n">
        <v>1603.56283192684</v>
      </c>
      <c r="K406" s="23" t="n">
        <v>0</v>
      </c>
    </row>
    <row r="407" customFormat="false" ht="15" hidden="false" customHeight="false" outlineLevel="0" collapsed="false">
      <c r="A407" s="28" t="s">
        <v>210</v>
      </c>
      <c r="B407" s="23" t="n">
        <v>22</v>
      </c>
      <c r="C407" s="23" t="n">
        <v>42878.0412464725</v>
      </c>
      <c r="D407" s="23" t="n">
        <v>13854.0493596148</v>
      </c>
      <c r="E407" s="15" t="n">
        <f aca="false">C407-D407</f>
        <v>29023.9918868577</v>
      </c>
      <c r="F407" s="23" t="n">
        <v>273.15</v>
      </c>
      <c r="G407" s="15" t="n">
        <f aca="false">E407+F407+H407-I407-J407-K407</f>
        <v>13680.7520490975</v>
      </c>
      <c r="H407" s="23" t="n">
        <v>13202.3111666667</v>
      </c>
      <c r="I407" s="23" t="n">
        <v>27215.1381725</v>
      </c>
      <c r="J407" s="23" t="n">
        <v>1603.56283192684</v>
      </c>
      <c r="K407" s="23" t="n">
        <v>0</v>
      </c>
    </row>
    <row r="408" customFormat="false" ht="15" hidden="false" customHeight="false" outlineLevel="0" collapsed="false">
      <c r="A408" s="28" t="s">
        <v>210</v>
      </c>
      <c r="B408" s="23" t="n">
        <v>23</v>
      </c>
      <c r="C408" s="23" t="n">
        <v>43021.1173118512</v>
      </c>
      <c r="D408" s="23" t="n">
        <v>13871.4389156582</v>
      </c>
      <c r="E408" s="15" t="n">
        <f aca="false">C408-D408</f>
        <v>29149.678396193</v>
      </c>
      <c r="F408" s="23" t="n">
        <v>273.15</v>
      </c>
      <c r="G408" s="15" t="n">
        <f aca="false">E408+F408+H408-I408-J408-K408</f>
        <v>13741.9477096828</v>
      </c>
      <c r="H408" s="23" t="n">
        <v>13202.3111666667</v>
      </c>
      <c r="I408" s="23" t="n">
        <v>27279.62902125</v>
      </c>
      <c r="J408" s="23" t="n">
        <v>1603.56283192684</v>
      </c>
      <c r="K408" s="23" t="n">
        <v>0</v>
      </c>
    </row>
    <row r="409" customFormat="false" ht="15" hidden="false" customHeight="false" outlineLevel="0" collapsed="false">
      <c r="A409" s="28" t="s">
        <v>210</v>
      </c>
      <c r="B409" s="23" t="n">
        <v>24</v>
      </c>
      <c r="C409" s="23" t="n">
        <v>43162.4922362868</v>
      </c>
      <c r="D409" s="23" t="n">
        <v>13888.5689027247</v>
      </c>
      <c r="E409" s="15" t="n">
        <f aca="false">C409-D409</f>
        <v>29273.923333562</v>
      </c>
      <c r="F409" s="23" t="n">
        <v>273.15</v>
      </c>
      <c r="G409" s="15" t="n">
        <f aca="false">E409+F409+H409-I409-J409-K409</f>
        <v>13801.7017983019</v>
      </c>
      <c r="H409" s="23" t="n">
        <v>13202.3111666667</v>
      </c>
      <c r="I409" s="23" t="n">
        <v>27344.11987</v>
      </c>
      <c r="J409" s="23" t="n">
        <v>1603.56283192684</v>
      </c>
      <c r="K409" s="23" t="n">
        <v>0</v>
      </c>
    </row>
    <row r="410" customFormat="false" ht="15" hidden="false" customHeight="false" outlineLevel="0" collapsed="false">
      <c r="A410" s="28" t="s">
        <v>212</v>
      </c>
      <c r="B410" s="23" t="n">
        <v>1</v>
      </c>
      <c r="C410" s="23" t="n">
        <v>37793.8635224887</v>
      </c>
      <c r="D410" s="23" t="n">
        <v>10900.2100755937</v>
      </c>
      <c r="E410" s="15" t="n">
        <f aca="false">C410-D410</f>
        <v>26893.653446895</v>
      </c>
      <c r="F410" s="23" t="n">
        <v>450</v>
      </c>
      <c r="G410" s="15" t="n">
        <f aca="false">E410+F410+H410-I410-J410-K410</f>
        <v>11976.2713237182</v>
      </c>
      <c r="H410" s="23" t="n">
        <v>13202.3111666667</v>
      </c>
      <c r="I410" s="23" t="n">
        <v>25860.83034875</v>
      </c>
      <c r="J410" s="23" t="n">
        <v>2708.86294109351</v>
      </c>
      <c r="K410" s="23" t="n">
        <v>0</v>
      </c>
    </row>
    <row r="411" customFormat="false" ht="15" hidden="false" customHeight="false" outlineLevel="0" collapsed="false">
      <c r="A411" s="28" t="s">
        <v>212</v>
      </c>
      <c r="B411" s="23" t="n">
        <v>2</v>
      </c>
      <c r="C411" s="23" t="n">
        <v>38128.1966211595</v>
      </c>
      <c r="D411" s="23" t="n">
        <v>10903.0876273476</v>
      </c>
      <c r="E411" s="15" t="n">
        <f aca="false">C411-D411</f>
        <v>27225.1089938119</v>
      </c>
      <c r="F411" s="23" t="n">
        <v>429.75</v>
      </c>
      <c r="G411" s="15" t="n">
        <f aca="false">E411+F411+H411-I411-J411-K411</f>
        <v>12222.9860218851</v>
      </c>
      <c r="H411" s="23" t="n">
        <v>13202.3111666667</v>
      </c>
      <c r="I411" s="23" t="n">
        <v>25925.3211975</v>
      </c>
      <c r="J411" s="23" t="n">
        <v>2708.86294109351</v>
      </c>
      <c r="K411" s="23" t="n">
        <v>0</v>
      </c>
    </row>
    <row r="412" customFormat="false" ht="15" hidden="false" customHeight="false" outlineLevel="0" collapsed="false">
      <c r="A412" s="28" t="s">
        <v>212</v>
      </c>
      <c r="B412" s="23" t="n">
        <v>3</v>
      </c>
      <c r="C412" s="23" t="n">
        <v>38472.7318249803</v>
      </c>
      <c r="D412" s="23" t="n">
        <v>11036.0701375681</v>
      </c>
      <c r="E412" s="15" t="n">
        <f aca="false">C412-D412</f>
        <v>27436.6616874122</v>
      </c>
      <c r="F412" s="23" t="n">
        <v>409.5</v>
      </c>
      <c r="G412" s="15" t="n">
        <f aca="false">E412+F412+H412-I412-J412-K412</f>
        <v>12349.7978667353</v>
      </c>
      <c r="H412" s="23" t="n">
        <v>13202.3111666667</v>
      </c>
      <c r="I412" s="23" t="n">
        <v>25989.81204625</v>
      </c>
      <c r="J412" s="23" t="n">
        <v>2708.86294109351</v>
      </c>
      <c r="K412" s="23" t="n">
        <v>0</v>
      </c>
    </row>
    <row r="413" customFormat="false" ht="15" hidden="false" customHeight="false" outlineLevel="0" collapsed="false">
      <c r="A413" s="28" t="s">
        <v>212</v>
      </c>
      <c r="B413" s="23" t="n">
        <v>4</v>
      </c>
      <c r="C413" s="23" t="n">
        <v>38826.7894491299</v>
      </c>
      <c r="D413" s="23" t="n">
        <v>11242.58937229</v>
      </c>
      <c r="E413" s="15" t="n">
        <f aca="false">C413-D413</f>
        <v>27584.2000768399</v>
      </c>
      <c r="F413" s="23" t="n">
        <v>389.25</v>
      </c>
      <c r="G413" s="15" t="n">
        <f aca="false">E413+F413+H413-I413-J413-K413</f>
        <v>12234.4217594212</v>
      </c>
      <c r="H413" s="23" t="n">
        <v>13202.3111666667</v>
      </c>
      <c r="I413" s="23" t="n">
        <v>26054.302895</v>
      </c>
      <c r="J413" s="23" t="n">
        <v>2887.03658908538</v>
      </c>
      <c r="K413" s="23" t="n">
        <v>0</v>
      </c>
    </row>
    <row r="414" customFormat="false" ht="15" hidden="false" customHeight="false" outlineLevel="0" collapsed="false">
      <c r="A414" s="28" t="s">
        <v>212</v>
      </c>
      <c r="B414" s="23" t="n">
        <v>5</v>
      </c>
      <c r="C414" s="23" t="n">
        <v>39190.8880851783</v>
      </c>
      <c r="D414" s="23" t="n">
        <v>11504.2536119856</v>
      </c>
      <c r="E414" s="15" t="n">
        <f aca="false">C414-D414</f>
        <v>27686.6344731927</v>
      </c>
      <c r="F414" s="23" t="n">
        <v>369</v>
      </c>
      <c r="G414" s="15" t="n">
        <f aca="false">E414+F414+H414-I414-J414-K414</f>
        <v>12073.9416590322</v>
      </c>
      <c r="H414" s="23" t="n">
        <v>13202.3111666667</v>
      </c>
      <c r="I414" s="23" t="n">
        <v>26118.79374375</v>
      </c>
      <c r="J414" s="23" t="n">
        <v>3065.21023707725</v>
      </c>
      <c r="K414" s="23" t="n">
        <v>0</v>
      </c>
    </row>
    <row r="415" customFormat="false" ht="15" hidden="false" customHeight="false" outlineLevel="0" collapsed="false">
      <c r="A415" s="28" t="s">
        <v>212</v>
      </c>
      <c r="B415" s="23" t="n">
        <v>6</v>
      </c>
      <c r="C415" s="23" t="n">
        <v>39563.8451854085</v>
      </c>
      <c r="D415" s="23" t="n">
        <v>11791.0189506317</v>
      </c>
      <c r="E415" s="15" t="n">
        <f aca="false">C415-D415</f>
        <v>27772.8262347768</v>
      </c>
      <c r="F415" s="23" t="n">
        <v>348.75</v>
      </c>
      <c r="G415" s="15" t="n">
        <f aca="false">E415+F415+H415-I415-J415-K415</f>
        <v>11897.2189238743</v>
      </c>
      <c r="H415" s="23" t="n">
        <v>13202.3111666667</v>
      </c>
      <c r="I415" s="23" t="n">
        <v>26183.2845925</v>
      </c>
      <c r="J415" s="23" t="n">
        <v>3243.38388506912</v>
      </c>
      <c r="K415" s="23" t="n">
        <v>0</v>
      </c>
    </row>
    <row r="416" customFormat="false" ht="15" hidden="false" customHeight="false" outlineLevel="0" collapsed="false">
      <c r="A416" s="28" t="s">
        <v>212</v>
      </c>
      <c r="B416" s="23" t="n">
        <v>7</v>
      </c>
      <c r="C416" s="23" t="n">
        <v>39946.466740364</v>
      </c>
      <c r="D416" s="23" t="n">
        <v>12103.6435566772</v>
      </c>
      <c r="E416" s="15" t="n">
        <f aca="false">C416-D416</f>
        <v>27842.8231836869</v>
      </c>
      <c r="F416" s="23" t="n">
        <v>328.5</v>
      </c>
      <c r="G416" s="15" t="n">
        <f aca="false">E416+F416+H416-I416-J416-K416</f>
        <v>11704.3013760426</v>
      </c>
      <c r="H416" s="23" t="n">
        <v>13202.3111666667</v>
      </c>
      <c r="I416" s="23" t="n">
        <v>26247.77544125</v>
      </c>
      <c r="J416" s="23" t="n">
        <v>3421.55753306099</v>
      </c>
      <c r="K416" s="23" t="n">
        <v>0</v>
      </c>
    </row>
    <row r="417" customFormat="false" ht="15" hidden="false" customHeight="false" outlineLevel="0" collapsed="false">
      <c r="A417" s="28" t="s">
        <v>212</v>
      </c>
      <c r="B417" s="23" t="n">
        <v>8</v>
      </c>
      <c r="C417" s="23" t="n">
        <v>40337.5936807031</v>
      </c>
      <c r="D417" s="23" t="n">
        <v>12427.3956008225</v>
      </c>
      <c r="E417" s="15" t="n">
        <f aca="false">C417-D417</f>
        <v>27910.1980798807</v>
      </c>
      <c r="F417" s="23" t="n">
        <v>308.25</v>
      </c>
      <c r="G417" s="15" t="n">
        <f aca="false">E417+F417+H417-I417-J417-K417</f>
        <v>-4491.23822450553</v>
      </c>
      <c r="H417" s="23" t="n">
        <v>13202.3111666667</v>
      </c>
      <c r="I417" s="23" t="n">
        <v>26312.26629</v>
      </c>
      <c r="J417" s="23" t="n">
        <v>3599.73118105286</v>
      </c>
      <c r="K417" s="23" t="n">
        <v>16000</v>
      </c>
    </row>
    <row r="418" customFormat="false" ht="15" hidden="false" customHeight="false" outlineLevel="0" collapsed="false">
      <c r="A418" s="28" t="s">
        <v>212</v>
      </c>
      <c r="B418" s="23" t="n">
        <v>9</v>
      </c>
      <c r="C418" s="23" t="n">
        <v>40738.0551859315</v>
      </c>
      <c r="D418" s="23" t="n">
        <v>12774.3061075824</v>
      </c>
      <c r="E418" s="15" t="n">
        <f aca="false">C418-D418</f>
        <v>27963.7490783491</v>
      </c>
      <c r="F418" s="23" t="n">
        <v>288</v>
      </c>
      <c r="G418" s="15" t="n">
        <f aca="false">E418+F418+H418-I418-J418-K418</f>
        <v>11299.3982772211</v>
      </c>
      <c r="H418" s="23" t="n">
        <v>13202.3111666667</v>
      </c>
      <c r="I418" s="23" t="n">
        <v>26376.75713875</v>
      </c>
      <c r="J418" s="23" t="n">
        <v>3777.90482904473</v>
      </c>
      <c r="K418" s="23" t="n">
        <v>0</v>
      </c>
    </row>
    <row r="419" customFormat="false" ht="15" hidden="false" customHeight="false" outlineLevel="0" collapsed="false">
      <c r="A419" s="28" t="s">
        <v>212</v>
      </c>
      <c r="B419" s="23" t="n">
        <v>10</v>
      </c>
      <c r="C419" s="23" t="n">
        <v>41185.2942171647</v>
      </c>
      <c r="D419" s="23" t="n">
        <v>13145.1332454057</v>
      </c>
      <c r="E419" s="15" t="n">
        <f aca="false">C419-D419</f>
        <v>28040.160971759</v>
      </c>
      <c r="F419" s="23" t="n">
        <v>267.75</v>
      </c>
      <c r="G419" s="15" t="n">
        <f aca="false">E419+F419+H419-I419-J419-K419</f>
        <v>11112.895673889</v>
      </c>
      <c r="H419" s="23" t="n">
        <v>13202.3111666667</v>
      </c>
      <c r="I419" s="23" t="n">
        <v>26441.2479875</v>
      </c>
      <c r="J419" s="23" t="n">
        <v>3956.0784770366</v>
      </c>
      <c r="K419" s="23" t="n">
        <v>0</v>
      </c>
    </row>
    <row r="420" customFormat="false" ht="15" hidden="false" customHeight="false" outlineLevel="0" collapsed="false">
      <c r="A420" s="28" t="s">
        <v>212</v>
      </c>
      <c r="B420" s="23" t="n">
        <v>11</v>
      </c>
      <c r="C420" s="23" t="n">
        <v>41603.0046606651</v>
      </c>
      <c r="D420" s="23" t="n">
        <v>13528.3140666367</v>
      </c>
      <c r="E420" s="15" t="n">
        <f aca="false">C420-D420</f>
        <v>28074.6905940284</v>
      </c>
      <c r="F420" s="23" t="n">
        <v>247.5</v>
      </c>
      <c r="G420" s="15" t="n">
        <f aca="false">E420+F420+H420-I420-J420-K420</f>
        <v>10884.5107994166</v>
      </c>
      <c r="H420" s="23" t="n">
        <v>13202.3111666667</v>
      </c>
      <c r="I420" s="23" t="n">
        <v>26505.73883625</v>
      </c>
      <c r="J420" s="23" t="n">
        <v>4134.25212502847</v>
      </c>
      <c r="K420" s="23" t="n">
        <v>0</v>
      </c>
    </row>
    <row r="421" customFormat="false" ht="15" hidden="false" customHeight="false" outlineLevel="0" collapsed="false">
      <c r="A421" s="28" t="s">
        <v>212</v>
      </c>
      <c r="B421" s="23" t="n">
        <v>12</v>
      </c>
      <c r="C421" s="23" t="n">
        <v>42028.652237787</v>
      </c>
      <c r="D421" s="23" t="n">
        <v>13935.1847706001</v>
      </c>
      <c r="E421" s="15" t="n">
        <f aca="false">C421-D421</f>
        <v>28093.467467187</v>
      </c>
      <c r="F421" s="23" t="n">
        <v>227.25</v>
      </c>
      <c r="G421" s="15" t="n">
        <f aca="false">E421+F421+H421-I421-J421-K421</f>
        <v>10640.3731758333</v>
      </c>
      <c r="H421" s="23" t="n">
        <v>13202.3111666667</v>
      </c>
      <c r="I421" s="23" t="n">
        <v>26570.229685</v>
      </c>
      <c r="J421" s="23" t="n">
        <v>4312.42577302035</v>
      </c>
      <c r="K421" s="23" t="n">
        <v>0</v>
      </c>
    </row>
    <row r="422" customFormat="false" ht="15" hidden="false" customHeight="false" outlineLevel="0" collapsed="false">
      <c r="A422" s="28" t="s">
        <v>212</v>
      </c>
      <c r="B422" s="23" t="n">
        <v>13</v>
      </c>
      <c r="C422" s="23" t="n">
        <v>42467.9337104841</v>
      </c>
      <c r="D422" s="23" t="n">
        <v>14300.3738055922</v>
      </c>
      <c r="E422" s="15" t="n">
        <f aca="false">C422-D422</f>
        <v>28167.5599048919</v>
      </c>
      <c r="F422" s="23" t="n">
        <v>207</v>
      </c>
      <c r="G422" s="15" t="n">
        <f aca="false">E422+F422+H422-I422-J422-K422</f>
        <v>11735.0248739549</v>
      </c>
      <c r="H422" s="23" t="n">
        <v>13202.3111666667</v>
      </c>
      <c r="I422" s="23" t="n">
        <v>26634.72053375</v>
      </c>
      <c r="J422" s="23" t="n">
        <v>3207.12566385368</v>
      </c>
      <c r="K422" s="23" t="n">
        <v>0</v>
      </c>
    </row>
    <row r="423" customFormat="false" ht="15" hidden="false" customHeight="false" outlineLevel="0" collapsed="false">
      <c r="A423" s="28" t="s">
        <v>212</v>
      </c>
      <c r="B423" s="23" t="n">
        <v>14</v>
      </c>
      <c r="C423" s="23" t="n">
        <v>42656.5634288857</v>
      </c>
      <c r="D423" s="23" t="n">
        <v>14690.104666855</v>
      </c>
      <c r="E423" s="15" t="n">
        <f aca="false">C423-D423</f>
        <v>27966.4587620307</v>
      </c>
      <c r="F423" s="23" t="n">
        <v>207</v>
      </c>
      <c r="G423" s="15" t="n">
        <f aca="false">E423+F423+H423-I423-J423-K423</f>
        <v>11469.4328823437</v>
      </c>
      <c r="H423" s="23" t="n">
        <v>13202.3111666667</v>
      </c>
      <c r="I423" s="23" t="n">
        <v>26699.2113825</v>
      </c>
      <c r="J423" s="23" t="n">
        <v>3207.12566385368</v>
      </c>
      <c r="K423" s="23" t="n">
        <v>0</v>
      </c>
    </row>
    <row r="424" customFormat="false" ht="15" hidden="false" customHeight="false" outlineLevel="0" collapsed="false">
      <c r="A424" s="28" t="s">
        <v>212</v>
      </c>
      <c r="B424" s="23" t="n">
        <v>15</v>
      </c>
      <c r="C424" s="23" t="n">
        <v>42842.8124172683</v>
      </c>
      <c r="D424" s="23" t="n">
        <v>14965.8373190921</v>
      </c>
      <c r="E424" s="15" t="n">
        <f aca="false">C424-D424</f>
        <v>27876.9750981762</v>
      </c>
      <c r="F424" s="23" t="n">
        <v>207</v>
      </c>
      <c r="G424" s="15" t="n">
        <f aca="false">E424+F424+H424-I424-J424-K424</f>
        <v>11315.4583697391</v>
      </c>
      <c r="H424" s="23" t="n">
        <v>13202.3111666667</v>
      </c>
      <c r="I424" s="23" t="n">
        <v>26763.70223125</v>
      </c>
      <c r="J424" s="23" t="n">
        <v>3207.12566385368</v>
      </c>
      <c r="K424" s="23" t="n">
        <v>0</v>
      </c>
    </row>
    <row r="425" customFormat="false" ht="15" hidden="false" customHeight="false" outlineLevel="0" collapsed="false">
      <c r="A425" s="28" t="s">
        <v>212</v>
      </c>
      <c r="B425" s="23" t="n">
        <v>16</v>
      </c>
      <c r="C425" s="23" t="n">
        <v>43454.107375363</v>
      </c>
      <c r="D425" s="23" t="n">
        <v>15179.9222028182</v>
      </c>
      <c r="E425" s="15" t="n">
        <f aca="false">C425-D425</f>
        <v>28274.1851725448</v>
      </c>
      <c r="F425" s="23" t="n">
        <v>207</v>
      </c>
      <c r="G425" s="15" t="n">
        <f aca="false">E425+F425+H425-I425-J425-K425</f>
        <v>11648.1775953578</v>
      </c>
      <c r="H425" s="23" t="n">
        <v>13202.3111666667</v>
      </c>
      <c r="I425" s="23" t="n">
        <v>26828.19308</v>
      </c>
      <c r="J425" s="23" t="n">
        <v>3207.12566385368</v>
      </c>
      <c r="K425" s="23" t="n">
        <v>0</v>
      </c>
    </row>
    <row r="426" customFormat="false" ht="15" hidden="false" customHeight="false" outlineLevel="0" collapsed="false">
      <c r="A426" s="28" t="s">
        <v>212</v>
      </c>
      <c r="B426" s="23" t="n">
        <v>17</v>
      </c>
      <c r="C426" s="23" t="n">
        <v>43634.9619263954</v>
      </c>
      <c r="D426" s="23" t="n">
        <v>15336.1172150387</v>
      </c>
      <c r="E426" s="15" t="n">
        <f aca="false">C426-D426</f>
        <v>28298.8447113567</v>
      </c>
      <c r="F426" s="23" t="n">
        <v>207</v>
      </c>
      <c r="G426" s="15" t="n">
        <f aca="false">E426+F426+H426-I426-J426-K426</f>
        <v>11608.3462854197</v>
      </c>
      <c r="H426" s="23" t="n">
        <v>13202.3111666667</v>
      </c>
      <c r="I426" s="23" t="n">
        <v>26892.68392875</v>
      </c>
      <c r="J426" s="23" t="n">
        <v>3207.12566385368</v>
      </c>
      <c r="K426" s="23" t="n">
        <v>0</v>
      </c>
    </row>
    <row r="427" customFormat="false" ht="15" hidden="false" customHeight="false" outlineLevel="0" collapsed="false">
      <c r="A427" s="28" t="s">
        <v>212</v>
      </c>
      <c r="B427" s="23" t="n">
        <v>18</v>
      </c>
      <c r="C427" s="23" t="n">
        <v>43813.2959577763</v>
      </c>
      <c r="D427" s="23" t="n">
        <v>15478.4854711503</v>
      </c>
      <c r="E427" s="15" t="n">
        <f aca="false">C427-D427</f>
        <v>28334.810486626</v>
      </c>
      <c r="F427" s="23" t="n">
        <v>207</v>
      </c>
      <c r="G427" s="15" t="n">
        <f aca="false">E427+F427+H427-I427-J427-K427</f>
        <v>11579.821211939</v>
      </c>
      <c r="H427" s="23" t="n">
        <v>13202.3111666667</v>
      </c>
      <c r="I427" s="23" t="n">
        <v>26957.1747775</v>
      </c>
      <c r="J427" s="23" t="n">
        <v>3207.12566385368</v>
      </c>
      <c r="K427" s="23" t="n">
        <v>0</v>
      </c>
    </row>
    <row r="428" customFormat="false" ht="15" hidden="false" customHeight="false" outlineLevel="0" collapsed="false">
      <c r="A428" s="28" t="s">
        <v>212</v>
      </c>
      <c r="B428" s="23" t="n">
        <v>19</v>
      </c>
      <c r="C428" s="23" t="n">
        <v>43989.1442565754</v>
      </c>
      <c r="D428" s="23" t="n">
        <v>15607.0269711531</v>
      </c>
      <c r="E428" s="15" t="n">
        <f aca="false">C428-D428</f>
        <v>28382.1172854222</v>
      </c>
      <c r="F428" s="23" t="n">
        <v>207</v>
      </c>
      <c r="G428" s="15" t="n">
        <f aca="false">E428+F428+H428-I428-J428-K428</f>
        <v>11562.6371619852</v>
      </c>
      <c r="H428" s="23" t="n">
        <v>13202.3111666667</v>
      </c>
      <c r="I428" s="23" t="n">
        <v>27021.66562625</v>
      </c>
      <c r="J428" s="23" t="n">
        <v>3207.12566385368</v>
      </c>
      <c r="K428" s="23" t="n">
        <v>0</v>
      </c>
    </row>
    <row r="429" customFormat="false" ht="15" hidden="false" customHeight="false" outlineLevel="0" collapsed="false">
      <c r="A429" s="28" t="s">
        <v>212</v>
      </c>
      <c r="B429" s="23" t="n">
        <v>20</v>
      </c>
      <c r="C429" s="23" t="n">
        <v>44162.5411320462</v>
      </c>
      <c r="D429" s="23" t="n">
        <v>15685.3939490704</v>
      </c>
      <c r="E429" s="15" t="n">
        <f aca="false">C429-D429</f>
        <v>28477.1471829758</v>
      </c>
      <c r="F429" s="23" t="n">
        <v>207</v>
      </c>
      <c r="G429" s="15" t="n">
        <f aca="false">E429+F429+H429-I429-J429-K429</f>
        <v>-4406.82378921118</v>
      </c>
      <c r="H429" s="23" t="n">
        <v>13202.3111666667</v>
      </c>
      <c r="I429" s="23" t="n">
        <v>27086.156475</v>
      </c>
      <c r="J429" s="23" t="n">
        <v>3207.12566385368</v>
      </c>
      <c r="K429" s="23" t="n">
        <v>16000</v>
      </c>
    </row>
    <row r="430" customFormat="false" ht="15" hidden="false" customHeight="false" outlineLevel="0" collapsed="false">
      <c r="A430" s="28" t="s">
        <v>212</v>
      </c>
      <c r="B430" s="23" t="n">
        <v>21</v>
      </c>
      <c r="C430" s="23" t="n">
        <v>44333.5204226497</v>
      </c>
      <c r="D430" s="23" t="n">
        <v>15754.1513125613</v>
      </c>
      <c r="E430" s="15" t="n">
        <f aca="false">C430-D430</f>
        <v>28579.3691100884</v>
      </c>
      <c r="F430" s="23" t="n">
        <v>207</v>
      </c>
      <c r="G430" s="15" t="n">
        <f aca="false">E430+F430+H430-I430-J430-K430</f>
        <v>11630.9072891514</v>
      </c>
      <c r="H430" s="23" t="n">
        <v>13202.3111666667</v>
      </c>
      <c r="I430" s="23" t="n">
        <v>27150.64732375</v>
      </c>
      <c r="J430" s="23" t="n">
        <v>3207.12566385368</v>
      </c>
      <c r="K430" s="23" t="n">
        <v>0</v>
      </c>
    </row>
    <row r="431" customFormat="false" ht="15" hidden="false" customHeight="false" outlineLevel="0" collapsed="false">
      <c r="A431" s="28" t="s">
        <v>212</v>
      </c>
      <c r="B431" s="23" t="n">
        <v>22</v>
      </c>
      <c r="C431" s="23" t="n">
        <v>44502.1155029608</v>
      </c>
      <c r="D431" s="23" t="n">
        <v>15813.2990616258</v>
      </c>
      <c r="E431" s="15" t="n">
        <f aca="false">C431-D431</f>
        <v>28688.816441335</v>
      </c>
      <c r="F431" s="23" t="n">
        <v>207</v>
      </c>
      <c r="G431" s="15" t="n">
        <f aca="false">E431+F431+H431-I431-J431-K431</f>
        <v>11675.863771648</v>
      </c>
      <c r="H431" s="23" t="n">
        <v>13202.3111666667</v>
      </c>
      <c r="I431" s="23" t="n">
        <v>27215.1381725</v>
      </c>
      <c r="J431" s="23" t="n">
        <v>3207.12566385368</v>
      </c>
      <c r="K431" s="23" t="n">
        <v>0</v>
      </c>
    </row>
    <row r="432" customFormat="false" ht="15" hidden="false" customHeight="false" outlineLevel="0" collapsed="false">
      <c r="A432" s="28" t="s">
        <v>212</v>
      </c>
      <c r="B432" s="23" t="n">
        <v>23</v>
      </c>
      <c r="C432" s="23" t="n">
        <v>44668.3592904621</v>
      </c>
      <c r="D432" s="23" t="n">
        <v>15857.6079405777</v>
      </c>
      <c r="E432" s="15" t="n">
        <f aca="false">C432-D432</f>
        <v>28810.7513498844</v>
      </c>
      <c r="F432" s="23" t="n">
        <v>207</v>
      </c>
      <c r="G432" s="15" t="n">
        <f aca="false">E432+F432+H432-I432-J432-K432</f>
        <v>11733.3078314474</v>
      </c>
      <c r="H432" s="23" t="n">
        <v>13202.3111666667</v>
      </c>
      <c r="I432" s="23" t="n">
        <v>27279.62902125</v>
      </c>
      <c r="J432" s="23" t="n">
        <v>3207.12566385368</v>
      </c>
      <c r="K432" s="23" t="n">
        <v>0</v>
      </c>
    </row>
    <row r="433" customFormat="false" ht="15" hidden="false" customHeight="false" outlineLevel="0" collapsed="false">
      <c r="A433" s="28" t="s">
        <v>212</v>
      </c>
      <c r="B433" s="23" t="n">
        <v>24</v>
      </c>
      <c r="C433" s="23" t="n">
        <v>44832.2842522255</v>
      </c>
      <c r="D433" s="23" t="n">
        <v>15894.050290332</v>
      </c>
      <c r="E433" s="15" t="n">
        <f aca="false">C433-D433</f>
        <v>28938.2339618935</v>
      </c>
      <c r="F433" s="23" t="n">
        <v>207</v>
      </c>
      <c r="G433" s="15" t="n">
        <f aca="false">E433+F433+H433-I433-J433-K433</f>
        <v>11796.2995947065</v>
      </c>
      <c r="H433" s="23" t="n">
        <v>13202.3111666667</v>
      </c>
      <c r="I433" s="23" t="n">
        <v>27344.11987</v>
      </c>
      <c r="J433" s="23" t="n">
        <v>3207.12566385368</v>
      </c>
      <c r="K433" s="23" t="n">
        <v>0</v>
      </c>
    </row>
    <row r="434" customFormat="false" ht="15" hidden="false" customHeight="false" outlineLevel="0" collapsed="false">
      <c r="A434" s="28" t="s">
        <v>214</v>
      </c>
      <c r="B434" s="23" t="n">
        <v>1</v>
      </c>
      <c r="C434" s="23" t="n">
        <v>37793.8635224887</v>
      </c>
      <c r="D434" s="23" t="n">
        <v>10900.2100755937</v>
      </c>
      <c r="E434" s="15" t="n">
        <f aca="false">C434-D434</f>
        <v>26893.653446895</v>
      </c>
      <c r="F434" s="23" t="n">
        <v>450</v>
      </c>
      <c r="G434" s="15" t="n">
        <f aca="false">E434+F434+H434-I434-J434-K434</f>
        <v>11313.0912582182</v>
      </c>
      <c r="H434" s="23" t="n">
        <v>13202.3111666667</v>
      </c>
      <c r="I434" s="23" t="n">
        <v>25860.83034875</v>
      </c>
      <c r="J434" s="23" t="n">
        <v>3372.04300659351</v>
      </c>
      <c r="K434" s="23" t="n">
        <v>0</v>
      </c>
    </row>
    <row r="435" customFormat="false" ht="15" hidden="false" customHeight="false" outlineLevel="0" collapsed="false">
      <c r="A435" s="28" t="s">
        <v>214</v>
      </c>
      <c r="B435" s="23" t="n">
        <v>2</v>
      </c>
      <c r="C435" s="23" t="n">
        <v>37526.6655329829</v>
      </c>
      <c r="D435" s="23" t="n">
        <v>10887.3519078269</v>
      </c>
      <c r="E435" s="15" t="n">
        <f aca="false">C435-D435</f>
        <v>26639.313625156</v>
      </c>
      <c r="F435" s="23" t="n">
        <v>461.25</v>
      </c>
      <c r="G435" s="15" t="n">
        <f aca="false">E435+F435+H435-I435-J435-K435</f>
        <v>11005.5105877291</v>
      </c>
      <c r="H435" s="23" t="n">
        <v>13202.3111666667</v>
      </c>
      <c r="I435" s="23" t="n">
        <v>25925.3211975</v>
      </c>
      <c r="J435" s="23" t="n">
        <v>3372.04300659351</v>
      </c>
      <c r="K435" s="23" t="n">
        <v>0</v>
      </c>
    </row>
    <row r="436" customFormat="false" ht="15" hidden="false" customHeight="false" outlineLevel="0" collapsed="false">
      <c r="A436" s="28" t="s">
        <v>214</v>
      </c>
      <c r="B436" s="23" t="n">
        <v>3</v>
      </c>
      <c r="C436" s="23" t="n">
        <v>37247.2517104004</v>
      </c>
      <c r="D436" s="23" t="n">
        <v>10736.8972401739</v>
      </c>
      <c r="E436" s="15" t="n">
        <f aca="false">C436-D436</f>
        <v>26510.3544702265</v>
      </c>
      <c r="F436" s="23" t="n">
        <v>472.5</v>
      </c>
      <c r="G436" s="15" t="n">
        <f aca="false">E436+F436+H436-I436-J436-K436</f>
        <v>10582.7761592606</v>
      </c>
      <c r="H436" s="23" t="n">
        <v>13202.3111666667</v>
      </c>
      <c r="I436" s="23" t="n">
        <v>25989.81204625</v>
      </c>
      <c r="J436" s="23" t="n">
        <v>3612.57743138253</v>
      </c>
      <c r="K436" s="23" t="n">
        <v>0</v>
      </c>
    </row>
    <row r="437" customFormat="false" ht="15" hidden="false" customHeight="false" outlineLevel="0" collapsed="false">
      <c r="A437" s="28" t="s">
        <v>214</v>
      </c>
      <c r="B437" s="23" t="n">
        <v>4</v>
      </c>
      <c r="C437" s="23" t="n">
        <v>36955.8939248103</v>
      </c>
      <c r="D437" s="23" t="n">
        <v>10518.4807048762</v>
      </c>
      <c r="E437" s="15" t="n">
        <f aca="false">C437-D437</f>
        <v>26437.4132199341</v>
      </c>
      <c r="F437" s="23" t="n">
        <v>483.75</v>
      </c>
      <c r="G437" s="15" t="n">
        <f aca="false">E437+F437+H437-I437-J437-K437</f>
        <v>10216.0596354292</v>
      </c>
      <c r="H437" s="23" t="n">
        <v>13202.3111666667</v>
      </c>
      <c r="I437" s="23" t="n">
        <v>26054.302895</v>
      </c>
      <c r="J437" s="23" t="n">
        <v>3853.11185617156</v>
      </c>
      <c r="K437" s="23" t="n">
        <v>0</v>
      </c>
    </row>
    <row r="438" customFormat="false" ht="15" hidden="false" customHeight="false" outlineLevel="0" collapsed="false">
      <c r="A438" s="28" t="s">
        <v>214</v>
      </c>
      <c r="B438" s="23" t="n">
        <v>5</v>
      </c>
      <c r="C438" s="23" t="n">
        <v>36652.1344542094</v>
      </c>
      <c r="D438" s="23" t="n">
        <v>10275.4658269402</v>
      </c>
      <c r="E438" s="15" t="n">
        <f aca="false">C438-D438</f>
        <v>26376.6686272691</v>
      </c>
      <c r="F438" s="23" t="n">
        <v>495</v>
      </c>
      <c r="G438" s="15" t="n">
        <f aca="false">E438+F438+H438-I438-J438-K438</f>
        <v>9861.53976922523</v>
      </c>
      <c r="H438" s="23" t="n">
        <v>13202.3111666667</v>
      </c>
      <c r="I438" s="23" t="n">
        <v>26118.79374375</v>
      </c>
      <c r="J438" s="23" t="n">
        <v>4093.64628096058</v>
      </c>
      <c r="K438" s="23" t="n">
        <v>0</v>
      </c>
    </row>
    <row r="439" customFormat="false" ht="15" hidden="false" customHeight="false" outlineLevel="0" collapsed="false">
      <c r="A439" s="28" t="s">
        <v>214</v>
      </c>
      <c r="B439" s="23" t="n">
        <v>6</v>
      </c>
      <c r="C439" s="23" t="n">
        <v>36336.5256293623</v>
      </c>
      <c r="D439" s="23" t="n">
        <v>10014.9929236143</v>
      </c>
      <c r="E439" s="15" t="n">
        <f aca="false">C439-D439</f>
        <v>26321.532705748</v>
      </c>
      <c r="F439" s="23" t="n">
        <v>506.25</v>
      </c>
      <c r="G439" s="15" t="n">
        <f aca="false">E439+F439+H439-I439-J439-K439</f>
        <v>9512.62857416507</v>
      </c>
      <c r="H439" s="23" t="n">
        <v>13202.3111666667</v>
      </c>
      <c r="I439" s="23" t="n">
        <v>26183.2845925</v>
      </c>
      <c r="J439" s="23" t="n">
        <v>4334.18070574961</v>
      </c>
      <c r="K439" s="23" t="n">
        <v>0</v>
      </c>
    </row>
    <row r="440" customFormat="false" ht="15" hidden="false" customHeight="false" outlineLevel="0" collapsed="false">
      <c r="A440" s="28" t="s">
        <v>214</v>
      </c>
      <c r="B440" s="23" t="n">
        <v>7</v>
      </c>
      <c r="C440" s="23" t="n">
        <v>36008.5529896861</v>
      </c>
      <c r="D440" s="23" t="n">
        <v>9737.0619948985</v>
      </c>
      <c r="E440" s="15" t="n">
        <f aca="false">C440-D440</f>
        <v>26271.4909947876</v>
      </c>
      <c r="F440" s="23" t="n">
        <v>517.5</v>
      </c>
      <c r="G440" s="15" t="n">
        <f aca="false">E440+F440+H440-I440-J440-K440</f>
        <v>9168.81158966562</v>
      </c>
      <c r="H440" s="23" t="n">
        <v>13202.3111666667</v>
      </c>
      <c r="I440" s="23" t="n">
        <v>26247.77544125</v>
      </c>
      <c r="J440" s="23" t="n">
        <v>4574.71513053864</v>
      </c>
      <c r="K440" s="23" t="n">
        <v>0</v>
      </c>
    </row>
    <row r="441" customFormat="false" ht="15" hidden="false" customHeight="false" outlineLevel="0" collapsed="false">
      <c r="A441" s="28" t="s">
        <v>214</v>
      </c>
      <c r="B441" s="23" t="n">
        <v>8</v>
      </c>
      <c r="C441" s="23" t="n">
        <v>35668.7592807634</v>
      </c>
      <c r="D441" s="23" t="n">
        <v>9483.43393618794</v>
      </c>
      <c r="E441" s="15" t="n">
        <f aca="false">C441-D441</f>
        <v>26185.3253445755</v>
      </c>
      <c r="F441" s="23" t="n">
        <v>528.75</v>
      </c>
      <c r="G441" s="15" t="n">
        <f aca="false">E441+F441+H441-I441-J441-K441</f>
        <v>-7211.1293340855</v>
      </c>
      <c r="H441" s="23" t="n">
        <v>13202.3111666667</v>
      </c>
      <c r="I441" s="23" t="n">
        <v>26312.26629</v>
      </c>
      <c r="J441" s="23" t="n">
        <v>4815.24955532766</v>
      </c>
      <c r="K441" s="23" t="n">
        <v>16000</v>
      </c>
    </row>
    <row r="442" customFormat="false" ht="15" hidden="false" customHeight="false" outlineLevel="0" collapsed="false">
      <c r="A442" s="28" t="s">
        <v>214</v>
      </c>
      <c r="B442" s="23" t="n">
        <v>9</v>
      </c>
      <c r="C442" s="23" t="n">
        <v>35316.654768187</v>
      </c>
      <c r="D442" s="23" t="n">
        <v>9218.0891925956</v>
      </c>
      <c r="E442" s="15" t="n">
        <f aca="false">C442-D442</f>
        <v>26098.5655755914</v>
      </c>
      <c r="F442" s="23" t="n">
        <v>540</v>
      </c>
      <c r="G442" s="15" t="n">
        <f aca="false">E442+F442+H442-I442-J442-K442</f>
        <v>8408.33562339138</v>
      </c>
      <c r="H442" s="23" t="n">
        <v>13202.3111666667</v>
      </c>
      <c r="I442" s="23" t="n">
        <v>26376.75713875</v>
      </c>
      <c r="J442" s="23" t="n">
        <v>5055.78398011669</v>
      </c>
      <c r="K442" s="23" t="n">
        <v>0</v>
      </c>
    </row>
    <row r="443" customFormat="false" ht="15" hidden="false" customHeight="false" outlineLevel="0" collapsed="false">
      <c r="A443" s="28" t="s">
        <v>214</v>
      </c>
      <c r="B443" s="23" t="n">
        <v>10</v>
      </c>
      <c r="C443" s="23" t="n">
        <v>34897.8001641949</v>
      </c>
      <c r="D443" s="23" t="n">
        <v>8942.44443078813</v>
      </c>
      <c r="E443" s="15" t="n">
        <f aca="false">C443-D443</f>
        <v>25955.3557334067</v>
      </c>
      <c r="F443" s="23" t="n">
        <v>551.25</v>
      </c>
      <c r="G443" s="15" t="n">
        <f aca="false">E443+F443+H443-I443-J443-K443</f>
        <v>7971.35050766767</v>
      </c>
      <c r="H443" s="23" t="n">
        <v>13202.3111666667</v>
      </c>
      <c r="I443" s="23" t="n">
        <v>26441.2479875</v>
      </c>
      <c r="J443" s="23" t="n">
        <v>5296.31840490571</v>
      </c>
      <c r="K443" s="23" t="n">
        <v>0</v>
      </c>
    </row>
    <row r="444" customFormat="false" ht="15" hidden="false" customHeight="false" outlineLevel="0" collapsed="false">
      <c r="A444" s="28" t="s">
        <v>214</v>
      </c>
      <c r="B444" s="23" t="n">
        <v>11</v>
      </c>
      <c r="C444" s="23" t="n">
        <v>34521.9245690908</v>
      </c>
      <c r="D444" s="23" t="n">
        <v>8689.83083667378</v>
      </c>
      <c r="E444" s="15" t="n">
        <f aca="false">C444-D444</f>
        <v>25832.093732417</v>
      </c>
      <c r="F444" s="23" t="n">
        <v>562.5</v>
      </c>
      <c r="G444" s="15" t="n">
        <f aca="false">E444+F444+H444-I444-J444-K444</f>
        <v>7554.31323313892</v>
      </c>
      <c r="H444" s="23" t="n">
        <v>13202.3111666667</v>
      </c>
      <c r="I444" s="23" t="n">
        <v>26505.73883625</v>
      </c>
      <c r="J444" s="23" t="n">
        <v>5536.85282969474</v>
      </c>
      <c r="K444" s="23" t="n">
        <v>0</v>
      </c>
    </row>
    <row r="445" customFormat="false" ht="15" hidden="false" customHeight="false" outlineLevel="0" collapsed="false">
      <c r="A445" s="28" t="s">
        <v>214</v>
      </c>
      <c r="B445" s="23" t="n">
        <v>12</v>
      </c>
      <c r="C445" s="23" t="n">
        <v>34134.4844639856</v>
      </c>
      <c r="D445" s="23" t="n">
        <v>8427.28475619877</v>
      </c>
      <c r="E445" s="15" t="n">
        <f aca="false">C445-D445</f>
        <v>25707.1997077868</v>
      </c>
      <c r="F445" s="23" t="n">
        <v>573.75</v>
      </c>
      <c r="G445" s="15" t="n">
        <f aca="false">E445+F445+H445-I445-J445-K445</f>
        <v>7135.64393496975</v>
      </c>
      <c r="H445" s="23" t="n">
        <v>13202.3111666667</v>
      </c>
      <c r="I445" s="23" t="n">
        <v>26570.229685</v>
      </c>
      <c r="J445" s="23" t="n">
        <v>5777.38725448377</v>
      </c>
      <c r="K445" s="23" t="n">
        <v>0</v>
      </c>
    </row>
    <row r="446" customFormat="false" ht="15" hidden="false" customHeight="false" outlineLevel="0" collapsed="false">
      <c r="A446" s="28" t="s">
        <v>214</v>
      </c>
      <c r="B446" s="23" t="n">
        <v>13</v>
      </c>
      <c r="C446" s="23" t="n">
        <v>33728.5355119277</v>
      </c>
      <c r="D446" s="23" t="n">
        <v>8154.80618936313</v>
      </c>
      <c r="E446" s="15" t="n">
        <f aca="false">C446-D446</f>
        <v>25573.7293225646</v>
      </c>
      <c r="F446" s="23" t="n">
        <v>585</v>
      </c>
      <c r="G446" s="15" t="n">
        <f aca="false">E446+F446+H446-I446-J446-K446</f>
        <v>8717.41287566414</v>
      </c>
      <c r="H446" s="23" t="n">
        <v>13202.3111666667</v>
      </c>
      <c r="I446" s="23" t="n">
        <v>26634.72053375</v>
      </c>
      <c r="J446" s="23" t="n">
        <v>4008.9070798171</v>
      </c>
      <c r="K446" s="23" t="n">
        <v>0</v>
      </c>
    </row>
    <row r="447" customFormat="false" ht="15" hidden="false" customHeight="false" outlineLevel="0" collapsed="false">
      <c r="A447" s="28" t="s">
        <v>214</v>
      </c>
      <c r="B447" s="23" t="n">
        <v>14</v>
      </c>
      <c r="C447" s="23" t="n">
        <v>33654.2067471252</v>
      </c>
      <c r="D447" s="23" t="n">
        <v>7705.50260764353</v>
      </c>
      <c r="E447" s="15" t="n">
        <f aca="false">C447-D447</f>
        <v>25948.7041394817</v>
      </c>
      <c r="F447" s="23" t="n">
        <v>585</v>
      </c>
      <c r="G447" s="15" t="n">
        <f aca="false">E447+F447+H447-I447-J447-K447</f>
        <v>9027.89684383123</v>
      </c>
      <c r="H447" s="23" t="n">
        <v>13202.3111666667</v>
      </c>
      <c r="I447" s="23" t="n">
        <v>26699.2113825</v>
      </c>
      <c r="J447" s="23" t="n">
        <v>4008.9070798171</v>
      </c>
      <c r="K447" s="23" t="n">
        <v>0</v>
      </c>
    </row>
    <row r="448" customFormat="false" ht="15" hidden="false" customHeight="false" outlineLevel="0" collapsed="false">
      <c r="A448" s="28" t="s">
        <v>214</v>
      </c>
      <c r="B448" s="23" t="n">
        <v>15</v>
      </c>
      <c r="C448" s="23" t="n">
        <v>33582.0431459635</v>
      </c>
      <c r="D448" s="23" t="n">
        <v>7390.12885914355</v>
      </c>
      <c r="E448" s="15" t="n">
        <f aca="false">C448-D448</f>
        <v>26191.9142868199</v>
      </c>
      <c r="F448" s="23" t="n">
        <v>585</v>
      </c>
      <c r="G448" s="15" t="n">
        <f aca="false">E448+F448+H448-I448-J448-K448</f>
        <v>9206.61614241948</v>
      </c>
      <c r="H448" s="23" t="n">
        <v>13202.3111666667</v>
      </c>
      <c r="I448" s="23" t="n">
        <v>26763.70223125</v>
      </c>
      <c r="J448" s="23" t="n">
        <v>4008.9070798171</v>
      </c>
      <c r="K448" s="23" t="n">
        <v>0</v>
      </c>
    </row>
    <row r="449" customFormat="false" ht="15" hidden="false" customHeight="false" outlineLevel="0" collapsed="false">
      <c r="A449" s="28" t="s">
        <v>214</v>
      </c>
      <c r="B449" s="23" t="n">
        <v>16</v>
      </c>
      <c r="C449" s="23" t="n">
        <v>33664.9418754095</v>
      </c>
      <c r="D449" s="23" t="n">
        <v>7142.30031162153</v>
      </c>
      <c r="E449" s="15" t="n">
        <f aca="false">C449-D449</f>
        <v>26522.641563788</v>
      </c>
      <c r="F449" s="23" t="n">
        <v>585</v>
      </c>
      <c r="G449" s="15" t="n">
        <f aca="false">E449+F449+H449-I449-J449-K449</f>
        <v>9472.85257063757</v>
      </c>
      <c r="H449" s="23" t="n">
        <v>13202.3111666667</v>
      </c>
      <c r="I449" s="23" t="n">
        <v>26828.19308</v>
      </c>
      <c r="J449" s="23" t="n">
        <v>4008.9070798171</v>
      </c>
      <c r="K449" s="23" t="n">
        <v>0</v>
      </c>
    </row>
    <row r="450" customFormat="false" ht="15" hidden="false" customHeight="false" outlineLevel="0" collapsed="false">
      <c r="A450" s="28" t="s">
        <v>214</v>
      </c>
      <c r="B450" s="23" t="n">
        <v>17</v>
      </c>
      <c r="C450" s="23" t="n">
        <v>33597.3763481169</v>
      </c>
      <c r="D450" s="23" t="n">
        <v>6952.99833230016</v>
      </c>
      <c r="E450" s="15" t="n">
        <f aca="false">C450-D450</f>
        <v>26644.3780158168</v>
      </c>
      <c r="F450" s="23" t="n">
        <v>585</v>
      </c>
      <c r="G450" s="15" t="n">
        <f aca="false">E450+F450+H450-I450-J450-K450</f>
        <v>9530.09817391633</v>
      </c>
      <c r="H450" s="23" t="n">
        <v>13202.3111666667</v>
      </c>
      <c r="I450" s="23" t="n">
        <v>26892.68392875</v>
      </c>
      <c r="J450" s="23" t="n">
        <v>4008.9070798171</v>
      </c>
      <c r="K450" s="23" t="n">
        <v>0</v>
      </c>
    </row>
    <row r="451" customFormat="false" ht="15" hidden="false" customHeight="false" outlineLevel="0" collapsed="false">
      <c r="A451" s="28" t="s">
        <v>214</v>
      </c>
      <c r="B451" s="23" t="n">
        <v>18</v>
      </c>
      <c r="C451" s="23" t="n">
        <v>33531.9709358498</v>
      </c>
      <c r="D451" s="23" t="n">
        <v>6781.15437836872</v>
      </c>
      <c r="E451" s="15" t="n">
        <f aca="false">C451-D451</f>
        <v>26750.816557481</v>
      </c>
      <c r="F451" s="23" t="n">
        <v>585</v>
      </c>
      <c r="G451" s="15" t="n">
        <f aca="false">E451+F451+H451-I451-J451-K451</f>
        <v>9572.04586683059</v>
      </c>
      <c r="H451" s="23" t="n">
        <v>13202.3111666667</v>
      </c>
      <c r="I451" s="23" t="n">
        <v>26957.1747775</v>
      </c>
      <c r="J451" s="23" t="n">
        <v>4008.9070798171</v>
      </c>
      <c r="K451" s="23" t="n">
        <v>0</v>
      </c>
    </row>
    <row r="452" customFormat="false" ht="15" hidden="false" customHeight="false" outlineLevel="0" collapsed="false">
      <c r="A452" s="28" t="s">
        <v>214</v>
      </c>
      <c r="B452" s="23" t="n">
        <v>19</v>
      </c>
      <c r="C452" s="23" t="n">
        <v>33468.6799210769</v>
      </c>
      <c r="D452" s="23" t="n">
        <v>6626.76844982722</v>
      </c>
      <c r="E452" s="15" t="n">
        <f aca="false">C452-D452</f>
        <v>26841.9114712497</v>
      </c>
      <c r="F452" s="23" t="n">
        <v>585</v>
      </c>
      <c r="G452" s="15" t="n">
        <f aca="false">E452+F452+H452-I452-J452-K452</f>
        <v>9598.64993184924</v>
      </c>
      <c r="H452" s="23" t="n">
        <v>13202.3111666667</v>
      </c>
      <c r="I452" s="23" t="n">
        <v>27021.66562625</v>
      </c>
      <c r="J452" s="23" t="n">
        <v>4008.9070798171</v>
      </c>
      <c r="K452" s="23" t="n">
        <v>0</v>
      </c>
    </row>
    <row r="453" customFormat="false" ht="15" hidden="false" customHeight="false" outlineLevel="0" collapsed="false">
      <c r="A453" s="28" t="s">
        <v>214</v>
      </c>
      <c r="B453" s="23" t="n">
        <v>20</v>
      </c>
      <c r="C453" s="23" t="n">
        <v>33407.4584217942</v>
      </c>
      <c r="D453" s="23" t="n">
        <v>6529.42972924356</v>
      </c>
      <c r="E453" s="15" t="n">
        <f aca="false">C453-D453</f>
        <v>26878.0286925506</v>
      </c>
      <c r="F453" s="23" t="n">
        <v>585</v>
      </c>
      <c r="G453" s="15" t="n">
        <f aca="false">E453+F453+H453-I453-J453-K453</f>
        <v>-6429.72369559981</v>
      </c>
      <c r="H453" s="23" t="n">
        <v>13202.3111666667</v>
      </c>
      <c r="I453" s="23" t="n">
        <v>27086.156475</v>
      </c>
      <c r="J453" s="23" t="n">
        <v>4008.9070798171</v>
      </c>
      <c r="K453" s="23" t="n">
        <v>16000</v>
      </c>
    </row>
    <row r="454" customFormat="false" ht="15" hidden="false" customHeight="false" outlineLevel="0" collapsed="false">
      <c r="A454" s="28" t="s">
        <v>214</v>
      </c>
      <c r="B454" s="23" t="n">
        <v>21</v>
      </c>
      <c r="C454" s="23" t="n">
        <v>33348.2623764604</v>
      </c>
      <c r="D454" s="23" t="n">
        <v>6444.22436020837</v>
      </c>
      <c r="E454" s="15" t="n">
        <f aca="false">C454-D454</f>
        <v>26904.038016252</v>
      </c>
      <c r="F454" s="23" t="n">
        <v>585</v>
      </c>
      <c r="G454" s="15" t="n">
        <f aca="false">E454+F454+H454-I454-J454-K454</f>
        <v>9531.79477935158</v>
      </c>
      <c r="H454" s="23" t="n">
        <v>13202.3111666667</v>
      </c>
      <c r="I454" s="23" t="n">
        <v>27150.64732375</v>
      </c>
      <c r="J454" s="23" t="n">
        <v>4008.9070798171</v>
      </c>
      <c r="K454" s="23" t="n">
        <v>0</v>
      </c>
    </row>
    <row r="455" customFormat="false" ht="15" hidden="false" customHeight="false" outlineLevel="0" collapsed="false">
      <c r="A455" s="28" t="s">
        <v>214</v>
      </c>
      <c r="B455" s="23" t="n">
        <v>22</v>
      </c>
      <c r="C455" s="23" t="n">
        <v>33291.0485292124</v>
      </c>
      <c r="D455" s="23" t="n">
        <v>6371.15234272162</v>
      </c>
      <c r="E455" s="15" t="n">
        <f aca="false">C455-D455</f>
        <v>26919.8961864908</v>
      </c>
      <c r="F455" s="23" t="n">
        <v>585</v>
      </c>
      <c r="G455" s="15" t="n">
        <f aca="false">E455+F455+H455-I455-J455-K455</f>
        <v>9483.16210084033</v>
      </c>
      <c r="H455" s="23" t="n">
        <v>13202.3111666667</v>
      </c>
      <c r="I455" s="23" t="n">
        <v>27215.1381725</v>
      </c>
      <c r="J455" s="23" t="n">
        <v>4008.9070798171</v>
      </c>
      <c r="K455" s="23" t="n">
        <v>0</v>
      </c>
    </row>
    <row r="456" customFormat="false" ht="15" hidden="false" customHeight="false" outlineLevel="0" collapsed="false">
      <c r="A456" s="28" t="s">
        <v>214</v>
      </c>
      <c r="B456" s="23" t="n">
        <v>23</v>
      </c>
      <c r="C456" s="23" t="n">
        <v>33235.7744153543</v>
      </c>
      <c r="D456" s="23" t="n">
        <v>6316.81627234677</v>
      </c>
      <c r="E456" s="15" t="n">
        <f aca="false">C456-D456</f>
        <v>26918.9581430076</v>
      </c>
      <c r="F456" s="23" t="n">
        <v>585</v>
      </c>
      <c r="G456" s="15" t="n">
        <f aca="false">E456+F456+H456-I456-J456-K456</f>
        <v>9417.73320860712</v>
      </c>
      <c r="H456" s="23" t="n">
        <v>13202.3111666667</v>
      </c>
      <c r="I456" s="23" t="n">
        <v>27279.62902125</v>
      </c>
      <c r="J456" s="23" t="n">
        <v>4008.9070798171</v>
      </c>
      <c r="K456" s="23" t="n">
        <v>0</v>
      </c>
    </row>
    <row r="457" customFormat="false" ht="15" hidden="false" customHeight="false" outlineLevel="0" collapsed="false">
      <c r="A457" s="28" t="s">
        <v>214</v>
      </c>
      <c r="B457" s="23" t="n">
        <v>24</v>
      </c>
      <c r="C457" s="23" t="n">
        <v>33182.3983471152</v>
      </c>
      <c r="D457" s="23" t="n">
        <v>6272.41268833256</v>
      </c>
      <c r="E457" s="15" t="n">
        <f aca="false">C457-D457</f>
        <v>26909.9856587826</v>
      </c>
      <c r="F457" s="23" t="n">
        <v>585</v>
      </c>
      <c r="G457" s="15" t="n">
        <f aca="false">E457+F457+H457-I457-J457-K457</f>
        <v>9344.26987563219</v>
      </c>
      <c r="H457" s="23" t="n">
        <v>13202.3111666667</v>
      </c>
      <c r="I457" s="23" t="n">
        <v>27344.11987</v>
      </c>
      <c r="J457" s="23" t="n">
        <v>4008.9070798171</v>
      </c>
      <c r="K457" s="23" t="n">
        <v>0</v>
      </c>
    </row>
    <row r="458" customFormat="false" ht="15" hidden="false" customHeight="false" outlineLevel="0" collapsed="false">
      <c r="A458" s="28" t="s">
        <v>216</v>
      </c>
      <c r="B458" s="23" t="n">
        <v>1</v>
      </c>
      <c r="C458" s="23" t="n">
        <v>43984.4171046367</v>
      </c>
      <c r="D458" s="23" t="n">
        <v>11181.9425266575</v>
      </c>
      <c r="E458" s="15" t="n">
        <f aca="false">C458-D458</f>
        <v>32802.4745779792</v>
      </c>
      <c r="F458" s="23" t="n">
        <v>112.5</v>
      </c>
      <c r="G458" s="15" t="n">
        <f aca="false">E458+F458+H458-I458-J458-K458</f>
        <v>18652.892563969</v>
      </c>
      <c r="H458" s="23" t="n">
        <v>13202.3111666667</v>
      </c>
      <c r="I458" s="23" t="n">
        <v>25860.83034875</v>
      </c>
      <c r="J458" s="23" t="n">
        <v>1603.56283192684</v>
      </c>
      <c r="K458" s="23" t="n">
        <v>0</v>
      </c>
    </row>
    <row r="459" customFormat="false" ht="15" hidden="false" customHeight="false" outlineLevel="0" collapsed="false">
      <c r="A459" s="28" t="s">
        <v>216</v>
      </c>
      <c r="B459" s="23" t="n">
        <v>2</v>
      </c>
      <c r="C459" s="23" t="n">
        <v>44280.7937929251</v>
      </c>
      <c r="D459" s="23" t="n">
        <v>14220.307850612</v>
      </c>
      <c r="E459" s="15" t="n">
        <f aca="false">C459-D459</f>
        <v>30060.4859423131</v>
      </c>
      <c r="F459" s="23" t="n">
        <v>112.5</v>
      </c>
      <c r="G459" s="15" t="n">
        <f aca="false">E459+F459+H459-I459-J459-K459</f>
        <v>15846.4130795529</v>
      </c>
      <c r="H459" s="23" t="n">
        <v>13202.3111666667</v>
      </c>
      <c r="I459" s="23" t="n">
        <v>25925.3211975</v>
      </c>
      <c r="J459" s="23" t="n">
        <v>1603.56283192684</v>
      </c>
      <c r="K459" s="23" t="n">
        <v>0</v>
      </c>
    </row>
    <row r="460" customFormat="false" ht="15" hidden="false" customHeight="false" outlineLevel="0" collapsed="false">
      <c r="A460" s="28" t="s">
        <v>216</v>
      </c>
      <c r="B460" s="23" t="n">
        <v>3</v>
      </c>
      <c r="C460" s="23" t="n">
        <v>44578.7688155565</v>
      </c>
      <c r="D460" s="23" t="n">
        <v>15886.9569252479</v>
      </c>
      <c r="E460" s="15" t="n">
        <f aca="false">C460-D460</f>
        <v>28691.8118903086</v>
      </c>
      <c r="F460" s="23" t="n">
        <v>112.5</v>
      </c>
      <c r="G460" s="15" t="n">
        <f aca="false">E460+F460+H460-I460-J460-K460</f>
        <v>14413.2481787984</v>
      </c>
      <c r="H460" s="23" t="n">
        <v>13202.3111666667</v>
      </c>
      <c r="I460" s="23" t="n">
        <v>25989.81204625</v>
      </c>
      <c r="J460" s="23" t="n">
        <v>1603.56283192684</v>
      </c>
      <c r="K460" s="23" t="n">
        <v>0</v>
      </c>
    </row>
    <row r="461" customFormat="false" ht="15" hidden="false" customHeight="false" outlineLevel="0" collapsed="false">
      <c r="A461" s="28" t="s">
        <v>216</v>
      </c>
      <c r="B461" s="23" t="n">
        <v>4</v>
      </c>
      <c r="C461" s="23" t="n">
        <v>44868.5309849518</v>
      </c>
      <c r="D461" s="23" t="n">
        <v>16973.5238171108</v>
      </c>
      <c r="E461" s="15" t="n">
        <f aca="false">C461-D461</f>
        <v>27895.007167841</v>
      </c>
      <c r="F461" s="23" t="n">
        <v>112.5</v>
      </c>
      <c r="G461" s="15" t="n">
        <f aca="false">E461+F461+H461-I461-J461-K461</f>
        <v>13551.9526075808</v>
      </c>
      <c r="H461" s="23" t="n">
        <v>13202.3111666667</v>
      </c>
      <c r="I461" s="23" t="n">
        <v>26054.302895</v>
      </c>
      <c r="J461" s="23" t="n">
        <v>1603.56283192684</v>
      </c>
      <c r="K461" s="23" t="n">
        <v>0</v>
      </c>
    </row>
    <row r="462" customFormat="false" ht="15" hidden="false" customHeight="false" outlineLevel="0" collapsed="false">
      <c r="A462" s="28" t="s">
        <v>216</v>
      </c>
      <c r="B462" s="23" t="n">
        <v>5</v>
      </c>
      <c r="C462" s="23" t="n">
        <v>45155.0445232802</v>
      </c>
      <c r="D462" s="23" t="n">
        <v>17468.2205364233</v>
      </c>
      <c r="E462" s="15" t="n">
        <f aca="false">C462-D462</f>
        <v>27686.8239868569</v>
      </c>
      <c r="F462" s="23" t="n">
        <v>112.5</v>
      </c>
      <c r="G462" s="15" t="n">
        <f aca="false">E462+F462+H462-I462-J462-K462</f>
        <v>13279.2785778467</v>
      </c>
      <c r="H462" s="23" t="n">
        <v>13202.3111666667</v>
      </c>
      <c r="I462" s="23" t="n">
        <v>26118.79374375</v>
      </c>
      <c r="J462" s="23" t="n">
        <v>1603.56283192684</v>
      </c>
      <c r="K462" s="23" t="n">
        <v>0</v>
      </c>
    </row>
    <row r="463" customFormat="false" ht="15" hidden="false" customHeight="false" outlineLevel="0" collapsed="false">
      <c r="A463" s="28" t="s">
        <v>216</v>
      </c>
      <c r="B463" s="23" t="n">
        <v>6</v>
      </c>
      <c r="C463" s="23" t="n">
        <v>45438.3477820844</v>
      </c>
      <c r="D463" s="23" t="n">
        <v>17962.9172557358</v>
      </c>
      <c r="E463" s="15" t="n">
        <f aca="false">C463-D463</f>
        <v>27475.4305263486</v>
      </c>
      <c r="F463" s="23" t="n">
        <v>112.5</v>
      </c>
      <c r="G463" s="15" t="n">
        <f aca="false">E463+F463+H463-I463-J463-K463</f>
        <v>13003.3942685884</v>
      </c>
      <c r="H463" s="23" t="n">
        <v>13202.3111666667</v>
      </c>
      <c r="I463" s="23" t="n">
        <v>26183.2845925</v>
      </c>
      <c r="J463" s="23" t="n">
        <v>1603.56283192684</v>
      </c>
      <c r="K463" s="23" t="n">
        <v>0</v>
      </c>
    </row>
    <row r="464" customFormat="false" ht="15" hidden="false" customHeight="false" outlineLevel="0" collapsed="false">
      <c r="A464" s="28" t="s">
        <v>216</v>
      </c>
      <c r="B464" s="23" t="n">
        <v>7</v>
      </c>
      <c r="C464" s="23" t="n">
        <v>45718.4785734892</v>
      </c>
      <c r="D464" s="23" t="n">
        <v>18457.6139750483</v>
      </c>
      <c r="E464" s="15" t="n">
        <f aca="false">C464-D464</f>
        <v>27260.8645984409</v>
      </c>
      <c r="F464" s="23" t="n">
        <v>112.5</v>
      </c>
      <c r="G464" s="15" t="n">
        <f aca="false">E464+F464+H464-I464-J464-K464</f>
        <v>12724.3374919307</v>
      </c>
      <c r="H464" s="23" t="n">
        <v>13202.3111666667</v>
      </c>
      <c r="I464" s="23" t="n">
        <v>26247.77544125</v>
      </c>
      <c r="J464" s="23" t="n">
        <v>1603.56283192684</v>
      </c>
      <c r="K464" s="23" t="n">
        <v>0</v>
      </c>
    </row>
    <row r="465" customFormat="false" ht="15" hidden="false" customHeight="false" outlineLevel="0" collapsed="false">
      <c r="A465" s="28" t="s">
        <v>216</v>
      </c>
      <c r="B465" s="23" t="n">
        <v>8</v>
      </c>
      <c r="C465" s="23" t="n">
        <v>45995.4741788988</v>
      </c>
      <c r="D465" s="23" t="n">
        <v>18862.4456523947</v>
      </c>
      <c r="E465" s="15" t="n">
        <f aca="false">C465-D465</f>
        <v>27133.0285265042</v>
      </c>
      <c r="F465" s="23" t="n">
        <v>112.5</v>
      </c>
      <c r="G465" s="15" t="n">
        <f aca="false">E465+F465+H465-I465-J465-K465</f>
        <v>-3467.98942875599</v>
      </c>
      <c r="H465" s="23" t="n">
        <v>13202.3111666667</v>
      </c>
      <c r="I465" s="23" t="n">
        <v>26312.26629</v>
      </c>
      <c r="J465" s="23" t="n">
        <v>1603.56283192684</v>
      </c>
      <c r="K465" s="23" t="n">
        <v>16000</v>
      </c>
    </row>
    <row r="466" customFormat="false" ht="15" hidden="false" customHeight="false" outlineLevel="0" collapsed="false">
      <c r="A466" s="28" t="s">
        <v>216</v>
      </c>
      <c r="B466" s="23" t="n">
        <v>9</v>
      </c>
      <c r="C466" s="23" t="n">
        <v>46269.3713575355</v>
      </c>
      <c r="D466" s="23" t="n">
        <v>19267.277329741</v>
      </c>
      <c r="E466" s="15" t="n">
        <f aca="false">C466-D466</f>
        <v>27002.0940277945</v>
      </c>
      <c r="F466" s="23" t="n">
        <v>112.5</v>
      </c>
      <c r="G466" s="15" t="n">
        <f aca="false">E466+F466+H466-I466-J466-K466</f>
        <v>12336.5852237843</v>
      </c>
      <c r="H466" s="23" t="n">
        <v>13202.3111666667</v>
      </c>
      <c r="I466" s="23" t="n">
        <v>26376.75713875</v>
      </c>
      <c r="J466" s="23" t="n">
        <v>1603.56283192684</v>
      </c>
      <c r="K466" s="23" t="n">
        <v>0</v>
      </c>
    </row>
    <row r="467" customFormat="false" ht="15" hidden="false" customHeight="false" outlineLevel="0" collapsed="false">
      <c r="A467" s="28" t="s">
        <v>216</v>
      </c>
      <c r="B467" s="23" t="n">
        <v>10</v>
      </c>
      <c r="C467" s="23" t="n">
        <v>46660.6230214887</v>
      </c>
      <c r="D467" s="23" t="n">
        <v>19672.1090070874</v>
      </c>
      <c r="E467" s="15" t="n">
        <f aca="false">C467-D467</f>
        <v>26988.5140144013</v>
      </c>
      <c r="F467" s="23" t="n">
        <v>112.5</v>
      </c>
      <c r="G467" s="15" t="n">
        <f aca="false">E467+F467+H467-I467-J467-K467</f>
        <v>12258.5143616411</v>
      </c>
      <c r="H467" s="23" t="n">
        <v>13202.3111666667</v>
      </c>
      <c r="I467" s="23" t="n">
        <v>26441.2479875</v>
      </c>
      <c r="J467" s="23" t="n">
        <v>1603.56283192684</v>
      </c>
      <c r="K467" s="23" t="n">
        <v>0</v>
      </c>
    </row>
    <row r="468" customFormat="false" ht="15" hidden="false" customHeight="false" outlineLevel="0" collapsed="false">
      <c r="A468" s="28" t="s">
        <v>216</v>
      </c>
      <c r="B468" s="23" t="n">
        <v>11</v>
      </c>
      <c r="C468" s="23" t="n">
        <v>46928.4315772789</v>
      </c>
      <c r="D468" s="23" t="n">
        <v>20039.107139072</v>
      </c>
      <c r="E468" s="15" t="n">
        <f aca="false">C468-D468</f>
        <v>26889.3244382069</v>
      </c>
      <c r="F468" s="23" t="n">
        <v>112.5</v>
      </c>
      <c r="G468" s="15" t="n">
        <f aca="false">E468+F468+H468-I468-J468-K468</f>
        <v>12094.8339366968</v>
      </c>
      <c r="H468" s="23" t="n">
        <v>13202.3111666667</v>
      </c>
      <c r="I468" s="23" t="n">
        <v>26505.73883625</v>
      </c>
      <c r="J468" s="23" t="n">
        <v>1603.56283192684</v>
      </c>
      <c r="K468" s="23" t="n">
        <v>0</v>
      </c>
    </row>
    <row r="469" customFormat="false" ht="15" hidden="false" customHeight="false" outlineLevel="0" collapsed="false">
      <c r="A469" s="28" t="s">
        <v>216</v>
      </c>
      <c r="B469" s="23" t="n">
        <v>12</v>
      </c>
      <c r="C469" s="23" t="n">
        <v>47193.2489339389</v>
      </c>
      <c r="D469" s="23" t="n">
        <v>20406.1052710565</v>
      </c>
      <c r="E469" s="15" t="n">
        <f aca="false">C469-D469</f>
        <v>26787.1436628824</v>
      </c>
      <c r="F469" s="23" t="n">
        <v>112.5</v>
      </c>
      <c r="G469" s="15" t="n">
        <f aca="false">E469+F469+H469-I469-J469-K469</f>
        <v>11928.1623126222</v>
      </c>
      <c r="H469" s="23" t="n">
        <v>13202.3111666667</v>
      </c>
      <c r="I469" s="23" t="n">
        <v>26570.229685</v>
      </c>
      <c r="J469" s="23" t="n">
        <v>1603.56283192684</v>
      </c>
      <c r="K469" s="23" t="n">
        <v>0</v>
      </c>
    </row>
    <row r="470" customFormat="false" ht="15" hidden="false" customHeight="false" outlineLevel="0" collapsed="false">
      <c r="A470" s="28" t="s">
        <v>216</v>
      </c>
      <c r="B470" s="23" t="n">
        <v>13</v>
      </c>
      <c r="C470" s="23" t="n">
        <v>47455.1098442817</v>
      </c>
      <c r="D470" s="23" t="n">
        <v>20608.3839293064</v>
      </c>
      <c r="E470" s="15" t="n">
        <f aca="false">C470-D470</f>
        <v>26846.7259149753</v>
      </c>
      <c r="F470" s="23" t="n">
        <v>112.5</v>
      </c>
      <c r="G470" s="15" t="n">
        <f aca="false">E470+F470+H470-I470-J470-K470</f>
        <v>11923.2537159651</v>
      </c>
      <c r="H470" s="23" t="n">
        <v>13202.3111666667</v>
      </c>
      <c r="I470" s="23" t="n">
        <v>26634.72053375</v>
      </c>
      <c r="J470" s="23" t="n">
        <v>1603.56283192684</v>
      </c>
      <c r="K470" s="23" t="n">
        <v>0</v>
      </c>
    </row>
    <row r="471" customFormat="false" ht="15" hidden="false" customHeight="false" outlineLevel="0" collapsed="false">
      <c r="A471" s="28" t="s">
        <v>216</v>
      </c>
      <c r="B471" s="23" t="n">
        <v>14</v>
      </c>
      <c r="C471" s="23" t="n">
        <v>47714.0485793585</v>
      </c>
      <c r="D471" s="23" t="n">
        <v>20667.5384042844</v>
      </c>
      <c r="E471" s="15" t="n">
        <f aca="false">C471-D471</f>
        <v>27046.510175074</v>
      </c>
      <c r="F471" s="23" t="n">
        <v>112.5</v>
      </c>
      <c r="G471" s="15" t="n">
        <f aca="false">E471+F471+H471-I471-J471-K471</f>
        <v>12058.5471273139</v>
      </c>
      <c r="H471" s="23" t="n">
        <v>13202.3111666667</v>
      </c>
      <c r="I471" s="23" t="n">
        <v>26699.2113825</v>
      </c>
      <c r="J471" s="23" t="n">
        <v>1603.56283192684</v>
      </c>
      <c r="K471" s="23" t="n">
        <v>0</v>
      </c>
    </row>
    <row r="472" customFormat="false" ht="15" hidden="false" customHeight="false" outlineLevel="0" collapsed="false">
      <c r="A472" s="28" t="s">
        <v>216</v>
      </c>
      <c r="B472" s="23" t="n">
        <v>15</v>
      </c>
      <c r="C472" s="23" t="n">
        <v>47970.0989361091</v>
      </c>
      <c r="D472" s="23" t="n">
        <v>20726.6928792624</v>
      </c>
      <c r="E472" s="15" t="n">
        <f aca="false">C472-D472</f>
        <v>27243.4060568467</v>
      </c>
      <c r="F472" s="23" t="n">
        <v>112.5</v>
      </c>
      <c r="G472" s="15" t="n">
        <f aca="false">E472+F472+H472-I472-J472-K472</f>
        <v>12190.9521603365</v>
      </c>
      <c r="H472" s="23" t="n">
        <v>13202.3111666667</v>
      </c>
      <c r="I472" s="23" t="n">
        <v>26763.70223125</v>
      </c>
      <c r="J472" s="23" t="n">
        <v>1603.56283192684</v>
      </c>
      <c r="K472" s="23" t="n">
        <v>0</v>
      </c>
    </row>
    <row r="473" customFormat="false" ht="15" hidden="false" customHeight="false" outlineLevel="0" collapsed="false">
      <c r="A473" s="28" t="s">
        <v>216</v>
      </c>
      <c r="B473" s="23" t="n">
        <v>16</v>
      </c>
      <c r="C473" s="23" t="n">
        <v>48769.1275782087</v>
      </c>
      <c r="D473" s="23" t="n">
        <v>20785.8473542404</v>
      </c>
      <c r="E473" s="15" t="n">
        <f aca="false">C473-D473</f>
        <v>27983.2802239683</v>
      </c>
      <c r="F473" s="23" t="n">
        <v>112.5</v>
      </c>
      <c r="G473" s="15" t="n">
        <f aca="false">E473+F473+H473-I473-J473-K473</f>
        <v>12866.3354787081</v>
      </c>
      <c r="H473" s="23" t="n">
        <v>13202.3111666667</v>
      </c>
      <c r="I473" s="23" t="n">
        <v>26828.19308</v>
      </c>
      <c r="J473" s="23" t="n">
        <v>1603.56283192684</v>
      </c>
      <c r="K473" s="23" t="n">
        <v>0</v>
      </c>
    </row>
    <row r="474" customFormat="false" ht="15" hidden="false" customHeight="false" outlineLevel="0" collapsed="false">
      <c r="A474" s="28" t="s">
        <v>216</v>
      </c>
      <c r="B474" s="23" t="n">
        <v>17</v>
      </c>
      <c r="C474" s="23" t="n">
        <v>49019.5007101123</v>
      </c>
      <c r="D474" s="23" t="n">
        <v>20845.0018292184</v>
      </c>
      <c r="E474" s="15" t="n">
        <f aca="false">C474-D474</f>
        <v>28174.4988808938</v>
      </c>
      <c r="F474" s="23" t="n">
        <v>112.5</v>
      </c>
      <c r="G474" s="15" t="n">
        <f aca="false">E474+F474+H474-I474-J474-K474</f>
        <v>12993.0632868837</v>
      </c>
      <c r="H474" s="23" t="n">
        <v>13202.3111666667</v>
      </c>
      <c r="I474" s="23" t="n">
        <v>26892.68392875</v>
      </c>
      <c r="J474" s="23" t="n">
        <v>1603.56283192684</v>
      </c>
      <c r="K474" s="23" t="n">
        <v>0</v>
      </c>
    </row>
    <row r="475" customFormat="false" ht="15" hidden="false" customHeight="false" outlineLevel="0" collapsed="false">
      <c r="A475" s="28" t="s">
        <v>216</v>
      </c>
      <c r="B475" s="23" t="n">
        <v>18</v>
      </c>
      <c r="C475" s="23" t="n">
        <v>49267.0840842999</v>
      </c>
      <c r="D475" s="23" t="n">
        <v>20904.1563041964</v>
      </c>
      <c r="E475" s="15" t="n">
        <f aca="false">C475-D475</f>
        <v>28362.9277801035</v>
      </c>
      <c r="F475" s="23" t="n">
        <v>112.5</v>
      </c>
      <c r="G475" s="15" t="n">
        <f aca="false">E475+F475+H475-I475-J475-K475</f>
        <v>13117.0013373433</v>
      </c>
      <c r="H475" s="23" t="n">
        <v>13202.3111666667</v>
      </c>
      <c r="I475" s="23" t="n">
        <v>26957.1747775</v>
      </c>
      <c r="J475" s="23" t="n">
        <v>1603.56283192684</v>
      </c>
      <c r="K475" s="23" t="n">
        <v>0</v>
      </c>
    </row>
    <row r="476" customFormat="false" ht="15" hidden="false" customHeight="false" outlineLevel="0" collapsed="false">
      <c r="A476" s="28" t="s">
        <v>216</v>
      </c>
      <c r="B476" s="23" t="n">
        <v>19</v>
      </c>
      <c r="C476" s="23" t="n">
        <v>49511.9096750597</v>
      </c>
      <c r="D476" s="23" t="n">
        <v>20963.3107791744</v>
      </c>
      <c r="E476" s="15" t="n">
        <f aca="false">C476-D476</f>
        <v>28548.5988958853</v>
      </c>
      <c r="F476" s="23" t="n">
        <v>112.5</v>
      </c>
      <c r="G476" s="15" t="n">
        <f aca="false">E476+F476+H476-I476-J476-K476</f>
        <v>13238.1816043751</v>
      </c>
      <c r="H476" s="23" t="n">
        <v>13202.3111666667</v>
      </c>
      <c r="I476" s="23" t="n">
        <v>27021.66562625</v>
      </c>
      <c r="J476" s="23" t="n">
        <v>1603.56283192684</v>
      </c>
      <c r="K476" s="23" t="n">
        <v>0</v>
      </c>
    </row>
    <row r="477" customFormat="false" ht="15" hidden="false" customHeight="false" outlineLevel="0" collapsed="false">
      <c r="A477" s="28" t="s">
        <v>216</v>
      </c>
      <c r="B477" s="23" t="n">
        <v>20</v>
      </c>
      <c r="C477" s="23" t="n">
        <v>49754.00901881</v>
      </c>
      <c r="D477" s="23" t="n">
        <v>21003.4120288128</v>
      </c>
      <c r="E477" s="15" t="n">
        <f aca="false">C477-D477</f>
        <v>28750.5969899971</v>
      </c>
      <c r="F477" s="23" t="n">
        <v>112.5</v>
      </c>
      <c r="G477" s="15" t="n">
        <f aca="false">E477+F477+H477-I477-J477-K477</f>
        <v>-2624.31115026306</v>
      </c>
      <c r="H477" s="23" t="n">
        <v>13202.3111666667</v>
      </c>
      <c r="I477" s="23" t="n">
        <v>27086.156475</v>
      </c>
      <c r="J477" s="23" t="n">
        <v>1603.56283192684</v>
      </c>
      <c r="K477" s="23" t="n">
        <v>16000</v>
      </c>
    </row>
    <row r="478" customFormat="false" ht="15" hidden="false" customHeight="false" outlineLevel="0" collapsed="false">
      <c r="A478" s="28" t="s">
        <v>216</v>
      </c>
      <c r="B478" s="23" t="n">
        <v>21</v>
      </c>
      <c r="C478" s="23" t="n">
        <v>49993.4132209631</v>
      </c>
      <c r="D478" s="23" t="n">
        <v>21043.5132784513</v>
      </c>
      <c r="E478" s="15" t="n">
        <f aca="false">C478-D478</f>
        <v>28949.8999425118</v>
      </c>
      <c r="F478" s="23" t="n">
        <v>112.5</v>
      </c>
      <c r="G478" s="15" t="n">
        <f aca="false">E478+F478+H478-I478-J478-K478</f>
        <v>13510.5009535017</v>
      </c>
      <c r="H478" s="23" t="n">
        <v>13202.3111666667</v>
      </c>
      <c r="I478" s="23" t="n">
        <v>27150.64732375</v>
      </c>
      <c r="J478" s="23" t="n">
        <v>1603.56283192684</v>
      </c>
      <c r="K478" s="23" t="n">
        <v>0</v>
      </c>
    </row>
    <row r="479" customFormat="false" ht="15" hidden="false" customHeight="false" outlineLevel="0" collapsed="false">
      <c r="A479" s="28" t="s">
        <v>216</v>
      </c>
      <c r="B479" s="23" t="n">
        <v>22</v>
      </c>
      <c r="C479" s="23" t="n">
        <v>50230.1529626679</v>
      </c>
      <c r="D479" s="23" t="n">
        <v>21083.6145280897</v>
      </c>
      <c r="E479" s="15" t="n">
        <f aca="false">C479-D479</f>
        <v>29146.5384345782</v>
      </c>
      <c r="F479" s="23" t="n">
        <v>112.5</v>
      </c>
      <c r="G479" s="15" t="n">
        <f aca="false">E479+F479+H479-I479-J479-K479</f>
        <v>13642.648596818</v>
      </c>
      <c r="H479" s="23" t="n">
        <v>13202.3111666667</v>
      </c>
      <c r="I479" s="23" t="n">
        <v>27215.1381725</v>
      </c>
      <c r="J479" s="23" t="n">
        <v>1603.56283192684</v>
      </c>
      <c r="K479" s="23" t="n">
        <v>0</v>
      </c>
    </row>
    <row r="480" customFormat="false" ht="15" hidden="false" customHeight="false" outlineLevel="0" collapsed="false">
      <c r="A480" s="28" t="s">
        <v>216</v>
      </c>
      <c r="B480" s="23" t="n">
        <v>23</v>
      </c>
      <c r="C480" s="23" t="n">
        <v>50464.2585074316</v>
      </c>
      <c r="D480" s="23" t="n">
        <v>21123.7157777281</v>
      </c>
      <c r="E480" s="15" t="n">
        <f aca="false">C480-D480</f>
        <v>29340.5427297035</v>
      </c>
      <c r="F480" s="23" t="n">
        <v>112.5</v>
      </c>
      <c r="G480" s="15" t="n">
        <f aca="false">E480+F480+H480-I480-J480-K480</f>
        <v>13772.1620431933</v>
      </c>
      <c r="H480" s="23" t="n">
        <v>13202.3111666667</v>
      </c>
      <c r="I480" s="23" t="n">
        <v>27279.62902125</v>
      </c>
      <c r="J480" s="23" t="n">
        <v>1603.56283192684</v>
      </c>
      <c r="K480" s="23" t="n">
        <v>0</v>
      </c>
    </row>
    <row r="481" customFormat="false" ht="15" hidden="false" customHeight="false" outlineLevel="0" collapsed="false">
      <c r="A481" s="28" t="s">
        <v>216</v>
      </c>
      <c r="B481" s="23" t="n">
        <v>24</v>
      </c>
      <c r="C481" s="23" t="n">
        <v>50695.7597076253</v>
      </c>
      <c r="D481" s="23" t="n">
        <v>21163.8170273665</v>
      </c>
      <c r="E481" s="15" t="n">
        <f aca="false">C481-D481</f>
        <v>29531.9426802588</v>
      </c>
      <c r="F481" s="23" t="n">
        <v>112.5</v>
      </c>
      <c r="G481" s="15" t="n">
        <f aca="false">E481+F481+H481-I481-J481-K481</f>
        <v>13899.0711449987</v>
      </c>
      <c r="H481" s="23" t="n">
        <v>13202.3111666667</v>
      </c>
      <c r="I481" s="23" t="n">
        <v>27344.11987</v>
      </c>
      <c r="J481" s="23" t="n">
        <v>1603.56283192684</v>
      </c>
      <c r="K481" s="23" t="n">
        <v>0</v>
      </c>
    </row>
  </sheetData>
  <autoFilter ref="A1:K4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40"/>
    <col collapsed="false" customWidth="true" hidden="false" outlineLevel="0" max="4" min="4" style="0" width="21"/>
  </cols>
  <sheetData>
    <row r="1" customFormat="false" ht="30" hidden="false" customHeight="true" outlineLevel="0" collapsed="false">
      <c r="A1" s="27" t="s">
        <v>157</v>
      </c>
      <c r="B1" s="27" t="s">
        <v>920</v>
      </c>
      <c r="C1" s="27" t="s">
        <v>433</v>
      </c>
      <c r="D1" s="27" t="s">
        <v>921</v>
      </c>
    </row>
    <row r="2" customFormat="false" ht="15" hidden="false" customHeight="false" outlineLevel="0" collapsed="false">
      <c r="A2" s="28" t="s">
        <v>172</v>
      </c>
      <c r="B2" s="28" t="s">
        <v>922</v>
      </c>
      <c r="C2" s="28" t="s">
        <v>923</v>
      </c>
      <c r="D2" s="23" t="n">
        <v>-19643.64411</v>
      </c>
    </row>
    <row r="3" customFormat="false" ht="15" hidden="false" customHeight="false" outlineLevel="0" collapsed="false">
      <c r="A3" s="28" t="s">
        <v>172</v>
      </c>
      <c r="B3" s="28" t="s">
        <v>922</v>
      </c>
      <c r="C3" s="28" t="s">
        <v>924</v>
      </c>
      <c r="D3" s="23" t="n">
        <v>-4320.33157091573</v>
      </c>
    </row>
    <row r="4" customFormat="false" ht="15" hidden="false" customHeight="false" outlineLevel="0" collapsed="false">
      <c r="A4" s="28" t="s">
        <v>172</v>
      </c>
      <c r="B4" s="28" t="s">
        <v>922</v>
      </c>
      <c r="C4" s="28" t="s">
        <v>925</v>
      </c>
      <c r="D4" s="23" t="n">
        <v>-3000</v>
      </c>
    </row>
    <row r="5" customFormat="false" ht="15" hidden="false" customHeight="false" outlineLevel="0" collapsed="false">
      <c r="A5" s="28" t="s">
        <v>172</v>
      </c>
      <c r="B5" s="28" t="s">
        <v>922</v>
      </c>
      <c r="C5" s="28" t="s">
        <v>926</v>
      </c>
      <c r="D5" s="23" t="n">
        <v>-44866.895680512</v>
      </c>
    </row>
    <row r="6" customFormat="false" ht="15" hidden="false" customHeight="false" outlineLevel="0" collapsed="false">
      <c r="A6" s="28" t="s">
        <v>172</v>
      </c>
      <c r="B6" s="28" t="s">
        <v>922</v>
      </c>
      <c r="C6" s="28" t="s">
        <v>563</v>
      </c>
      <c r="D6" s="23" t="n">
        <v>-1869.38752127883</v>
      </c>
    </row>
    <row r="7" customFormat="false" ht="15" hidden="false" customHeight="false" outlineLevel="0" collapsed="false">
      <c r="A7" s="28" t="s">
        <v>172</v>
      </c>
      <c r="B7" s="28" t="s">
        <v>922</v>
      </c>
      <c r="C7" s="28" t="s">
        <v>927</v>
      </c>
      <c r="D7" s="23" t="n">
        <v>-8534.95020679322</v>
      </c>
    </row>
    <row r="8" customFormat="false" ht="15" hidden="false" customHeight="false" outlineLevel="0" collapsed="false">
      <c r="A8" s="28" t="s">
        <v>172</v>
      </c>
      <c r="B8" s="28" t="s">
        <v>922</v>
      </c>
      <c r="C8" s="28" t="s">
        <v>928</v>
      </c>
      <c r="D8" s="23" t="n">
        <v>-1869.18299083784</v>
      </c>
    </row>
    <row r="9" customFormat="false" ht="15" hidden="false" customHeight="false" outlineLevel="0" collapsed="false">
      <c r="A9" s="28" t="s">
        <v>172</v>
      </c>
      <c r="B9" s="28" t="s">
        <v>922</v>
      </c>
      <c r="C9" s="28" t="s">
        <v>929</v>
      </c>
      <c r="D9" s="23" t="n">
        <v>-6047.95939905126</v>
      </c>
    </row>
    <row r="10" customFormat="false" ht="15" hidden="false" customHeight="false" outlineLevel="0" collapsed="false">
      <c r="A10" s="28" t="s">
        <v>172</v>
      </c>
      <c r="B10" s="28" t="s">
        <v>922</v>
      </c>
      <c r="C10" s="28" t="s">
        <v>930</v>
      </c>
      <c r="D10" s="23" t="n">
        <v>-462.235995</v>
      </c>
    </row>
    <row r="11" customFormat="false" ht="15" hidden="false" customHeight="false" outlineLevel="0" collapsed="false">
      <c r="A11" s="28" t="s">
        <v>172</v>
      </c>
      <c r="B11" s="28" t="s">
        <v>922</v>
      </c>
      <c r="C11" s="28" t="s">
        <v>931</v>
      </c>
      <c r="D11" s="23" t="n">
        <v>-1819.82412032489</v>
      </c>
    </row>
    <row r="12" customFormat="false" ht="15" hidden="false" customHeight="false" outlineLevel="0" collapsed="false">
      <c r="A12" s="28" t="s">
        <v>172</v>
      </c>
      <c r="B12" s="28" t="s">
        <v>922</v>
      </c>
      <c r="C12" s="28" t="s">
        <v>932</v>
      </c>
      <c r="D12" s="23" t="n">
        <v>0</v>
      </c>
    </row>
    <row r="13" customFormat="false" ht="15" hidden="false" customHeight="false" outlineLevel="0" collapsed="false">
      <c r="A13" s="28" t="s">
        <v>172</v>
      </c>
      <c r="B13" s="28" t="s">
        <v>922</v>
      </c>
      <c r="C13" s="28" t="s">
        <v>933</v>
      </c>
      <c r="D13" s="23" t="n">
        <v>1525.08123503333</v>
      </c>
    </row>
    <row r="14" customFormat="false" ht="15" hidden="false" customHeight="false" outlineLevel="0" collapsed="false">
      <c r="A14" s="28" t="s">
        <v>172</v>
      </c>
      <c r="B14" s="28" t="s">
        <v>922</v>
      </c>
      <c r="C14" s="28" t="s">
        <v>934</v>
      </c>
      <c r="D14" s="23" t="n">
        <v>33027.2466705</v>
      </c>
    </row>
    <row r="15" customFormat="false" ht="15" hidden="false" customHeight="false" outlineLevel="0" collapsed="false">
      <c r="A15" s="28" t="s">
        <v>172</v>
      </c>
      <c r="B15" s="28" t="s">
        <v>922</v>
      </c>
      <c r="C15" s="28" t="s">
        <v>935</v>
      </c>
      <c r="D15" s="23" t="n">
        <v>21746.1558711875</v>
      </c>
    </row>
    <row r="16" customFormat="false" ht="15" hidden="false" customHeight="false" outlineLevel="0" collapsed="false">
      <c r="A16" s="28" t="s">
        <v>172</v>
      </c>
      <c r="B16" s="28" t="s">
        <v>922</v>
      </c>
      <c r="C16" s="28" t="s">
        <v>936</v>
      </c>
      <c r="D16" s="23" t="n">
        <v>0</v>
      </c>
    </row>
    <row r="17" customFormat="false" ht="15" hidden="false" customHeight="false" outlineLevel="0" collapsed="false">
      <c r="A17" s="28" t="s">
        <v>172</v>
      </c>
      <c r="B17" s="28" t="s">
        <v>937</v>
      </c>
      <c r="C17" s="28" t="s">
        <v>923</v>
      </c>
      <c r="D17" s="23" t="n">
        <v>-19643.64411</v>
      </c>
    </row>
    <row r="18" customFormat="false" ht="15" hidden="false" customHeight="false" outlineLevel="0" collapsed="false">
      <c r="A18" s="28" t="s">
        <v>172</v>
      </c>
      <c r="B18" s="28" t="s">
        <v>937</v>
      </c>
      <c r="C18" s="28" t="s">
        <v>924</v>
      </c>
      <c r="D18" s="23" t="n">
        <v>-15131.0107263639</v>
      </c>
    </row>
    <row r="19" customFormat="false" ht="15" hidden="false" customHeight="false" outlineLevel="0" collapsed="false">
      <c r="A19" s="28" t="s">
        <v>172</v>
      </c>
      <c r="B19" s="28" t="s">
        <v>937</v>
      </c>
      <c r="C19" s="28" t="s">
        <v>925</v>
      </c>
      <c r="D19" s="23" t="n">
        <v>-3000</v>
      </c>
    </row>
    <row r="20" customFormat="false" ht="15" hidden="false" customHeight="false" outlineLevel="0" collapsed="false">
      <c r="A20" s="28" t="s">
        <v>172</v>
      </c>
      <c r="B20" s="28" t="s">
        <v>937</v>
      </c>
      <c r="C20" s="28" t="s">
        <v>926</v>
      </c>
      <c r="D20" s="23" t="n">
        <v>-44866.895680512</v>
      </c>
    </row>
    <row r="21" customFormat="false" ht="15" hidden="false" customHeight="false" outlineLevel="0" collapsed="false">
      <c r="A21" s="28" t="s">
        <v>172</v>
      </c>
      <c r="B21" s="28" t="s">
        <v>937</v>
      </c>
      <c r="C21" s="28" t="s">
        <v>563</v>
      </c>
      <c r="D21" s="23" t="n">
        <v>-5388.96067343374</v>
      </c>
    </row>
    <row r="22" customFormat="false" ht="15" hidden="false" customHeight="false" outlineLevel="0" collapsed="false">
      <c r="A22" s="28" t="s">
        <v>172</v>
      </c>
      <c r="B22" s="28" t="s">
        <v>937</v>
      </c>
      <c r="C22" s="28" t="s">
        <v>927</v>
      </c>
      <c r="D22" s="23" t="n">
        <v>-23575.9417315167</v>
      </c>
    </row>
    <row r="23" customFormat="false" ht="15" hidden="false" customHeight="false" outlineLevel="0" collapsed="false">
      <c r="A23" s="28" t="s">
        <v>172</v>
      </c>
      <c r="B23" s="28" t="s">
        <v>937</v>
      </c>
      <c r="C23" s="28" t="s">
        <v>928</v>
      </c>
      <c r="D23" s="23" t="n">
        <v>-5124.15221719193</v>
      </c>
    </row>
    <row r="24" customFormat="false" ht="15" hidden="false" customHeight="false" outlineLevel="0" collapsed="false">
      <c r="A24" s="28" t="s">
        <v>172</v>
      </c>
      <c r="B24" s="28" t="s">
        <v>937</v>
      </c>
      <c r="C24" s="28" t="s">
        <v>929</v>
      </c>
      <c r="D24" s="23" t="n">
        <v>-11776.3744779147</v>
      </c>
    </row>
    <row r="25" customFormat="false" ht="15" hidden="false" customHeight="false" outlineLevel="0" collapsed="false">
      <c r="A25" s="28" t="s">
        <v>172</v>
      </c>
      <c r="B25" s="28" t="s">
        <v>937</v>
      </c>
      <c r="C25" s="28" t="s">
        <v>930</v>
      </c>
      <c r="D25" s="23" t="n">
        <v>-462.235995</v>
      </c>
    </row>
    <row r="26" customFormat="false" ht="15" hidden="false" customHeight="false" outlineLevel="0" collapsed="false">
      <c r="A26" s="28" t="s">
        <v>172</v>
      </c>
      <c r="B26" s="28" t="s">
        <v>937</v>
      </c>
      <c r="C26" s="28" t="s">
        <v>931</v>
      </c>
      <c r="D26" s="23" t="n">
        <v>-2738.30110774148</v>
      </c>
    </row>
    <row r="27" customFormat="false" ht="15" hidden="false" customHeight="false" outlineLevel="0" collapsed="false">
      <c r="A27" s="28" t="s">
        <v>172</v>
      </c>
      <c r="B27" s="28" t="s">
        <v>937</v>
      </c>
      <c r="C27" s="28" t="s">
        <v>932</v>
      </c>
      <c r="D27" s="23" t="n">
        <v>0</v>
      </c>
    </row>
    <row r="28" customFormat="false" ht="15" hidden="false" customHeight="false" outlineLevel="0" collapsed="false">
      <c r="A28" s="28" t="s">
        <v>172</v>
      </c>
      <c r="B28" s="28" t="s">
        <v>937</v>
      </c>
      <c r="C28" s="28" t="s">
        <v>933</v>
      </c>
      <c r="D28" s="23" t="n">
        <v>1750.4399192</v>
      </c>
    </row>
    <row r="29" customFormat="false" ht="15" hidden="false" customHeight="false" outlineLevel="0" collapsed="false">
      <c r="A29" s="28" t="s">
        <v>172</v>
      </c>
      <c r="B29" s="28" t="s">
        <v>937</v>
      </c>
      <c r="C29" s="28" t="s">
        <v>934</v>
      </c>
      <c r="D29" s="23" t="n">
        <v>37475.178186</v>
      </c>
    </row>
    <row r="30" customFormat="false" ht="15" hidden="false" customHeight="false" outlineLevel="0" collapsed="false">
      <c r="A30" s="28" t="s">
        <v>172</v>
      </c>
      <c r="B30" s="28" t="s">
        <v>937</v>
      </c>
      <c r="C30" s="28" t="s">
        <v>935</v>
      </c>
      <c r="D30" s="23" t="n">
        <v>44057.7668458363</v>
      </c>
    </row>
    <row r="31" customFormat="false" ht="15" hidden="false" customHeight="false" outlineLevel="0" collapsed="false">
      <c r="A31" s="28" t="s">
        <v>172</v>
      </c>
      <c r="B31" s="28" t="s">
        <v>937</v>
      </c>
      <c r="C31" s="28" t="s">
        <v>936</v>
      </c>
      <c r="D31" s="23" t="n">
        <v>0</v>
      </c>
    </row>
    <row r="32" customFormat="false" ht="15" hidden="false" customHeight="false" outlineLevel="0" collapsed="false">
      <c r="A32" s="28" t="s">
        <v>176</v>
      </c>
      <c r="B32" s="28" t="s">
        <v>922</v>
      </c>
      <c r="C32" s="28" t="s">
        <v>923</v>
      </c>
      <c r="D32" s="23" t="n">
        <v>-13095.76274</v>
      </c>
    </row>
    <row r="33" customFormat="false" ht="15" hidden="false" customHeight="false" outlineLevel="0" collapsed="false">
      <c r="A33" s="28" t="s">
        <v>176</v>
      </c>
      <c r="B33" s="28" t="s">
        <v>922</v>
      </c>
      <c r="C33" s="28" t="s">
        <v>924</v>
      </c>
      <c r="D33" s="23" t="n">
        <v>-2347.68322617446</v>
      </c>
    </row>
    <row r="34" customFormat="false" ht="15" hidden="false" customHeight="false" outlineLevel="0" collapsed="false">
      <c r="A34" s="28" t="s">
        <v>176</v>
      </c>
      <c r="B34" s="28" t="s">
        <v>922</v>
      </c>
      <c r="C34" s="28" t="s">
        <v>925</v>
      </c>
      <c r="D34" s="23" t="n">
        <v>-2000</v>
      </c>
    </row>
    <row r="35" customFormat="false" ht="15" hidden="false" customHeight="false" outlineLevel="0" collapsed="false">
      <c r="A35" s="28" t="s">
        <v>176</v>
      </c>
      <c r="B35" s="28" t="s">
        <v>922</v>
      </c>
      <c r="C35" s="28" t="s">
        <v>926</v>
      </c>
      <c r="D35" s="23" t="n">
        <v>-30315.4700544</v>
      </c>
    </row>
    <row r="36" customFormat="false" ht="15" hidden="false" customHeight="false" outlineLevel="0" collapsed="false">
      <c r="A36" s="28" t="s">
        <v>176</v>
      </c>
      <c r="B36" s="28" t="s">
        <v>922</v>
      </c>
      <c r="C36" s="28" t="s">
        <v>563</v>
      </c>
      <c r="D36" s="23" t="n">
        <v>-955.933619626521</v>
      </c>
    </row>
    <row r="37" customFormat="false" ht="15" hidden="false" customHeight="false" outlineLevel="0" collapsed="false">
      <c r="A37" s="28" t="s">
        <v>176</v>
      </c>
      <c r="B37" s="28" t="s">
        <v>922</v>
      </c>
      <c r="C37" s="28" t="s">
        <v>927</v>
      </c>
      <c r="D37" s="23" t="n">
        <v>-5304.42325684841</v>
      </c>
    </row>
    <row r="38" customFormat="false" ht="15" hidden="false" customHeight="false" outlineLevel="0" collapsed="false">
      <c r="A38" s="28" t="s">
        <v>176</v>
      </c>
      <c r="B38" s="28" t="s">
        <v>922</v>
      </c>
      <c r="C38" s="28" t="s">
        <v>928</v>
      </c>
      <c r="D38" s="23" t="n">
        <v>-1058.10866204699</v>
      </c>
    </row>
    <row r="39" customFormat="false" ht="15" hidden="false" customHeight="false" outlineLevel="0" collapsed="false">
      <c r="A39" s="28" t="s">
        <v>176</v>
      </c>
      <c r="B39" s="28" t="s">
        <v>922</v>
      </c>
      <c r="C39" s="28" t="s">
        <v>929</v>
      </c>
      <c r="D39" s="23" t="n">
        <v>-4833.44792957834</v>
      </c>
    </row>
    <row r="40" customFormat="false" ht="15" hidden="false" customHeight="false" outlineLevel="0" collapsed="false">
      <c r="A40" s="28" t="s">
        <v>176</v>
      </c>
      <c r="B40" s="28" t="s">
        <v>922</v>
      </c>
      <c r="C40" s="28" t="s">
        <v>930</v>
      </c>
      <c r="D40" s="23" t="n">
        <v>-410.87644</v>
      </c>
    </row>
    <row r="41" customFormat="false" ht="15" hidden="false" customHeight="false" outlineLevel="0" collapsed="false">
      <c r="A41" s="28" t="s">
        <v>176</v>
      </c>
      <c r="B41" s="28" t="s">
        <v>922</v>
      </c>
      <c r="C41" s="28" t="s">
        <v>931</v>
      </c>
      <c r="D41" s="23" t="n">
        <v>-1213.21608021659</v>
      </c>
    </row>
    <row r="42" customFormat="false" ht="15" hidden="false" customHeight="false" outlineLevel="0" collapsed="false">
      <c r="A42" s="28" t="s">
        <v>176</v>
      </c>
      <c r="B42" s="28" t="s">
        <v>922</v>
      </c>
      <c r="C42" s="28" t="s">
        <v>932</v>
      </c>
      <c r="D42" s="23" t="n">
        <v>0</v>
      </c>
    </row>
    <row r="43" customFormat="false" ht="15" hidden="false" customHeight="false" outlineLevel="0" collapsed="false">
      <c r="A43" s="28" t="s">
        <v>176</v>
      </c>
      <c r="B43" s="28" t="s">
        <v>922</v>
      </c>
      <c r="C43" s="28" t="s">
        <v>933</v>
      </c>
      <c r="D43" s="23" t="n">
        <v>1514.21068628333</v>
      </c>
    </row>
    <row r="44" customFormat="false" ht="15" hidden="false" customHeight="false" outlineLevel="0" collapsed="false">
      <c r="A44" s="28" t="s">
        <v>176</v>
      </c>
      <c r="B44" s="28" t="s">
        <v>922</v>
      </c>
      <c r="C44" s="28" t="s">
        <v>934</v>
      </c>
      <c r="D44" s="23" t="n">
        <v>22018.164447</v>
      </c>
    </row>
    <row r="45" customFormat="false" ht="15" hidden="false" customHeight="false" outlineLevel="0" collapsed="false">
      <c r="A45" s="28" t="s">
        <v>176</v>
      </c>
      <c r="B45" s="28" t="s">
        <v>922</v>
      </c>
      <c r="C45" s="28" t="s">
        <v>935</v>
      </c>
      <c r="D45" s="23" t="n">
        <v>14497.4372474583</v>
      </c>
    </row>
    <row r="46" customFormat="false" ht="15" hidden="false" customHeight="false" outlineLevel="0" collapsed="false">
      <c r="A46" s="28" t="s">
        <v>176</v>
      </c>
      <c r="B46" s="28" t="s">
        <v>922</v>
      </c>
      <c r="C46" s="28" t="s">
        <v>936</v>
      </c>
      <c r="D46" s="23" t="n">
        <v>0</v>
      </c>
    </row>
    <row r="47" customFormat="false" ht="15" hidden="false" customHeight="false" outlineLevel="0" collapsed="false">
      <c r="A47" s="28" t="s">
        <v>176</v>
      </c>
      <c r="B47" s="28" t="s">
        <v>937</v>
      </c>
      <c r="C47" s="28" t="s">
        <v>923</v>
      </c>
      <c r="D47" s="23" t="n">
        <v>-13095.76274</v>
      </c>
    </row>
    <row r="48" customFormat="false" ht="15" hidden="false" customHeight="false" outlineLevel="0" collapsed="false">
      <c r="A48" s="28" t="s">
        <v>176</v>
      </c>
      <c r="B48" s="28" t="s">
        <v>937</v>
      </c>
      <c r="C48" s="28" t="s">
        <v>924</v>
      </c>
      <c r="D48" s="23" t="n">
        <v>-8832.87220327097</v>
      </c>
    </row>
    <row r="49" customFormat="false" ht="15" hidden="false" customHeight="false" outlineLevel="0" collapsed="false">
      <c r="A49" s="28" t="s">
        <v>176</v>
      </c>
      <c r="B49" s="28" t="s">
        <v>937</v>
      </c>
      <c r="C49" s="28" t="s">
        <v>925</v>
      </c>
      <c r="D49" s="23" t="n">
        <v>-2000</v>
      </c>
    </row>
    <row r="50" customFormat="false" ht="15" hidden="false" customHeight="false" outlineLevel="0" collapsed="false">
      <c r="A50" s="28" t="s">
        <v>176</v>
      </c>
      <c r="B50" s="28" t="s">
        <v>937</v>
      </c>
      <c r="C50" s="28" t="s">
        <v>926</v>
      </c>
      <c r="D50" s="23" t="n">
        <v>-30315.4700544</v>
      </c>
    </row>
    <row r="51" customFormat="false" ht="15" hidden="false" customHeight="false" outlineLevel="0" collapsed="false">
      <c r="A51" s="28" t="s">
        <v>176</v>
      </c>
      <c r="B51" s="28" t="s">
        <v>937</v>
      </c>
      <c r="C51" s="28" t="s">
        <v>563</v>
      </c>
      <c r="D51" s="23" t="n">
        <v>-2844.55392999942</v>
      </c>
    </row>
    <row r="52" customFormat="false" ht="15" hidden="false" customHeight="false" outlineLevel="0" collapsed="false">
      <c r="A52" s="28" t="s">
        <v>176</v>
      </c>
      <c r="B52" s="28" t="s">
        <v>937</v>
      </c>
      <c r="C52" s="28" t="s">
        <v>927</v>
      </c>
      <c r="D52" s="23" t="n">
        <v>-14917.6829619071</v>
      </c>
    </row>
    <row r="53" customFormat="false" ht="15" hidden="false" customHeight="false" outlineLevel="0" collapsed="false">
      <c r="A53" s="28" t="s">
        <v>176</v>
      </c>
      <c r="B53" s="28" t="s">
        <v>937</v>
      </c>
      <c r="C53" s="28" t="s">
        <v>928</v>
      </c>
      <c r="D53" s="23" t="n">
        <v>-2956.87287771306</v>
      </c>
    </row>
    <row r="54" customFormat="false" ht="15" hidden="false" customHeight="false" outlineLevel="0" collapsed="false">
      <c r="A54" s="28" t="s">
        <v>176</v>
      </c>
      <c r="B54" s="28" t="s">
        <v>937</v>
      </c>
      <c r="C54" s="28" t="s">
        <v>929</v>
      </c>
      <c r="D54" s="23" t="n">
        <v>-8748.36235693421</v>
      </c>
    </row>
    <row r="55" customFormat="false" ht="15" hidden="false" customHeight="false" outlineLevel="0" collapsed="false">
      <c r="A55" s="28" t="s">
        <v>176</v>
      </c>
      <c r="B55" s="28" t="s">
        <v>937</v>
      </c>
      <c r="C55" s="28" t="s">
        <v>930</v>
      </c>
      <c r="D55" s="23" t="n">
        <v>-410.87644</v>
      </c>
    </row>
    <row r="56" customFormat="false" ht="15" hidden="false" customHeight="false" outlineLevel="0" collapsed="false">
      <c r="A56" s="28" t="s">
        <v>176</v>
      </c>
      <c r="B56" s="28" t="s">
        <v>937</v>
      </c>
      <c r="C56" s="28" t="s">
        <v>931</v>
      </c>
      <c r="D56" s="23" t="n">
        <v>-1825.53407182766</v>
      </c>
    </row>
    <row r="57" customFormat="false" ht="15" hidden="false" customHeight="false" outlineLevel="0" collapsed="false">
      <c r="A57" s="28" t="s">
        <v>176</v>
      </c>
      <c r="B57" s="28" t="s">
        <v>937</v>
      </c>
      <c r="C57" s="28" t="s">
        <v>932</v>
      </c>
      <c r="D57" s="23" t="n">
        <v>0</v>
      </c>
    </row>
    <row r="58" customFormat="false" ht="15" hidden="false" customHeight="false" outlineLevel="0" collapsed="false">
      <c r="A58" s="28" t="s">
        <v>176</v>
      </c>
      <c r="B58" s="28" t="s">
        <v>937</v>
      </c>
      <c r="C58" s="28" t="s">
        <v>933</v>
      </c>
      <c r="D58" s="23" t="n">
        <v>1735.9458542</v>
      </c>
    </row>
    <row r="59" customFormat="false" ht="15" hidden="false" customHeight="false" outlineLevel="0" collapsed="false">
      <c r="A59" s="28" t="s">
        <v>176</v>
      </c>
      <c r="B59" s="28" t="s">
        <v>937</v>
      </c>
      <c r="C59" s="28" t="s">
        <v>934</v>
      </c>
      <c r="D59" s="23" t="n">
        <v>24983.452124</v>
      </c>
    </row>
    <row r="60" customFormat="false" ht="15" hidden="false" customHeight="false" outlineLevel="0" collapsed="false">
      <c r="A60" s="28" t="s">
        <v>176</v>
      </c>
      <c r="B60" s="28" t="s">
        <v>937</v>
      </c>
      <c r="C60" s="28" t="s">
        <v>935</v>
      </c>
      <c r="D60" s="23" t="n">
        <v>29371.8445638908</v>
      </c>
    </row>
    <row r="61" customFormat="false" ht="15" hidden="false" customHeight="false" outlineLevel="0" collapsed="false">
      <c r="A61" s="28" t="s">
        <v>176</v>
      </c>
      <c r="B61" s="28" t="s">
        <v>937</v>
      </c>
      <c r="C61" s="28" t="s">
        <v>936</v>
      </c>
      <c r="D61" s="23" t="n">
        <v>0</v>
      </c>
    </row>
    <row r="62" customFormat="false" ht="15" hidden="false" customHeight="false" outlineLevel="0" collapsed="false">
      <c r="A62" s="28" t="s">
        <v>178</v>
      </c>
      <c r="B62" s="28" t="s">
        <v>922</v>
      </c>
      <c r="C62" s="28" t="s">
        <v>923</v>
      </c>
      <c r="D62" s="23" t="n">
        <v>-6547.88137</v>
      </c>
    </row>
    <row r="63" customFormat="false" ht="15" hidden="false" customHeight="false" outlineLevel="0" collapsed="false">
      <c r="A63" s="28" t="s">
        <v>178</v>
      </c>
      <c r="B63" s="28" t="s">
        <v>922</v>
      </c>
      <c r="C63" s="28" t="s">
        <v>924</v>
      </c>
      <c r="D63" s="23" t="n">
        <v>-961.227663015293</v>
      </c>
    </row>
    <row r="64" customFormat="false" ht="15" hidden="false" customHeight="false" outlineLevel="0" collapsed="false">
      <c r="A64" s="28" t="s">
        <v>178</v>
      </c>
      <c r="B64" s="28" t="s">
        <v>922</v>
      </c>
      <c r="C64" s="28" t="s">
        <v>925</v>
      </c>
      <c r="D64" s="23" t="n">
        <v>-1000</v>
      </c>
    </row>
    <row r="65" customFormat="false" ht="15" hidden="false" customHeight="false" outlineLevel="0" collapsed="false">
      <c r="A65" s="28" t="s">
        <v>178</v>
      </c>
      <c r="B65" s="28" t="s">
        <v>922</v>
      </c>
      <c r="C65" s="28" t="s">
        <v>926</v>
      </c>
      <c r="D65" s="23" t="n">
        <v>-15157.7350272</v>
      </c>
    </row>
    <row r="66" customFormat="false" ht="15" hidden="false" customHeight="false" outlineLevel="0" collapsed="false">
      <c r="A66" s="28" t="s">
        <v>178</v>
      </c>
      <c r="B66" s="28" t="s">
        <v>922</v>
      </c>
      <c r="C66" s="28" t="s">
        <v>563</v>
      </c>
      <c r="D66" s="23" t="n">
        <v>-395.463523292552</v>
      </c>
    </row>
    <row r="67" customFormat="false" ht="15" hidden="false" customHeight="false" outlineLevel="0" collapsed="false">
      <c r="A67" s="28" t="s">
        <v>178</v>
      </c>
      <c r="B67" s="28" t="s">
        <v>922</v>
      </c>
      <c r="C67" s="28" t="s">
        <v>927</v>
      </c>
      <c r="D67" s="23" t="n">
        <v>-2534.92050340983</v>
      </c>
    </row>
    <row r="68" customFormat="false" ht="15" hidden="false" customHeight="false" outlineLevel="0" collapsed="false">
      <c r="A68" s="28" t="s">
        <v>178</v>
      </c>
      <c r="B68" s="28" t="s">
        <v>922</v>
      </c>
      <c r="C68" s="28" t="s">
        <v>928</v>
      </c>
      <c r="D68" s="23" t="n">
        <v>-454.668075915414</v>
      </c>
    </row>
    <row r="69" customFormat="false" ht="15" hidden="false" customHeight="false" outlineLevel="0" collapsed="false">
      <c r="A69" s="28" t="s">
        <v>178</v>
      </c>
      <c r="B69" s="28" t="s">
        <v>922</v>
      </c>
      <c r="C69" s="28" t="s">
        <v>929</v>
      </c>
      <c r="D69" s="23" t="n">
        <v>-2320.20606293879</v>
      </c>
    </row>
    <row r="70" customFormat="false" ht="15" hidden="false" customHeight="false" outlineLevel="0" collapsed="false">
      <c r="A70" s="28" t="s">
        <v>178</v>
      </c>
      <c r="B70" s="28" t="s">
        <v>922</v>
      </c>
      <c r="C70" s="28" t="s">
        <v>930</v>
      </c>
      <c r="D70" s="23" t="n">
        <v>-205.43822</v>
      </c>
    </row>
    <row r="71" customFormat="false" ht="15" hidden="false" customHeight="false" outlineLevel="0" collapsed="false">
      <c r="A71" s="28" t="s">
        <v>178</v>
      </c>
      <c r="B71" s="28" t="s">
        <v>922</v>
      </c>
      <c r="C71" s="28" t="s">
        <v>931</v>
      </c>
      <c r="D71" s="23" t="n">
        <v>-606.608040108295</v>
      </c>
    </row>
    <row r="72" customFormat="false" ht="15" hidden="false" customHeight="false" outlineLevel="0" collapsed="false">
      <c r="A72" s="28" t="s">
        <v>178</v>
      </c>
      <c r="B72" s="28" t="s">
        <v>922</v>
      </c>
      <c r="C72" s="28" t="s">
        <v>932</v>
      </c>
      <c r="D72" s="23" t="n">
        <v>0</v>
      </c>
    </row>
    <row r="73" customFormat="false" ht="15" hidden="false" customHeight="false" outlineLevel="0" collapsed="false">
      <c r="A73" s="28" t="s">
        <v>178</v>
      </c>
      <c r="B73" s="28" t="s">
        <v>922</v>
      </c>
      <c r="C73" s="28" t="s">
        <v>933</v>
      </c>
      <c r="D73" s="23" t="n">
        <v>1132.50421293333</v>
      </c>
    </row>
    <row r="74" customFormat="false" ht="15" hidden="false" customHeight="false" outlineLevel="0" collapsed="false">
      <c r="A74" s="28" t="s">
        <v>178</v>
      </c>
      <c r="B74" s="28" t="s">
        <v>922</v>
      </c>
      <c r="C74" s="28" t="s">
        <v>934</v>
      </c>
      <c r="D74" s="23" t="n">
        <v>11009.0822235</v>
      </c>
    </row>
    <row r="75" customFormat="false" ht="15" hidden="false" customHeight="false" outlineLevel="0" collapsed="false">
      <c r="A75" s="28" t="s">
        <v>178</v>
      </c>
      <c r="B75" s="28" t="s">
        <v>922</v>
      </c>
      <c r="C75" s="28" t="s">
        <v>935</v>
      </c>
      <c r="D75" s="23" t="n">
        <v>7248.71862372917</v>
      </c>
    </row>
    <row r="76" customFormat="false" ht="15" hidden="false" customHeight="false" outlineLevel="0" collapsed="false">
      <c r="A76" s="28" t="s">
        <v>178</v>
      </c>
      <c r="B76" s="28" t="s">
        <v>922</v>
      </c>
      <c r="C76" s="28" t="s">
        <v>936</v>
      </c>
      <c r="D76" s="23" t="n">
        <v>0</v>
      </c>
    </row>
    <row r="77" customFormat="false" ht="15" hidden="false" customHeight="false" outlineLevel="0" collapsed="false">
      <c r="A77" s="28" t="s">
        <v>178</v>
      </c>
      <c r="B77" s="28" t="s">
        <v>937</v>
      </c>
      <c r="C77" s="28" t="s">
        <v>923</v>
      </c>
      <c r="D77" s="23" t="n">
        <v>-6547.88137</v>
      </c>
    </row>
    <row r="78" customFormat="false" ht="15" hidden="false" customHeight="false" outlineLevel="0" collapsed="false">
      <c r="A78" s="28" t="s">
        <v>178</v>
      </c>
      <c r="B78" s="28" t="s">
        <v>937</v>
      </c>
      <c r="C78" s="28" t="s">
        <v>924</v>
      </c>
      <c r="D78" s="23" t="n">
        <v>-3842.27148589195</v>
      </c>
    </row>
    <row r="79" customFormat="false" ht="15" hidden="false" customHeight="false" outlineLevel="0" collapsed="false">
      <c r="A79" s="28" t="s">
        <v>178</v>
      </c>
      <c r="B79" s="28" t="s">
        <v>937</v>
      </c>
      <c r="C79" s="28" t="s">
        <v>925</v>
      </c>
      <c r="D79" s="23" t="n">
        <v>-1000</v>
      </c>
    </row>
    <row r="80" customFormat="false" ht="15" hidden="false" customHeight="false" outlineLevel="0" collapsed="false">
      <c r="A80" s="28" t="s">
        <v>178</v>
      </c>
      <c r="B80" s="28" t="s">
        <v>937</v>
      </c>
      <c r="C80" s="28" t="s">
        <v>926</v>
      </c>
      <c r="D80" s="23" t="n">
        <v>-15157.7350272</v>
      </c>
    </row>
    <row r="81" customFormat="false" ht="15" hidden="false" customHeight="false" outlineLevel="0" collapsed="false">
      <c r="A81" s="28" t="s">
        <v>178</v>
      </c>
      <c r="B81" s="28" t="s">
        <v>937</v>
      </c>
      <c r="C81" s="28" t="s">
        <v>563</v>
      </c>
      <c r="D81" s="23" t="n">
        <v>-1199.27393722994</v>
      </c>
    </row>
    <row r="82" customFormat="false" ht="15" hidden="false" customHeight="false" outlineLevel="0" collapsed="false">
      <c r="A82" s="28" t="s">
        <v>178</v>
      </c>
      <c r="B82" s="28" t="s">
        <v>937</v>
      </c>
      <c r="C82" s="28" t="s">
        <v>927</v>
      </c>
      <c r="D82" s="23" t="n">
        <v>-7208.97861000599</v>
      </c>
    </row>
    <row r="83" customFormat="false" ht="15" hidden="false" customHeight="false" outlineLevel="0" collapsed="false">
      <c r="A83" s="28" t="s">
        <v>178</v>
      </c>
      <c r="B83" s="28" t="s">
        <v>937</v>
      </c>
      <c r="C83" s="28" t="s">
        <v>928</v>
      </c>
      <c r="D83" s="23" t="n">
        <v>-1285.01144167138</v>
      </c>
    </row>
    <row r="84" customFormat="false" ht="15" hidden="false" customHeight="false" outlineLevel="0" collapsed="false">
      <c r="A84" s="28" t="s">
        <v>178</v>
      </c>
      <c r="B84" s="28" t="s">
        <v>937</v>
      </c>
      <c r="C84" s="28" t="s">
        <v>929</v>
      </c>
      <c r="D84" s="23" t="n">
        <v>-4151.1250877864</v>
      </c>
    </row>
    <row r="85" customFormat="false" ht="15" hidden="false" customHeight="false" outlineLevel="0" collapsed="false">
      <c r="A85" s="28" t="s">
        <v>178</v>
      </c>
      <c r="B85" s="28" t="s">
        <v>937</v>
      </c>
      <c r="C85" s="28" t="s">
        <v>930</v>
      </c>
      <c r="D85" s="23" t="n">
        <v>-205.43822</v>
      </c>
    </row>
    <row r="86" customFormat="false" ht="15" hidden="false" customHeight="false" outlineLevel="0" collapsed="false">
      <c r="A86" s="28" t="s">
        <v>178</v>
      </c>
      <c r="B86" s="28" t="s">
        <v>937</v>
      </c>
      <c r="C86" s="28" t="s">
        <v>931</v>
      </c>
      <c r="D86" s="23" t="n">
        <v>-912.767035913829</v>
      </c>
    </row>
    <row r="87" customFormat="false" ht="15" hidden="false" customHeight="false" outlineLevel="0" collapsed="false">
      <c r="A87" s="28" t="s">
        <v>178</v>
      </c>
      <c r="B87" s="28" t="s">
        <v>937</v>
      </c>
      <c r="C87" s="28" t="s">
        <v>932</v>
      </c>
      <c r="D87" s="23" t="n">
        <v>0</v>
      </c>
    </row>
    <row r="88" customFormat="false" ht="15" hidden="false" customHeight="false" outlineLevel="0" collapsed="false">
      <c r="A88" s="28" t="s">
        <v>178</v>
      </c>
      <c r="B88" s="28" t="s">
        <v>937</v>
      </c>
      <c r="C88" s="28" t="s">
        <v>933</v>
      </c>
      <c r="D88" s="23" t="n">
        <v>1345.1158646</v>
      </c>
    </row>
    <row r="89" customFormat="false" ht="15" hidden="false" customHeight="false" outlineLevel="0" collapsed="false">
      <c r="A89" s="28" t="s">
        <v>178</v>
      </c>
      <c r="B89" s="28" t="s">
        <v>937</v>
      </c>
      <c r="C89" s="28" t="s">
        <v>934</v>
      </c>
      <c r="D89" s="23" t="n">
        <v>12491.726062</v>
      </c>
    </row>
    <row r="90" customFormat="false" ht="15" hidden="false" customHeight="false" outlineLevel="0" collapsed="false">
      <c r="A90" s="28" t="s">
        <v>178</v>
      </c>
      <c r="B90" s="28" t="s">
        <v>937</v>
      </c>
      <c r="C90" s="28" t="s">
        <v>935</v>
      </c>
      <c r="D90" s="23" t="n">
        <v>14685.9222819454</v>
      </c>
    </row>
    <row r="91" customFormat="false" ht="15" hidden="false" customHeight="false" outlineLevel="0" collapsed="false">
      <c r="A91" s="28" t="s">
        <v>178</v>
      </c>
      <c r="B91" s="28" t="s">
        <v>937</v>
      </c>
      <c r="C91" s="28" t="s">
        <v>936</v>
      </c>
      <c r="D91" s="23" t="n">
        <v>0</v>
      </c>
    </row>
    <row r="92" customFormat="false" ht="15" hidden="false" customHeight="false" outlineLevel="0" collapsed="false">
      <c r="A92" s="28" t="s">
        <v>182</v>
      </c>
      <c r="B92" s="28" t="s">
        <v>922</v>
      </c>
      <c r="C92" s="28" t="s">
        <v>923</v>
      </c>
      <c r="D92" s="23" t="n">
        <v>6547.88137</v>
      </c>
    </row>
    <row r="93" customFormat="false" ht="15" hidden="false" customHeight="false" outlineLevel="0" collapsed="false">
      <c r="A93" s="28" t="s">
        <v>182</v>
      </c>
      <c r="B93" s="28" t="s">
        <v>922</v>
      </c>
      <c r="C93" s="28" t="s">
        <v>924</v>
      </c>
      <c r="D93" s="23" t="n">
        <v>959.905171029297</v>
      </c>
    </row>
    <row r="94" customFormat="false" ht="15" hidden="false" customHeight="false" outlineLevel="0" collapsed="false">
      <c r="A94" s="28" t="s">
        <v>182</v>
      </c>
      <c r="B94" s="28" t="s">
        <v>922</v>
      </c>
      <c r="C94" s="28" t="s">
        <v>925</v>
      </c>
      <c r="D94" s="23" t="n">
        <v>1000</v>
      </c>
    </row>
    <row r="95" customFormat="false" ht="15" hidden="false" customHeight="false" outlineLevel="0" collapsed="false">
      <c r="A95" s="28" t="s">
        <v>182</v>
      </c>
      <c r="B95" s="28" t="s">
        <v>922</v>
      </c>
      <c r="C95" s="28" t="s">
        <v>926</v>
      </c>
      <c r="D95" s="23" t="n">
        <v>15157.7350272</v>
      </c>
    </row>
    <row r="96" customFormat="false" ht="15" hidden="false" customHeight="false" outlineLevel="0" collapsed="false">
      <c r="A96" s="28" t="s">
        <v>182</v>
      </c>
      <c r="B96" s="28" t="s">
        <v>922</v>
      </c>
      <c r="C96" s="28" t="s">
        <v>563</v>
      </c>
      <c r="D96" s="23" t="n">
        <v>316.881338618877</v>
      </c>
    </row>
    <row r="97" customFormat="false" ht="15" hidden="false" customHeight="false" outlineLevel="0" collapsed="false">
      <c r="A97" s="28" t="s">
        <v>182</v>
      </c>
      <c r="B97" s="28" t="s">
        <v>922</v>
      </c>
      <c r="C97" s="28" t="s">
        <v>927</v>
      </c>
      <c r="D97" s="23" t="n">
        <v>2263.10132084561</v>
      </c>
    </row>
    <row r="98" customFormat="false" ht="15" hidden="false" customHeight="false" outlineLevel="0" collapsed="false">
      <c r="A98" s="28" t="s">
        <v>182</v>
      </c>
      <c r="B98" s="28" t="s">
        <v>922</v>
      </c>
      <c r="C98" s="28" t="s">
        <v>928</v>
      </c>
      <c r="D98" s="23" t="n">
        <v>458.216922056971</v>
      </c>
    </row>
    <row r="99" customFormat="false" ht="15" hidden="false" customHeight="false" outlineLevel="0" collapsed="false">
      <c r="A99" s="28" t="s">
        <v>182</v>
      </c>
      <c r="B99" s="28" t="s">
        <v>922</v>
      </c>
      <c r="C99" s="28" t="s">
        <v>929</v>
      </c>
      <c r="D99" s="23" t="n">
        <v>2271.66961129732</v>
      </c>
    </row>
    <row r="100" customFormat="false" ht="15" hidden="false" customHeight="false" outlineLevel="0" collapsed="false">
      <c r="A100" s="28" t="s">
        <v>182</v>
      </c>
      <c r="B100" s="28" t="s">
        <v>922</v>
      </c>
      <c r="C100" s="28" t="s">
        <v>930</v>
      </c>
      <c r="D100" s="23" t="n">
        <v>205.43822</v>
      </c>
    </row>
    <row r="101" customFormat="false" ht="15" hidden="false" customHeight="false" outlineLevel="0" collapsed="false">
      <c r="A101" s="28" t="s">
        <v>182</v>
      </c>
      <c r="B101" s="28" t="s">
        <v>922</v>
      </c>
      <c r="C101" s="28" t="s">
        <v>931</v>
      </c>
      <c r="D101" s="23" t="n">
        <v>606.608040108294</v>
      </c>
    </row>
    <row r="102" customFormat="false" ht="15" hidden="false" customHeight="false" outlineLevel="0" collapsed="false">
      <c r="A102" s="28" t="s">
        <v>182</v>
      </c>
      <c r="B102" s="28" t="s">
        <v>922</v>
      </c>
      <c r="C102" s="28" t="s">
        <v>932</v>
      </c>
      <c r="D102" s="23" t="n">
        <v>0</v>
      </c>
    </row>
    <row r="103" customFormat="false" ht="15" hidden="false" customHeight="false" outlineLevel="0" collapsed="false">
      <c r="A103" s="28" t="s">
        <v>182</v>
      </c>
      <c r="B103" s="28" t="s">
        <v>922</v>
      </c>
      <c r="C103" s="28" t="s">
        <v>933</v>
      </c>
      <c r="D103" s="23" t="n">
        <v>-1165.77288185867</v>
      </c>
    </row>
    <row r="104" customFormat="false" ht="15" hidden="false" customHeight="false" outlineLevel="0" collapsed="false">
      <c r="A104" s="28" t="s">
        <v>182</v>
      </c>
      <c r="B104" s="28" t="s">
        <v>922</v>
      </c>
      <c r="C104" s="28" t="s">
        <v>934</v>
      </c>
      <c r="D104" s="23" t="n">
        <v>-12115.0318427382</v>
      </c>
    </row>
    <row r="105" customFormat="false" ht="15" hidden="false" customHeight="false" outlineLevel="0" collapsed="false">
      <c r="A105" s="28" t="s">
        <v>182</v>
      </c>
      <c r="B105" s="28" t="s">
        <v>922</v>
      </c>
      <c r="C105" s="28" t="s">
        <v>935</v>
      </c>
      <c r="D105" s="23" t="n">
        <v>-7268.57327953551</v>
      </c>
    </row>
    <row r="106" customFormat="false" ht="15" hidden="false" customHeight="false" outlineLevel="0" collapsed="false">
      <c r="A106" s="28" t="s">
        <v>182</v>
      </c>
      <c r="B106" s="28" t="s">
        <v>922</v>
      </c>
      <c r="C106" s="28" t="s">
        <v>936</v>
      </c>
      <c r="D106" s="23" t="n">
        <v>-4730.01243368247</v>
      </c>
    </row>
    <row r="107" customFormat="false" ht="15" hidden="false" customHeight="false" outlineLevel="0" collapsed="false">
      <c r="A107" s="28" t="s">
        <v>182</v>
      </c>
      <c r="B107" s="28" t="s">
        <v>937</v>
      </c>
      <c r="C107" s="28" t="s">
        <v>923</v>
      </c>
      <c r="D107" s="23" t="n">
        <v>6547.88137</v>
      </c>
    </row>
    <row r="108" customFormat="false" ht="15" hidden="false" customHeight="false" outlineLevel="0" collapsed="false">
      <c r="A108" s="28" t="s">
        <v>182</v>
      </c>
      <c r="B108" s="28" t="s">
        <v>937</v>
      </c>
      <c r="C108" s="28" t="s">
        <v>924</v>
      </c>
      <c r="D108" s="23" t="n">
        <v>3837.52536881979</v>
      </c>
    </row>
    <row r="109" customFormat="false" ht="15" hidden="false" customHeight="false" outlineLevel="0" collapsed="false">
      <c r="A109" s="28" t="s">
        <v>182</v>
      </c>
      <c r="B109" s="28" t="s">
        <v>937</v>
      </c>
      <c r="C109" s="28" t="s">
        <v>925</v>
      </c>
      <c r="D109" s="23" t="n">
        <v>1000</v>
      </c>
    </row>
    <row r="110" customFormat="false" ht="15" hidden="false" customHeight="false" outlineLevel="0" collapsed="false">
      <c r="A110" s="28" t="s">
        <v>182</v>
      </c>
      <c r="B110" s="28" t="s">
        <v>937</v>
      </c>
      <c r="C110" s="28" t="s">
        <v>926</v>
      </c>
      <c r="D110" s="23" t="n">
        <v>15157.7350272</v>
      </c>
    </row>
    <row r="111" customFormat="false" ht="15" hidden="false" customHeight="false" outlineLevel="0" collapsed="false">
      <c r="A111" s="28" t="s">
        <v>182</v>
      </c>
      <c r="B111" s="28" t="s">
        <v>937</v>
      </c>
      <c r="C111" s="28" t="s">
        <v>563</v>
      </c>
      <c r="D111" s="23" t="n">
        <v>979.690887613082</v>
      </c>
    </row>
    <row r="112" customFormat="false" ht="15" hidden="false" customHeight="false" outlineLevel="0" collapsed="false">
      <c r="A112" s="28" t="s">
        <v>182</v>
      </c>
      <c r="B112" s="28" t="s">
        <v>937</v>
      </c>
      <c r="C112" s="28" t="s">
        <v>927</v>
      </c>
      <c r="D112" s="23" t="n">
        <v>6612.7777548768</v>
      </c>
    </row>
    <row r="113" customFormat="false" ht="15" hidden="false" customHeight="false" outlineLevel="0" collapsed="false">
      <c r="A113" s="28" t="s">
        <v>182</v>
      </c>
      <c r="B113" s="28" t="s">
        <v>937</v>
      </c>
      <c r="C113" s="28" t="s">
        <v>928</v>
      </c>
      <c r="D113" s="23" t="n">
        <v>1302.04310053171</v>
      </c>
    </row>
    <row r="114" customFormat="false" ht="15" hidden="false" customHeight="false" outlineLevel="0" collapsed="false">
      <c r="A114" s="28" t="s">
        <v>182</v>
      </c>
      <c r="B114" s="28" t="s">
        <v>937</v>
      </c>
      <c r="C114" s="28" t="s">
        <v>929</v>
      </c>
      <c r="D114" s="23" t="n">
        <v>4038.65671852503</v>
      </c>
    </row>
    <row r="115" customFormat="false" ht="15" hidden="false" customHeight="false" outlineLevel="0" collapsed="false">
      <c r="A115" s="28" t="s">
        <v>182</v>
      </c>
      <c r="B115" s="28" t="s">
        <v>937</v>
      </c>
      <c r="C115" s="28" t="s">
        <v>930</v>
      </c>
      <c r="D115" s="23" t="n">
        <v>205.43822</v>
      </c>
    </row>
    <row r="116" customFormat="false" ht="15" hidden="false" customHeight="false" outlineLevel="0" collapsed="false">
      <c r="A116" s="28" t="s">
        <v>182</v>
      </c>
      <c r="B116" s="28" t="s">
        <v>937</v>
      </c>
      <c r="C116" s="28" t="s">
        <v>931</v>
      </c>
      <c r="D116" s="23" t="n">
        <v>912.767035913824</v>
      </c>
    </row>
    <row r="117" customFormat="false" ht="15" hidden="false" customHeight="false" outlineLevel="0" collapsed="false">
      <c r="A117" s="28" t="s">
        <v>182</v>
      </c>
      <c r="B117" s="28" t="s">
        <v>937</v>
      </c>
      <c r="C117" s="28" t="s">
        <v>932</v>
      </c>
      <c r="D117" s="23" t="n">
        <v>0</v>
      </c>
    </row>
    <row r="118" customFormat="false" ht="15" hidden="false" customHeight="false" outlineLevel="0" collapsed="false">
      <c r="A118" s="28" t="s">
        <v>182</v>
      </c>
      <c r="B118" s="28" t="s">
        <v>937</v>
      </c>
      <c r="C118" s="28" t="s">
        <v>933</v>
      </c>
      <c r="D118" s="23" t="n">
        <v>-1351.525275116</v>
      </c>
    </row>
    <row r="119" customFormat="false" ht="15" hidden="false" customHeight="false" outlineLevel="0" collapsed="false">
      <c r="A119" s="28" t="s">
        <v>182</v>
      </c>
      <c r="B119" s="28" t="s">
        <v>937</v>
      </c>
      <c r="C119" s="28" t="s">
        <v>934</v>
      </c>
      <c r="D119" s="23" t="n">
        <v>-12652.128112325</v>
      </c>
    </row>
    <row r="120" customFormat="false" ht="15" hidden="false" customHeight="false" outlineLevel="0" collapsed="false">
      <c r="A120" s="28" t="s">
        <v>182</v>
      </c>
      <c r="B120" s="28" t="s">
        <v>937</v>
      </c>
      <c r="C120" s="28" t="s">
        <v>935</v>
      </c>
      <c r="D120" s="23" t="n">
        <v>-14702.3537212334</v>
      </c>
    </row>
    <row r="121" customFormat="false" ht="15" hidden="false" customHeight="false" outlineLevel="0" collapsed="false">
      <c r="A121" s="28" t="s">
        <v>182</v>
      </c>
      <c r="B121" s="28" t="s">
        <v>937</v>
      </c>
      <c r="C121" s="28" t="s">
        <v>936</v>
      </c>
      <c r="D121" s="23" t="n">
        <v>-8732.3306467984</v>
      </c>
    </row>
    <row r="122" customFormat="false" ht="15" hidden="false" customHeight="false" outlineLevel="0" collapsed="false">
      <c r="A122" s="28" t="s">
        <v>184</v>
      </c>
      <c r="B122" s="28" t="s">
        <v>922</v>
      </c>
      <c r="C122" s="28" t="s">
        <v>923</v>
      </c>
      <c r="D122" s="23" t="n">
        <v>13095.76274</v>
      </c>
    </row>
    <row r="123" customFormat="false" ht="15" hidden="false" customHeight="false" outlineLevel="0" collapsed="false">
      <c r="A123" s="28" t="s">
        <v>184</v>
      </c>
      <c r="B123" s="28" t="s">
        <v>922</v>
      </c>
      <c r="C123" s="28" t="s">
        <v>924</v>
      </c>
      <c r="D123" s="23" t="n">
        <v>1891.98064361827</v>
      </c>
    </row>
    <row r="124" customFormat="false" ht="15" hidden="false" customHeight="false" outlineLevel="0" collapsed="false">
      <c r="A124" s="28" t="s">
        <v>184</v>
      </c>
      <c r="B124" s="28" t="s">
        <v>922</v>
      </c>
      <c r="C124" s="28" t="s">
        <v>925</v>
      </c>
      <c r="D124" s="23" t="n">
        <v>2000</v>
      </c>
    </row>
    <row r="125" customFormat="false" ht="15" hidden="false" customHeight="false" outlineLevel="0" collapsed="false">
      <c r="A125" s="28" t="s">
        <v>184</v>
      </c>
      <c r="B125" s="28" t="s">
        <v>922</v>
      </c>
      <c r="C125" s="28" t="s">
        <v>926</v>
      </c>
      <c r="D125" s="23" t="n">
        <v>30315.4700544</v>
      </c>
    </row>
    <row r="126" customFormat="false" ht="15" hidden="false" customHeight="false" outlineLevel="0" collapsed="false">
      <c r="A126" s="28" t="s">
        <v>184</v>
      </c>
      <c r="B126" s="28" t="s">
        <v>922</v>
      </c>
      <c r="C126" s="28" t="s">
        <v>563</v>
      </c>
      <c r="D126" s="23" t="n">
        <v>553.884621003228</v>
      </c>
    </row>
    <row r="127" customFormat="false" ht="15" hidden="false" customHeight="false" outlineLevel="0" collapsed="false">
      <c r="A127" s="28" t="s">
        <v>184</v>
      </c>
      <c r="B127" s="28" t="s">
        <v>922</v>
      </c>
      <c r="C127" s="28" t="s">
        <v>927</v>
      </c>
      <c r="D127" s="23" t="n">
        <v>4267.02431761058</v>
      </c>
    </row>
    <row r="128" customFormat="false" ht="15" hidden="false" customHeight="false" outlineLevel="0" collapsed="false">
      <c r="A128" s="28" t="s">
        <v>184</v>
      </c>
      <c r="B128" s="28" t="s">
        <v>922</v>
      </c>
      <c r="C128" s="28" t="s">
        <v>928</v>
      </c>
      <c r="D128" s="23" t="n">
        <v>906.467116975431</v>
      </c>
    </row>
    <row r="129" customFormat="false" ht="15" hidden="false" customHeight="false" outlineLevel="0" collapsed="false">
      <c r="A129" s="28" t="s">
        <v>184</v>
      </c>
      <c r="B129" s="28" t="s">
        <v>922</v>
      </c>
      <c r="C129" s="28" t="s">
        <v>929</v>
      </c>
      <c r="D129" s="23" t="n">
        <v>4486.72245326744</v>
      </c>
    </row>
    <row r="130" customFormat="false" ht="15" hidden="false" customHeight="false" outlineLevel="0" collapsed="false">
      <c r="A130" s="28" t="s">
        <v>184</v>
      </c>
      <c r="B130" s="28" t="s">
        <v>922</v>
      </c>
      <c r="C130" s="28" t="s">
        <v>930</v>
      </c>
      <c r="D130" s="23" t="n">
        <v>410.87644</v>
      </c>
    </row>
    <row r="131" customFormat="false" ht="15" hidden="false" customHeight="false" outlineLevel="0" collapsed="false">
      <c r="A131" s="28" t="s">
        <v>184</v>
      </c>
      <c r="B131" s="28" t="s">
        <v>922</v>
      </c>
      <c r="C131" s="28" t="s">
        <v>931</v>
      </c>
      <c r="D131" s="23" t="n">
        <v>1213.21608021659</v>
      </c>
    </row>
    <row r="132" customFormat="false" ht="15" hidden="false" customHeight="false" outlineLevel="0" collapsed="false">
      <c r="A132" s="28" t="s">
        <v>184</v>
      </c>
      <c r="B132" s="28" t="s">
        <v>922</v>
      </c>
      <c r="C132" s="28" t="s">
        <v>932</v>
      </c>
      <c r="D132" s="23" t="n">
        <v>0</v>
      </c>
    </row>
    <row r="133" customFormat="false" ht="15" hidden="false" customHeight="false" outlineLevel="0" collapsed="false">
      <c r="A133" s="28" t="s">
        <v>184</v>
      </c>
      <c r="B133" s="28" t="s">
        <v>922</v>
      </c>
      <c r="C133" s="28" t="s">
        <v>933</v>
      </c>
      <c r="D133" s="23" t="n">
        <v>-2305.66640703417</v>
      </c>
    </row>
    <row r="134" customFormat="false" ht="15" hidden="false" customHeight="false" outlineLevel="0" collapsed="false">
      <c r="A134" s="28" t="s">
        <v>184</v>
      </c>
      <c r="B134" s="28" t="s">
        <v>922</v>
      </c>
      <c r="C134" s="28" t="s">
        <v>934</v>
      </c>
      <c r="D134" s="23" t="n">
        <v>-23587.8900341549</v>
      </c>
    </row>
    <row r="135" customFormat="false" ht="15" hidden="false" customHeight="false" outlineLevel="0" collapsed="false">
      <c r="A135" s="28" t="s">
        <v>184</v>
      </c>
      <c r="B135" s="28" t="s">
        <v>922</v>
      </c>
      <c r="C135" s="28" t="s">
        <v>935</v>
      </c>
      <c r="D135" s="23" t="n">
        <v>-14534.0345440543</v>
      </c>
    </row>
    <row r="136" customFormat="false" ht="15" hidden="false" customHeight="false" outlineLevel="0" collapsed="false">
      <c r="A136" s="28" t="s">
        <v>184</v>
      </c>
      <c r="B136" s="28" t="s">
        <v>922</v>
      </c>
      <c r="C136" s="28" t="s">
        <v>936</v>
      </c>
      <c r="D136" s="23" t="n">
        <v>-11378.8940088183</v>
      </c>
    </row>
    <row r="137" customFormat="false" ht="15" hidden="false" customHeight="false" outlineLevel="0" collapsed="false">
      <c r="A137" s="28" t="s">
        <v>184</v>
      </c>
      <c r="B137" s="28" t="s">
        <v>937</v>
      </c>
      <c r="C137" s="28" t="s">
        <v>923</v>
      </c>
      <c r="D137" s="23" t="n">
        <v>13095.76274</v>
      </c>
    </row>
    <row r="138" customFormat="false" ht="15" hidden="false" customHeight="false" outlineLevel="0" collapsed="false">
      <c r="A138" s="28" t="s">
        <v>184</v>
      </c>
      <c r="B138" s="28" t="s">
        <v>937</v>
      </c>
      <c r="C138" s="28" t="s">
        <v>924</v>
      </c>
      <c r="D138" s="23" t="n">
        <v>7592.45749144355</v>
      </c>
    </row>
    <row r="139" customFormat="false" ht="15" hidden="false" customHeight="false" outlineLevel="0" collapsed="false">
      <c r="A139" s="28" t="s">
        <v>184</v>
      </c>
      <c r="B139" s="28" t="s">
        <v>937</v>
      </c>
      <c r="C139" s="28" t="s">
        <v>925</v>
      </c>
      <c r="D139" s="23" t="n">
        <v>2000</v>
      </c>
    </row>
    <row r="140" customFormat="false" ht="15" hidden="false" customHeight="false" outlineLevel="0" collapsed="false">
      <c r="A140" s="28" t="s">
        <v>184</v>
      </c>
      <c r="B140" s="28" t="s">
        <v>937</v>
      </c>
      <c r="C140" s="28" t="s">
        <v>926</v>
      </c>
      <c r="D140" s="23" t="n">
        <v>30315.4700544</v>
      </c>
    </row>
    <row r="141" customFormat="false" ht="15" hidden="false" customHeight="false" outlineLevel="0" collapsed="false">
      <c r="A141" s="28" t="s">
        <v>184</v>
      </c>
      <c r="B141" s="28" t="s">
        <v>937</v>
      </c>
      <c r="C141" s="28" t="s">
        <v>563</v>
      </c>
      <c r="D141" s="23" t="n">
        <v>1731.50711585672</v>
      </c>
    </row>
    <row r="142" customFormat="false" ht="15" hidden="false" customHeight="false" outlineLevel="0" collapsed="false">
      <c r="A142" s="28" t="s">
        <v>184</v>
      </c>
      <c r="B142" s="28" t="s">
        <v>937</v>
      </c>
      <c r="C142" s="28" t="s">
        <v>927</v>
      </c>
      <c r="D142" s="23" t="n">
        <v>12640.20778772</v>
      </c>
    </row>
    <row r="143" customFormat="false" ht="15" hidden="false" customHeight="false" outlineLevel="0" collapsed="false">
      <c r="A143" s="28" t="s">
        <v>184</v>
      </c>
      <c r="B143" s="28" t="s">
        <v>937</v>
      </c>
      <c r="C143" s="28" t="s">
        <v>928</v>
      </c>
      <c r="D143" s="23" t="n">
        <v>2580.74248726938</v>
      </c>
    </row>
    <row r="144" customFormat="false" ht="15" hidden="false" customHeight="false" outlineLevel="0" collapsed="false">
      <c r="A144" s="28" t="s">
        <v>184</v>
      </c>
      <c r="B144" s="28" t="s">
        <v>937</v>
      </c>
      <c r="C144" s="28" t="s">
        <v>929</v>
      </c>
      <c r="D144" s="23" t="n">
        <v>7943.41309877128</v>
      </c>
    </row>
    <row r="145" customFormat="false" ht="15" hidden="false" customHeight="false" outlineLevel="0" collapsed="false">
      <c r="A145" s="28" t="s">
        <v>184</v>
      </c>
      <c r="B145" s="28" t="s">
        <v>937</v>
      </c>
      <c r="C145" s="28" t="s">
        <v>930</v>
      </c>
      <c r="D145" s="23" t="n">
        <v>410.87644</v>
      </c>
    </row>
    <row r="146" customFormat="false" ht="15" hidden="false" customHeight="false" outlineLevel="0" collapsed="false">
      <c r="A146" s="28" t="s">
        <v>184</v>
      </c>
      <c r="B146" s="28" t="s">
        <v>937</v>
      </c>
      <c r="C146" s="28" t="s">
        <v>931</v>
      </c>
      <c r="D146" s="23" t="n">
        <v>1825.53407182766</v>
      </c>
    </row>
    <row r="147" customFormat="false" ht="15" hidden="false" customHeight="false" outlineLevel="0" collapsed="false">
      <c r="A147" s="28" t="s">
        <v>184</v>
      </c>
      <c r="B147" s="28" t="s">
        <v>937</v>
      </c>
      <c r="C147" s="28" t="s">
        <v>932</v>
      </c>
      <c r="D147" s="23" t="n">
        <v>0</v>
      </c>
    </row>
    <row r="148" customFormat="false" ht="15" hidden="false" customHeight="false" outlineLevel="0" collapsed="false">
      <c r="A148" s="28" t="s">
        <v>184</v>
      </c>
      <c r="B148" s="28" t="s">
        <v>937</v>
      </c>
      <c r="C148" s="28" t="s">
        <v>933</v>
      </c>
      <c r="D148" s="23" t="n">
        <v>-2652.79239674</v>
      </c>
    </row>
    <row r="149" customFormat="false" ht="15" hidden="false" customHeight="false" outlineLevel="0" collapsed="false">
      <c r="A149" s="28" t="s">
        <v>184</v>
      </c>
      <c r="B149" s="28" t="s">
        <v>937</v>
      </c>
      <c r="C149" s="28" t="s">
        <v>934</v>
      </c>
      <c r="D149" s="23" t="n">
        <v>-24092.55485075</v>
      </c>
    </row>
    <row r="150" customFormat="false" ht="15" hidden="false" customHeight="false" outlineLevel="0" collapsed="false">
      <c r="A150" s="28" t="s">
        <v>184</v>
      </c>
      <c r="B150" s="28" t="s">
        <v>937</v>
      </c>
      <c r="C150" s="28" t="s">
        <v>935</v>
      </c>
      <c r="D150" s="23" t="n">
        <v>-29398.7323736347</v>
      </c>
    </row>
    <row r="151" customFormat="false" ht="15" hidden="false" customHeight="false" outlineLevel="0" collapsed="false">
      <c r="A151" s="28" t="s">
        <v>184</v>
      </c>
      <c r="B151" s="28" t="s">
        <v>937</v>
      </c>
      <c r="C151" s="28" t="s">
        <v>936</v>
      </c>
      <c r="D151" s="23" t="n">
        <v>-21007.1889393568</v>
      </c>
    </row>
    <row r="152" customFormat="false" ht="15" hidden="false" customHeight="false" outlineLevel="0" collapsed="false">
      <c r="A152" s="28" t="s">
        <v>186</v>
      </c>
      <c r="B152" s="28" t="s">
        <v>922</v>
      </c>
      <c r="C152" s="28" t="s">
        <v>923</v>
      </c>
      <c r="D152" s="23" t="n">
        <v>19643.64411</v>
      </c>
    </row>
    <row r="153" customFormat="false" ht="15" hidden="false" customHeight="false" outlineLevel="0" collapsed="false">
      <c r="A153" s="28" t="s">
        <v>186</v>
      </c>
      <c r="B153" s="28" t="s">
        <v>922</v>
      </c>
      <c r="C153" s="28" t="s">
        <v>924</v>
      </c>
      <c r="D153" s="23" t="n">
        <v>2817.99539125272</v>
      </c>
    </row>
    <row r="154" customFormat="false" ht="15" hidden="false" customHeight="false" outlineLevel="0" collapsed="false">
      <c r="A154" s="28" t="s">
        <v>186</v>
      </c>
      <c r="B154" s="28" t="s">
        <v>922</v>
      </c>
      <c r="C154" s="28" t="s">
        <v>925</v>
      </c>
      <c r="D154" s="23" t="n">
        <v>3000</v>
      </c>
    </row>
    <row r="155" customFormat="false" ht="15" hidden="false" customHeight="false" outlineLevel="0" collapsed="false">
      <c r="A155" s="28" t="s">
        <v>186</v>
      </c>
      <c r="B155" s="28" t="s">
        <v>922</v>
      </c>
      <c r="C155" s="28" t="s">
        <v>926</v>
      </c>
      <c r="D155" s="23" t="n">
        <v>45473.2050816</v>
      </c>
    </row>
    <row r="156" customFormat="false" ht="15" hidden="false" customHeight="false" outlineLevel="0" collapsed="false">
      <c r="A156" s="28" t="s">
        <v>186</v>
      </c>
      <c r="B156" s="28" t="s">
        <v>922</v>
      </c>
      <c r="C156" s="28" t="s">
        <v>563</v>
      </c>
      <c r="D156" s="23" t="n">
        <v>834.975832878278</v>
      </c>
    </row>
    <row r="157" customFormat="false" ht="15" hidden="false" customHeight="false" outlineLevel="0" collapsed="false">
      <c r="A157" s="28" t="s">
        <v>186</v>
      </c>
      <c r="B157" s="28" t="s">
        <v>922</v>
      </c>
      <c r="C157" s="28" t="s">
        <v>927</v>
      </c>
      <c r="D157" s="23" t="n">
        <v>6465.29612187278</v>
      </c>
    </row>
    <row r="158" customFormat="false" ht="15" hidden="false" customHeight="false" outlineLevel="0" collapsed="false">
      <c r="A158" s="28" t="s">
        <v>186</v>
      </c>
      <c r="B158" s="28" t="s">
        <v>922</v>
      </c>
      <c r="C158" s="28" t="s">
        <v>928</v>
      </c>
      <c r="D158" s="23" t="n">
        <v>1352.44965371374</v>
      </c>
    </row>
    <row r="159" customFormat="false" ht="15" hidden="false" customHeight="false" outlineLevel="0" collapsed="false">
      <c r="A159" s="28" t="s">
        <v>186</v>
      </c>
      <c r="B159" s="28" t="s">
        <v>922</v>
      </c>
      <c r="C159" s="28" t="s">
        <v>929</v>
      </c>
      <c r="D159" s="23" t="n">
        <v>6692.08687202383</v>
      </c>
    </row>
    <row r="160" customFormat="false" ht="15" hidden="false" customHeight="false" outlineLevel="0" collapsed="false">
      <c r="A160" s="28" t="s">
        <v>186</v>
      </c>
      <c r="B160" s="28" t="s">
        <v>922</v>
      </c>
      <c r="C160" s="28" t="s">
        <v>930</v>
      </c>
      <c r="D160" s="23" t="n">
        <v>616.31466</v>
      </c>
    </row>
    <row r="161" customFormat="false" ht="15" hidden="false" customHeight="false" outlineLevel="0" collapsed="false">
      <c r="A161" s="28" t="s">
        <v>186</v>
      </c>
      <c r="B161" s="28" t="s">
        <v>922</v>
      </c>
      <c r="C161" s="28" t="s">
        <v>931</v>
      </c>
      <c r="D161" s="23" t="n">
        <v>1819.82412032488</v>
      </c>
    </row>
    <row r="162" customFormat="false" ht="15" hidden="false" customHeight="false" outlineLevel="0" collapsed="false">
      <c r="A162" s="28" t="s">
        <v>186</v>
      </c>
      <c r="B162" s="28" t="s">
        <v>922</v>
      </c>
      <c r="C162" s="28" t="s">
        <v>932</v>
      </c>
      <c r="D162" s="23" t="n">
        <v>0</v>
      </c>
    </row>
    <row r="163" customFormat="false" ht="15" hidden="false" customHeight="false" outlineLevel="0" collapsed="false">
      <c r="A163" s="28" t="s">
        <v>186</v>
      </c>
      <c r="B163" s="28" t="s">
        <v>922</v>
      </c>
      <c r="C163" s="28" t="s">
        <v>933</v>
      </c>
      <c r="D163" s="23" t="n">
        <v>-3419.6805755265</v>
      </c>
    </row>
    <row r="164" customFormat="false" ht="15" hidden="false" customHeight="false" outlineLevel="0" collapsed="false">
      <c r="A164" s="28" t="s">
        <v>186</v>
      </c>
      <c r="B164" s="28" t="s">
        <v>922</v>
      </c>
      <c r="C164" s="28" t="s">
        <v>934</v>
      </c>
      <c r="D164" s="23" t="n">
        <v>-34418.57457425</v>
      </c>
    </row>
    <row r="165" customFormat="false" ht="15" hidden="false" customHeight="false" outlineLevel="0" collapsed="false">
      <c r="A165" s="28" t="s">
        <v>186</v>
      </c>
      <c r="B165" s="28" t="s">
        <v>922</v>
      </c>
      <c r="C165" s="28" t="s">
        <v>935</v>
      </c>
      <c r="D165" s="23" t="n">
        <v>-21796.3837935564</v>
      </c>
    </row>
    <row r="166" customFormat="false" ht="15" hidden="false" customHeight="false" outlineLevel="0" collapsed="false">
      <c r="A166" s="28" t="s">
        <v>186</v>
      </c>
      <c r="B166" s="28" t="s">
        <v>922</v>
      </c>
      <c r="C166" s="28" t="s">
        <v>936</v>
      </c>
      <c r="D166" s="23" t="n">
        <v>-19946.6447254074</v>
      </c>
    </row>
    <row r="167" customFormat="false" ht="15" hidden="false" customHeight="false" outlineLevel="0" collapsed="false">
      <c r="A167" s="28" t="s">
        <v>186</v>
      </c>
      <c r="B167" s="28" t="s">
        <v>937</v>
      </c>
      <c r="C167" s="28" t="s">
        <v>923</v>
      </c>
      <c r="D167" s="23" t="n">
        <v>19643.64411</v>
      </c>
    </row>
    <row r="168" customFormat="false" ht="15" hidden="false" customHeight="false" outlineLevel="0" collapsed="false">
      <c r="A168" s="28" t="s">
        <v>186</v>
      </c>
      <c r="B168" s="28" t="s">
        <v>937</v>
      </c>
      <c r="C168" s="28" t="s">
        <v>924</v>
      </c>
      <c r="D168" s="23" t="n">
        <v>11329.0218383254</v>
      </c>
    </row>
    <row r="169" customFormat="false" ht="15" hidden="false" customHeight="false" outlineLevel="0" collapsed="false">
      <c r="A169" s="28" t="s">
        <v>186</v>
      </c>
      <c r="B169" s="28" t="s">
        <v>937</v>
      </c>
      <c r="C169" s="28" t="s">
        <v>925</v>
      </c>
      <c r="D169" s="23" t="n">
        <v>3000</v>
      </c>
    </row>
    <row r="170" customFormat="false" ht="15" hidden="false" customHeight="false" outlineLevel="0" collapsed="false">
      <c r="A170" s="28" t="s">
        <v>186</v>
      </c>
      <c r="B170" s="28" t="s">
        <v>937</v>
      </c>
      <c r="C170" s="28" t="s">
        <v>926</v>
      </c>
      <c r="D170" s="23" t="n">
        <v>45473.2050816</v>
      </c>
    </row>
    <row r="171" customFormat="false" ht="15" hidden="false" customHeight="false" outlineLevel="0" collapsed="false">
      <c r="A171" s="28" t="s">
        <v>186</v>
      </c>
      <c r="B171" s="28" t="s">
        <v>937</v>
      </c>
      <c r="C171" s="28" t="s">
        <v>563</v>
      </c>
      <c r="D171" s="23" t="n">
        <v>2607.94466564232</v>
      </c>
    </row>
    <row r="172" customFormat="false" ht="15" hidden="false" customHeight="false" outlineLevel="0" collapsed="false">
      <c r="A172" s="28" t="s">
        <v>186</v>
      </c>
      <c r="B172" s="28" t="s">
        <v>937</v>
      </c>
      <c r="C172" s="28" t="s">
        <v>927</v>
      </c>
      <c r="D172" s="23" t="n">
        <v>19104.1713500313</v>
      </c>
    </row>
    <row r="173" customFormat="false" ht="15" hidden="false" customHeight="false" outlineLevel="0" collapsed="false">
      <c r="A173" s="28" t="s">
        <v>186</v>
      </c>
      <c r="B173" s="28" t="s">
        <v>937</v>
      </c>
      <c r="C173" s="28" t="s">
        <v>928</v>
      </c>
      <c r="D173" s="23" t="n">
        <v>3851.94048748176</v>
      </c>
    </row>
    <row r="174" customFormat="false" ht="15" hidden="false" customHeight="false" outlineLevel="0" collapsed="false">
      <c r="A174" s="28" t="s">
        <v>186</v>
      </c>
      <c r="B174" s="28" t="s">
        <v>937</v>
      </c>
      <c r="C174" s="28" t="s">
        <v>929</v>
      </c>
      <c r="D174" s="23" t="n">
        <v>11823.5301391559</v>
      </c>
    </row>
    <row r="175" customFormat="false" ht="15" hidden="false" customHeight="false" outlineLevel="0" collapsed="false">
      <c r="A175" s="28" t="s">
        <v>186</v>
      </c>
      <c r="B175" s="28" t="s">
        <v>937</v>
      </c>
      <c r="C175" s="28" t="s">
        <v>930</v>
      </c>
      <c r="D175" s="23" t="n">
        <v>616.31466</v>
      </c>
    </row>
    <row r="176" customFormat="false" ht="15" hidden="false" customHeight="false" outlineLevel="0" collapsed="false">
      <c r="A176" s="28" t="s">
        <v>186</v>
      </c>
      <c r="B176" s="28" t="s">
        <v>937</v>
      </c>
      <c r="C176" s="28" t="s">
        <v>931</v>
      </c>
      <c r="D176" s="23" t="n">
        <v>2738.30110774148</v>
      </c>
    </row>
    <row r="177" customFormat="false" ht="15" hidden="false" customHeight="false" outlineLevel="0" collapsed="false">
      <c r="A177" s="28" t="s">
        <v>186</v>
      </c>
      <c r="B177" s="28" t="s">
        <v>937</v>
      </c>
      <c r="C177" s="28" t="s">
        <v>932</v>
      </c>
      <c r="D177" s="23" t="n">
        <v>0</v>
      </c>
    </row>
    <row r="178" customFormat="false" ht="15" hidden="false" customHeight="false" outlineLevel="0" collapsed="false">
      <c r="A178" s="28" t="s">
        <v>186</v>
      </c>
      <c r="B178" s="28" t="s">
        <v>937</v>
      </c>
      <c r="C178" s="28" t="s">
        <v>933</v>
      </c>
      <c r="D178" s="23" t="n">
        <v>-3903.801364872</v>
      </c>
    </row>
    <row r="179" customFormat="false" ht="15" hidden="false" customHeight="false" outlineLevel="0" collapsed="false">
      <c r="A179" s="28" t="s">
        <v>186</v>
      </c>
      <c r="B179" s="28" t="s">
        <v>937</v>
      </c>
      <c r="C179" s="28" t="s">
        <v>934</v>
      </c>
      <c r="D179" s="23" t="n">
        <v>-34321.280215275</v>
      </c>
    </row>
    <row r="180" customFormat="false" ht="15" hidden="false" customHeight="false" outlineLevel="0" collapsed="false">
      <c r="A180" s="28" t="s">
        <v>186</v>
      </c>
      <c r="B180" s="28" t="s">
        <v>937</v>
      </c>
      <c r="C180" s="28" t="s">
        <v>935</v>
      </c>
      <c r="D180" s="23" t="n">
        <v>-44089.1359572042</v>
      </c>
    </row>
    <row r="181" customFormat="false" ht="15" hidden="false" customHeight="false" outlineLevel="0" collapsed="false">
      <c r="A181" s="28" t="s">
        <v>186</v>
      </c>
      <c r="B181" s="28" t="s">
        <v>937</v>
      </c>
      <c r="C181" s="28" t="s">
        <v>936</v>
      </c>
      <c r="D181" s="23" t="n">
        <v>-36824.5748776752</v>
      </c>
    </row>
    <row r="182" customFormat="false" ht="15" hidden="false" customHeight="false" outlineLevel="0" collapsed="false">
      <c r="A182" s="28" t="s">
        <v>188</v>
      </c>
      <c r="B182" s="28" t="s">
        <v>922</v>
      </c>
      <c r="C182" s="28" t="s">
        <v>923</v>
      </c>
      <c r="D182" s="23" t="n">
        <v>26191.52548</v>
      </c>
    </row>
    <row r="183" customFormat="false" ht="15" hidden="false" customHeight="false" outlineLevel="0" collapsed="false">
      <c r="A183" s="28" t="s">
        <v>188</v>
      </c>
      <c r="B183" s="28" t="s">
        <v>922</v>
      </c>
      <c r="C183" s="28" t="s">
        <v>924</v>
      </c>
      <c r="D183" s="23" t="n">
        <v>3756.07100439144</v>
      </c>
    </row>
    <row r="184" customFormat="false" ht="15" hidden="false" customHeight="false" outlineLevel="0" collapsed="false">
      <c r="A184" s="28" t="s">
        <v>188</v>
      </c>
      <c r="B184" s="28" t="s">
        <v>922</v>
      </c>
      <c r="C184" s="28" t="s">
        <v>925</v>
      </c>
      <c r="D184" s="23" t="n">
        <v>4000</v>
      </c>
    </row>
    <row r="185" customFormat="false" ht="15" hidden="false" customHeight="false" outlineLevel="0" collapsed="false">
      <c r="A185" s="28" t="s">
        <v>188</v>
      </c>
      <c r="B185" s="28" t="s">
        <v>922</v>
      </c>
      <c r="C185" s="28" t="s">
        <v>926</v>
      </c>
      <c r="D185" s="23" t="n">
        <v>60630.9401088</v>
      </c>
    </row>
    <row r="186" customFormat="false" ht="15" hidden="false" customHeight="false" outlineLevel="0" collapsed="false">
      <c r="A186" s="28" t="s">
        <v>188</v>
      </c>
      <c r="B186" s="28" t="s">
        <v>922</v>
      </c>
      <c r="C186" s="28" t="s">
        <v>563</v>
      </c>
      <c r="D186" s="23" t="n">
        <v>1133.23367894744</v>
      </c>
    </row>
    <row r="187" customFormat="false" ht="15" hidden="false" customHeight="false" outlineLevel="0" collapsed="false">
      <c r="A187" s="28" t="s">
        <v>188</v>
      </c>
      <c r="B187" s="28" t="s">
        <v>922</v>
      </c>
      <c r="C187" s="28" t="s">
        <v>927</v>
      </c>
      <c r="D187" s="23" t="n">
        <v>8675.60952710765</v>
      </c>
    </row>
    <row r="188" customFormat="false" ht="15" hidden="false" customHeight="false" outlineLevel="0" collapsed="false">
      <c r="A188" s="28" t="s">
        <v>188</v>
      </c>
      <c r="B188" s="28" t="s">
        <v>922</v>
      </c>
      <c r="C188" s="28" t="s">
        <v>928</v>
      </c>
      <c r="D188" s="23" t="n">
        <v>1742.5634502326</v>
      </c>
    </row>
    <row r="189" customFormat="false" ht="15" hidden="false" customHeight="false" outlineLevel="0" collapsed="false">
      <c r="A189" s="28" t="s">
        <v>188</v>
      </c>
      <c r="B189" s="28" t="s">
        <v>922</v>
      </c>
      <c r="C189" s="28" t="s">
        <v>929</v>
      </c>
      <c r="D189" s="23" t="n">
        <v>8931.63771406532</v>
      </c>
    </row>
    <row r="190" customFormat="false" ht="15" hidden="false" customHeight="false" outlineLevel="0" collapsed="false">
      <c r="A190" s="28" t="s">
        <v>188</v>
      </c>
      <c r="B190" s="28" t="s">
        <v>922</v>
      </c>
      <c r="C190" s="28" t="s">
        <v>930</v>
      </c>
      <c r="D190" s="23" t="n">
        <v>821.75288</v>
      </c>
    </row>
    <row r="191" customFormat="false" ht="15" hidden="false" customHeight="false" outlineLevel="0" collapsed="false">
      <c r="A191" s="28" t="s">
        <v>188</v>
      </c>
      <c r="B191" s="28" t="s">
        <v>922</v>
      </c>
      <c r="C191" s="28" t="s">
        <v>931</v>
      </c>
      <c r="D191" s="23" t="n">
        <v>2363.78246743318</v>
      </c>
    </row>
    <row r="192" customFormat="false" ht="15" hidden="false" customHeight="false" outlineLevel="0" collapsed="false">
      <c r="A192" s="28" t="s">
        <v>188</v>
      </c>
      <c r="B192" s="28" t="s">
        <v>922</v>
      </c>
      <c r="C192" s="28" t="s">
        <v>932</v>
      </c>
      <c r="D192" s="23" t="n">
        <v>0</v>
      </c>
    </row>
    <row r="193" customFormat="false" ht="15" hidden="false" customHeight="false" outlineLevel="0" collapsed="false">
      <c r="A193" s="28" t="s">
        <v>188</v>
      </c>
      <c r="B193" s="28" t="s">
        <v>922</v>
      </c>
      <c r="C193" s="28" t="s">
        <v>933</v>
      </c>
      <c r="D193" s="23" t="n">
        <v>-4507.81538733567</v>
      </c>
    </row>
    <row r="194" customFormat="false" ht="15" hidden="false" customHeight="false" outlineLevel="0" collapsed="false">
      <c r="A194" s="28" t="s">
        <v>188</v>
      </c>
      <c r="B194" s="28" t="s">
        <v>922</v>
      </c>
      <c r="C194" s="28" t="s">
        <v>934</v>
      </c>
      <c r="D194" s="23" t="n">
        <v>-44607.0854630236</v>
      </c>
    </row>
    <row r="195" customFormat="false" ht="15" hidden="false" customHeight="false" outlineLevel="0" collapsed="false">
      <c r="A195" s="28" t="s">
        <v>188</v>
      </c>
      <c r="B195" s="28" t="s">
        <v>922</v>
      </c>
      <c r="C195" s="28" t="s">
        <v>935</v>
      </c>
      <c r="D195" s="23" t="n">
        <v>-29055.6210280419</v>
      </c>
    </row>
    <row r="196" customFormat="false" ht="15" hidden="false" customHeight="false" outlineLevel="0" collapsed="false">
      <c r="A196" s="28" t="s">
        <v>188</v>
      </c>
      <c r="B196" s="28" t="s">
        <v>922</v>
      </c>
      <c r="C196" s="28" t="s">
        <v>936</v>
      </c>
      <c r="D196" s="23" t="n">
        <v>-30433.2645834499</v>
      </c>
    </row>
    <row r="197" customFormat="false" ht="15" hidden="false" customHeight="false" outlineLevel="0" collapsed="false">
      <c r="A197" s="28" t="s">
        <v>188</v>
      </c>
      <c r="B197" s="28" t="s">
        <v>937</v>
      </c>
      <c r="C197" s="28" t="s">
        <v>923</v>
      </c>
      <c r="D197" s="23" t="n">
        <v>26191.52548</v>
      </c>
    </row>
    <row r="198" customFormat="false" ht="15" hidden="false" customHeight="false" outlineLevel="0" collapsed="false">
      <c r="A198" s="28" t="s">
        <v>188</v>
      </c>
      <c r="B198" s="28" t="s">
        <v>937</v>
      </c>
      <c r="C198" s="28" t="s">
        <v>924</v>
      </c>
      <c r="D198" s="23" t="n">
        <v>15101.6418453436</v>
      </c>
    </row>
    <row r="199" customFormat="false" ht="15" hidden="false" customHeight="false" outlineLevel="0" collapsed="false">
      <c r="A199" s="28" t="s">
        <v>188</v>
      </c>
      <c r="B199" s="28" t="s">
        <v>937</v>
      </c>
      <c r="C199" s="28" t="s">
        <v>925</v>
      </c>
      <c r="D199" s="23" t="n">
        <v>4000</v>
      </c>
    </row>
    <row r="200" customFormat="false" ht="15" hidden="false" customHeight="false" outlineLevel="0" collapsed="false">
      <c r="A200" s="28" t="s">
        <v>188</v>
      </c>
      <c r="B200" s="28" t="s">
        <v>937</v>
      </c>
      <c r="C200" s="28" t="s">
        <v>926</v>
      </c>
      <c r="D200" s="23" t="n">
        <v>60630.9401088</v>
      </c>
    </row>
    <row r="201" customFormat="false" ht="15" hidden="false" customHeight="false" outlineLevel="0" collapsed="false">
      <c r="A201" s="28" t="s">
        <v>188</v>
      </c>
      <c r="B201" s="28" t="s">
        <v>937</v>
      </c>
      <c r="C201" s="28" t="s">
        <v>563</v>
      </c>
      <c r="D201" s="23" t="n">
        <v>3533.51318635047</v>
      </c>
    </row>
    <row r="202" customFormat="false" ht="15" hidden="false" customHeight="false" outlineLevel="0" collapsed="false">
      <c r="A202" s="28" t="s">
        <v>188</v>
      </c>
      <c r="B202" s="28" t="s">
        <v>937</v>
      </c>
      <c r="C202" s="28" t="s">
        <v>927</v>
      </c>
      <c r="D202" s="23" t="n">
        <v>25595.2272664061</v>
      </c>
    </row>
    <row r="203" customFormat="false" ht="15" hidden="false" customHeight="false" outlineLevel="0" collapsed="false">
      <c r="A203" s="28" t="s">
        <v>188</v>
      </c>
      <c r="B203" s="28" t="s">
        <v>937</v>
      </c>
      <c r="C203" s="28" t="s">
        <v>928</v>
      </c>
      <c r="D203" s="23" t="n">
        <v>4973.12391569762</v>
      </c>
    </row>
    <row r="204" customFormat="false" ht="15" hidden="false" customHeight="false" outlineLevel="0" collapsed="false">
      <c r="A204" s="28" t="s">
        <v>188</v>
      </c>
      <c r="B204" s="28" t="s">
        <v>937</v>
      </c>
      <c r="C204" s="28" t="s">
        <v>929</v>
      </c>
      <c r="D204" s="23" t="n">
        <v>15783.895991152</v>
      </c>
    </row>
    <row r="205" customFormat="false" ht="15" hidden="false" customHeight="false" outlineLevel="0" collapsed="false">
      <c r="A205" s="28" t="s">
        <v>188</v>
      </c>
      <c r="B205" s="28" t="s">
        <v>937</v>
      </c>
      <c r="C205" s="28" t="s">
        <v>930</v>
      </c>
      <c r="D205" s="23" t="n">
        <v>821.75288</v>
      </c>
    </row>
    <row r="206" customFormat="false" ht="15" hidden="false" customHeight="false" outlineLevel="0" collapsed="false">
      <c r="A206" s="28" t="s">
        <v>188</v>
      </c>
      <c r="B206" s="28" t="s">
        <v>937</v>
      </c>
      <c r="C206" s="28" t="s">
        <v>931</v>
      </c>
      <c r="D206" s="23" t="n">
        <v>3588.41845065531</v>
      </c>
    </row>
    <row r="207" customFormat="false" ht="15" hidden="false" customHeight="false" outlineLevel="0" collapsed="false">
      <c r="A207" s="28" t="s">
        <v>188</v>
      </c>
      <c r="B207" s="28" t="s">
        <v>937</v>
      </c>
      <c r="C207" s="28" t="s">
        <v>932</v>
      </c>
      <c r="D207" s="23" t="n">
        <v>0</v>
      </c>
    </row>
    <row r="208" customFormat="false" ht="15" hidden="false" customHeight="false" outlineLevel="0" collapsed="false">
      <c r="A208" s="28" t="s">
        <v>188</v>
      </c>
      <c r="B208" s="28" t="s">
        <v>937</v>
      </c>
      <c r="C208" s="28" t="s">
        <v>933</v>
      </c>
      <c r="D208" s="23" t="n">
        <v>-5104.552179512</v>
      </c>
    </row>
    <row r="209" customFormat="false" ht="15" hidden="false" customHeight="false" outlineLevel="0" collapsed="false">
      <c r="A209" s="28" t="s">
        <v>188</v>
      </c>
      <c r="B209" s="28" t="s">
        <v>937</v>
      </c>
      <c r="C209" s="28" t="s">
        <v>934</v>
      </c>
      <c r="D209" s="23" t="n">
        <v>-43338.3042059</v>
      </c>
    </row>
    <row r="210" customFormat="false" ht="15" hidden="false" customHeight="false" outlineLevel="0" collapsed="false">
      <c r="A210" s="28" t="s">
        <v>188</v>
      </c>
      <c r="B210" s="28" t="s">
        <v>937</v>
      </c>
      <c r="C210" s="28" t="s">
        <v>935</v>
      </c>
      <c r="D210" s="23" t="n">
        <v>-58773.5644719416</v>
      </c>
    </row>
    <row r="211" customFormat="false" ht="15" hidden="false" customHeight="false" outlineLevel="0" collapsed="false">
      <c r="A211" s="28" t="s">
        <v>188</v>
      </c>
      <c r="B211" s="28" t="s">
        <v>937</v>
      </c>
      <c r="C211" s="28" t="s">
        <v>936</v>
      </c>
      <c r="D211" s="23" t="n">
        <v>-56184.4884617536</v>
      </c>
    </row>
    <row r="212" customFormat="false" ht="15" hidden="false" customHeight="false" outlineLevel="0" collapsed="false">
      <c r="A212" s="28" t="s">
        <v>190</v>
      </c>
      <c r="B212" s="28" t="s">
        <v>922</v>
      </c>
      <c r="C212" s="28" t="s">
        <v>923</v>
      </c>
      <c r="D212" s="23" t="n">
        <v>-6002.22458916667</v>
      </c>
    </row>
    <row r="213" customFormat="false" ht="15" hidden="false" customHeight="false" outlineLevel="0" collapsed="false">
      <c r="A213" s="28" t="s">
        <v>190</v>
      </c>
      <c r="B213" s="28" t="s">
        <v>922</v>
      </c>
      <c r="C213" s="28" t="s">
        <v>924</v>
      </c>
      <c r="D213" s="23" t="n">
        <v>-653.387652628541</v>
      </c>
    </row>
    <row r="214" customFormat="false" ht="15" hidden="false" customHeight="false" outlineLevel="0" collapsed="false">
      <c r="A214" s="28" t="s">
        <v>190</v>
      </c>
      <c r="B214" s="28" t="s">
        <v>922</v>
      </c>
      <c r="C214" s="28" t="s">
        <v>925</v>
      </c>
      <c r="D214" s="23" t="n">
        <v>-916.666666666667</v>
      </c>
    </row>
    <row r="215" customFormat="false" ht="15" hidden="false" customHeight="false" outlineLevel="0" collapsed="false">
      <c r="A215" s="28" t="s">
        <v>190</v>
      </c>
      <c r="B215" s="28" t="s">
        <v>922</v>
      </c>
      <c r="C215" s="28" t="s">
        <v>926</v>
      </c>
      <c r="D215" s="23" t="n">
        <v>-13894.5904416</v>
      </c>
    </row>
    <row r="216" customFormat="false" ht="15" hidden="false" customHeight="false" outlineLevel="0" collapsed="false">
      <c r="A216" s="28" t="s">
        <v>190</v>
      </c>
      <c r="B216" s="28" t="s">
        <v>922</v>
      </c>
      <c r="C216" s="28" t="s">
        <v>563</v>
      </c>
      <c r="D216" s="23" t="n">
        <v>-223.366462328542</v>
      </c>
    </row>
    <row r="217" customFormat="false" ht="15" hidden="false" customHeight="false" outlineLevel="0" collapsed="false">
      <c r="A217" s="28" t="s">
        <v>190</v>
      </c>
      <c r="B217" s="28" t="s">
        <v>922</v>
      </c>
      <c r="C217" s="28" t="s">
        <v>927</v>
      </c>
      <c r="D217" s="23" t="n">
        <v>-1484.72809779444</v>
      </c>
    </row>
    <row r="218" customFormat="false" ht="15" hidden="false" customHeight="false" outlineLevel="0" collapsed="false">
      <c r="A218" s="28" t="s">
        <v>190</v>
      </c>
      <c r="B218" s="28" t="s">
        <v>922</v>
      </c>
      <c r="C218" s="28" t="s">
        <v>928</v>
      </c>
      <c r="D218" s="23" t="n">
        <v>-272.332874210107</v>
      </c>
    </row>
    <row r="219" customFormat="false" ht="15" hidden="false" customHeight="false" outlineLevel="0" collapsed="false">
      <c r="A219" s="28" t="s">
        <v>190</v>
      </c>
      <c r="B219" s="28" t="s">
        <v>922</v>
      </c>
      <c r="C219" s="28" t="s">
        <v>929</v>
      </c>
      <c r="D219" s="23" t="n">
        <v>-1792.83889364112</v>
      </c>
    </row>
    <row r="220" customFormat="false" ht="15" hidden="false" customHeight="false" outlineLevel="0" collapsed="false">
      <c r="A220" s="28" t="s">
        <v>190</v>
      </c>
      <c r="B220" s="28" t="s">
        <v>922</v>
      </c>
      <c r="C220" s="28" t="s">
        <v>930</v>
      </c>
      <c r="D220" s="23" t="n">
        <v>-188.318368333333</v>
      </c>
    </row>
    <row r="221" customFormat="false" ht="15" hidden="false" customHeight="false" outlineLevel="0" collapsed="false">
      <c r="A221" s="28" t="s">
        <v>190</v>
      </c>
      <c r="B221" s="28" t="s">
        <v>922</v>
      </c>
      <c r="C221" s="28" t="s">
        <v>931</v>
      </c>
      <c r="D221" s="23" t="n">
        <v>-500.823326658542</v>
      </c>
    </row>
    <row r="222" customFormat="false" ht="15" hidden="false" customHeight="false" outlineLevel="0" collapsed="false">
      <c r="A222" s="28" t="s">
        <v>190</v>
      </c>
      <c r="B222" s="28" t="s">
        <v>922</v>
      </c>
      <c r="C222" s="28" t="s">
        <v>932</v>
      </c>
      <c r="D222" s="23" t="n">
        <v>0</v>
      </c>
    </row>
    <row r="223" customFormat="false" ht="15" hidden="false" customHeight="false" outlineLevel="0" collapsed="false">
      <c r="A223" s="28" t="s">
        <v>190</v>
      </c>
      <c r="B223" s="28" t="s">
        <v>922</v>
      </c>
      <c r="C223" s="28" t="s">
        <v>933</v>
      </c>
      <c r="D223" s="23" t="n">
        <v>826.644322758333</v>
      </c>
    </row>
    <row r="224" customFormat="false" ht="15" hidden="false" customHeight="false" outlineLevel="0" collapsed="false">
      <c r="A224" s="28" t="s">
        <v>190</v>
      </c>
      <c r="B224" s="28" t="s">
        <v>922</v>
      </c>
      <c r="C224" s="28" t="s">
        <v>934</v>
      </c>
      <c r="D224" s="23" t="n">
        <v>8820.06851958333</v>
      </c>
    </row>
    <row r="225" customFormat="false" ht="15" hidden="false" customHeight="false" outlineLevel="0" collapsed="false">
      <c r="A225" s="28" t="s">
        <v>190</v>
      </c>
      <c r="B225" s="28" t="s">
        <v>922</v>
      </c>
      <c r="C225" s="28" t="s">
        <v>935</v>
      </c>
      <c r="D225" s="23" t="n">
        <v>3469.74561317148</v>
      </c>
    </row>
    <row r="226" customFormat="false" ht="15" hidden="false" customHeight="false" outlineLevel="0" collapsed="false">
      <c r="A226" s="28" t="s">
        <v>190</v>
      </c>
      <c r="B226" s="28" t="s">
        <v>922</v>
      </c>
      <c r="C226" s="28" t="s">
        <v>936</v>
      </c>
      <c r="D226" s="23" t="n">
        <v>0</v>
      </c>
    </row>
    <row r="227" customFormat="false" ht="15" hidden="false" customHeight="false" outlineLevel="0" collapsed="false">
      <c r="A227" s="28" t="s">
        <v>190</v>
      </c>
      <c r="B227" s="28" t="s">
        <v>937</v>
      </c>
      <c r="C227" s="28" t="s">
        <v>923</v>
      </c>
      <c r="D227" s="23" t="n">
        <v>-13095.76274</v>
      </c>
    </row>
    <row r="228" customFormat="false" ht="15" hidden="false" customHeight="false" outlineLevel="0" collapsed="false">
      <c r="A228" s="28" t="s">
        <v>190</v>
      </c>
      <c r="B228" s="28" t="s">
        <v>937</v>
      </c>
      <c r="C228" s="28" t="s">
        <v>924</v>
      </c>
      <c r="D228" s="23" t="n">
        <v>-6060.39369520059</v>
      </c>
    </row>
    <row r="229" customFormat="false" ht="15" hidden="false" customHeight="false" outlineLevel="0" collapsed="false">
      <c r="A229" s="28" t="s">
        <v>190</v>
      </c>
      <c r="B229" s="28" t="s">
        <v>937</v>
      </c>
      <c r="C229" s="28" t="s">
        <v>925</v>
      </c>
      <c r="D229" s="23" t="n">
        <v>-2000</v>
      </c>
    </row>
    <row r="230" customFormat="false" ht="15" hidden="false" customHeight="false" outlineLevel="0" collapsed="false">
      <c r="A230" s="28" t="s">
        <v>190</v>
      </c>
      <c r="B230" s="28" t="s">
        <v>937</v>
      </c>
      <c r="C230" s="28" t="s">
        <v>926</v>
      </c>
      <c r="D230" s="23" t="n">
        <v>-30315.4700544</v>
      </c>
    </row>
    <row r="231" customFormat="false" ht="15" hidden="false" customHeight="false" outlineLevel="0" collapsed="false">
      <c r="A231" s="28" t="s">
        <v>190</v>
      </c>
      <c r="B231" s="28" t="s">
        <v>937</v>
      </c>
      <c r="C231" s="28" t="s">
        <v>563</v>
      </c>
      <c r="D231" s="23" t="n">
        <v>-1767.85607470298</v>
      </c>
    </row>
    <row r="232" customFormat="false" ht="15" hidden="false" customHeight="false" outlineLevel="0" collapsed="false">
      <c r="A232" s="28" t="s">
        <v>190</v>
      </c>
      <c r="B232" s="28" t="s">
        <v>937</v>
      </c>
      <c r="C232" s="28" t="s">
        <v>927</v>
      </c>
      <c r="D232" s="23" t="n">
        <v>-10403.5330258887</v>
      </c>
    </row>
    <row r="233" customFormat="false" ht="15" hidden="false" customHeight="false" outlineLevel="0" collapsed="false">
      <c r="A233" s="28" t="s">
        <v>190</v>
      </c>
      <c r="B233" s="28" t="s">
        <v>937</v>
      </c>
      <c r="C233" s="28" t="s">
        <v>928</v>
      </c>
      <c r="D233" s="23" t="n">
        <v>-2155.84675957329</v>
      </c>
    </row>
    <row r="234" customFormat="false" ht="15" hidden="false" customHeight="false" outlineLevel="0" collapsed="false">
      <c r="A234" s="28" t="s">
        <v>190</v>
      </c>
      <c r="B234" s="28" t="s">
        <v>937</v>
      </c>
      <c r="C234" s="28" t="s">
        <v>929</v>
      </c>
      <c r="D234" s="23" t="n">
        <v>-6502.12423709974</v>
      </c>
    </row>
    <row r="235" customFormat="false" ht="15" hidden="false" customHeight="false" outlineLevel="0" collapsed="false">
      <c r="A235" s="28" t="s">
        <v>190</v>
      </c>
      <c r="B235" s="28" t="s">
        <v>937</v>
      </c>
      <c r="C235" s="28" t="s">
        <v>930</v>
      </c>
      <c r="D235" s="23" t="n">
        <v>-410.87644</v>
      </c>
    </row>
    <row r="236" customFormat="false" ht="15" hidden="false" customHeight="false" outlineLevel="0" collapsed="false">
      <c r="A236" s="28" t="s">
        <v>190</v>
      </c>
      <c r="B236" s="28" t="s">
        <v>937</v>
      </c>
      <c r="C236" s="28" t="s">
        <v>931</v>
      </c>
      <c r="D236" s="23" t="n">
        <v>-1578.92216772865</v>
      </c>
    </row>
    <row r="237" customFormat="false" ht="15" hidden="false" customHeight="false" outlineLevel="0" collapsed="false">
      <c r="A237" s="28" t="s">
        <v>190</v>
      </c>
      <c r="B237" s="28" t="s">
        <v>937</v>
      </c>
      <c r="C237" s="28" t="s">
        <v>932</v>
      </c>
      <c r="D237" s="23" t="n">
        <v>0</v>
      </c>
    </row>
    <row r="238" customFormat="false" ht="15" hidden="false" customHeight="false" outlineLevel="0" collapsed="false">
      <c r="A238" s="28" t="s">
        <v>190</v>
      </c>
      <c r="B238" s="28" t="s">
        <v>937</v>
      </c>
      <c r="C238" s="28" t="s">
        <v>933</v>
      </c>
      <c r="D238" s="23" t="n">
        <v>1734.73801545</v>
      </c>
    </row>
    <row r="239" customFormat="false" ht="15" hidden="false" customHeight="false" outlineLevel="0" collapsed="false">
      <c r="A239" s="28" t="s">
        <v>190</v>
      </c>
      <c r="B239" s="28" t="s">
        <v>937</v>
      </c>
      <c r="C239" s="28" t="s">
        <v>934</v>
      </c>
      <c r="D239" s="23" t="n">
        <v>24648.8448175833</v>
      </c>
    </row>
    <row r="240" customFormat="false" ht="15" hidden="false" customHeight="false" outlineLevel="0" collapsed="false">
      <c r="A240" s="28" t="s">
        <v>190</v>
      </c>
      <c r="B240" s="28" t="s">
        <v>937</v>
      </c>
      <c r="C240" s="28" t="s">
        <v>935</v>
      </c>
      <c r="D240" s="23" t="n">
        <v>23733.042420651</v>
      </c>
    </row>
    <row r="241" customFormat="false" ht="15" hidden="false" customHeight="false" outlineLevel="0" collapsed="false">
      <c r="A241" s="28" t="s">
        <v>190</v>
      </c>
      <c r="B241" s="28" t="s">
        <v>937</v>
      </c>
      <c r="C241" s="28" t="s">
        <v>936</v>
      </c>
      <c r="D241" s="23" t="n">
        <v>0</v>
      </c>
    </row>
    <row r="242" customFormat="false" ht="15" hidden="false" customHeight="false" outlineLevel="0" collapsed="false">
      <c r="A242" s="28" t="s">
        <v>194</v>
      </c>
      <c r="B242" s="28" t="s">
        <v>922</v>
      </c>
      <c r="C242" s="28" t="s">
        <v>923</v>
      </c>
      <c r="D242" s="23" t="n">
        <v>-3001.11229458333</v>
      </c>
    </row>
    <row r="243" customFormat="false" ht="15" hidden="false" customHeight="false" outlineLevel="0" collapsed="false">
      <c r="A243" s="28" t="s">
        <v>194</v>
      </c>
      <c r="B243" s="28" t="s">
        <v>922</v>
      </c>
      <c r="C243" s="28" t="s">
        <v>924</v>
      </c>
      <c r="D243" s="23" t="n">
        <v>-321.669565808255</v>
      </c>
    </row>
    <row r="244" customFormat="false" ht="15" hidden="false" customHeight="false" outlineLevel="0" collapsed="false">
      <c r="A244" s="28" t="s">
        <v>194</v>
      </c>
      <c r="B244" s="28" t="s">
        <v>922</v>
      </c>
      <c r="C244" s="28" t="s">
        <v>925</v>
      </c>
      <c r="D244" s="23" t="n">
        <v>-458.333333333334</v>
      </c>
    </row>
    <row r="245" customFormat="false" ht="15" hidden="false" customHeight="false" outlineLevel="0" collapsed="false">
      <c r="A245" s="28" t="s">
        <v>194</v>
      </c>
      <c r="B245" s="28" t="s">
        <v>922</v>
      </c>
      <c r="C245" s="28" t="s">
        <v>926</v>
      </c>
      <c r="D245" s="23" t="n">
        <v>-6947.29522079999</v>
      </c>
    </row>
    <row r="246" customFormat="false" ht="15" hidden="false" customHeight="false" outlineLevel="0" collapsed="false">
      <c r="A246" s="28" t="s">
        <v>194</v>
      </c>
      <c r="B246" s="28" t="s">
        <v>922</v>
      </c>
      <c r="C246" s="28" t="s">
        <v>563</v>
      </c>
      <c r="D246" s="23" t="n">
        <v>-106.846374659014</v>
      </c>
    </row>
    <row r="247" customFormat="false" ht="15" hidden="false" customHeight="false" outlineLevel="0" collapsed="false">
      <c r="A247" s="28" t="s">
        <v>194</v>
      </c>
      <c r="B247" s="28" t="s">
        <v>922</v>
      </c>
      <c r="C247" s="28" t="s">
        <v>927</v>
      </c>
      <c r="D247" s="23" t="n">
        <v>-726.646247977374</v>
      </c>
    </row>
    <row r="248" customFormat="false" ht="15" hidden="false" customHeight="false" outlineLevel="0" collapsed="false">
      <c r="A248" s="28" t="s">
        <v>194</v>
      </c>
      <c r="B248" s="28" t="s">
        <v>922</v>
      </c>
      <c r="C248" s="28" t="s">
        <v>928</v>
      </c>
      <c r="D248" s="23" t="n">
        <v>-134.621128124662</v>
      </c>
    </row>
    <row r="249" customFormat="false" ht="15" hidden="false" customHeight="false" outlineLevel="0" collapsed="false">
      <c r="A249" s="28" t="s">
        <v>194</v>
      </c>
      <c r="B249" s="28" t="s">
        <v>922</v>
      </c>
      <c r="C249" s="28" t="s">
        <v>929</v>
      </c>
      <c r="D249" s="23" t="n">
        <v>-891.554643080697</v>
      </c>
    </row>
    <row r="250" customFormat="false" ht="15" hidden="false" customHeight="false" outlineLevel="0" collapsed="false">
      <c r="A250" s="28" t="s">
        <v>194</v>
      </c>
      <c r="B250" s="28" t="s">
        <v>922</v>
      </c>
      <c r="C250" s="28" t="s">
        <v>930</v>
      </c>
      <c r="D250" s="23" t="n">
        <v>-94.1591841666667</v>
      </c>
    </row>
    <row r="251" customFormat="false" ht="15" hidden="false" customHeight="false" outlineLevel="0" collapsed="false">
      <c r="A251" s="28" t="s">
        <v>194</v>
      </c>
      <c r="B251" s="28" t="s">
        <v>922</v>
      </c>
      <c r="C251" s="28" t="s">
        <v>931</v>
      </c>
      <c r="D251" s="23" t="n">
        <v>-250.411663329272</v>
      </c>
    </row>
    <row r="252" customFormat="false" ht="15" hidden="false" customHeight="false" outlineLevel="0" collapsed="false">
      <c r="A252" s="28" t="s">
        <v>194</v>
      </c>
      <c r="B252" s="28" t="s">
        <v>922</v>
      </c>
      <c r="C252" s="28" t="s">
        <v>932</v>
      </c>
      <c r="D252" s="23" t="n">
        <v>0</v>
      </c>
    </row>
    <row r="253" customFormat="false" ht="15" hidden="false" customHeight="false" outlineLevel="0" collapsed="false">
      <c r="A253" s="28" t="s">
        <v>194</v>
      </c>
      <c r="B253" s="28" t="s">
        <v>922</v>
      </c>
      <c r="C253" s="28" t="s">
        <v>933</v>
      </c>
      <c r="D253" s="23" t="n">
        <v>438.890617108333</v>
      </c>
    </row>
    <row r="254" customFormat="false" ht="15" hidden="false" customHeight="false" outlineLevel="0" collapsed="false">
      <c r="A254" s="28" t="s">
        <v>194</v>
      </c>
      <c r="B254" s="28" t="s">
        <v>922</v>
      </c>
      <c r="C254" s="28" t="s">
        <v>934</v>
      </c>
      <c r="D254" s="23" t="n">
        <v>4410.03425979167</v>
      </c>
    </row>
    <row r="255" customFormat="false" ht="15" hidden="false" customHeight="false" outlineLevel="0" collapsed="false">
      <c r="A255" s="28" t="s">
        <v>194</v>
      </c>
      <c r="B255" s="28" t="s">
        <v>922</v>
      </c>
      <c r="C255" s="28" t="s">
        <v>935</v>
      </c>
      <c r="D255" s="23" t="n">
        <v>1734.87280658573</v>
      </c>
    </row>
    <row r="256" customFormat="false" ht="15" hidden="false" customHeight="false" outlineLevel="0" collapsed="false">
      <c r="A256" s="28" t="s">
        <v>194</v>
      </c>
      <c r="B256" s="28" t="s">
        <v>922</v>
      </c>
      <c r="C256" s="28" t="s">
        <v>936</v>
      </c>
      <c r="D256" s="23" t="n">
        <v>0</v>
      </c>
    </row>
    <row r="257" customFormat="false" ht="15" hidden="false" customHeight="false" outlineLevel="0" collapsed="false">
      <c r="A257" s="28" t="s">
        <v>194</v>
      </c>
      <c r="B257" s="28" t="s">
        <v>937</v>
      </c>
      <c r="C257" s="28" t="s">
        <v>923</v>
      </c>
      <c r="D257" s="23" t="n">
        <v>-6547.88137</v>
      </c>
    </row>
    <row r="258" customFormat="false" ht="15" hidden="false" customHeight="false" outlineLevel="0" collapsed="false">
      <c r="A258" s="28" t="s">
        <v>194</v>
      </c>
      <c r="B258" s="28" t="s">
        <v>937</v>
      </c>
      <c r="C258" s="28" t="s">
        <v>924</v>
      </c>
      <c r="D258" s="23" t="n">
        <v>-2765.67471056308</v>
      </c>
    </row>
    <row r="259" customFormat="false" ht="15" hidden="false" customHeight="false" outlineLevel="0" collapsed="false">
      <c r="A259" s="28" t="s">
        <v>194</v>
      </c>
      <c r="B259" s="28" t="s">
        <v>937</v>
      </c>
      <c r="C259" s="28" t="s">
        <v>925</v>
      </c>
      <c r="D259" s="23" t="n">
        <v>-1000</v>
      </c>
    </row>
    <row r="260" customFormat="false" ht="15" hidden="false" customHeight="false" outlineLevel="0" collapsed="false">
      <c r="A260" s="28" t="s">
        <v>194</v>
      </c>
      <c r="B260" s="28" t="s">
        <v>937</v>
      </c>
      <c r="C260" s="28" t="s">
        <v>926</v>
      </c>
      <c r="D260" s="23" t="n">
        <v>-15157.7350272</v>
      </c>
    </row>
    <row r="261" customFormat="false" ht="15" hidden="false" customHeight="false" outlineLevel="0" collapsed="false">
      <c r="A261" s="28" t="s">
        <v>194</v>
      </c>
      <c r="B261" s="28" t="s">
        <v>937</v>
      </c>
      <c r="C261" s="28" t="s">
        <v>563</v>
      </c>
      <c r="D261" s="23" t="n">
        <v>-777.64195240983</v>
      </c>
    </row>
    <row r="262" customFormat="false" ht="15" hidden="false" customHeight="false" outlineLevel="0" collapsed="false">
      <c r="A262" s="28" t="s">
        <v>194</v>
      </c>
      <c r="B262" s="28" t="s">
        <v>937</v>
      </c>
      <c r="C262" s="28" t="s">
        <v>927</v>
      </c>
      <c r="D262" s="23" t="n">
        <v>-5055.85585405782</v>
      </c>
    </row>
    <row r="263" customFormat="false" ht="15" hidden="false" customHeight="false" outlineLevel="0" collapsed="false">
      <c r="A263" s="28" t="s">
        <v>194</v>
      </c>
      <c r="B263" s="28" t="s">
        <v>937</v>
      </c>
      <c r="C263" s="28" t="s">
        <v>928</v>
      </c>
      <c r="D263" s="23" t="n">
        <v>-992.659571759768</v>
      </c>
    </row>
    <row r="264" customFormat="false" ht="15" hidden="false" customHeight="false" outlineLevel="0" collapsed="false">
      <c r="A264" s="28" t="s">
        <v>194</v>
      </c>
      <c r="B264" s="28" t="s">
        <v>937</v>
      </c>
      <c r="C264" s="28" t="s">
        <v>929</v>
      </c>
      <c r="D264" s="23" t="n">
        <v>-3130.95300556076</v>
      </c>
    </row>
    <row r="265" customFormat="false" ht="15" hidden="false" customHeight="false" outlineLevel="0" collapsed="false">
      <c r="A265" s="28" t="s">
        <v>194</v>
      </c>
      <c r="B265" s="28" t="s">
        <v>937</v>
      </c>
      <c r="C265" s="28" t="s">
        <v>930</v>
      </c>
      <c r="D265" s="23" t="n">
        <v>-205.43822</v>
      </c>
    </row>
    <row r="266" customFormat="false" ht="15" hidden="false" customHeight="false" outlineLevel="0" collapsed="false">
      <c r="A266" s="28" t="s">
        <v>194</v>
      </c>
      <c r="B266" s="28" t="s">
        <v>937</v>
      </c>
      <c r="C266" s="28" t="s">
        <v>931</v>
      </c>
      <c r="D266" s="23" t="n">
        <v>-789.461083864327</v>
      </c>
    </row>
    <row r="267" customFormat="false" ht="15" hidden="false" customHeight="false" outlineLevel="0" collapsed="false">
      <c r="A267" s="28" t="s">
        <v>194</v>
      </c>
      <c r="B267" s="28" t="s">
        <v>937</v>
      </c>
      <c r="C267" s="28" t="s">
        <v>932</v>
      </c>
      <c r="D267" s="23" t="n">
        <v>0</v>
      </c>
    </row>
    <row r="268" customFormat="false" ht="15" hidden="false" customHeight="false" outlineLevel="0" collapsed="false">
      <c r="A268" s="28" t="s">
        <v>194</v>
      </c>
      <c r="B268" s="28" t="s">
        <v>937</v>
      </c>
      <c r="C268" s="28" t="s">
        <v>933</v>
      </c>
      <c r="D268" s="23" t="n">
        <v>1312.2083671</v>
      </c>
    </row>
    <row r="269" customFormat="false" ht="15" hidden="false" customHeight="false" outlineLevel="0" collapsed="false">
      <c r="A269" s="28" t="s">
        <v>194</v>
      </c>
      <c r="B269" s="28" t="s">
        <v>937</v>
      </c>
      <c r="C269" s="28" t="s">
        <v>934</v>
      </c>
      <c r="D269" s="23" t="n">
        <v>12324.4224087917</v>
      </c>
    </row>
    <row r="270" customFormat="false" ht="15" hidden="false" customHeight="false" outlineLevel="0" collapsed="false">
      <c r="A270" s="28" t="s">
        <v>194</v>
      </c>
      <c r="B270" s="28" t="s">
        <v>937</v>
      </c>
      <c r="C270" s="28" t="s">
        <v>935</v>
      </c>
      <c r="D270" s="23" t="n">
        <v>11866.5212103255</v>
      </c>
    </row>
    <row r="271" customFormat="false" ht="15" hidden="false" customHeight="false" outlineLevel="0" collapsed="false">
      <c r="A271" s="28" t="s">
        <v>194</v>
      </c>
      <c r="B271" s="28" t="s">
        <v>937</v>
      </c>
      <c r="C271" s="28" t="s">
        <v>936</v>
      </c>
      <c r="D271" s="23" t="n">
        <v>0</v>
      </c>
    </row>
    <row r="272" customFormat="false" ht="15" hidden="false" customHeight="false" outlineLevel="0" collapsed="false">
      <c r="A272" s="28" t="s">
        <v>196</v>
      </c>
      <c r="B272" s="28" t="s">
        <v>922</v>
      </c>
      <c r="C272" s="28" t="s">
        <v>923</v>
      </c>
      <c r="D272" s="23" t="n">
        <v>3001.11229458333</v>
      </c>
    </row>
    <row r="273" customFormat="false" ht="15" hidden="false" customHeight="false" outlineLevel="0" collapsed="false">
      <c r="A273" s="28" t="s">
        <v>196</v>
      </c>
      <c r="B273" s="28" t="s">
        <v>922</v>
      </c>
      <c r="C273" s="28" t="s">
        <v>924</v>
      </c>
      <c r="D273" s="23" t="n">
        <v>320.644618414925</v>
      </c>
    </row>
    <row r="274" customFormat="false" ht="15" hidden="false" customHeight="false" outlineLevel="0" collapsed="false">
      <c r="A274" s="28" t="s">
        <v>196</v>
      </c>
      <c r="B274" s="28" t="s">
        <v>922</v>
      </c>
      <c r="C274" s="28" t="s">
        <v>925</v>
      </c>
      <c r="D274" s="23" t="n">
        <v>458.333333333333</v>
      </c>
    </row>
    <row r="275" customFormat="false" ht="15" hidden="false" customHeight="false" outlineLevel="0" collapsed="false">
      <c r="A275" s="28" t="s">
        <v>196</v>
      </c>
      <c r="B275" s="28" t="s">
        <v>922</v>
      </c>
      <c r="C275" s="28" t="s">
        <v>926</v>
      </c>
      <c r="D275" s="23" t="n">
        <v>6947.2952208</v>
      </c>
    </row>
    <row r="276" customFormat="false" ht="15" hidden="false" customHeight="false" outlineLevel="0" collapsed="false">
      <c r="A276" s="28" t="s">
        <v>196</v>
      </c>
      <c r="B276" s="28" t="s">
        <v>922</v>
      </c>
      <c r="C276" s="28" t="s">
        <v>563</v>
      </c>
      <c r="D276" s="23" t="n">
        <v>96.3149645336117</v>
      </c>
    </row>
    <row r="277" customFormat="false" ht="15" hidden="false" customHeight="false" outlineLevel="0" collapsed="false">
      <c r="A277" s="28" t="s">
        <v>196</v>
      </c>
      <c r="B277" s="28" t="s">
        <v>922</v>
      </c>
      <c r="C277" s="28" t="s">
        <v>927</v>
      </c>
      <c r="D277" s="23" t="n">
        <v>689.421366330837</v>
      </c>
    </row>
    <row r="278" customFormat="false" ht="15" hidden="false" customHeight="false" outlineLevel="0" collapsed="false">
      <c r="A278" s="28" t="s">
        <v>196</v>
      </c>
      <c r="B278" s="28" t="s">
        <v>922</v>
      </c>
      <c r="C278" s="28" t="s">
        <v>928</v>
      </c>
      <c r="D278" s="23" t="n">
        <v>134.994286340579</v>
      </c>
    </row>
    <row r="279" customFormat="false" ht="15" hidden="false" customHeight="false" outlineLevel="0" collapsed="false">
      <c r="A279" s="28" t="s">
        <v>196</v>
      </c>
      <c r="B279" s="28" t="s">
        <v>922</v>
      </c>
      <c r="C279" s="28" t="s">
        <v>929</v>
      </c>
      <c r="D279" s="23" t="n">
        <v>884.393114744357</v>
      </c>
    </row>
    <row r="280" customFormat="false" ht="15" hidden="false" customHeight="false" outlineLevel="0" collapsed="false">
      <c r="A280" s="28" t="s">
        <v>196</v>
      </c>
      <c r="B280" s="28" t="s">
        <v>922</v>
      </c>
      <c r="C280" s="28" t="s">
        <v>930</v>
      </c>
      <c r="D280" s="23" t="n">
        <v>94.1591841666667</v>
      </c>
    </row>
    <row r="281" customFormat="false" ht="15" hidden="false" customHeight="false" outlineLevel="0" collapsed="false">
      <c r="A281" s="28" t="s">
        <v>196</v>
      </c>
      <c r="B281" s="28" t="s">
        <v>922</v>
      </c>
      <c r="C281" s="28" t="s">
        <v>931</v>
      </c>
      <c r="D281" s="23" t="n">
        <v>250.411663329271</v>
      </c>
    </row>
    <row r="282" customFormat="false" ht="15" hidden="false" customHeight="false" outlineLevel="0" collapsed="false">
      <c r="A282" s="28" t="s">
        <v>196</v>
      </c>
      <c r="B282" s="28" t="s">
        <v>922</v>
      </c>
      <c r="C282" s="28" t="s">
        <v>932</v>
      </c>
      <c r="D282" s="23" t="n">
        <v>0</v>
      </c>
    </row>
    <row r="283" customFormat="false" ht="15" hidden="false" customHeight="false" outlineLevel="0" collapsed="false">
      <c r="A283" s="28" t="s">
        <v>196</v>
      </c>
      <c r="B283" s="28" t="s">
        <v>922</v>
      </c>
      <c r="C283" s="28" t="s">
        <v>933</v>
      </c>
      <c r="D283" s="23" t="n">
        <v>-446.388634058677</v>
      </c>
    </row>
    <row r="284" customFormat="false" ht="15" hidden="false" customHeight="false" outlineLevel="0" collapsed="false">
      <c r="A284" s="28" t="s">
        <v>196</v>
      </c>
      <c r="B284" s="28" t="s">
        <v>922</v>
      </c>
      <c r="C284" s="28" t="s">
        <v>934</v>
      </c>
      <c r="D284" s="23" t="n">
        <v>-4562.43892455595</v>
      </c>
    </row>
    <row r="285" customFormat="false" ht="15" hidden="false" customHeight="false" outlineLevel="0" collapsed="false">
      <c r="A285" s="28" t="s">
        <v>196</v>
      </c>
      <c r="B285" s="28" t="s">
        <v>922</v>
      </c>
      <c r="C285" s="28" t="s">
        <v>935</v>
      </c>
      <c r="D285" s="23" t="n">
        <v>-1740.07332945804</v>
      </c>
    </row>
    <row r="286" customFormat="false" ht="15" hidden="false" customHeight="false" outlineLevel="0" collapsed="false">
      <c r="A286" s="28" t="s">
        <v>196</v>
      </c>
      <c r="B286" s="28" t="s">
        <v>922</v>
      </c>
      <c r="C286" s="28" t="s">
        <v>936</v>
      </c>
      <c r="D286" s="23" t="n">
        <v>-2719.55282533847</v>
      </c>
    </row>
    <row r="287" customFormat="false" ht="15" hidden="false" customHeight="false" outlineLevel="0" collapsed="false">
      <c r="A287" s="28" t="s">
        <v>196</v>
      </c>
      <c r="B287" s="28" t="s">
        <v>937</v>
      </c>
      <c r="C287" s="28" t="s">
        <v>923</v>
      </c>
      <c r="D287" s="23" t="n">
        <v>6547.88137</v>
      </c>
    </row>
    <row r="288" customFormat="false" ht="15" hidden="false" customHeight="false" outlineLevel="0" collapsed="false">
      <c r="A288" s="28" t="s">
        <v>196</v>
      </c>
      <c r="B288" s="28" t="s">
        <v>937</v>
      </c>
      <c r="C288" s="28" t="s">
        <v>924</v>
      </c>
      <c r="D288" s="23" t="n">
        <v>2758.93597315892</v>
      </c>
    </row>
    <row r="289" customFormat="false" ht="15" hidden="false" customHeight="false" outlineLevel="0" collapsed="false">
      <c r="A289" s="28" t="s">
        <v>196</v>
      </c>
      <c r="B289" s="28" t="s">
        <v>937</v>
      </c>
      <c r="C289" s="28" t="s">
        <v>925</v>
      </c>
      <c r="D289" s="23" t="n">
        <v>1000</v>
      </c>
    </row>
    <row r="290" customFormat="false" ht="15" hidden="false" customHeight="false" outlineLevel="0" collapsed="false">
      <c r="A290" s="28" t="s">
        <v>196</v>
      </c>
      <c r="B290" s="28" t="s">
        <v>937</v>
      </c>
      <c r="C290" s="28" t="s">
        <v>926</v>
      </c>
      <c r="D290" s="23" t="n">
        <v>15157.7350272</v>
      </c>
    </row>
    <row r="291" customFormat="false" ht="15" hidden="false" customHeight="false" outlineLevel="0" collapsed="false">
      <c r="A291" s="28" t="s">
        <v>196</v>
      </c>
      <c r="B291" s="28" t="s">
        <v>937</v>
      </c>
      <c r="C291" s="28" t="s">
        <v>563</v>
      </c>
      <c r="D291" s="23" t="n">
        <v>656.478821721215</v>
      </c>
    </row>
    <row r="292" customFormat="false" ht="15" hidden="false" customHeight="false" outlineLevel="0" collapsed="false">
      <c r="A292" s="28" t="s">
        <v>196</v>
      </c>
      <c r="B292" s="28" t="s">
        <v>937</v>
      </c>
      <c r="C292" s="28" t="s">
        <v>927</v>
      </c>
      <c r="D292" s="23" t="n">
        <v>4692.98363863899</v>
      </c>
    </row>
    <row r="293" customFormat="false" ht="15" hidden="false" customHeight="false" outlineLevel="0" collapsed="false">
      <c r="A293" s="28" t="s">
        <v>196</v>
      </c>
      <c r="B293" s="28" t="s">
        <v>937</v>
      </c>
      <c r="C293" s="28" t="s">
        <v>928</v>
      </c>
      <c r="D293" s="23" t="n">
        <v>1002.11547921695</v>
      </c>
    </row>
    <row r="294" customFormat="false" ht="15" hidden="false" customHeight="false" outlineLevel="0" collapsed="false">
      <c r="A294" s="28" t="s">
        <v>196</v>
      </c>
      <c r="B294" s="28" t="s">
        <v>937</v>
      </c>
      <c r="C294" s="28" t="s">
        <v>929</v>
      </c>
      <c r="D294" s="23" t="n">
        <v>3064.28338338973</v>
      </c>
    </row>
    <row r="295" customFormat="false" ht="15" hidden="false" customHeight="false" outlineLevel="0" collapsed="false">
      <c r="A295" s="28" t="s">
        <v>196</v>
      </c>
      <c r="B295" s="28" t="s">
        <v>937</v>
      </c>
      <c r="C295" s="28" t="s">
        <v>930</v>
      </c>
      <c r="D295" s="23" t="n">
        <v>205.43822</v>
      </c>
    </row>
    <row r="296" customFormat="false" ht="15" hidden="false" customHeight="false" outlineLevel="0" collapsed="false">
      <c r="A296" s="28" t="s">
        <v>196</v>
      </c>
      <c r="B296" s="28" t="s">
        <v>937</v>
      </c>
      <c r="C296" s="28" t="s">
        <v>931</v>
      </c>
      <c r="D296" s="23" t="n">
        <v>789.461083864326</v>
      </c>
    </row>
    <row r="297" customFormat="false" ht="15" hidden="false" customHeight="false" outlineLevel="0" collapsed="false">
      <c r="A297" s="28" t="s">
        <v>196</v>
      </c>
      <c r="B297" s="28" t="s">
        <v>937</v>
      </c>
      <c r="C297" s="28" t="s">
        <v>932</v>
      </c>
      <c r="D297" s="23" t="n">
        <v>0</v>
      </c>
    </row>
    <row r="298" customFormat="false" ht="15" hidden="false" customHeight="false" outlineLevel="0" collapsed="false">
      <c r="A298" s="28" t="s">
        <v>196</v>
      </c>
      <c r="B298" s="28" t="s">
        <v>937</v>
      </c>
      <c r="C298" s="28" t="s">
        <v>933</v>
      </c>
      <c r="D298" s="23" t="n">
        <v>-1317.99801584517</v>
      </c>
    </row>
    <row r="299" customFormat="false" ht="15" hidden="false" customHeight="false" outlineLevel="0" collapsed="false">
      <c r="A299" s="28" t="s">
        <v>196</v>
      </c>
      <c r="B299" s="28" t="s">
        <v>937</v>
      </c>
      <c r="C299" s="28" t="s">
        <v>934</v>
      </c>
      <c r="D299" s="23" t="n">
        <v>-12437.2867022413</v>
      </c>
    </row>
    <row r="300" customFormat="false" ht="15" hidden="false" customHeight="false" outlineLevel="0" collapsed="false">
      <c r="A300" s="28" t="s">
        <v>196</v>
      </c>
      <c r="B300" s="28" t="s">
        <v>937</v>
      </c>
      <c r="C300" s="28" t="s">
        <v>935</v>
      </c>
      <c r="D300" s="23" t="n">
        <v>-11882.2368861597</v>
      </c>
    </row>
    <row r="301" customFormat="false" ht="15" hidden="false" customHeight="false" outlineLevel="0" collapsed="false">
      <c r="A301" s="28" t="s">
        <v>196</v>
      </c>
      <c r="B301" s="28" t="s">
        <v>937</v>
      </c>
      <c r="C301" s="28" t="s">
        <v>936</v>
      </c>
      <c r="D301" s="23" t="n">
        <v>-8732.3306467984</v>
      </c>
    </row>
    <row r="302" customFormat="false" ht="15" hidden="false" customHeight="false" outlineLevel="0" collapsed="false">
      <c r="A302" s="28" t="s">
        <v>198</v>
      </c>
      <c r="B302" s="28" t="s">
        <v>922</v>
      </c>
      <c r="C302" s="28" t="s">
        <v>923</v>
      </c>
      <c r="D302" s="23" t="n">
        <v>6002.22458916667</v>
      </c>
    </row>
    <row r="303" customFormat="false" ht="15" hidden="false" customHeight="false" outlineLevel="0" collapsed="false">
      <c r="A303" s="28" t="s">
        <v>198</v>
      </c>
      <c r="B303" s="28" t="s">
        <v>922</v>
      </c>
      <c r="C303" s="28" t="s">
        <v>924</v>
      </c>
      <c r="D303" s="23" t="n">
        <v>637.683350272564</v>
      </c>
    </row>
    <row r="304" customFormat="false" ht="15" hidden="false" customHeight="false" outlineLevel="0" collapsed="false">
      <c r="A304" s="28" t="s">
        <v>198</v>
      </c>
      <c r="B304" s="28" t="s">
        <v>922</v>
      </c>
      <c r="C304" s="28" t="s">
        <v>925</v>
      </c>
      <c r="D304" s="23" t="n">
        <v>916.666666666667</v>
      </c>
    </row>
    <row r="305" customFormat="false" ht="15" hidden="false" customHeight="false" outlineLevel="0" collapsed="false">
      <c r="A305" s="28" t="s">
        <v>198</v>
      </c>
      <c r="B305" s="28" t="s">
        <v>922</v>
      </c>
      <c r="C305" s="28" t="s">
        <v>926</v>
      </c>
      <c r="D305" s="23" t="n">
        <v>13894.5904416</v>
      </c>
    </row>
    <row r="306" customFormat="false" ht="15" hidden="false" customHeight="false" outlineLevel="0" collapsed="false">
      <c r="A306" s="28" t="s">
        <v>198</v>
      </c>
      <c r="B306" s="28" t="s">
        <v>922</v>
      </c>
      <c r="C306" s="28" t="s">
        <v>563</v>
      </c>
      <c r="D306" s="23" t="n">
        <v>182.182015850444</v>
      </c>
    </row>
    <row r="307" customFormat="false" ht="15" hidden="false" customHeight="false" outlineLevel="0" collapsed="false">
      <c r="A307" s="28" t="s">
        <v>198</v>
      </c>
      <c r="B307" s="28" t="s">
        <v>922</v>
      </c>
      <c r="C307" s="28" t="s">
        <v>927</v>
      </c>
      <c r="D307" s="23" t="n">
        <v>1342.05588826874</v>
      </c>
    </row>
    <row r="308" customFormat="false" ht="15" hidden="false" customHeight="false" outlineLevel="0" collapsed="false">
      <c r="A308" s="28" t="s">
        <v>198</v>
      </c>
      <c r="B308" s="28" t="s">
        <v>922</v>
      </c>
      <c r="C308" s="28" t="s">
        <v>928</v>
      </c>
      <c r="D308" s="23" t="n">
        <v>268.679402063929</v>
      </c>
    </row>
    <row r="309" customFormat="false" ht="15" hidden="false" customHeight="false" outlineLevel="0" collapsed="false">
      <c r="A309" s="28" t="s">
        <v>198</v>
      </c>
      <c r="B309" s="28" t="s">
        <v>922</v>
      </c>
      <c r="C309" s="28" t="s">
        <v>929</v>
      </c>
      <c r="D309" s="23" t="n">
        <v>1761.35127185674</v>
      </c>
    </row>
    <row r="310" customFormat="false" ht="15" hidden="false" customHeight="false" outlineLevel="0" collapsed="false">
      <c r="A310" s="28" t="s">
        <v>198</v>
      </c>
      <c r="B310" s="28" t="s">
        <v>922</v>
      </c>
      <c r="C310" s="28" t="s">
        <v>930</v>
      </c>
      <c r="D310" s="23" t="n">
        <v>188.318368333333</v>
      </c>
    </row>
    <row r="311" customFormat="false" ht="15" hidden="false" customHeight="false" outlineLevel="0" collapsed="false">
      <c r="A311" s="28" t="s">
        <v>198</v>
      </c>
      <c r="B311" s="28" t="s">
        <v>922</v>
      </c>
      <c r="C311" s="28" t="s">
        <v>931</v>
      </c>
      <c r="D311" s="23" t="n">
        <v>500.823326658539</v>
      </c>
    </row>
    <row r="312" customFormat="false" ht="15" hidden="false" customHeight="false" outlineLevel="0" collapsed="false">
      <c r="A312" s="28" t="s">
        <v>198</v>
      </c>
      <c r="B312" s="28" t="s">
        <v>922</v>
      </c>
      <c r="C312" s="28" t="s">
        <v>932</v>
      </c>
      <c r="D312" s="23" t="n">
        <v>0</v>
      </c>
    </row>
    <row r="313" customFormat="false" ht="15" hidden="false" customHeight="false" outlineLevel="0" collapsed="false">
      <c r="A313" s="28" t="s">
        <v>198</v>
      </c>
      <c r="B313" s="28" t="s">
        <v>922</v>
      </c>
      <c r="C313" s="28" t="s">
        <v>933</v>
      </c>
      <c r="D313" s="23" t="n">
        <v>-883.851988691808</v>
      </c>
    </row>
    <row r="314" customFormat="false" ht="15" hidden="false" customHeight="false" outlineLevel="0" collapsed="false">
      <c r="A314" s="28" t="s">
        <v>198</v>
      </c>
      <c r="B314" s="28" t="s">
        <v>922</v>
      </c>
      <c r="C314" s="28" t="s">
        <v>934</v>
      </c>
      <c r="D314" s="23" t="n">
        <v>-8884.73129750932</v>
      </c>
    </row>
    <row r="315" customFormat="false" ht="15" hidden="false" customHeight="false" outlineLevel="0" collapsed="false">
      <c r="A315" s="28" t="s">
        <v>198</v>
      </c>
      <c r="B315" s="28" t="s">
        <v>922</v>
      </c>
      <c r="C315" s="28" t="s">
        <v>935</v>
      </c>
      <c r="D315" s="23" t="n">
        <v>-3479.07474263256</v>
      </c>
    </row>
    <row r="316" customFormat="false" ht="15" hidden="false" customHeight="false" outlineLevel="0" collapsed="false">
      <c r="A316" s="28" t="s">
        <v>198</v>
      </c>
      <c r="B316" s="28" t="s">
        <v>922</v>
      </c>
      <c r="C316" s="28" t="s">
        <v>936</v>
      </c>
      <c r="D316" s="23" t="n">
        <v>-6269.72724663011</v>
      </c>
    </row>
    <row r="317" customFormat="false" ht="15" hidden="false" customHeight="false" outlineLevel="0" collapsed="false">
      <c r="A317" s="28" t="s">
        <v>198</v>
      </c>
      <c r="B317" s="28" t="s">
        <v>937</v>
      </c>
      <c r="C317" s="28" t="s">
        <v>923</v>
      </c>
      <c r="D317" s="23" t="n">
        <v>13095.76274</v>
      </c>
    </row>
    <row r="318" customFormat="false" ht="15" hidden="false" customHeight="false" outlineLevel="0" collapsed="false">
      <c r="A318" s="28" t="s">
        <v>198</v>
      </c>
      <c r="B318" s="28" t="s">
        <v>937</v>
      </c>
      <c r="C318" s="28" t="s">
        <v>924</v>
      </c>
      <c r="D318" s="23" t="n">
        <v>5473.91003852305</v>
      </c>
    </row>
    <row r="319" customFormat="false" ht="15" hidden="false" customHeight="false" outlineLevel="0" collapsed="false">
      <c r="A319" s="28" t="s">
        <v>198</v>
      </c>
      <c r="B319" s="28" t="s">
        <v>937</v>
      </c>
      <c r="C319" s="28" t="s">
        <v>925</v>
      </c>
      <c r="D319" s="23" t="n">
        <v>2000</v>
      </c>
    </row>
    <row r="320" customFormat="false" ht="15" hidden="false" customHeight="false" outlineLevel="0" collapsed="false">
      <c r="A320" s="28" t="s">
        <v>198</v>
      </c>
      <c r="B320" s="28" t="s">
        <v>937</v>
      </c>
      <c r="C320" s="28" t="s">
        <v>926</v>
      </c>
      <c r="D320" s="23" t="n">
        <v>30315.4700544</v>
      </c>
    </row>
    <row r="321" customFormat="false" ht="15" hidden="false" customHeight="false" outlineLevel="0" collapsed="false">
      <c r="A321" s="28" t="s">
        <v>198</v>
      </c>
      <c r="B321" s="28" t="s">
        <v>937</v>
      </c>
      <c r="C321" s="28" t="s">
        <v>563</v>
      </c>
      <c r="D321" s="23" t="n">
        <v>1189.48504546089</v>
      </c>
    </row>
    <row r="322" customFormat="false" ht="15" hidden="false" customHeight="false" outlineLevel="0" collapsed="false">
      <c r="A322" s="28" t="s">
        <v>198</v>
      </c>
      <c r="B322" s="28" t="s">
        <v>937</v>
      </c>
      <c r="C322" s="28" t="s">
        <v>927</v>
      </c>
      <c r="D322" s="23" t="n">
        <v>9030.1867431419</v>
      </c>
    </row>
    <row r="323" customFormat="false" ht="15" hidden="false" customHeight="false" outlineLevel="0" collapsed="false">
      <c r="A323" s="28" t="s">
        <v>198</v>
      </c>
      <c r="B323" s="28" t="s">
        <v>937</v>
      </c>
      <c r="C323" s="28" t="s">
        <v>928</v>
      </c>
      <c r="D323" s="23" t="n">
        <v>1992.34549787188</v>
      </c>
    </row>
    <row r="324" customFormat="false" ht="15" hidden="false" customHeight="false" outlineLevel="0" collapsed="false">
      <c r="A324" s="28" t="s">
        <v>198</v>
      </c>
      <c r="B324" s="28" t="s">
        <v>937</v>
      </c>
      <c r="C324" s="28" t="s">
        <v>929</v>
      </c>
      <c r="D324" s="23" t="n">
        <v>6050.61026014217</v>
      </c>
    </row>
    <row r="325" customFormat="false" ht="15" hidden="false" customHeight="false" outlineLevel="0" collapsed="false">
      <c r="A325" s="28" t="s">
        <v>198</v>
      </c>
      <c r="B325" s="28" t="s">
        <v>937</v>
      </c>
      <c r="C325" s="28" t="s">
        <v>930</v>
      </c>
      <c r="D325" s="23" t="n">
        <v>410.87644</v>
      </c>
    </row>
    <row r="326" customFormat="false" ht="15" hidden="false" customHeight="false" outlineLevel="0" collapsed="false">
      <c r="A326" s="28" t="s">
        <v>198</v>
      </c>
      <c r="B326" s="28" t="s">
        <v>937</v>
      </c>
      <c r="C326" s="28" t="s">
        <v>931</v>
      </c>
      <c r="D326" s="23" t="n">
        <v>1578.92216772865</v>
      </c>
    </row>
    <row r="327" customFormat="false" ht="15" hidden="false" customHeight="false" outlineLevel="0" collapsed="false">
      <c r="A327" s="28" t="s">
        <v>198</v>
      </c>
      <c r="B327" s="28" t="s">
        <v>937</v>
      </c>
      <c r="C327" s="28" t="s">
        <v>932</v>
      </c>
      <c r="D327" s="23" t="n">
        <v>0</v>
      </c>
    </row>
    <row r="328" customFormat="false" ht="15" hidden="false" customHeight="false" outlineLevel="0" collapsed="false">
      <c r="A328" s="28" t="s">
        <v>198</v>
      </c>
      <c r="B328" s="28" t="s">
        <v>937</v>
      </c>
      <c r="C328" s="28" t="s">
        <v>933</v>
      </c>
      <c r="D328" s="23" t="n">
        <v>-2587.08168799</v>
      </c>
    </row>
    <row r="329" customFormat="false" ht="15" hidden="false" customHeight="false" outlineLevel="0" collapsed="false">
      <c r="A329" s="28" t="s">
        <v>198</v>
      </c>
      <c r="B329" s="28" t="s">
        <v>937</v>
      </c>
      <c r="C329" s="28" t="s">
        <v>934</v>
      </c>
      <c r="D329" s="23" t="n">
        <v>-23677.0366234569</v>
      </c>
    </row>
    <row r="330" customFormat="false" ht="15" hidden="false" customHeight="false" outlineLevel="0" collapsed="false">
      <c r="A330" s="28" t="s">
        <v>198</v>
      </c>
      <c r="B330" s="28" t="s">
        <v>937</v>
      </c>
      <c r="C330" s="28" t="s">
        <v>935</v>
      </c>
      <c r="D330" s="23" t="n">
        <v>-23758.6231840879</v>
      </c>
    </row>
    <row r="331" customFormat="false" ht="15" hidden="false" customHeight="false" outlineLevel="0" collapsed="false">
      <c r="A331" s="28" t="s">
        <v>198</v>
      </c>
      <c r="B331" s="28" t="s">
        <v>937</v>
      </c>
      <c r="C331" s="28" t="s">
        <v>936</v>
      </c>
      <c r="D331" s="23" t="n">
        <v>-21007.1889393568</v>
      </c>
    </row>
    <row r="332" customFormat="false" ht="15" hidden="false" customHeight="false" outlineLevel="0" collapsed="false">
      <c r="A332" s="28" t="s">
        <v>200</v>
      </c>
      <c r="B332" s="28" t="s">
        <v>922</v>
      </c>
      <c r="C332" s="28" t="s">
        <v>923</v>
      </c>
      <c r="D332" s="23" t="n">
        <v>3273.940685</v>
      </c>
    </row>
    <row r="333" customFormat="false" ht="15" hidden="false" customHeight="false" outlineLevel="0" collapsed="false">
      <c r="A333" s="28" t="s">
        <v>200</v>
      </c>
      <c r="B333" s="28" t="s">
        <v>922</v>
      </c>
      <c r="C333" s="28" t="s">
        <v>924</v>
      </c>
      <c r="D333" s="23" t="n">
        <v>861.688909848409</v>
      </c>
    </row>
    <row r="334" customFormat="false" ht="15" hidden="false" customHeight="false" outlineLevel="0" collapsed="false">
      <c r="A334" s="28" t="s">
        <v>200</v>
      </c>
      <c r="B334" s="28" t="s">
        <v>922</v>
      </c>
      <c r="C334" s="28" t="s">
        <v>925</v>
      </c>
      <c r="D334" s="23" t="n">
        <v>500</v>
      </c>
    </row>
    <row r="335" customFormat="false" ht="15" hidden="false" customHeight="false" outlineLevel="0" collapsed="false">
      <c r="A335" s="28" t="s">
        <v>200</v>
      </c>
      <c r="B335" s="28" t="s">
        <v>922</v>
      </c>
      <c r="C335" s="28" t="s">
        <v>926</v>
      </c>
      <c r="D335" s="23" t="n">
        <v>7578.8675136</v>
      </c>
    </row>
    <row r="336" customFormat="false" ht="15" hidden="false" customHeight="false" outlineLevel="0" collapsed="false">
      <c r="A336" s="28" t="s">
        <v>200</v>
      </c>
      <c r="B336" s="28" t="s">
        <v>922</v>
      </c>
      <c r="C336" s="28" t="s">
        <v>563</v>
      </c>
      <c r="D336" s="23" t="n">
        <v>313.325741486359</v>
      </c>
    </row>
    <row r="337" customFormat="false" ht="15" hidden="false" customHeight="false" outlineLevel="0" collapsed="false">
      <c r="A337" s="28" t="s">
        <v>200</v>
      </c>
      <c r="B337" s="28" t="s">
        <v>922</v>
      </c>
      <c r="C337" s="28" t="s">
        <v>927</v>
      </c>
      <c r="D337" s="23" t="n">
        <v>1793.02318090397</v>
      </c>
    </row>
    <row r="338" customFormat="false" ht="15" hidden="false" customHeight="false" outlineLevel="0" collapsed="false">
      <c r="A338" s="28" t="s">
        <v>200</v>
      </c>
      <c r="B338" s="28" t="s">
        <v>922</v>
      </c>
      <c r="C338" s="28" t="s">
        <v>928</v>
      </c>
      <c r="D338" s="23" t="n">
        <v>397.196093638575</v>
      </c>
    </row>
    <row r="339" customFormat="false" ht="15" hidden="false" customHeight="false" outlineLevel="0" collapsed="false">
      <c r="A339" s="28" t="s">
        <v>200</v>
      </c>
      <c r="B339" s="28" t="s">
        <v>922</v>
      </c>
      <c r="C339" s="28" t="s">
        <v>929</v>
      </c>
      <c r="D339" s="23" t="n">
        <v>1623.319879781</v>
      </c>
    </row>
    <row r="340" customFormat="false" ht="15" hidden="false" customHeight="false" outlineLevel="0" collapsed="false">
      <c r="A340" s="28" t="s">
        <v>200</v>
      </c>
      <c r="B340" s="28" t="s">
        <v>922</v>
      </c>
      <c r="C340" s="28" t="s">
        <v>930</v>
      </c>
      <c r="D340" s="23" t="n">
        <v>102.71911</v>
      </c>
    </row>
    <row r="341" customFormat="false" ht="15" hidden="false" customHeight="false" outlineLevel="0" collapsed="false">
      <c r="A341" s="28" t="s">
        <v>200</v>
      </c>
      <c r="B341" s="28" t="s">
        <v>922</v>
      </c>
      <c r="C341" s="28" t="s">
        <v>931</v>
      </c>
      <c r="D341" s="23" t="n">
        <v>374.689262718056</v>
      </c>
    </row>
    <row r="342" customFormat="false" ht="15" hidden="false" customHeight="false" outlineLevel="0" collapsed="false">
      <c r="A342" s="28" t="s">
        <v>200</v>
      </c>
      <c r="B342" s="28" t="s">
        <v>922</v>
      </c>
      <c r="C342" s="28" t="s">
        <v>932</v>
      </c>
      <c r="D342" s="23" t="n">
        <v>0</v>
      </c>
    </row>
    <row r="343" customFormat="false" ht="15" hidden="false" customHeight="false" outlineLevel="0" collapsed="false">
      <c r="A343" s="28" t="s">
        <v>200</v>
      </c>
      <c r="B343" s="28" t="s">
        <v>922</v>
      </c>
      <c r="C343" s="28" t="s">
        <v>933</v>
      </c>
      <c r="D343" s="23" t="n">
        <v>-586.12136051473</v>
      </c>
    </row>
    <row r="344" customFormat="false" ht="15" hidden="false" customHeight="false" outlineLevel="0" collapsed="false">
      <c r="A344" s="28" t="s">
        <v>200</v>
      </c>
      <c r="B344" s="28" t="s">
        <v>922</v>
      </c>
      <c r="C344" s="28" t="s">
        <v>934</v>
      </c>
      <c r="D344" s="23" t="n">
        <v>-6137.78762778428</v>
      </c>
    </row>
    <row r="345" customFormat="false" ht="15" hidden="false" customHeight="false" outlineLevel="0" collapsed="false">
      <c r="A345" s="28" t="s">
        <v>200</v>
      </c>
      <c r="B345" s="28" t="s">
        <v>922</v>
      </c>
      <c r="C345" s="28" t="s">
        <v>935</v>
      </c>
      <c r="D345" s="23" t="n">
        <v>-4185.08780881631</v>
      </c>
    </row>
    <row r="346" customFormat="false" ht="15" hidden="false" customHeight="false" outlineLevel="0" collapsed="false">
      <c r="A346" s="28" t="s">
        <v>200</v>
      </c>
      <c r="B346" s="28" t="s">
        <v>922</v>
      </c>
      <c r="C346" s="28" t="s">
        <v>936</v>
      </c>
      <c r="D346" s="23" t="n">
        <v>-2162.0489038029</v>
      </c>
    </row>
    <row r="347" customFormat="false" ht="15" hidden="false" customHeight="false" outlineLevel="0" collapsed="false">
      <c r="A347" s="28" t="s">
        <v>200</v>
      </c>
      <c r="B347" s="28" t="s">
        <v>937</v>
      </c>
      <c r="C347" s="28" t="s">
        <v>923</v>
      </c>
      <c r="D347" s="23" t="n">
        <v>3273.940685</v>
      </c>
    </row>
    <row r="348" customFormat="false" ht="15" hidden="false" customHeight="false" outlineLevel="0" collapsed="false">
      <c r="A348" s="28" t="s">
        <v>200</v>
      </c>
      <c r="B348" s="28" t="s">
        <v>937</v>
      </c>
      <c r="C348" s="28" t="s">
        <v>924</v>
      </c>
      <c r="D348" s="23" t="n">
        <v>3335.14019696816</v>
      </c>
    </row>
    <row r="349" customFormat="false" ht="15" hidden="false" customHeight="false" outlineLevel="0" collapsed="false">
      <c r="A349" s="28" t="s">
        <v>200</v>
      </c>
      <c r="B349" s="28" t="s">
        <v>937</v>
      </c>
      <c r="C349" s="28" t="s">
        <v>925</v>
      </c>
      <c r="D349" s="23" t="n">
        <v>500</v>
      </c>
    </row>
    <row r="350" customFormat="false" ht="15" hidden="false" customHeight="false" outlineLevel="0" collapsed="false">
      <c r="A350" s="28" t="s">
        <v>200</v>
      </c>
      <c r="B350" s="28" t="s">
        <v>937</v>
      </c>
      <c r="C350" s="28" t="s">
        <v>926</v>
      </c>
      <c r="D350" s="23" t="n">
        <v>7578.8675136</v>
      </c>
    </row>
    <row r="351" customFormat="false" ht="15" hidden="false" customHeight="false" outlineLevel="0" collapsed="false">
      <c r="A351" s="28" t="s">
        <v>200</v>
      </c>
      <c r="B351" s="28" t="s">
        <v>937</v>
      </c>
      <c r="C351" s="28" t="s">
        <v>563</v>
      </c>
      <c r="D351" s="23" t="n">
        <v>968.566865238557</v>
      </c>
    </row>
    <row r="352" customFormat="false" ht="15" hidden="false" customHeight="false" outlineLevel="0" collapsed="false">
      <c r="A352" s="28" t="s">
        <v>200</v>
      </c>
      <c r="B352" s="28" t="s">
        <v>937</v>
      </c>
      <c r="C352" s="28" t="s">
        <v>927</v>
      </c>
      <c r="D352" s="23" t="n">
        <v>5223.25884229929</v>
      </c>
    </row>
    <row r="353" customFormat="false" ht="15" hidden="false" customHeight="false" outlineLevel="0" collapsed="false">
      <c r="A353" s="28" t="s">
        <v>200</v>
      </c>
      <c r="B353" s="28" t="s">
        <v>937</v>
      </c>
      <c r="C353" s="28" t="s">
        <v>928</v>
      </c>
      <c r="D353" s="23" t="n">
        <v>1168.75534267381</v>
      </c>
    </row>
    <row r="354" customFormat="false" ht="15" hidden="false" customHeight="false" outlineLevel="0" collapsed="false">
      <c r="A354" s="28" t="s">
        <v>200</v>
      </c>
      <c r="B354" s="28" t="s">
        <v>937</v>
      </c>
      <c r="C354" s="28" t="s">
        <v>929</v>
      </c>
      <c r="D354" s="23" t="n">
        <v>3368.13945111392</v>
      </c>
    </row>
    <row r="355" customFormat="false" ht="15" hidden="false" customHeight="false" outlineLevel="0" collapsed="false">
      <c r="A355" s="28" t="s">
        <v>200</v>
      </c>
      <c r="B355" s="28" t="s">
        <v>937</v>
      </c>
      <c r="C355" s="28" t="s">
        <v>930</v>
      </c>
      <c r="D355" s="23" t="n">
        <v>102.71911</v>
      </c>
    </row>
    <row r="356" customFormat="false" ht="15" hidden="false" customHeight="false" outlineLevel="0" collapsed="false">
      <c r="A356" s="28" t="s">
        <v>200</v>
      </c>
      <c r="B356" s="28" t="s">
        <v>937</v>
      </c>
      <c r="C356" s="28" t="s">
        <v>931</v>
      </c>
      <c r="D356" s="23" t="n">
        <v>628.68106611091</v>
      </c>
    </row>
    <row r="357" customFormat="false" ht="15" hidden="false" customHeight="false" outlineLevel="0" collapsed="false">
      <c r="A357" s="28" t="s">
        <v>200</v>
      </c>
      <c r="B357" s="28" t="s">
        <v>937</v>
      </c>
      <c r="C357" s="28" t="s">
        <v>932</v>
      </c>
      <c r="D357" s="23" t="n">
        <v>0</v>
      </c>
    </row>
    <row r="358" customFormat="false" ht="15" hidden="false" customHeight="false" outlineLevel="0" collapsed="false">
      <c r="A358" s="28" t="s">
        <v>200</v>
      </c>
      <c r="B358" s="28" t="s">
        <v>937</v>
      </c>
      <c r="C358" s="28" t="s">
        <v>933</v>
      </c>
      <c r="D358" s="23" t="n">
        <v>-682.0449067445</v>
      </c>
    </row>
    <row r="359" customFormat="false" ht="15" hidden="false" customHeight="false" outlineLevel="0" collapsed="false">
      <c r="A359" s="28" t="s">
        <v>200</v>
      </c>
      <c r="B359" s="28" t="s">
        <v>937</v>
      </c>
      <c r="C359" s="28" t="s">
        <v>934</v>
      </c>
      <c r="D359" s="23" t="n">
        <v>-6477.5267279</v>
      </c>
    </row>
    <row r="360" customFormat="false" ht="15" hidden="false" customHeight="false" outlineLevel="0" collapsed="false">
      <c r="A360" s="28" t="s">
        <v>200</v>
      </c>
      <c r="B360" s="28" t="s">
        <v>937</v>
      </c>
      <c r="C360" s="28" t="s">
        <v>935</v>
      </c>
      <c r="D360" s="23" t="n">
        <v>-8592.72928010219</v>
      </c>
    </row>
    <row r="361" customFormat="false" ht="15" hidden="false" customHeight="false" outlineLevel="0" collapsed="false">
      <c r="A361" s="28" t="s">
        <v>200</v>
      </c>
      <c r="B361" s="28" t="s">
        <v>937</v>
      </c>
      <c r="C361" s="28" t="s">
        <v>936</v>
      </c>
      <c r="D361" s="23" t="n">
        <v>-3991.47489932843</v>
      </c>
    </row>
    <row r="362" customFormat="false" ht="15" hidden="false" customHeight="false" outlineLevel="0" collapsed="false">
      <c r="A362" s="28" t="s">
        <v>203</v>
      </c>
      <c r="B362" s="28" t="s">
        <v>922</v>
      </c>
      <c r="C362" s="28" t="s">
        <v>923</v>
      </c>
      <c r="D362" s="23" t="n">
        <v>0</v>
      </c>
    </row>
    <row r="363" customFormat="false" ht="15" hidden="false" customHeight="false" outlineLevel="0" collapsed="false">
      <c r="A363" s="28" t="s">
        <v>203</v>
      </c>
      <c r="B363" s="28" t="s">
        <v>922</v>
      </c>
      <c r="C363" s="28" t="s">
        <v>924</v>
      </c>
      <c r="D363" s="23" t="n">
        <v>-370.541165587333</v>
      </c>
    </row>
    <row r="364" customFormat="false" ht="15" hidden="false" customHeight="false" outlineLevel="0" collapsed="false">
      <c r="A364" s="28" t="s">
        <v>203</v>
      </c>
      <c r="B364" s="28" t="s">
        <v>922</v>
      </c>
      <c r="C364" s="28" t="s">
        <v>925</v>
      </c>
      <c r="D364" s="23" t="n">
        <v>0</v>
      </c>
    </row>
    <row r="365" customFormat="false" ht="15" hidden="false" customHeight="false" outlineLevel="0" collapsed="false">
      <c r="A365" s="28" t="s">
        <v>203</v>
      </c>
      <c r="B365" s="28" t="s">
        <v>922</v>
      </c>
      <c r="C365" s="28" t="s">
        <v>926</v>
      </c>
      <c r="D365" s="23" t="n">
        <v>0</v>
      </c>
    </row>
    <row r="366" customFormat="false" ht="15" hidden="false" customHeight="false" outlineLevel="0" collapsed="false">
      <c r="A366" s="28" t="s">
        <v>203</v>
      </c>
      <c r="B366" s="28" t="s">
        <v>922</v>
      </c>
      <c r="C366" s="28" t="s">
        <v>563</v>
      </c>
      <c r="D366" s="23" t="n">
        <v>-183.529681628031</v>
      </c>
    </row>
    <row r="367" customFormat="false" ht="15" hidden="false" customHeight="false" outlineLevel="0" collapsed="false">
      <c r="A367" s="28" t="s">
        <v>203</v>
      </c>
      <c r="B367" s="28" t="s">
        <v>922</v>
      </c>
      <c r="C367" s="28" t="s">
        <v>927</v>
      </c>
      <c r="D367" s="23" t="n">
        <v>-687.686839476367</v>
      </c>
    </row>
    <row r="368" customFormat="false" ht="15" hidden="false" customHeight="false" outlineLevel="0" collapsed="false">
      <c r="A368" s="28" t="s">
        <v>203</v>
      </c>
      <c r="B368" s="28" t="s">
        <v>922</v>
      </c>
      <c r="C368" s="28" t="s">
        <v>928</v>
      </c>
      <c r="D368" s="23" t="n">
        <v>-163.644775684897</v>
      </c>
    </row>
    <row r="369" customFormat="false" ht="15" hidden="false" customHeight="false" outlineLevel="0" collapsed="false">
      <c r="A369" s="28" t="s">
        <v>203</v>
      </c>
      <c r="B369" s="28" t="s">
        <v>922</v>
      </c>
      <c r="C369" s="28" t="s">
        <v>929</v>
      </c>
      <c r="D369" s="23" t="n">
        <v>-507.738322603309</v>
      </c>
    </row>
    <row r="370" customFormat="false" ht="15" hidden="false" customHeight="false" outlineLevel="0" collapsed="false">
      <c r="A370" s="28" t="s">
        <v>203</v>
      </c>
      <c r="B370" s="28" t="s">
        <v>922</v>
      </c>
      <c r="C370" s="28" t="s">
        <v>930</v>
      </c>
      <c r="D370" s="23" t="n">
        <v>0</v>
      </c>
    </row>
    <row r="371" customFormat="false" ht="15" hidden="false" customHeight="false" outlineLevel="0" collapsed="false">
      <c r="A371" s="28" t="s">
        <v>203</v>
      </c>
      <c r="B371" s="28" t="s">
        <v>922</v>
      </c>
      <c r="C371" s="28" t="s">
        <v>931</v>
      </c>
      <c r="D371" s="23" t="n">
        <v>-71.3852426639143</v>
      </c>
    </row>
    <row r="372" customFormat="false" ht="15" hidden="false" customHeight="false" outlineLevel="0" collapsed="false">
      <c r="A372" s="28" t="s">
        <v>203</v>
      </c>
      <c r="B372" s="28" t="s">
        <v>922</v>
      </c>
      <c r="C372" s="28" t="s">
        <v>932</v>
      </c>
      <c r="D372" s="23" t="n">
        <v>0</v>
      </c>
    </row>
    <row r="373" customFormat="false" ht="15" hidden="false" customHeight="false" outlineLevel="0" collapsed="false">
      <c r="A373" s="28" t="s">
        <v>203</v>
      </c>
      <c r="B373" s="28" t="s">
        <v>922</v>
      </c>
      <c r="C373" s="28" t="s">
        <v>933</v>
      </c>
      <c r="D373" s="23" t="n">
        <v>0</v>
      </c>
    </row>
    <row r="374" customFormat="false" ht="15" hidden="false" customHeight="false" outlineLevel="0" collapsed="false">
      <c r="A374" s="28" t="s">
        <v>203</v>
      </c>
      <c r="B374" s="28" t="s">
        <v>922</v>
      </c>
      <c r="C374" s="28" t="s">
        <v>934</v>
      </c>
      <c r="D374" s="23" t="n">
        <v>0</v>
      </c>
    </row>
    <row r="375" customFormat="false" ht="15" hidden="false" customHeight="false" outlineLevel="0" collapsed="false">
      <c r="A375" s="28" t="s">
        <v>203</v>
      </c>
      <c r="B375" s="28" t="s">
        <v>922</v>
      </c>
      <c r="C375" s="28" t="s">
        <v>935</v>
      </c>
      <c r="D375" s="23" t="n">
        <v>550.412167171477</v>
      </c>
    </row>
    <row r="376" customFormat="false" ht="15" hidden="false" customHeight="false" outlineLevel="0" collapsed="false">
      <c r="A376" s="28" t="s">
        <v>203</v>
      </c>
      <c r="B376" s="28" t="s">
        <v>922</v>
      </c>
      <c r="C376" s="28" t="s">
        <v>936</v>
      </c>
      <c r="D376" s="23" t="n">
        <v>0</v>
      </c>
    </row>
    <row r="377" customFormat="false" ht="15" hidden="false" customHeight="false" outlineLevel="0" collapsed="false">
      <c r="A377" s="28" t="s">
        <v>203</v>
      </c>
      <c r="B377" s="28" t="s">
        <v>937</v>
      </c>
      <c r="C377" s="28" t="s">
        <v>923</v>
      </c>
      <c r="D377" s="23" t="n">
        <v>0</v>
      </c>
    </row>
    <row r="378" customFormat="false" ht="15" hidden="false" customHeight="false" outlineLevel="0" collapsed="false">
      <c r="A378" s="28" t="s">
        <v>203</v>
      </c>
      <c r="B378" s="28" t="s">
        <v>937</v>
      </c>
      <c r="C378" s="28" t="s">
        <v>924</v>
      </c>
      <c r="D378" s="23" t="n">
        <v>-1385.04714310939</v>
      </c>
    </row>
    <row r="379" customFormat="false" ht="15" hidden="false" customHeight="false" outlineLevel="0" collapsed="false">
      <c r="A379" s="28" t="s">
        <v>203</v>
      </c>
      <c r="B379" s="28" t="s">
        <v>937</v>
      </c>
      <c r="C379" s="28" t="s">
        <v>925</v>
      </c>
      <c r="D379" s="23" t="n">
        <v>0</v>
      </c>
    </row>
    <row r="380" customFormat="false" ht="15" hidden="false" customHeight="false" outlineLevel="0" collapsed="false">
      <c r="A380" s="28" t="s">
        <v>203</v>
      </c>
      <c r="B380" s="28" t="s">
        <v>937</v>
      </c>
      <c r="C380" s="28" t="s">
        <v>926</v>
      </c>
      <c r="D380" s="23" t="n">
        <v>0</v>
      </c>
    </row>
    <row r="381" customFormat="false" ht="15" hidden="false" customHeight="false" outlineLevel="0" collapsed="false">
      <c r="A381" s="28" t="s">
        <v>203</v>
      </c>
      <c r="B381" s="28" t="s">
        <v>937</v>
      </c>
      <c r="C381" s="28" t="s">
        <v>563</v>
      </c>
      <c r="D381" s="23" t="n">
        <v>-559.0052584934</v>
      </c>
    </row>
    <row r="382" customFormat="false" ht="15" hidden="false" customHeight="false" outlineLevel="0" collapsed="false">
      <c r="A382" s="28" t="s">
        <v>203</v>
      </c>
      <c r="B382" s="28" t="s">
        <v>937</v>
      </c>
      <c r="C382" s="28" t="s">
        <v>927</v>
      </c>
      <c r="D382" s="23" t="n">
        <v>-1974.22071077994</v>
      </c>
    </row>
    <row r="383" customFormat="false" ht="15" hidden="false" customHeight="false" outlineLevel="0" collapsed="false">
      <c r="A383" s="28" t="s">
        <v>203</v>
      </c>
      <c r="B383" s="28" t="s">
        <v>937</v>
      </c>
      <c r="C383" s="28" t="s">
        <v>928</v>
      </c>
      <c r="D383" s="23" t="n">
        <v>-501.624369409392</v>
      </c>
    </row>
    <row r="384" customFormat="false" ht="15" hidden="false" customHeight="false" outlineLevel="0" collapsed="false">
      <c r="A384" s="28" t="s">
        <v>203</v>
      </c>
      <c r="B384" s="28" t="s">
        <v>937</v>
      </c>
      <c r="C384" s="28" t="s">
        <v>929</v>
      </c>
      <c r="D384" s="23" t="n">
        <v>-1396.16445435564</v>
      </c>
    </row>
    <row r="385" customFormat="false" ht="15" hidden="false" customHeight="false" outlineLevel="0" collapsed="false">
      <c r="A385" s="28" t="s">
        <v>203</v>
      </c>
      <c r="B385" s="28" t="s">
        <v>937</v>
      </c>
      <c r="C385" s="28" t="s">
        <v>930</v>
      </c>
      <c r="D385" s="23" t="n">
        <v>0</v>
      </c>
    </row>
    <row r="386" customFormat="false" ht="15" hidden="false" customHeight="false" outlineLevel="0" collapsed="false">
      <c r="A386" s="28" t="s">
        <v>203</v>
      </c>
      <c r="B386" s="28" t="s">
        <v>937</v>
      </c>
      <c r="C386" s="28" t="s">
        <v>931</v>
      </c>
      <c r="D386" s="23" t="n">
        <v>-172.297548154002</v>
      </c>
    </row>
    <row r="387" customFormat="false" ht="15" hidden="false" customHeight="false" outlineLevel="0" collapsed="false">
      <c r="A387" s="28" t="s">
        <v>203</v>
      </c>
      <c r="B387" s="28" t="s">
        <v>937</v>
      </c>
      <c r="C387" s="28" t="s">
        <v>932</v>
      </c>
      <c r="D387" s="23" t="n">
        <v>0</v>
      </c>
    </row>
    <row r="388" customFormat="false" ht="15" hidden="false" customHeight="false" outlineLevel="0" collapsed="false">
      <c r="A388" s="28" t="s">
        <v>203</v>
      </c>
      <c r="B388" s="28" t="s">
        <v>937</v>
      </c>
      <c r="C388" s="28" t="s">
        <v>933</v>
      </c>
      <c r="D388" s="23" t="n">
        <v>0</v>
      </c>
    </row>
    <row r="389" customFormat="false" ht="15" hidden="false" customHeight="false" outlineLevel="0" collapsed="false">
      <c r="A389" s="28" t="s">
        <v>203</v>
      </c>
      <c r="B389" s="28" t="s">
        <v>937</v>
      </c>
      <c r="C389" s="28" t="s">
        <v>934</v>
      </c>
      <c r="D389" s="23" t="n">
        <v>0</v>
      </c>
    </row>
    <row r="390" customFormat="false" ht="15" hidden="false" customHeight="false" outlineLevel="0" collapsed="false">
      <c r="A390" s="28" t="s">
        <v>203</v>
      </c>
      <c r="B390" s="28" t="s">
        <v>937</v>
      </c>
      <c r="C390" s="28" t="s">
        <v>935</v>
      </c>
      <c r="D390" s="23" t="n">
        <v>1240.80553588148</v>
      </c>
    </row>
    <row r="391" customFormat="false" ht="15" hidden="false" customHeight="false" outlineLevel="0" collapsed="false">
      <c r="A391" s="28" t="s">
        <v>203</v>
      </c>
      <c r="B391" s="28" t="s">
        <v>937</v>
      </c>
      <c r="C391" s="28" t="s">
        <v>936</v>
      </c>
      <c r="D391" s="23" t="n">
        <v>0</v>
      </c>
    </row>
    <row r="392" customFormat="false" ht="15" hidden="false" customHeight="false" outlineLevel="0" collapsed="false">
      <c r="A392" s="28" t="s">
        <v>205</v>
      </c>
      <c r="B392" s="28" t="s">
        <v>922</v>
      </c>
      <c r="C392" s="28" t="s">
        <v>923</v>
      </c>
      <c r="D392" s="23" t="n">
        <v>13095.76274</v>
      </c>
    </row>
    <row r="393" customFormat="false" ht="15" hidden="false" customHeight="false" outlineLevel="0" collapsed="false">
      <c r="A393" s="28" t="s">
        <v>205</v>
      </c>
      <c r="B393" s="28" t="s">
        <v>922</v>
      </c>
      <c r="C393" s="28" t="s">
        <v>924</v>
      </c>
      <c r="D393" s="23" t="n">
        <v>1417.60647845126</v>
      </c>
    </row>
    <row r="394" customFormat="false" ht="15" hidden="false" customHeight="false" outlineLevel="0" collapsed="false">
      <c r="A394" s="28" t="s">
        <v>205</v>
      </c>
      <c r="B394" s="28" t="s">
        <v>922</v>
      </c>
      <c r="C394" s="28" t="s">
        <v>925</v>
      </c>
      <c r="D394" s="23" t="n">
        <v>2000</v>
      </c>
    </row>
    <row r="395" customFormat="false" ht="15" hidden="false" customHeight="false" outlineLevel="0" collapsed="false">
      <c r="A395" s="28" t="s">
        <v>205</v>
      </c>
      <c r="B395" s="28" t="s">
        <v>922</v>
      </c>
      <c r="C395" s="28" t="s">
        <v>926</v>
      </c>
      <c r="D395" s="23" t="n">
        <v>30315.4700544</v>
      </c>
    </row>
    <row r="396" customFormat="false" ht="15" hidden="false" customHeight="false" outlineLevel="0" collapsed="false">
      <c r="A396" s="28" t="s">
        <v>205</v>
      </c>
      <c r="B396" s="28" t="s">
        <v>922</v>
      </c>
      <c r="C396" s="28" t="s">
        <v>563</v>
      </c>
      <c r="D396" s="23" t="n">
        <v>404.72296831225</v>
      </c>
    </row>
    <row r="397" customFormat="false" ht="15" hidden="false" customHeight="false" outlineLevel="0" collapsed="false">
      <c r="A397" s="28" t="s">
        <v>205</v>
      </c>
      <c r="B397" s="28" t="s">
        <v>922</v>
      </c>
      <c r="C397" s="28" t="s">
        <v>927</v>
      </c>
      <c r="D397" s="23" t="n">
        <v>3621.44196852658</v>
      </c>
    </row>
    <row r="398" customFormat="false" ht="15" hidden="false" customHeight="false" outlineLevel="0" collapsed="false">
      <c r="A398" s="28" t="s">
        <v>205</v>
      </c>
      <c r="B398" s="28" t="s">
        <v>922</v>
      </c>
      <c r="C398" s="28" t="s">
        <v>928</v>
      </c>
      <c r="D398" s="23" t="n">
        <v>699.338147819022</v>
      </c>
    </row>
    <row r="399" customFormat="false" ht="15" hidden="false" customHeight="false" outlineLevel="0" collapsed="false">
      <c r="A399" s="28" t="s">
        <v>205</v>
      </c>
      <c r="B399" s="28" t="s">
        <v>922</v>
      </c>
      <c r="C399" s="28" t="s">
        <v>929</v>
      </c>
      <c r="D399" s="23" t="n">
        <v>3864.14750340184</v>
      </c>
    </row>
    <row r="400" customFormat="false" ht="15" hidden="false" customHeight="false" outlineLevel="0" collapsed="false">
      <c r="A400" s="28" t="s">
        <v>205</v>
      </c>
      <c r="B400" s="28" t="s">
        <v>922</v>
      </c>
      <c r="C400" s="28" t="s">
        <v>930</v>
      </c>
      <c r="D400" s="23" t="n">
        <v>410.87644</v>
      </c>
    </row>
    <row r="401" customFormat="false" ht="15" hidden="false" customHeight="false" outlineLevel="0" collapsed="false">
      <c r="A401" s="28" t="s">
        <v>205</v>
      </c>
      <c r="B401" s="28" t="s">
        <v>922</v>
      </c>
      <c r="C401" s="28" t="s">
        <v>931</v>
      </c>
      <c r="D401" s="23" t="n">
        <v>1120.83298840127</v>
      </c>
    </row>
    <row r="402" customFormat="false" ht="15" hidden="false" customHeight="false" outlineLevel="0" collapsed="false">
      <c r="A402" s="28" t="s">
        <v>205</v>
      </c>
      <c r="B402" s="28" t="s">
        <v>922</v>
      </c>
      <c r="C402" s="28" t="s">
        <v>932</v>
      </c>
      <c r="D402" s="23" t="n">
        <v>0</v>
      </c>
    </row>
    <row r="403" customFormat="false" ht="15" hidden="false" customHeight="false" outlineLevel="0" collapsed="false">
      <c r="A403" s="28" t="s">
        <v>205</v>
      </c>
      <c r="B403" s="28" t="s">
        <v>922</v>
      </c>
      <c r="C403" s="28" t="s">
        <v>933</v>
      </c>
      <c r="D403" s="23" t="n">
        <v>-2305.66640703417</v>
      </c>
    </row>
    <row r="404" customFormat="false" ht="15" hidden="false" customHeight="false" outlineLevel="0" collapsed="false">
      <c r="A404" s="28" t="s">
        <v>205</v>
      </c>
      <c r="B404" s="28" t="s">
        <v>922</v>
      </c>
      <c r="C404" s="28" t="s">
        <v>934</v>
      </c>
      <c r="D404" s="23" t="n">
        <v>-23587.8900341549</v>
      </c>
    </row>
    <row r="405" customFormat="false" ht="15" hidden="false" customHeight="false" outlineLevel="0" collapsed="false">
      <c r="A405" s="28" t="s">
        <v>205</v>
      </c>
      <c r="B405" s="28" t="s">
        <v>922</v>
      </c>
      <c r="C405" s="28" t="s">
        <v>935</v>
      </c>
      <c r="D405" s="23" t="n">
        <v>-14534.0345440543</v>
      </c>
    </row>
    <row r="406" customFormat="false" ht="15" hidden="false" customHeight="false" outlineLevel="0" collapsed="false">
      <c r="A406" s="28" t="s">
        <v>205</v>
      </c>
      <c r="B406" s="28" t="s">
        <v>922</v>
      </c>
      <c r="C406" s="28" t="s">
        <v>936</v>
      </c>
      <c r="D406" s="23" t="n">
        <v>-11378.8940088183</v>
      </c>
    </row>
    <row r="407" customFormat="false" ht="15" hidden="false" customHeight="false" outlineLevel="0" collapsed="false">
      <c r="A407" s="28" t="s">
        <v>205</v>
      </c>
      <c r="B407" s="28" t="s">
        <v>937</v>
      </c>
      <c r="C407" s="28" t="s">
        <v>923</v>
      </c>
      <c r="D407" s="23" t="n">
        <v>13095.76274</v>
      </c>
    </row>
    <row r="408" customFormat="false" ht="15" hidden="false" customHeight="false" outlineLevel="0" collapsed="false">
      <c r="A408" s="28" t="s">
        <v>205</v>
      </c>
      <c r="B408" s="28" t="s">
        <v>937</v>
      </c>
      <c r="C408" s="28" t="s">
        <v>924</v>
      </c>
      <c r="D408" s="23" t="n">
        <v>5847.47890492418</v>
      </c>
    </row>
    <row r="409" customFormat="false" ht="15" hidden="false" customHeight="false" outlineLevel="0" collapsed="false">
      <c r="A409" s="28" t="s">
        <v>205</v>
      </c>
      <c r="B409" s="28" t="s">
        <v>937</v>
      </c>
      <c r="C409" s="28" t="s">
        <v>925</v>
      </c>
      <c r="D409" s="23" t="n">
        <v>2000</v>
      </c>
    </row>
    <row r="410" customFormat="false" ht="15" hidden="false" customHeight="false" outlineLevel="0" collapsed="false">
      <c r="A410" s="28" t="s">
        <v>205</v>
      </c>
      <c r="B410" s="28" t="s">
        <v>937</v>
      </c>
      <c r="C410" s="28" t="s">
        <v>926</v>
      </c>
      <c r="D410" s="23" t="n">
        <v>30315.4700544</v>
      </c>
    </row>
    <row r="411" customFormat="false" ht="15" hidden="false" customHeight="false" outlineLevel="0" collapsed="false">
      <c r="A411" s="28" t="s">
        <v>205</v>
      </c>
      <c r="B411" s="28" t="s">
        <v>937</v>
      </c>
      <c r="C411" s="28" t="s">
        <v>563</v>
      </c>
      <c r="D411" s="23" t="n">
        <v>1255.75177515555</v>
      </c>
    </row>
    <row r="412" customFormat="false" ht="15" hidden="false" customHeight="false" outlineLevel="0" collapsed="false">
      <c r="A412" s="28" t="s">
        <v>205</v>
      </c>
      <c r="B412" s="28" t="s">
        <v>937</v>
      </c>
      <c r="C412" s="28" t="s">
        <v>927</v>
      </c>
      <c r="D412" s="23" t="n">
        <v>10682.4130414679</v>
      </c>
    </row>
    <row r="413" customFormat="false" ht="15" hidden="false" customHeight="false" outlineLevel="0" collapsed="false">
      <c r="A413" s="28" t="s">
        <v>205</v>
      </c>
      <c r="B413" s="28" t="s">
        <v>937</v>
      </c>
      <c r="C413" s="28" t="s">
        <v>928</v>
      </c>
      <c r="D413" s="23" t="n">
        <v>1920.3132857108</v>
      </c>
    </row>
    <row r="414" customFormat="false" ht="15" hidden="false" customHeight="false" outlineLevel="0" collapsed="false">
      <c r="A414" s="28" t="s">
        <v>205</v>
      </c>
      <c r="B414" s="28" t="s">
        <v>937</v>
      </c>
      <c r="C414" s="28" t="s">
        <v>929</v>
      </c>
      <c r="D414" s="23" t="n">
        <v>6203.02342538285</v>
      </c>
    </row>
    <row r="415" customFormat="false" ht="15" hidden="false" customHeight="false" outlineLevel="0" collapsed="false">
      <c r="A415" s="28" t="s">
        <v>205</v>
      </c>
      <c r="B415" s="28" t="s">
        <v>937</v>
      </c>
      <c r="C415" s="28" t="s">
        <v>930</v>
      </c>
      <c r="D415" s="23" t="n">
        <v>410.87644</v>
      </c>
    </row>
    <row r="416" customFormat="false" ht="15" hidden="false" customHeight="false" outlineLevel="0" collapsed="false">
      <c r="A416" s="28" t="s">
        <v>205</v>
      </c>
      <c r="B416" s="28" t="s">
        <v>937</v>
      </c>
      <c r="C416" s="28" t="s">
        <v>931</v>
      </c>
      <c r="D416" s="23" t="n">
        <v>1607.43835806663</v>
      </c>
    </row>
    <row r="417" customFormat="false" ht="15" hidden="false" customHeight="false" outlineLevel="0" collapsed="false">
      <c r="A417" s="28" t="s">
        <v>205</v>
      </c>
      <c r="B417" s="28" t="s">
        <v>937</v>
      </c>
      <c r="C417" s="28" t="s">
        <v>932</v>
      </c>
      <c r="D417" s="23" t="n">
        <v>0</v>
      </c>
    </row>
    <row r="418" customFormat="false" ht="15" hidden="false" customHeight="false" outlineLevel="0" collapsed="false">
      <c r="A418" s="28" t="s">
        <v>205</v>
      </c>
      <c r="B418" s="28" t="s">
        <v>937</v>
      </c>
      <c r="C418" s="28" t="s">
        <v>933</v>
      </c>
      <c r="D418" s="23" t="n">
        <v>-2652.79239674</v>
      </c>
    </row>
    <row r="419" customFormat="false" ht="15" hidden="false" customHeight="false" outlineLevel="0" collapsed="false">
      <c r="A419" s="28" t="s">
        <v>205</v>
      </c>
      <c r="B419" s="28" t="s">
        <v>937</v>
      </c>
      <c r="C419" s="28" t="s">
        <v>934</v>
      </c>
      <c r="D419" s="23" t="n">
        <v>-24092.55485075</v>
      </c>
    </row>
    <row r="420" customFormat="false" ht="15" hidden="false" customHeight="false" outlineLevel="0" collapsed="false">
      <c r="A420" s="28" t="s">
        <v>205</v>
      </c>
      <c r="B420" s="28" t="s">
        <v>937</v>
      </c>
      <c r="C420" s="28" t="s">
        <v>935</v>
      </c>
      <c r="D420" s="23" t="n">
        <v>-29204.1595954955</v>
      </c>
    </row>
    <row r="421" customFormat="false" ht="15" hidden="false" customHeight="false" outlineLevel="0" collapsed="false">
      <c r="A421" s="28" t="s">
        <v>205</v>
      </c>
      <c r="B421" s="28" t="s">
        <v>937</v>
      </c>
      <c r="C421" s="28" t="s">
        <v>936</v>
      </c>
      <c r="D421" s="23" t="n">
        <v>-21007.1889393568</v>
      </c>
    </row>
    <row r="422" customFormat="false" ht="15" hidden="false" customHeight="false" outlineLevel="0" collapsed="false">
      <c r="A422" s="28" t="s">
        <v>207</v>
      </c>
      <c r="B422" s="28" t="s">
        <v>922</v>
      </c>
      <c r="C422" s="28" t="s">
        <v>923</v>
      </c>
      <c r="D422" s="23" t="n">
        <v>1636.97034250001</v>
      </c>
    </row>
    <row r="423" customFormat="false" ht="15" hidden="false" customHeight="false" outlineLevel="0" collapsed="false">
      <c r="A423" s="28" t="s">
        <v>207</v>
      </c>
      <c r="B423" s="28" t="s">
        <v>922</v>
      </c>
      <c r="C423" s="28" t="s">
        <v>924</v>
      </c>
      <c r="D423" s="23" t="n">
        <v>814.159450748557</v>
      </c>
    </row>
    <row r="424" customFormat="false" ht="15" hidden="false" customHeight="false" outlineLevel="0" collapsed="false">
      <c r="A424" s="28" t="s">
        <v>207</v>
      </c>
      <c r="B424" s="28" t="s">
        <v>922</v>
      </c>
      <c r="C424" s="28" t="s">
        <v>925</v>
      </c>
      <c r="D424" s="23" t="n">
        <v>250</v>
      </c>
    </row>
    <row r="425" customFormat="false" ht="15" hidden="false" customHeight="false" outlineLevel="0" collapsed="false">
      <c r="A425" s="28" t="s">
        <v>207</v>
      </c>
      <c r="B425" s="28" t="s">
        <v>922</v>
      </c>
      <c r="C425" s="28" t="s">
        <v>926</v>
      </c>
      <c r="D425" s="23" t="n">
        <v>3789.43375680001</v>
      </c>
    </row>
    <row r="426" customFormat="false" ht="15" hidden="false" customHeight="false" outlineLevel="0" collapsed="false">
      <c r="A426" s="28" t="s">
        <v>207</v>
      </c>
      <c r="B426" s="28" t="s">
        <v>922</v>
      </c>
      <c r="C426" s="28" t="s">
        <v>563</v>
      </c>
      <c r="D426" s="23" t="n">
        <v>280.218937186199</v>
      </c>
    </row>
    <row r="427" customFormat="false" ht="15" hidden="false" customHeight="false" outlineLevel="0" collapsed="false">
      <c r="A427" s="28" t="s">
        <v>207</v>
      </c>
      <c r="B427" s="28" t="s">
        <v>922</v>
      </c>
      <c r="C427" s="28" t="s">
        <v>927</v>
      </c>
      <c r="D427" s="23" t="n">
        <v>1897.54391026282</v>
      </c>
    </row>
    <row r="428" customFormat="false" ht="15" hidden="false" customHeight="false" outlineLevel="0" collapsed="false">
      <c r="A428" s="28" t="s">
        <v>207</v>
      </c>
      <c r="B428" s="28" t="s">
        <v>922</v>
      </c>
      <c r="C428" s="28" t="s">
        <v>928</v>
      </c>
      <c r="D428" s="23" t="n">
        <v>325.213025741496</v>
      </c>
    </row>
    <row r="429" customFormat="false" ht="15" hidden="false" customHeight="false" outlineLevel="0" collapsed="false">
      <c r="A429" s="28" t="s">
        <v>207</v>
      </c>
      <c r="B429" s="28" t="s">
        <v>922</v>
      </c>
      <c r="C429" s="28" t="s">
        <v>929</v>
      </c>
      <c r="D429" s="23" t="n">
        <v>1191.05830375179</v>
      </c>
    </row>
    <row r="430" customFormat="false" ht="15" hidden="false" customHeight="false" outlineLevel="0" collapsed="false">
      <c r="A430" s="28" t="s">
        <v>207</v>
      </c>
      <c r="B430" s="28" t="s">
        <v>922</v>
      </c>
      <c r="C430" s="28" t="s">
        <v>930</v>
      </c>
      <c r="D430" s="23" t="n">
        <v>51.3595550000003</v>
      </c>
    </row>
    <row r="431" customFormat="false" ht="15" hidden="false" customHeight="false" outlineLevel="0" collapsed="false">
      <c r="A431" s="28" t="s">
        <v>207</v>
      </c>
      <c r="B431" s="28" t="s">
        <v>922</v>
      </c>
      <c r="C431" s="28" t="s">
        <v>931</v>
      </c>
      <c r="D431" s="23" t="n">
        <v>262.141081592234</v>
      </c>
    </row>
    <row r="432" customFormat="false" ht="15" hidden="false" customHeight="false" outlineLevel="0" collapsed="false">
      <c r="A432" s="28" t="s">
        <v>207</v>
      </c>
      <c r="B432" s="28" t="s">
        <v>922</v>
      </c>
      <c r="C432" s="28" t="s">
        <v>932</v>
      </c>
      <c r="D432" s="23" t="n">
        <v>0</v>
      </c>
    </row>
    <row r="433" customFormat="false" ht="15" hidden="false" customHeight="false" outlineLevel="0" collapsed="false">
      <c r="A433" s="28" t="s">
        <v>207</v>
      </c>
      <c r="B433" s="28" t="s">
        <v>922</v>
      </c>
      <c r="C433" s="28" t="s">
        <v>933</v>
      </c>
      <c r="D433" s="23" t="n">
        <v>-293.869410153714</v>
      </c>
    </row>
    <row r="434" customFormat="false" ht="15" hidden="false" customHeight="false" outlineLevel="0" collapsed="false">
      <c r="A434" s="28" t="s">
        <v>207</v>
      </c>
      <c r="B434" s="28" t="s">
        <v>922</v>
      </c>
      <c r="C434" s="28" t="s">
        <v>934</v>
      </c>
      <c r="D434" s="23" t="n">
        <v>-3088.96174049594</v>
      </c>
    </row>
    <row r="435" customFormat="false" ht="15" hidden="false" customHeight="false" outlineLevel="0" collapsed="false">
      <c r="A435" s="28" t="s">
        <v>207</v>
      </c>
      <c r="B435" s="28" t="s">
        <v>922</v>
      </c>
      <c r="C435" s="28" t="s">
        <v>935</v>
      </c>
      <c r="D435" s="23" t="n">
        <v>-4321.8104319219</v>
      </c>
    </row>
    <row r="436" customFormat="false" ht="15" hidden="false" customHeight="false" outlineLevel="0" collapsed="false">
      <c r="A436" s="28" t="s">
        <v>207</v>
      </c>
      <c r="B436" s="28" t="s">
        <v>922</v>
      </c>
      <c r="C436" s="28" t="s">
        <v>936</v>
      </c>
      <c r="D436" s="23" t="n">
        <v>-1086.55965134795</v>
      </c>
    </row>
    <row r="437" customFormat="false" ht="15" hidden="false" customHeight="false" outlineLevel="0" collapsed="false">
      <c r="A437" s="28" t="s">
        <v>207</v>
      </c>
      <c r="B437" s="28" t="s">
        <v>937</v>
      </c>
      <c r="C437" s="28" t="s">
        <v>923</v>
      </c>
      <c r="D437" s="23" t="n">
        <v>1636.97034250001</v>
      </c>
    </row>
    <row r="438" customFormat="false" ht="15" hidden="false" customHeight="false" outlineLevel="0" collapsed="false">
      <c r="A438" s="28" t="s">
        <v>207</v>
      </c>
      <c r="B438" s="28" t="s">
        <v>937</v>
      </c>
      <c r="C438" s="28" t="s">
        <v>924</v>
      </c>
      <c r="D438" s="23" t="n">
        <v>3230.01317307126</v>
      </c>
    </row>
    <row r="439" customFormat="false" ht="15" hidden="false" customHeight="false" outlineLevel="0" collapsed="false">
      <c r="A439" s="28" t="s">
        <v>207</v>
      </c>
      <c r="B439" s="28" t="s">
        <v>937</v>
      </c>
      <c r="C439" s="28" t="s">
        <v>925</v>
      </c>
      <c r="D439" s="23" t="n">
        <v>250</v>
      </c>
    </row>
    <row r="440" customFormat="false" ht="15" hidden="false" customHeight="false" outlineLevel="0" collapsed="false">
      <c r="A440" s="28" t="s">
        <v>207</v>
      </c>
      <c r="B440" s="28" t="s">
        <v>937</v>
      </c>
      <c r="C440" s="28" t="s">
        <v>926</v>
      </c>
      <c r="D440" s="23" t="n">
        <v>3789.43375680001</v>
      </c>
    </row>
    <row r="441" customFormat="false" ht="15" hidden="false" customHeight="false" outlineLevel="0" collapsed="false">
      <c r="A441" s="28" t="s">
        <v>207</v>
      </c>
      <c r="B441" s="28" t="s">
        <v>937</v>
      </c>
      <c r="C441" s="28" t="s">
        <v>563</v>
      </c>
      <c r="D441" s="23" t="n">
        <v>865.158642752029</v>
      </c>
    </row>
    <row r="442" customFormat="false" ht="15" hidden="false" customHeight="false" outlineLevel="0" collapsed="false">
      <c r="A442" s="28" t="s">
        <v>207</v>
      </c>
      <c r="B442" s="28" t="s">
        <v>937</v>
      </c>
      <c r="C442" s="28" t="s">
        <v>927</v>
      </c>
      <c r="D442" s="23" t="n">
        <v>5531.4383675458</v>
      </c>
    </row>
    <row r="443" customFormat="false" ht="15" hidden="false" customHeight="false" outlineLevel="0" collapsed="false">
      <c r="A443" s="28" t="s">
        <v>207</v>
      </c>
      <c r="B443" s="28" t="s">
        <v>937</v>
      </c>
      <c r="C443" s="28" t="s">
        <v>928</v>
      </c>
      <c r="D443" s="23" t="n">
        <v>937.320547837491</v>
      </c>
    </row>
    <row r="444" customFormat="false" ht="15" hidden="false" customHeight="false" outlineLevel="0" collapsed="false">
      <c r="A444" s="28" t="s">
        <v>207</v>
      </c>
      <c r="B444" s="28" t="s">
        <v>937</v>
      </c>
      <c r="C444" s="28" t="s">
        <v>929</v>
      </c>
      <c r="D444" s="23" t="n">
        <v>2732.67844028986</v>
      </c>
    </row>
    <row r="445" customFormat="false" ht="15" hidden="false" customHeight="false" outlineLevel="0" collapsed="false">
      <c r="A445" s="28" t="s">
        <v>207</v>
      </c>
      <c r="B445" s="28" t="s">
        <v>937</v>
      </c>
      <c r="C445" s="28" t="s">
        <v>930</v>
      </c>
      <c r="D445" s="23" t="n">
        <v>51.3595550000003</v>
      </c>
    </row>
    <row r="446" customFormat="false" ht="15" hidden="false" customHeight="false" outlineLevel="0" collapsed="false">
      <c r="A446" s="28" t="s">
        <v>207</v>
      </c>
      <c r="B446" s="28" t="s">
        <v>937</v>
      </c>
      <c r="C446" s="28" t="s">
        <v>931</v>
      </c>
      <c r="D446" s="23" t="n">
        <v>518.275207437358</v>
      </c>
    </row>
    <row r="447" customFormat="false" ht="15" hidden="false" customHeight="false" outlineLevel="0" collapsed="false">
      <c r="A447" s="28" t="s">
        <v>207</v>
      </c>
      <c r="B447" s="28" t="s">
        <v>937</v>
      </c>
      <c r="C447" s="28" t="s">
        <v>932</v>
      </c>
      <c r="D447" s="23" t="n">
        <v>0</v>
      </c>
    </row>
    <row r="448" customFormat="false" ht="15" hidden="false" customHeight="false" outlineLevel="0" collapsed="false">
      <c r="A448" s="28" t="s">
        <v>207</v>
      </c>
      <c r="B448" s="28" t="s">
        <v>937</v>
      </c>
      <c r="C448" s="28" t="s">
        <v>933</v>
      </c>
      <c r="D448" s="23" t="n">
        <v>-342.593020668875</v>
      </c>
    </row>
    <row r="449" customFormat="false" ht="15" hidden="false" customHeight="false" outlineLevel="0" collapsed="false">
      <c r="A449" s="28" t="s">
        <v>207</v>
      </c>
      <c r="B449" s="28" t="s">
        <v>937</v>
      </c>
      <c r="C449" s="28" t="s">
        <v>934</v>
      </c>
      <c r="D449" s="23" t="n">
        <v>-3276.62903188438</v>
      </c>
    </row>
    <row r="450" customFormat="false" ht="15" hidden="false" customHeight="false" outlineLevel="0" collapsed="false">
      <c r="A450" s="28" t="s">
        <v>207</v>
      </c>
      <c r="B450" s="28" t="s">
        <v>937</v>
      </c>
      <c r="C450" s="28" t="s">
        <v>935</v>
      </c>
      <c r="D450" s="23" t="n">
        <v>-8952.12550280755</v>
      </c>
    </row>
    <row r="451" customFormat="false" ht="15" hidden="false" customHeight="false" outlineLevel="0" collapsed="false">
      <c r="A451" s="28" t="s">
        <v>207</v>
      </c>
      <c r="B451" s="28" t="s">
        <v>937</v>
      </c>
      <c r="C451" s="28" t="s">
        <v>936</v>
      </c>
      <c r="D451" s="23" t="n">
        <v>-2005.9562794116</v>
      </c>
    </row>
    <row r="452" customFormat="false" ht="15" hidden="false" customHeight="false" outlineLevel="0" collapsed="false">
      <c r="A452" s="28" t="s">
        <v>210</v>
      </c>
      <c r="B452" s="28" t="s">
        <v>922</v>
      </c>
      <c r="C452" s="28" t="s">
        <v>923</v>
      </c>
      <c r="D452" s="23" t="n">
        <v>3273.94068500001</v>
      </c>
    </row>
    <row r="453" customFormat="false" ht="15" hidden="false" customHeight="false" outlineLevel="0" collapsed="false">
      <c r="A453" s="28" t="s">
        <v>210</v>
      </c>
      <c r="B453" s="28" t="s">
        <v>922</v>
      </c>
      <c r="C453" s="28" t="s">
        <v>924</v>
      </c>
      <c r="D453" s="23" t="n">
        <v>752.995960472477</v>
      </c>
    </row>
    <row r="454" customFormat="false" ht="15" hidden="false" customHeight="false" outlineLevel="0" collapsed="false">
      <c r="A454" s="28" t="s">
        <v>210</v>
      </c>
      <c r="B454" s="28" t="s">
        <v>922</v>
      </c>
      <c r="C454" s="28" t="s">
        <v>925</v>
      </c>
      <c r="D454" s="23" t="n">
        <v>500</v>
      </c>
    </row>
    <row r="455" customFormat="false" ht="15" hidden="false" customHeight="false" outlineLevel="0" collapsed="false">
      <c r="A455" s="28" t="s">
        <v>210</v>
      </c>
      <c r="B455" s="28" t="s">
        <v>922</v>
      </c>
      <c r="C455" s="28" t="s">
        <v>926</v>
      </c>
      <c r="D455" s="23" t="n">
        <v>7578.8675136</v>
      </c>
    </row>
    <row r="456" customFormat="false" ht="15" hidden="false" customHeight="false" outlineLevel="0" collapsed="false">
      <c r="A456" s="28" t="s">
        <v>210</v>
      </c>
      <c r="B456" s="28" t="s">
        <v>922</v>
      </c>
      <c r="C456" s="28" t="s">
        <v>563</v>
      </c>
      <c r="D456" s="23" t="n">
        <v>230.393585044908</v>
      </c>
    </row>
    <row r="457" customFormat="false" ht="15" hidden="false" customHeight="false" outlineLevel="0" collapsed="false">
      <c r="A457" s="28" t="s">
        <v>210</v>
      </c>
      <c r="B457" s="28" t="s">
        <v>922</v>
      </c>
      <c r="C457" s="28" t="s">
        <v>927</v>
      </c>
      <c r="D457" s="23" t="n">
        <v>1670.41514282505</v>
      </c>
    </row>
    <row r="458" customFormat="false" ht="15" hidden="false" customHeight="false" outlineLevel="0" collapsed="false">
      <c r="A458" s="28" t="s">
        <v>210</v>
      </c>
      <c r="B458" s="28" t="s">
        <v>922</v>
      </c>
      <c r="C458" s="28" t="s">
        <v>928</v>
      </c>
      <c r="D458" s="23" t="n">
        <v>289.915609439673</v>
      </c>
    </row>
    <row r="459" customFormat="false" ht="15" hidden="false" customHeight="false" outlineLevel="0" collapsed="false">
      <c r="A459" s="28" t="s">
        <v>210</v>
      </c>
      <c r="B459" s="28" t="s">
        <v>922</v>
      </c>
      <c r="C459" s="28" t="s">
        <v>929</v>
      </c>
      <c r="D459" s="23" t="n">
        <v>1375.48604186608</v>
      </c>
    </row>
    <row r="460" customFormat="false" ht="15" hidden="false" customHeight="false" outlineLevel="0" collapsed="false">
      <c r="A460" s="28" t="s">
        <v>210</v>
      </c>
      <c r="B460" s="28" t="s">
        <v>922</v>
      </c>
      <c r="C460" s="28" t="s">
        <v>930</v>
      </c>
      <c r="D460" s="23" t="n">
        <v>102.71911</v>
      </c>
    </row>
    <row r="461" customFormat="false" ht="15" hidden="false" customHeight="false" outlineLevel="0" collapsed="false">
      <c r="A461" s="28" t="s">
        <v>210</v>
      </c>
      <c r="B461" s="28" t="s">
        <v>922</v>
      </c>
      <c r="C461" s="28" t="s">
        <v>931</v>
      </c>
      <c r="D461" s="23" t="n">
        <v>352.264995434643</v>
      </c>
    </row>
    <row r="462" customFormat="false" ht="15" hidden="false" customHeight="false" outlineLevel="0" collapsed="false">
      <c r="A462" s="28" t="s">
        <v>210</v>
      </c>
      <c r="B462" s="28" t="s">
        <v>922</v>
      </c>
      <c r="C462" s="28" t="s">
        <v>932</v>
      </c>
      <c r="D462" s="23" t="n">
        <v>0</v>
      </c>
    </row>
    <row r="463" customFormat="false" ht="15" hidden="false" customHeight="false" outlineLevel="0" collapsed="false">
      <c r="A463" s="28" t="s">
        <v>210</v>
      </c>
      <c r="B463" s="28" t="s">
        <v>922</v>
      </c>
      <c r="C463" s="28" t="s">
        <v>933</v>
      </c>
      <c r="D463" s="23" t="n">
        <v>-525.214720958673</v>
      </c>
    </row>
    <row r="464" customFormat="false" ht="15" hidden="false" customHeight="false" outlineLevel="0" collapsed="false">
      <c r="A464" s="28" t="s">
        <v>210</v>
      </c>
      <c r="B464" s="28" t="s">
        <v>922</v>
      </c>
      <c r="C464" s="28" t="s">
        <v>934</v>
      </c>
      <c r="D464" s="23" t="n">
        <v>-5417.86760574394</v>
      </c>
    </row>
    <row r="465" customFormat="false" ht="15" hidden="false" customHeight="false" outlineLevel="0" collapsed="false">
      <c r="A465" s="28" t="s">
        <v>210</v>
      </c>
      <c r="B465" s="28" t="s">
        <v>922</v>
      </c>
      <c r="C465" s="28" t="s">
        <v>935</v>
      </c>
      <c r="D465" s="23" t="n">
        <v>-3634.55798786686</v>
      </c>
    </row>
    <row r="466" customFormat="false" ht="15" hidden="false" customHeight="false" outlineLevel="0" collapsed="false">
      <c r="A466" s="28" t="s">
        <v>210</v>
      </c>
      <c r="B466" s="28" t="s">
        <v>922</v>
      </c>
      <c r="C466" s="28" t="s">
        <v>936</v>
      </c>
      <c r="D466" s="23" t="n">
        <v>-3057.1430450786</v>
      </c>
    </row>
    <row r="467" customFormat="false" ht="15" hidden="false" customHeight="false" outlineLevel="0" collapsed="false">
      <c r="A467" s="28" t="s">
        <v>210</v>
      </c>
      <c r="B467" s="28" t="s">
        <v>937</v>
      </c>
      <c r="C467" s="28" t="s">
        <v>923</v>
      </c>
      <c r="D467" s="23" t="n">
        <v>4910.9110275</v>
      </c>
    </row>
    <row r="468" customFormat="false" ht="15" hidden="false" customHeight="false" outlineLevel="0" collapsed="false">
      <c r="A468" s="28" t="s">
        <v>210</v>
      </c>
      <c r="B468" s="28" t="s">
        <v>937</v>
      </c>
      <c r="C468" s="28" t="s">
        <v>924</v>
      </c>
      <c r="D468" s="23" t="n">
        <v>4429.55422222573</v>
      </c>
    </row>
    <row r="469" customFormat="false" ht="15" hidden="false" customHeight="false" outlineLevel="0" collapsed="false">
      <c r="A469" s="28" t="s">
        <v>210</v>
      </c>
      <c r="B469" s="28" t="s">
        <v>937</v>
      </c>
      <c r="C469" s="28" t="s">
        <v>925</v>
      </c>
      <c r="D469" s="23" t="n">
        <v>750.000000000001</v>
      </c>
    </row>
    <row r="470" customFormat="false" ht="15" hidden="false" customHeight="false" outlineLevel="0" collapsed="false">
      <c r="A470" s="28" t="s">
        <v>210</v>
      </c>
      <c r="B470" s="28" t="s">
        <v>937</v>
      </c>
      <c r="C470" s="28" t="s">
        <v>926</v>
      </c>
      <c r="D470" s="23" t="n">
        <v>11368.3012704</v>
      </c>
    </row>
    <row r="471" customFormat="false" ht="15" hidden="false" customHeight="false" outlineLevel="0" collapsed="false">
      <c r="A471" s="28" t="s">
        <v>210</v>
      </c>
      <c r="B471" s="28" t="s">
        <v>937</v>
      </c>
      <c r="C471" s="28" t="s">
        <v>563</v>
      </c>
      <c r="D471" s="23" t="n">
        <v>1058.66351312885</v>
      </c>
    </row>
    <row r="472" customFormat="false" ht="15" hidden="false" customHeight="false" outlineLevel="0" collapsed="false">
      <c r="A472" s="28" t="s">
        <v>210</v>
      </c>
      <c r="B472" s="28" t="s">
        <v>937</v>
      </c>
      <c r="C472" s="28" t="s">
        <v>927</v>
      </c>
      <c r="D472" s="23" t="n">
        <v>7429.15679989117</v>
      </c>
    </row>
    <row r="473" customFormat="false" ht="15" hidden="false" customHeight="false" outlineLevel="0" collapsed="false">
      <c r="A473" s="28" t="s">
        <v>210</v>
      </c>
      <c r="B473" s="28" t="s">
        <v>937</v>
      </c>
      <c r="C473" s="28" t="s">
        <v>928</v>
      </c>
      <c r="D473" s="23" t="n">
        <v>1376.12443451289</v>
      </c>
    </row>
    <row r="474" customFormat="false" ht="15" hidden="false" customHeight="false" outlineLevel="0" collapsed="false">
      <c r="A474" s="28" t="s">
        <v>210</v>
      </c>
      <c r="B474" s="28" t="s">
        <v>937</v>
      </c>
      <c r="C474" s="28" t="s">
        <v>929</v>
      </c>
      <c r="D474" s="23" t="n">
        <v>3969.76342682796</v>
      </c>
    </row>
    <row r="475" customFormat="false" ht="15" hidden="false" customHeight="false" outlineLevel="0" collapsed="false">
      <c r="A475" s="28" t="s">
        <v>210</v>
      </c>
      <c r="B475" s="28" t="s">
        <v>937</v>
      </c>
      <c r="C475" s="28" t="s">
        <v>930</v>
      </c>
      <c r="D475" s="23" t="n">
        <v>154.078665</v>
      </c>
    </row>
    <row r="476" customFormat="false" ht="15" hidden="false" customHeight="false" outlineLevel="0" collapsed="false">
      <c r="A476" s="28" t="s">
        <v>210</v>
      </c>
      <c r="B476" s="28" t="s">
        <v>937</v>
      </c>
      <c r="C476" s="28" t="s">
        <v>931</v>
      </c>
      <c r="D476" s="23" t="n">
        <v>893.99430046925</v>
      </c>
    </row>
    <row r="477" customFormat="false" ht="15" hidden="false" customHeight="false" outlineLevel="0" collapsed="false">
      <c r="A477" s="28" t="s">
        <v>210</v>
      </c>
      <c r="B477" s="28" t="s">
        <v>937</v>
      </c>
      <c r="C477" s="28" t="s">
        <v>932</v>
      </c>
      <c r="D477" s="23" t="n">
        <v>0</v>
      </c>
    </row>
    <row r="478" customFormat="false" ht="15" hidden="false" customHeight="false" outlineLevel="0" collapsed="false">
      <c r="A478" s="28" t="s">
        <v>210</v>
      </c>
      <c r="B478" s="28" t="s">
        <v>937</v>
      </c>
      <c r="C478" s="28" t="s">
        <v>933</v>
      </c>
      <c r="D478" s="23" t="n">
        <v>-1018.35565822688</v>
      </c>
    </row>
    <row r="479" customFormat="false" ht="15" hidden="false" customHeight="false" outlineLevel="0" collapsed="false">
      <c r="A479" s="28" t="s">
        <v>210</v>
      </c>
      <c r="B479" s="28" t="s">
        <v>937</v>
      </c>
      <c r="C479" s="28" t="s">
        <v>934</v>
      </c>
      <c r="D479" s="23" t="n">
        <v>-9602.69308804687</v>
      </c>
    </row>
    <row r="480" customFormat="false" ht="15" hidden="false" customHeight="false" outlineLevel="0" collapsed="false">
      <c r="A480" s="28" t="s">
        <v>210</v>
      </c>
      <c r="B480" s="28" t="s">
        <v>937</v>
      </c>
      <c r="C480" s="28" t="s">
        <v>935</v>
      </c>
      <c r="D480" s="23" t="n">
        <v>-15085.4759081386</v>
      </c>
    </row>
    <row r="481" customFormat="false" ht="15" hidden="false" customHeight="false" outlineLevel="0" collapsed="false">
      <c r="A481" s="28" t="s">
        <v>210</v>
      </c>
      <c r="B481" s="28" t="s">
        <v>937</v>
      </c>
      <c r="C481" s="28" t="s">
        <v>936</v>
      </c>
      <c r="D481" s="23" t="n">
        <v>-6681.07088884007</v>
      </c>
    </row>
    <row r="482" customFormat="false" ht="15" hidden="false" customHeight="false" outlineLevel="0" collapsed="false">
      <c r="A482" s="28" t="s">
        <v>212</v>
      </c>
      <c r="B482" s="28" t="s">
        <v>922</v>
      </c>
      <c r="C482" s="28" t="s">
        <v>923</v>
      </c>
      <c r="D482" s="23" t="n">
        <v>4501.668441875</v>
      </c>
    </row>
    <row r="483" customFormat="false" ht="15" hidden="false" customHeight="false" outlineLevel="0" collapsed="false">
      <c r="A483" s="28" t="s">
        <v>212</v>
      </c>
      <c r="B483" s="28" t="s">
        <v>922</v>
      </c>
      <c r="C483" s="28" t="s">
        <v>924</v>
      </c>
      <c r="D483" s="23" t="n">
        <v>514.320799728107</v>
      </c>
    </row>
    <row r="484" customFormat="false" ht="15" hidden="false" customHeight="false" outlineLevel="0" collapsed="false">
      <c r="A484" s="28" t="s">
        <v>212</v>
      </c>
      <c r="B484" s="28" t="s">
        <v>922</v>
      </c>
      <c r="C484" s="28" t="s">
        <v>925</v>
      </c>
      <c r="D484" s="23" t="n">
        <v>687.5</v>
      </c>
    </row>
    <row r="485" customFormat="false" ht="15" hidden="false" customHeight="false" outlineLevel="0" collapsed="false">
      <c r="A485" s="28" t="s">
        <v>212</v>
      </c>
      <c r="B485" s="28" t="s">
        <v>922</v>
      </c>
      <c r="C485" s="28" t="s">
        <v>926</v>
      </c>
      <c r="D485" s="23" t="n">
        <v>10420.9428312</v>
      </c>
    </row>
    <row r="486" customFormat="false" ht="15" hidden="false" customHeight="false" outlineLevel="0" collapsed="false">
      <c r="A486" s="28" t="s">
        <v>212</v>
      </c>
      <c r="B486" s="28" t="s">
        <v>922</v>
      </c>
      <c r="C486" s="28" t="s">
        <v>563</v>
      </c>
      <c r="D486" s="23" t="n">
        <v>152.987531828856</v>
      </c>
    </row>
    <row r="487" customFormat="false" ht="15" hidden="false" customHeight="false" outlineLevel="0" collapsed="false">
      <c r="A487" s="28" t="s">
        <v>212</v>
      </c>
      <c r="B487" s="28" t="s">
        <v>922</v>
      </c>
      <c r="C487" s="28" t="s">
        <v>927</v>
      </c>
      <c r="D487" s="23" t="n">
        <v>1075.40072505553</v>
      </c>
    </row>
    <row r="488" customFormat="false" ht="15" hidden="false" customHeight="false" outlineLevel="0" collapsed="false">
      <c r="A488" s="28" t="s">
        <v>212</v>
      </c>
      <c r="B488" s="28" t="s">
        <v>922</v>
      </c>
      <c r="C488" s="28" t="s">
        <v>928</v>
      </c>
      <c r="D488" s="23" t="n">
        <v>216.253820072542</v>
      </c>
    </row>
    <row r="489" customFormat="false" ht="15" hidden="false" customHeight="false" outlineLevel="0" collapsed="false">
      <c r="A489" s="28" t="s">
        <v>212</v>
      </c>
      <c r="B489" s="28" t="s">
        <v>922</v>
      </c>
      <c r="C489" s="28" t="s">
        <v>929</v>
      </c>
      <c r="D489" s="23" t="n">
        <v>1366.69752764648</v>
      </c>
    </row>
    <row r="490" customFormat="false" ht="15" hidden="false" customHeight="false" outlineLevel="0" collapsed="false">
      <c r="A490" s="28" t="s">
        <v>212</v>
      </c>
      <c r="B490" s="28" t="s">
        <v>922</v>
      </c>
      <c r="C490" s="28" t="s">
        <v>930</v>
      </c>
      <c r="D490" s="23" t="n">
        <v>141.23877625</v>
      </c>
    </row>
    <row r="491" customFormat="false" ht="15" hidden="false" customHeight="false" outlineLevel="0" collapsed="false">
      <c r="A491" s="28" t="s">
        <v>212</v>
      </c>
      <c r="B491" s="28" t="s">
        <v>922</v>
      </c>
      <c r="C491" s="28" t="s">
        <v>931</v>
      </c>
      <c r="D491" s="23" t="n">
        <v>382.632154906049</v>
      </c>
    </row>
    <row r="492" customFormat="false" ht="15" hidden="false" customHeight="false" outlineLevel="0" collapsed="false">
      <c r="A492" s="28" t="s">
        <v>212</v>
      </c>
      <c r="B492" s="28" t="s">
        <v>922</v>
      </c>
      <c r="C492" s="28" t="s">
        <v>932</v>
      </c>
      <c r="D492" s="23" t="n">
        <v>0</v>
      </c>
    </row>
    <row r="493" customFormat="false" ht="15" hidden="false" customHeight="false" outlineLevel="0" collapsed="false">
      <c r="A493" s="28" t="s">
        <v>212</v>
      </c>
      <c r="B493" s="28" t="s">
        <v>922</v>
      </c>
      <c r="C493" s="28" t="s">
        <v>933</v>
      </c>
      <c r="D493" s="23" t="n">
        <v>-666.235971303436</v>
      </c>
    </row>
    <row r="494" customFormat="false" ht="15" hidden="false" customHeight="false" outlineLevel="0" collapsed="false">
      <c r="A494" s="28" t="s">
        <v>212</v>
      </c>
      <c r="B494" s="28" t="s">
        <v>922</v>
      </c>
      <c r="C494" s="28" t="s">
        <v>934</v>
      </c>
      <c r="D494" s="23" t="n">
        <v>-6753.60342998296</v>
      </c>
    </row>
    <row r="495" customFormat="false" ht="15" hidden="false" customHeight="false" outlineLevel="0" collapsed="false">
      <c r="A495" s="28" t="s">
        <v>212</v>
      </c>
      <c r="B495" s="28" t="s">
        <v>922</v>
      </c>
      <c r="C495" s="28" t="s">
        <v>935</v>
      </c>
      <c r="D495" s="23" t="n">
        <v>-2648.93562491108</v>
      </c>
    </row>
    <row r="496" customFormat="false" ht="15" hidden="false" customHeight="false" outlineLevel="0" collapsed="false">
      <c r="A496" s="28" t="s">
        <v>212</v>
      </c>
      <c r="B496" s="28" t="s">
        <v>922</v>
      </c>
      <c r="C496" s="28" t="s">
        <v>936</v>
      </c>
      <c r="D496" s="23" t="n">
        <v>-4405.18847949703</v>
      </c>
    </row>
    <row r="497" customFormat="false" ht="15" hidden="false" customHeight="false" outlineLevel="0" collapsed="false">
      <c r="A497" s="28" t="s">
        <v>212</v>
      </c>
      <c r="B497" s="28" t="s">
        <v>937</v>
      </c>
      <c r="C497" s="28" t="s">
        <v>923</v>
      </c>
      <c r="D497" s="23" t="n">
        <v>9821.822055</v>
      </c>
    </row>
    <row r="498" customFormat="false" ht="15" hidden="false" customHeight="false" outlineLevel="0" collapsed="false">
      <c r="A498" s="28" t="s">
        <v>212</v>
      </c>
      <c r="B498" s="28" t="s">
        <v>937</v>
      </c>
      <c r="C498" s="28" t="s">
        <v>924</v>
      </c>
      <c r="D498" s="23" t="n">
        <v>4411.34502470993</v>
      </c>
    </row>
    <row r="499" customFormat="false" ht="15" hidden="false" customHeight="false" outlineLevel="0" collapsed="false">
      <c r="A499" s="28" t="s">
        <v>212</v>
      </c>
      <c r="B499" s="28" t="s">
        <v>937</v>
      </c>
      <c r="C499" s="28" t="s">
        <v>925</v>
      </c>
      <c r="D499" s="23" t="n">
        <v>1500</v>
      </c>
    </row>
    <row r="500" customFormat="false" ht="15" hidden="false" customHeight="false" outlineLevel="0" collapsed="false">
      <c r="A500" s="28" t="s">
        <v>212</v>
      </c>
      <c r="B500" s="28" t="s">
        <v>937</v>
      </c>
      <c r="C500" s="28" t="s">
        <v>926</v>
      </c>
      <c r="D500" s="23" t="n">
        <v>22736.6025408</v>
      </c>
    </row>
    <row r="501" customFormat="false" ht="15" hidden="false" customHeight="false" outlineLevel="0" collapsed="false">
      <c r="A501" s="28" t="s">
        <v>212</v>
      </c>
      <c r="B501" s="28" t="s">
        <v>937</v>
      </c>
      <c r="C501" s="28" t="s">
        <v>563</v>
      </c>
      <c r="D501" s="23" t="n">
        <v>1014.99602763551</v>
      </c>
    </row>
    <row r="502" customFormat="false" ht="15" hidden="false" customHeight="false" outlineLevel="0" collapsed="false">
      <c r="A502" s="28" t="s">
        <v>212</v>
      </c>
      <c r="B502" s="28" t="s">
        <v>937</v>
      </c>
      <c r="C502" s="28" t="s">
        <v>927</v>
      </c>
      <c r="D502" s="23" t="n">
        <v>7267.71643352574</v>
      </c>
    </row>
    <row r="503" customFormat="false" ht="15" hidden="false" customHeight="false" outlineLevel="0" collapsed="false">
      <c r="A503" s="28" t="s">
        <v>212</v>
      </c>
      <c r="B503" s="28" t="s">
        <v>937</v>
      </c>
      <c r="C503" s="28" t="s">
        <v>928</v>
      </c>
      <c r="D503" s="23" t="n">
        <v>1600.02401058107</v>
      </c>
    </row>
    <row r="504" customFormat="false" ht="15" hidden="false" customHeight="false" outlineLevel="0" collapsed="false">
      <c r="A504" s="28" t="s">
        <v>212</v>
      </c>
      <c r="B504" s="28" t="s">
        <v>937</v>
      </c>
      <c r="C504" s="28" t="s">
        <v>929</v>
      </c>
      <c r="D504" s="23" t="n">
        <v>4816.93953412812</v>
      </c>
    </row>
    <row r="505" customFormat="false" ht="15" hidden="false" customHeight="false" outlineLevel="0" collapsed="false">
      <c r="A505" s="28" t="s">
        <v>212</v>
      </c>
      <c r="B505" s="28" t="s">
        <v>937</v>
      </c>
      <c r="C505" s="28" t="s">
        <v>930</v>
      </c>
      <c r="D505" s="23" t="n">
        <v>308.15733</v>
      </c>
    </row>
    <row r="506" customFormat="false" ht="15" hidden="false" customHeight="false" outlineLevel="0" collapsed="false">
      <c r="A506" s="28" t="s">
        <v>212</v>
      </c>
      <c r="B506" s="28" t="s">
        <v>937</v>
      </c>
      <c r="C506" s="28" t="s">
        <v>931</v>
      </c>
      <c r="D506" s="23" t="n">
        <v>1223.63733176281</v>
      </c>
    </row>
    <row r="507" customFormat="false" ht="15" hidden="false" customHeight="false" outlineLevel="0" collapsed="false">
      <c r="A507" s="28" t="s">
        <v>212</v>
      </c>
      <c r="B507" s="28" t="s">
        <v>937</v>
      </c>
      <c r="C507" s="28" t="s">
        <v>932</v>
      </c>
      <c r="D507" s="23" t="n">
        <v>0</v>
      </c>
    </row>
    <row r="508" customFormat="false" ht="15" hidden="false" customHeight="false" outlineLevel="0" collapsed="false">
      <c r="A508" s="28" t="s">
        <v>212</v>
      </c>
      <c r="B508" s="28" t="s">
        <v>937</v>
      </c>
      <c r="C508" s="28" t="s">
        <v>933</v>
      </c>
      <c r="D508" s="23" t="n">
        <v>-1958.65414488013</v>
      </c>
    </row>
    <row r="509" customFormat="false" ht="15" hidden="false" customHeight="false" outlineLevel="0" collapsed="false">
      <c r="A509" s="28" t="s">
        <v>212</v>
      </c>
      <c r="B509" s="28" t="s">
        <v>937</v>
      </c>
      <c r="C509" s="28" t="s">
        <v>934</v>
      </c>
      <c r="D509" s="23" t="n">
        <v>-18206.8537604773</v>
      </c>
    </row>
    <row r="510" customFormat="false" ht="15" hidden="false" customHeight="false" outlineLevel="0" collapsed="false">
      <c r="A510" s="28" t="s">
        <v>212</v>
      </c>
      <c r="B510" s="28" t="s">
        <v>937</v>
      </c>
      <c r="C510" s="28" t="s">
        <v>935</v>
      </c>
      <c r="D510" s="23" t="n">
        <v>-18128.3937795627</v>
      </c>
    </row>
    <row r="511" customFormat="false" ht="15" hidden="false" customHeight="false" outlineLevel="0" collapsed="false">
      <c r="A511" s="28" t="s">
        <v>212</v>
      </c>
      <c r="B511" s="28" t="s">
        <v>937</v>
      </c>
      <c r="C511" s="28" t="s">
        <v>936</v>
      </c>
      <c r="D511" s="23" t="n">
        <v>-14488.2568158419</v>
      </c>
    </row>
    <row r="512" customFormat="false" ht="15" hidden="false" customHeight="false" outlineLevel="0" collapsed="false">
      <c r="A512" s="28" t="s">
        <v>214</v>
      </c>
      <c r="B512" s="28" t="s">
        <v>922</v>
      </c>
      <c r="C512" s="28" t="s">
        <v>923</v>
      </c>
      <c r="D512" s="23" t="n">
        <v>-6002.22458916667</v>
      </c>
    </row>
    <row r="513" customFormat="false" ht="15" hidden="false" customHeight="false" outlineLevel="0" collapsed="false">
      <c r="A513" s="28" t="s">
        <v>214</v>
      </c>
      <c r="B513" s="28" t="s">
        <v>922</v>
      </c>
      <c r="C513" s="28" t="s">
        <v>924</v>
      </c>
      <c r="D513" s="23" t="n">
        <v>-525.539690184387</v>
      </c>
    </row>
    <row r="514" customFormat="false" ht="15" hidden="false" customHeight="false" outlineLevel="0" collapsed="false">
      <c r="A514" s="28" t="s">
        <v>214</v>
      </c>
      <c r="B514" s="28" t="s">
        <v>922</v>
      </c>
      <c r="C514" s="28" t="s">
        <v>925</v>
      </c>
      <c r="D514" s="23" t="n">
        <v>-916.666666666667</v>
      </c>
    </row>
    <row r="515" customFormat="false" ht="15" hidden="false" customHeight="false" outlineLevel="0" collapsed="false">
      <c r="A515" s="28" t="s">
        <v>214</v>
      </c>
      <c r="B515" s="28" t="s">
        <v>922</v>
      </c>
      <c r="C515" s="28" t="s">
        <v>926</v>
      </c>
      <c r="D515" s="23" t="n">
        <v>-13894.5904416</v>
      </c>
    </row>
    <row r="516" customFormat="false" ht="15" hidden="false" customHeight="false" outlineLevel="0" collapsed="false">
      <c r="A516" s="28" t="s">
        <v>214</v>
      </c>
      <c r="B516" s="28" t="s">
        <v>922</v>
      </c>
      <c r="C516" s="28" t="s">
        <v>563</v>
      </c>
      <c r="D516" s="23" t="n">
        <v>-165.265291939249</v>
      </c>
    </row>
    <row r="517" customFormat="false" ht="15" hidden="false" customHeight="false" outlineLevel="0" collapsed="false">
      <c r="A517" s="28" t="s">
        <v>214</v>
      </c>
      <c r="B517" s="28" t="s">
        <v>922</v>
      </c>
      <c r="C517" s="28" t="s">
        <v>927</v>
      </c>
      <c r="D517" s="23" t="n">
        <v>-1268.73154293552</v>
      </c>
    </row>
    <row r="518" customFormat="false" ht="15" hidden="false" customHeight="false" outlineLevel="0" collapsed="false">
      <c r="A518" s="28" t="s">
        <v>214</v>
      </c>
      <c r="B518" s="28" t="s">
        <v>922</v>
      </c>
      <c r="C518" s="28" t="s">
        <v>928</v>
      </c>
      <c r="D518" s="23" t="n">
        <v>-221.403212919626</v>
      </c>
    </row>
    <row r="519" customFormat="false" ht="15" hidden="false" customHeight="false" outlineLevel="0" collapsed="false">
      <c r="A519" s="28" t="s">
        <v>214</v>
      </c>
      <c r="B519" s="28" t="s">
        <v>922</v>
      </c>
      <c r="C519" s="28" t="s">
        <v>929</v>
      </c>
      <c r="D519" s="23" t="n">
        <v>-1635.04686153948</v>
      </c>
    </row>
    <row r="520" customFormat="false" ht="15" hidden="false" customHeight="false" outlineLevel="0" collapsed="false">
      <c r="A520" s="28" t="s">
        <v>214</v>
      </c>
      <c r="B520" s="28" t="s">
        <v>922</v>
      </c>
      <c r="C520" s="28" t="s">
        <v>930</v>
      </c>
      <c r="D520" s="23" t="n">
        <v>-188.318368333333</v>
      </c>
    </row>
    <row r="521" customFormat="false" ht="15" hidden="false" customHeight="false" outlineLevel="0" collapsed="false">
      <c r="A521" s="28" t="s">
        <v>214</v>
      </c>
      <c r="B521" s="28" t="s">
        <v>922</v>
      </c>
      <c r="C521" s="28" t="s">
        <v>931</v>
      </c>
      <c r="D521" s="23" t="n">
        <v>-477.44112695139</v>
      </c>
    </row>
    <row r="522" customFormat="false" ht="15" hidden="false" customHeight="false" outlineLevel="0" collapsed="false">
      <c r="A522" s="28" t="s">
        <v>214</v>
      </c>
      <c r="B522" s="28" t="s">
        <v>922</v>
      </c>
      <c r="C522" s="28" t="s">
        <v>932</v>
      </c>
      <c r="D522" s="23" t="n">
        <v>0</v>
      </c>
    </row>
    <row r="523" customFormat="false" ht="15" hidden="false" customHeight="false" outlineLevel="0" collapsed="false">
      <c r="A523" s="28" t="s">
        <v>214</v>
      </c>
      <c r="B523" s="28" t="s">
        <v>922</v>
      </c>
      <c r="C523" s="28" t="s">
        <v>933</v>
      </c>
      <c r="D523" s="23" t="n">
        <v>826.644322758333</v>
      </c>
    </row>
    <row r="524" customFormat="false" ht="15" hidden="false" customHeight="false" outlineLevel="0" collapsed="false">
      <c r="A524" s="28" t="s">
        <v>214</v>
      </c>
      <c r="B524" s="28" t="s">
        <v>922</v>
      </c>
      <c r="C524" s="28" t="s">
        <v>934</v>
      </c>
      <c r="D524" s="23" t="n">
        <v>8820.06851958333</v>
      </c>
    </row>
    <row r="525" customFormat="false" ht="15" hidden="false" customHeight="false" outlineLevel="0" collapsed="false">
      <c r="A525" s="28" t="s">
        <v>214</v>
      </c>
      <c r="B525" s="28" t="s">
        <v>922</v>
      </c>
      <c r="C525" s="28" t="s">
        <v>935</v>
      </c>
      <c r="D525" s="23" t="n">
        <v>3338.986948737</v>
      </c>
    </row>
    <row r="526" customFormat="false" ht="15" hidden="false" customHeight="false" outlineLevel="0" collapsed="false">
      <c r="A526" s="28" t="s">
        <v>214</v>
      </c>
      <c r="B526" s="28" t="s">
        <v>922</v>
      </c>
      <c r="C526" s="28" t="s">
        <v>936</v>
      </c>
      <c r="D526" s="23" t="n">
        <v>0</v>
      </c>
    </row>
    <row r="527" customFormat="false" ht="15" hidden="false" customHeight="false" outlineLevel="0" collapsed="false">
      <c r="A527" s="28" t="s">
        <v>214</v>
      </c>
      <c r="B527" s="28" t="s">
        <v>937</v>
      </c>
      <c r="C527" s="28" t="s">
        <v>923</v>
      </c>
      <c r="D527" s="23" t="n">
        <v>-13095.76274</v>
      </c>
    </row>
    <row r="528" customFormat="false" ht="15" hidden="false" customHeight="false" outlineLevel="0" collapsed="false">
      <c r="A528" s="28" t="s">
        <v>214</v>
      </c>
      <c r="B528" s="28" t="s">
        <v>937</v>
      </c>
      <c r="C528" s="28" t="s">
        <v>924</v>
      </c>
      <c r="D528" s="23" t="n">
        <v>-4548.11355068566</v>
      </c>
    </row>
    <row r="529" customFormat="false" ht="15" hidden="false" customHeight="false" outlineLevel="0" collapsed="false">
      <c r="A529" s="28" t="s">
        <v>214</v>
      </c>
      <c r="B529" s="28" t="s">
        <v>937</v>
      </c>
      <c r="C529" s="28" t="s">
        <v>925</v>
      </c>
      <c r="D529" s="23" t="n">
        <v>-2000</v>
      </c>
    </row>
    <row r="530" customFormat="false" ht="15" hidden="false" customHeight="false" outlineLevel="0" collapsed="false">
      <c r="A530" s="28" t="s">
        <v>214</v>
      </c>
      <c r="B530" s="28" t="s">
        <v>937</v>
      </c>
      <c r="C530" s="28" t="s">
        <v>926</v>
      </c>
      <c r="D530" s="23" t="n">
        <v>-30315.4700544</v>
      </c>
    </row>
    <row r="531" customFormat="false" ht="15" hidden="false" customHeight="false" outlineLevel="0" collapsed="false">
      <c r="A531" s="28" t="s">
        <v>214</v>
      </c>
      <c r="B531" s="28" t="s">
        <v>937</v>
      </c>
      <c r="C531" s="28" t="s">
        <v>563</v>
      </c>
      <c r="D531" s="23" t="n">
        <v>-1223.37738771795</v>
      </c>
    </row>
    <row r="532" customFormat="false" ht="15" hidden="false" customHeight="false" outlineLevel="0" collapsed="false">
      <c r="A532" s="28" t="s">
        <v>214</v>
      </c>
      <c r="B532" s="28" t="s">
        <v>937</v>
      </c>
      <c r="C532" s="28" t="s">
        <v>927</v>
      </c>
      <c r="D532" s="23" t="n">
        <v>-8836.21712111238</v>
      </c>
    </row>
    <row r="533" customFormat="false" ht="15" hidden="false" customHeight="false" outlineLevel="0" collapsed="false">
      <c r="A533" s="28" t="s">
        <v>214</v>
      </c>
      <c r="B533" s="28" t="s">
        <v>937</v>
      </c>
      <c r="C533" s="28" t="s">
        <v>928</v>
      </c>
      <c r="D533" s="23" t="n">
        <v>-1647.59520403261</v>
      </c>
    </row>
    <row r="534" customFormat="false" ht="15" hidden="false" customHeight="false" outlineLevel="0" collapsed="false">
      <c r="A534" s="28" t="s">
        <v>214</v>
      </c>
      <c r="B534" s="28" t="s">
        <v>937</v>
      </c>
      <c r="C534" s="28" t="s">
        <v>929</v>
      </c>
      <c r="D534" s="23" t="n">
        <v>-5438.85383042071</v>
      </c>
    </row>
    <row r="535" customFormat="false" ht="15" hidden="false" customHeight="false" outlineLevel="0" collapsed="false">
      <c r="A535" s="28" t="s">
        <v>214</v>
      </c>
      <c r="B535" s="28" t="s">
        <v>937</v>
      </c>
      <c r="C535" s="28" t="s">
        <v>930</v>
      </c>
      <c r="D535" s="23" t="n">
        <v>-410.87644</v>
      </c>
    </row>
    <row r="536" customFormat="false" ht="15" hidden="false" customHeight="false" outlineLevel="0" collapsed="false">
      <c r="A536" s="28" t="s">
        <v>214</v>
      </c>
      <c r="B536" s="28" t="s">
        <v>937</v>
      </c>
      <c r="C536" s="28" t="s">
        <v>931</v>
      </c>
      <c r="D536" s="23" t="n">
        <v>-1447.43648117425</v>
      </c>
    </row>
    <row r="537" customFormat="false" ht="15" hidden="false" customHeight="false" outlineLevel="0" collapsed="false">
      <c r="A537" s="28" t="s">
        <v>214</v>
      </c>
      <c r="B537" s="28" t="s">
        <v>937</v>
      </c>
      <c r="C537" s="28" t="s">
        <v>932</v>
      </c>
      <c r="D537" s="23" t="n">
        <v>0</v>
      </c>
    </row>
    <row r="538" customFormat="false" ht="15" hidden="false" customHeight="false" outlineLevel="0" collapsed="false">
      <c r="A538" s="28" t="s">
        <v>214</v>
      </c>
      <c r="B538" s="28" t="s">
        <v>937</v>
      </c>
      <c r="C538" s="28" t="s">
        <v>933</v>
      </c>
      <c r="D538" s="23" t="n">
        <v>1734.73801545</v>
      </c>
    </row>
    <row r="539" customFormat="false" ht="15" hidden="false" customHeight="false" outlineLevel="0" collapsed="false">
      <c r="A539" s="28" t="s">
        <v>214</v>
      </c>
      <c r="B539" s="28" t="s">
        <v>937</v>
      </c>
      <c r="C539" s="28" t="s">
        <v>934</v>
      </c>
      <c r="D539" s="23" t="n">
        <v>24648.8448175833</v>
      </c>
    </row>
    <row r="540" customFormat="false" ht="15" hidden="false" customHeight="false" outlineLevel="0" collapsed="false">
      <c r="A540" s="28" t="s">
        <v>214</v>
      </c>
      <c r="B540" s="28" t="s">
        <v>937</v>
      </c>
      <c r="C540" s="28" t="s">
        <v>935</v>
      </c>
      <c r="D540" s="23" t="n">
        <v>22708.9343509509</v>
      </c>
    </row>
    <row r="541" customFormat="false" ht="15" hidden="false" customHeight="false" outlineLevel="0" collapsed="false">
      <c r="A541" s="28" t="s">
        <v>214</v>
      </c>
      <c r="B541" s="28" t="s">
        <v>937</v>
      </c>
      <c r="C541" s="28" t="s">
        <v>936</v>
      </c>
      <c r="D541" s="23" t="n">
        <v>0</v>
      </c>
    </row>
    <row r="542" customFormat="false" ht="15" hidden="false" customHeight="false" outlineLevel="0" collapsed="false">
      <c r="A542" s="28" t="s">
        <v>216</v>
      </c>
      <c r="B542" s="28" t="s">
        <v>922</v>
      </c>
      <c r="C542" s="28" t="s">
        <v>923</v>
      </c>
      <c r="D542" s="23" t="n">
        <v>19643.64411</v>
      </c>
    </row>
    <row r="543" customFormat="false" ht="15" hidden="false" customHeight="false" outlineLevel="0" collapsed="false">
      <c r="A543" s="28" t="s">
        <v>216</v>
      </c>
      <c r="B543" s="28" t="s">
        <v>922</v>
      </c>
      <c r="C543" s="28" t="s">
        <v>924</v>
      </c>
      <c r="D543" s="23" t="n">
        <v>2817.99539125272</v>
      </c>
    </row>
    <row r="544" customFormat="false" ht="15" hidden="false" customHeight="false" outlineLevel="0" collapsed="false">
      <c r="A544" s="28" t="s">
        <v>216</v>
      </c>
      <c r="B544" s="28" t="s">
        <v>922</v>
      </c>
      <c r="C544" s="28" t="s">
        <v>925</v>
      </c>
      <c r="D544" s="23" t="n">
        <v>3000</v>
      </c>
    </row>
    <row r="545" customFormat="false" ht="15" hidden="false" customHeight="false" outlineLevel="0" collapsed="false">
      <c r="A545" s="28" t="s">
        <v>216</v>
      </c>
      <c r="B545" s="28" t="s">
        <v>922</v>
      </c>
      <c r="C545" s="28" t="s">
        <v>926</v>
      </c>
      <c r="D545" s="23" t="n">
        <v>45473.2050816</v>
      </c>
    </row>
    <row r="546" customFormat="false" ht="15" hidden="false" customHeight="false" outlineLevel="0" collapsed="false">
      <c r="A546" s="28" t="s">
        <v>216</v>
      </c>
      <c r="B546" s="28" t="s">
        <v>922</v>
      </c>
      <c r="C546" s="28" t="s">
        <v>563</v>
      </c>
      <c r="D546" s="23" t="n">
        <v>834.975832878278</v>
      </c>
    </row>
    <row r="547" customFormat="false" ht="15" hidden="false" customHeight="false" outlineLevel="0" collapsed="false">
      <c r="A547" s="28" t="s">
        <v>216</v>
      </c>
      <c r="B547" s="28" t="s">
        <v>922</v>
      </c>
      <c r="C547" s="28" t="s">
        <v>927</v>
      </c>
      <c r="D547" s="23" t="n">
        <v>6465.29612187278</v>
      </c>
    </row>
    <row r="548" customFormat="false" ht="15" hidden="false" customHeight="false" outlineLevel="0" collapsed="false">
      <c r="A548" s="28" t="s">
        <v>216</v>
      </c>
      <c r="B548" s="28" t="s">
        <v>922</v>
      </c>
      <c r="C548" s="28" t="s">
        <v>928</v>
      </c>
      <c r="D548" s="23" t="n">
        <v>1352.44965371374</v>
      </c>
    </row>
    <row r="549" customFormat="false" ht="15" hidden="false" customHeight="false" outlineLevel="0" collapsed="false">
      <c r="A549" s="28" t="s">
        <v>216</v>
      </c>
      <c r="B549" s="28" t="s">
        <v>922</v>
      </c>
      <c r="C549" s="28" t="s">
        <v>929</v>
      </c>
      <c r="D549" s="23" t="n">
        <v>6692.08687202383</v>
      </c>
    </row>
    <row r="550" customFormat="false" ht="15" hidden="false" customHeight="false" outlineLevel="0" collapsed="false">
      <c r="A550" s="28" t="s">
        <v>216</v>
      </c>
      <c r="B550" s="28" t="s">
        <v>922</v>
      </c>
      <c r="C550" s="28" t="s">
        <v>930</v>
      </c>
      <c r="D550" s="23" t="n">
        <v>616.31466</v>
      </c>
    </row>
    <row r="551" customFormat="false" ht="15" hidden="false" customHeight="false" outlineLevel="0" collapsed="false">
      <c r="A551" s="28" t="s">
        <v>216</v>
      </c>
      <c r="B551" s="28" t="s">
        <v>922</v>
      </c>
      <c r="C551" s="28" t="s">
        <v>931</v>
      </c>
      <c r="D551" s="23" t="n">
        <v>1819.82412032488</v>
      </c>
    </row>
    <row r="552" customFormat="false" ht="15" hidden="false" customHeight="false" outlineLevel="0" collapsed="false">
      <c r="A552" s="28" t="s">
        <v>216</v>
      </c>
      <c r="B552" s="28" t="s">
        <v>922</v>
      </c>
      <c r="C552" s="28" t="s">
        <v>932</v>
      </c>
      <c r="D552" s="23" t="n">
        <v>0</v>
      </c>
    </row>
    <row r="553" customFormat="false" ht="15" hidden="false" customHeight="false" outlineLevel="0" collapsed="false">
      <c r="A553" s="28" t="s">
        <v>216</v>
      </c>
      <c r="B553" s="28" t="s">
        <v>922</v>
      </c>
      <c r="C553" s="28" t="s">
        <v>933</v>
      </c>
      <c r="D553" s="23" t="n">
        <v>-3419.6805755265</v>
      </c>
    </row>
    <row r="554" customFormat="false" ht="15" hidden="false" customHeight="false" outlineLevel="0" collapsed="false">
      <c r="A554" s="28" t="s">
        <v>216</v>
      </c>
      <c r="B554" s="28" t="s">
        <v>922</v>
      </c>
      <c r="C554" s="28" t="s">
        <v>934</v>
      </c>
      <c r="D554" s="23" t="n">
        <v>-34418.57457425</v>
      </c>
    </row>
    <row r="555" customFormat="false" ht="15" hidden="false" customHeight="false" outlineLevel="0" collapsed="false">
      <c r="A555" s="28" t="s">
        <v>216</v>
      </c>
      <c r="B555" s="28" t="s">
        <v>922</v>
      </c>
      <c r="C555" s="28" t="s">
        <v>935</v>
      </c>
      <c r="D555" s="23" t="n">
        <v>-21796.3837935564</v>
      </c>
    </row>
    <row r="556" customFormat="false" ht="15" hidden="false" customHeight="false" outlineLevel="0" collapsed="false">
      <c r="A556" s="28" t="s">
        <v>216</v>
      </c>
      <c r="B556" s="28" t="s">
        <v>922</v>
      </c>
      <c r="C556" s="28" t="s">
        <v>936</v>
      </c>
      <c r="D556" s="23" t="n">
        <v>-19946.6447254074</v>
      </c>
    </row>
    <row r="557" customFormat="false" ht="15" hidden="false" customHeight="false" outlineLevel="0" collapsed="false">
      <c r="A557" s="28" t="s">
        <v>216</v>
      </c>
      <c r="B557" s="28" t="s">
        <v>937</v>
      </c>
      <c r="C557" s="28" t="s">
        <v>923</v>
      </c>
      <c r="D557" s="23" t="n">
        <v>19643.64411</v>
      </c>
    </row>
    <row r="558" customFormat="false" ht="15" hidden="false" customHeight="false" outlineLevel="0" collapsed="false">
      <c r="A558" s="28" t="s">
        <v>216</v>
      </c>
      <c r="B558" s="28" t="s">
        <v>937</v>
      </c>
      <c r="C558" s="28" t="s">
        <v>924</v>
      </c>
      <c r="D558" s="23" t="n">
        <v>11329.0218383254</v>
      </c>
    </row>
    <row r="559" customFormat="false" ht="15" hidden="false" customHeight="false" outlineLevel="0" collapsed="false">
      <c r="A559" s="28" t="s">
        <v>216</v>
      </c>
      <c r="B559" s="28" t="s">
        <v>937</v>
      </c>
      <c r="C559" s="28" t="s">
        <v>925</v>
      </c>
      <c r="D559" s="23" t="n">
        <v>3000</v>
      </c>
    </row>
    <row r="560" customFormat="false" ht="15" hidden="false" customHeight="false" outlineLevel="0" collapsed="false">
      <c r="A560" s="28" t="s">
        <v>216</v>
      </c>
      <c r="B560" s="28" t="s">
        <v>937</v>
      </c>
      <c r="C560" s="28" t="s">
        <v>926</v>
      </c>
      <c r="D560" s="23" t="n">
        <v>45473.2050816</v>
      </c>
    </row>
    <row r="561" customFormat="false" ht="15" hidden="false" customHeight="false" outlineLevel="0" collapsed="false">
      <c r="A561" s="28" t="s">
        <v>216</v>
      </c>
      <c r="B561" s="28" t="s">
        <v>937</v>
      </c>
      <c r="C561" s="28" t="s">
        <v>563</v>
      </c>
      <c r="D561" s="23" t="n">
        <v>2607.94466564232</v>
      </c>
    </row>
    <row r="562" customFormat="false" ht="15" hidden="false" customHeight="false" outlineLevel="0" collapsed="false">
      <c r="A562" s="28" t="s">
        <v>216</v>
      </c>
      <c r="B562" s="28" t="s">
        <v>937</v>
      </c>
      <c r="C562" s="28" t="s">
        <v>927</v>
      </c>
      <c r="D562" s="23" t="n">
        <v>19104.1713500313</v>
      </c>
    </row>
    <row r="563" customFormat="false" ht="15" hidden="false" customHeight="false" outlineLevel="0" collapsed="false">
      <c r="A563" s="28" t="s">
        <v>216</v>
      </c>
      <c r="B563" s="28" t="s">
        <v>937</v>
      </c>
      <c r="C563" s="28" t="s">
        <v>928</v>
      </c>
      <c r="D563" s="23" t="n">
        <v>3851.94048748176</v>
      </c>
    </row>
    <row r="564" customFormat="false" ht="15" hidden="false" customHeight="false" outlineLevel="0" collapsed="false">
      <c r="A564" s="28" t="s">
        <v>216</v>
      </c>
      <c r="B564" s="28" t="s">
        <v>937</v>
      </c>
      <c r="C564" s="28" t="s">
        <v>929</v>
      </c>
      <c r="D564" s="23" t="n">
        <v>11823.5301391559</v>
      </c>
    </row>
    <row r="565" customFormat="false" ht="15" hidden="false" customHeight="false" outlineLevel="0" collapsed="false">
      <c r="A565" s="28" t="s">
        <v>216</v>
      </c>
      <c r="B565" s="28" t="s">
        <v>937</v>
      </c>
      <c r="C565" s="28" t="s">
        <v>930</v>
      </c>
      <c r="D565" s="23" t="n">
        <v>616.31466</v>
      </c>
    </row>
    <row r="566" customFormat="false" ht="15" hidden="false" customHeight="false" outlineLevel="0" collapsed="false">
      <c r="A566" s="28" t="s">
        <v>216</v>
      </c>
      <c r="B566" s="28" t="s">
        <v>937</v>
      </c>
      <c r="C566" s="28" t="s">
        <v>931</v>
      </c>
      <c r="D566" s="23" t="n">
        <v>2738.30110774148</v>
      </c>
    </row>
    <row r="567" customFormat="false" ht="15" hidden="false" customHeight="false" outlineLevel="0" collapsed="false">
      <c r="A567" s="28" t="s">
        <v>216</v>
      </c>
      <c r="B567" s="28" t="s">
        <v>937</v>
      </c>
      <c r="C567" s="28" t="s">
        <v>932</v>
      </c>
      <c r="D567" s="23" t="n">
        <v>0</v>
      </c>
    </row>
    <row r="568" customFormat="false" ht="15" hidden="false" customHeight="false" outlineLevel="0" collapsed="false">
      <c r="A568" s="28" t="s">
        <v>216</v>
      </c>
      <c r="B568" s="28" t="s">
        <v>937</v>
      </c>
      <c r="C568" s="28" t="s">
        <v>933</v>
      </c>
      <c r="D568" s="23" t="n">
        <v>-3903.801364872</v>
      </c>
    </row>
    <row r="569" customFormat="false" ht="15" hidden="false" customHeight="false" outlineLevel="0" collapsed="false">
      <c r="A569" s="28" t="s">
        <v>216</v>
      </c>
      <c r="B569" s="28" t="s">
        <v>937</v>
      </c>
      <c r="C569" s="28" t="s">
        <v>934</v>
      </c>
      <c r="D569" s="23" t="n">
        <v>-34321.280215275</v>
      </c>
    </row>
    <row r="570" customFormat="false" ht="15" hidden="false" customHeight="false" outlineLevel="0" collapsed="false">
      <c r="A570" s="28" t="s">
        <v>216</v>
      </c>
      <c r="B570" s="28" t="s">
        <v>937</v>
      </c>
      <c r="C570" s="28" t="s">
        <v>935</v>
      </c>
      <c r="D570" s="23" t="n">
        <v>-44089.1359572042</v>
      </c>
    </row>
    <row r="571" customFormat="false" ht="15" hidden="false" customHeight="false" outlineLevel="0" collapsed="false">
      <c r="A571" s="28" t="s">
        <v>216</v>
      </c>
      <c r="B571" s="28" t="s">
        <v>937</v>
      </c>
      <c r="C571" s="28" t="s">
        <v>936</v>
      </c>
      <c r="D571" s="23" t="n">
        <v>-36824.5748776752</v>
      </c>
    </row>
  </sheetData>
  <autoFilter ref="A1:D5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13"/>
    <col collapsed="false" customWidth="true" hidden="false" outlineLevel="0" max="5" min="4" style="0" width="20"/>
    <col collapsed="false" customWidth="true" hidden="false" outlineLevel="0" max="6" min="6" style="0" width="14"/>
    <col collapsed="false" customWidth="true" hidden="false" outlineLevel="0" max="7" min="7" style="0" width="21"/>
    <col collapsed="false" customWidth="true" hidden="false" outlineLevel="0" max="8" min="8" style="0" width="15"/>
    <col collapsed="false" customWidth="true" hidden="false" outlineLevel="0" max="9" min="9" style="0" width="10"/>
  </cols>
  <sheetData>
    <row r="1" customFormat="false" ht="30" hidden="false" customHeight="true" outlineLevel="0" collapsed="false">
      <c r="A1" s="27" t="s">
        <v>157</v>
      </c>
      <c r="B1" s="27" t="s">
        <v>432</v>
      </c>
      <c r="C1" s="27" t="s">
        <v>873</v>
      </c>
      <c r="D1" s="27" t="s">
        <v>845</v>
      </c>
      <c r="E1" s="27" t="s">
        <v>938</v>
      </c>
      <c r="F1" s="27" t="s">
        <v>440</v>
      </c>
      <c r="G1" s="27" t="s">
        <v>843</v>
      </c>
      <c r="H1" s="27" t="s">
        <v>441</v>
      </c>
      <c r="I1" s="27" t="s">
        <v>939</v>
      </c>
    </row>
    <row r="2" customFormat="false" ht="15" hidden="false" customHeight="false" outlineLevel="0" collapsed="false">
      <c r="A2" s="28" t="s">
        <v>172</v>
      </c>
      <c r="B2" s="28" t="s">
        <v>449</v>
      </c>
      <c r="C2" s="28" t="s">
        <v>447</v>
      </c>
      <c r="D2" s="23" t="n">
        <v>695254.49</v>
      </c>
      <c r="E2" s="23" t="n">
        <v>695254.49</v>
      </c>
      <c r="F2" s="31" t="n">
        <v>0</v>
      </c>
      <c r="G2" s="28" t="s">
        <v>940</v>
      </c>
      <c r="H2" s="31" t="n">
        <v>0</v>
      </c>
      <c r="I2" s="28" t="s">
        <v>941</v>
      </c>
    </row>
    <row r="3" customFormat="false" ht="15" hidden="false" customHeight="false" outlineLevel="0" collapsed="false">
      <c r="A3" s="28" t="s">
        <v>172</v>
      </c>
      <c r="B3" s="28" t="s">
        <v>942</v>
      </c>
      <c r="C3" s="28" t="s">
        <v>447</v>
      </c>
      <c r="D3" s="23" t="n">
        <v>150051.434903246</v>
      </c>
      <c r="E3" s="23" t="n">
        <v>159193.37970654</v>
      </c>
      <c r="F3" s="31" t="n">
        <v>2.0048</v>
      </c>
      <c r="G3" s="28" t="s">
        <v>943</v>
      </c>
      <c r="H3" s="31" t="n">
        <v>6.2727</v>
      </c>
      <c r="I3" s="28" t="s">
        <v>941</v>
      </c>
    </row>
    <row r="4" customFormat="false" ht="15" hidden="false" customHeight="false" outlineLevel="0" collapsed="false">
      <c r="A4" s="28" t="s">
        <v>172</v>
      </c>
      <c r="B4" s="28" t="s">
        <v>944</v>
      </c>
      <c r="C4" s="28" t="s">
        <v>447</v>
      </c>
      <c r="D4" s="23" t="n">
        <v>367549.241673984</v>
      </c>
      <c r="E4" s="23" t="n">
        <v>400582.123539449</v>
      </c>
      <c r="F4" s="31" t="n">
        <v>2.9222</v>
      </c>
      <c r="G4" s="28" t="s">
        <v>943</v>
      </c>
      <c r="H4" s="31" t="n">
        <v>12.1376</v>
      </c>
      <c r="I4" s="28" t="s">
        <v>941</v>
      </c>
    </row>
    <row r="5" customFormat="false" ht="15" hidden="false" customHeight="false" outlineLevel="0" collapsed="false">
      <c r="A5" s="28" t="s">
        <v>172</v>
      </c>
      <c r="B5" s="28" t="s">
        <v>945</v>
      </c>
      <c r="C5" s="28" t="s">
        <v>447</v>
      </c>
      <c r="D5" s="23" t="n">
        <v>548633.753403125</v>
      </c>
      <c r="E5" s="23" t="n">
        <v>697526.772042683</v>
      </c>
      <c r="F5" s="31" t="n">
        <v>8.0772</v>
      </c>
      <c r="G5" s="28" t="s">
        <v>943</v>
      </c>
      <c r="H5" s="31" t="n">
        <v>52.978</v>
      </c>
      <c r="I5" s="28" t="s">
        <v>941</v>
      </c>
    </row>
    <row r="6" customFormat="false" ht="15" hidden="false" customHeight="false" outlineLevel="0" collapsed="false">
      <c r="A6" s="28" t="s">
        <v>172</v>
      </c>
      <c r="B6" s="28" t="s">
        <v>946</v>
      </c>
      <c r="C6" s="28" t="s">
        <v>447</v>
      </c>
      <c r="D6" s="23" t="n">
        <v>305274.71975975</v>
      </c>
      <c r="E6" s="23" t="n">
        <v>321993.775867547</v>
      </c>
      <c r="F6" s="31" t="n">
        <v>-0.978</v>
      </c>
      <c r="G6" s="28" t="s">
        <v>943</v>
      </c>
      <c r="H6" s="31" t="n">
        <v>4.8513</v>
      </c>
      <c r="I6" s="28" t="s">
        <v>941</v>
      </c>
    </row>
    <row r="7" customFormat="false" ht="15" hidden="false" customHeight="false" outlineLevel="0" collapsed="false">
      <c r="A7" s="28" t="s">
        <v>172</v>
      </c>
      <c r="B7" s="28" t="s">
        <v>947</v>
      </c>
      <c r="C7" s="28" t="s">
        <v>447</v>
      </c>
      <c r="D7" s="23" t="n">
        <v>352414.480607701</v>
      </c>
      <c r="E7" s="23" t="n">
        <v>411854.536476872</v>
      </c>
      <c r="F7" s="31" t="n">
        <v>5.0004</v>
      </c>
      <c r="G7" s="28" t="s">
        <v>943</v>
      </c>
      <c r="H7" s="31" t="n">
        <v>20.0322</v>
      </c>
      <c r="I7" s="28" t="s">
        <v>941</v>
      </c>
    </row>
    <row r="8" customFormat="false" ht="15" hidden="false" customHeight="false" outlineLevel="0" collapsed="false">
      <c r="A8" s="28" t="s">
        <v>172</v>
      </c>
      <c r="B8" s="28" t="s">
        <v>948</v>
      </c>
      <c r="C8" s="28" t="s">
        <v>447</v>
      </c>
      <c r="D8" s="23" t="n">
        <v>136497.166545512</v>
      </c>
      <c r="E8" s="23" t="n">
        <v>165987.082387336</v>
      </c>
      <c r="F8" s="31" t="n">
        <v>6.6302</v>
      </c>
      <c r="G8" s="28" t="s">
        <v>943</v>
      </c>
      <c r="H8" s="31" t="n">
        <v>51.1766</v>
      </c>
      <c r="I8" s="28" t="s">
        <v>941</v>
      </c>
    </row>
    <row r="9" customFormat="false" ht="15" hidden="false" customHeight="false" outlineLevel="0" collapsed="false">
      <c r="A9" s="28" t="s">
        <v>172</v>
      </c>
      <c r="B9" s="28" t="s">
        <v>949</v>
      </c>
      <c r="C9" s="28" t="s">
        <v>447</v>
      </c>
      <c r="D9" s="23" t="n">
        <v>97853.5160956092</v>
      </c>
      <c r="E9" s="23" t="n">
        <v>97595.1326370001</v>
      </c>
      <c r="F9" s="31" t="n">
        <v>-0.0646</v>
      </c>
      <c r="G9" s="28" t="s">
        <v>943</v>
      </c>
      <c r="H9" s="31" t="n">
        <v>1.6947</v>
      </c>
      <c r="I9" s="28" t="s">
        <v>941</v>
      </c>
    </row>
    <row r="10" customFormat="false" ht="15" hidden="false" customHeight="false" outlineLevel="0" collapsed="false">
      <c r="A10" s="28" t="s">
        <v>172</v>
      </c>
      <c r="B10" s="28" t="s">
        <v>950</v>
      </c>
      <c r="C10" s="28" t="s">
        <v>447</v>
      </c>
      <c r="D10" s="23" t="n">
        <v>700000</v>
      </c>
      <c r="E10" s="23" t="n">
        <v>700874.764579637</v>
      </c>
      <c r="F10" s="31" t="n">
        <v>5.9906</v>
      </c>
      <c r="G10" s="28" t="s">
        <v>943</v>
      </c>
      <c r="H10" s="31" t="n">
        <v>29.0247</v>
      </c>
      <c r="I10" s="28" t="s">
        <v>941</v>
      </c>
    </row>
    <row r="11" customFormat="false" ht="15" hidden="false" customHeight="false" outlineLevel="0" collapsed="false">
      <c r="A11" s="28" t="s">
        <v>172</v>
      </c>
      <c r="B11" s="28" t="s">
        <v>951</v>
      </c>
      <c r="C11" s="28" t="s">
        <v>447</v>
      </c>
      <c r="D11" s="23" t="n">
        <v>300000</v>
      </c>
      <c r="E11" s="23" t="n">
        <v>309695.896265295</v>
      </c>
      <c r="F11" s="31" t="n">
        <v>3.8003</v>
      </c>
      <c r="G11" s="28" t="s">
        <v>943</v>
      </c>
      <c r="H11" s="31" t="n">
        <v>17.3637</v>
      </c>
      <c r="I11" s="28" t="s">
        <v>941</v>
      </c>
    </row>
    <row r="12" customFormat="false" ht="15" hidden="false" customHeight="false" outlineLevel="0" collapsed="false">
      <c r="A12" s="28" t="s">
        <v>172</v>
      </c>
      <c r="B12" s="28" t="s">
        <v>952</v>
      </c>
      <c r="C12" s="28" t="s">
        <v>447</v>
      </c>
      <c r="D12" s="23" t="n">
        <v>200000</v>
      </c>
      <c r="E12" s="23" t="n">
        <v>209796.044276948</v>
      </c>
      <c r="F12" s="31" t="n">
        <v>7.3258</v>
      </c>
      <c r="G12" s="28" t="s">
        <v>943</v>
      </c>
      <c r="H12" s="31" t="n">
        <v>62.6324</v>
      </c>
      <c r="I12" s="28" t="s">
        <v>941</v>
      </c>
    </row>
    <row r="13" customFormat="false" ht="15" hidden="false" customHeight="false" outlineLevel="0" collapsed="false">
      <c r="A13" s="28" t="s">
        <v>172</v>
      </c>
      <c r="B13" s="28" t="s">
        <v>953</v>
      </c>
      <c r="C13" s="28" t="s">
        <v>447</v>
      </c>
      <c r="D13" s="23" t="n">
        <v>148403.71</v>
      </c>
      <c r="E13" s="23" t="n">
        <v>163237.377519817</v>
      </c>
      <c r="F13" s="31" t="n">
        <v>2.8051</v>
      </c>
      <c r="G13" s="28" t="s">
        <v>943</v>
      </c>
      <c r="H13" s="31" t="n">
        <v>9.5831</v>
      </c>
      <c r="I13" s="28" t="s">
        <v>941</v>
      </c>
    </row>
    <row r="14" customFormat="false" ht="15" hidden="false" customHeight="false" outlineLevel="0" collapsed="false">
      <c r="A14" s="28" t="s">
        <v>172</v>
      </c>
      <c r="B14" s="28" t="s">
        <v>954</v>
      </c>
      <c r="C14" s="28" t="s">
        <v>447</v>
      </c>
      <c r="D14" s="23" t="n">
        <v>24721.732</v>
      </c>
      <c r="E14" s="23" t="n">
        <v>24721.732</v>
      </c>
      <c r="F14" s="31" t="n">
        <v>0</v>
      </c>
      <c r="G14" s="28" t="s">
        <v>943</v>
      </c>
      <c r="H14" s="31" t="n">
        <v>0</v>
      </c>
      <c r="I14" s="28" t="s">
        <v>941</v>
      </c>
    </row>
    <row r="15" customFormat="false" ht="15" hidden="false" customHeight="false" outlineLevel="0" collapsed="false">
      <c r="A15" s="28" t="s">
        <v>172</v>
      </c>
      <c r="B15" s="28" t="s">
        <v>457</v>
      </c>
      <c r="C15" s="28" t="s">
        <v>447</v>
      </c>
      <c r="D15" s="23" t="n">
        <v>17250</v>
      </c>
      <c r="E15" s="23" t="n">
        <v>17250</v>
      </c>
      <c r="F15" s="31" t="n">
        <v>0</v>
      </c>
      <c r="G15" s="28" t="s">
        <v>955</v>
      </c>
      <c r="H15" s="31" t="n">
        <v>0</v>
      </c>
      <c r="I15" s="28" t="s">
        <v>941</v>
      </c>
    </row>
    <row r="16" customFormat="false" ht="15" hidden="false" customHeight="false" outlineLevel="0" collapsed="false">
      <c r="A16" s="28" t="s">
        <v>172</v>
      </c>
      <c r="B16" s="28" t="s">
        <v>956</v>
      </c>
      <c r="C16" s="28" t="s">
        <v>447</v>
      </c>
      <c r="D16" s="23" t="n">
        <v>1515773.50272</v>
      </c>
      <c r="E16" s="23" t="n">
        <v>1516264.86813938</v>
      </c>
      <c r="F16" s="31" t="n">
        <v>1.8118</v>
      </c>
      <c r="G16" s="28" t="s">
        <v>957</v>
      </c>
      <c r="H16" s="31" t="n">
        <v>625.4306</v>
      </c>
      <c r="I16" s="28" t="s">
        <v>941</v>
      </c>
    </row>
    <row r="17" customFormat="false" ht="15" hidden="false" customHeight="false" outlineLevel="0" collapsed="false">
      <c r="A17" s="28" t="s">
        <v>172</v>
      </c>
      <c r="B17" s="28" t="s">
        <v>958</v>
      </c>
      <c r="C17" s="28" t="s">
        <v>447</v>
      </c>
      <c r="D17" s="23" t="n">
        <v>589467.47328</v>
      </c>
      <c r="E17" s="23" t="n">
        <v>631551.063485561</v>
      </c>
      <c r="F17" s="31" t="n">
        <v>1.7765</v>
      </c>
      <c r="G17" s="28" t="s">
        <v>957</v>
      </c>
      <c r="H17" s="31" t="n">
        <v>-72.4243</v>
      </c>
      <c r="I17" s="28" t="s">
        <v>941</v>
      </c>
    </row>
    <row r="18" customFormat="false" ht="15" hidden="false" customHeight="false" outlineLevel="0" collapsed="false">
      <c r="A18" s="28" t="s">
        <v>172</v>
      </c>
      <c r="B18" s="28" t="s">
        <v>959</v>
      </c>
      <c r="C18" s="28" t="s">
        <v>447</v>
      </c>
      <c r="D18" s="23" t="n">
        <v>1104190.947</v>
      </c>
      <c r="E18" s="23" t="n">
        <v>1147267.75259612</v>
      </c>
      <c r="F18" s="31" t="n">
        <v>1.4068</v>
      </c>
      <c r="G18" s="28" t="s">
        <v>957</v>
      </c>
      <c r="H18" s="31" t="n">
        <v>-10.0757</v>
      </c>
      <c r="I18" s="28" t="s">
        <v>941</v>
      </c>
    </row>
    <row r="19" customFormat="false" ht="15" hidden="false" customHeight="false" outlineLevel="0" collapsed="false">
      <c r="A19" s="28" t="s">
        <v>172</v>
      </c>
      <c r="B19" s="28" t="s">
        <v>960</v>
      </c>
      <c r="C19" s="28" t="s">
        <v>447</v>
      </c>
      <c r="D19" s="23" t="n">
        <v>476328.947</v>
      </c>
      <c r="E19" s="23" t="n">
        <v>494547.246382451</v>
      </c>
      <c r="F19" s="31" t="n">
        <v>1.5114</v>
      </c>
      <c r="G19" s="28" t="s">
        <v>957</v>
      </c>
      <c r="H19" s="31" t="n">
        <v>-10.9026</v>
      </c>
      <c r="I19" s="28" t="s">
        <v>941</v>
      </c>
    </row>
    <row r="20" customFormat="false" ht="15" hidden="false" customHeight="false" outlineLevel="0" collapsed="false">
      <c r="A20" s="28" t="s">
        <v>172</v>
      </c>
      <c r="B20" s="28" t="s">
        <v>961</v>
      </c>
      <c r="C20" s="28" t="s">
        <v>447</v>
      </c>
      <c r="D20" s="23" t="n">
        <v>374430.3036</v>
      </c>
      <c r="E20" s="23" t="n">
        <v>396581.630040766</v>
      </c>
      <c r="F20" s="31" t="n">
        <v>4.0928</v>
      </c>
      <c r="G20" s="28" t="s">
        <v>957</v>
      </c>
      <c r="H20" s="31" t="n">
        <v>-668.4163</v>
      </c>
      <c r="I20" s="28" t="s">
        <v>941</v>
      </c>
    </row>
    <row r="21" customFormat="false" ht="15" hidden="false" customHeight="false" outlineLevel="0" collapsed="false">
      <c r="A21" s="28" t="s">
        <v>172</v>
      </c>
      <c r="B21" s="28" t="s">
        <v>962</v>
      </c>
      <c r="C21" s="28" t="s">
        <v>447</v>
      </c>
      <c r="D21" s="23" t="n">
        <v>249620.2024</v>
      </c>
      <c r="E21" s="23" t="n">
        <v>266159.707515697</v>
      </c>
      <c r="F21" s="31" t="n">
        <v>0.9221</v>
      </c>
      <c r="G21" s="28" t="s">
        <v>957</v>
      </c>
      <c r="H21" s="31" t="n">
        <v>-20.9672</v>
      </c>
      <c r="I21" s="28" t="s">
        <v>941</v>
      </c>
    </row>
    <row r="22" customFormat="false" ht="15" hidden="false" customHeight="false" outlineLevel="0" collapsed="false">
      <c r="A22" s="28" t="s">
        <v>172</v>
      </c>
      <c r="B22" s="28" t="s">
        <v>963</v>
      </c>
      <c r="C22" s="28" t="s">
        <v>447</v>
      </c>
      <c r="D22" s="23" t="n">
        <v>720674.90295</v>
      </c>
      <c r="E22" s="23" t="n">
        <v>769068.136241957</v>
      </c>
      <c r="F22" s="31" t="n">
        <v>3.55</v>
      </c>
      <c r="G22" s="28" t="s">
        <v>957</v>
      </c>
      <c r="H22" s="31" t="n">
        <v>-105.9035</v>
      </c>
      <c r="I22" s="28" t="s">
        <v>941</v>
      </c>
    </row>
    <row r="23" customFormat="false" ht="15" hidden="false" customHeight="false" outlineLevel="0" collapsed="false">
      <c r="A23" s="28" t="s">
        <v>172</v>
      </c>
      <c r="B23" s="28" t="s">
        <v>964</v>
      </c>
      <c r="C23" s="28" t="s">
        <v>447</v>
      </c>
      <c r="D23" s="23" t="n">
        <v>127177.92405</v>
      </c>
      <c r="E23" s="23" t="n">
        <v>132330.629892235</v>
      </c>
      <c r="F23" s="31" t="n">
        <v>4.6181</v>
      </c>
      <c r="G23" s="28" t="s">
        <v>957</v>
      </c>
      <c r="H23" s="31" t="n">
        <v>39.8845</v>
      </c>
      <c r="I23" s="28" t="s">
        <v>941</v>
      </c>
    </row>
    <row r="24" customFormat="false" ht="15" hidden="false" customHeight="false" outlineLevel="0" collapsed="false">
      <c r="A24" s="28" t="s">
        <v>172</v>
      </c>
      <c r="B24" s="28" t="s">
        <v>965</v>
      </c>
      <c r="C24" s="28" t="s">
        <v>447</v>
      </c>
      <c r="D24" s="23" t="n">
        <v>20543.822</v>
      </c>
      <c r="E24" s="23" t="n">
        <v>20808.2765085715</v>
      </c>
      <c r="F24" s="31" t="n">
        <v>1.7643</v>
      </c>
      <c r="G24" s="28" t="s">
        <v>957</v>
      </c>
      <c r="H24" s="31" t="n">
        <v>5.666</v>
      </c>
      <c r="I24" s="28" t="s">
        <v>941</v>
      </c>
    </row>
    <row r="25" customFormat="false" ht="15" hidden="false" customHeight="false" outlineLevel="0" collapsed="false">
      <c r="A25" s="28" t="s">
        <v>172</v>
      </c>
      <c r="B25" s="28" t="s">
        <v>966</v>
      </c>
      <c r="C25" s="28" t="s">
        <v>447</v>
      </c>
      <c r="D25" s="23" t="n">
        <v>62649.693</v>
      </c>
      <c r="E25" s="23" t="n">
        <v>64284.0747757755</v>
      </c>
      <c r="F25" s="31" t="n">
        <v>1.1504</v>
      </c>
      <c r="G25" s="28" t="s">
        <v>957</v>
      </c>
      <c r="H25" s="31" t="n">
        <v>2.5284</v>
      </c>
      <c r="I25" s="28" t="s">
        <v>941</v>
      </c>
    </row>
    <row r="26" customFormat="false" ht="15" hidden="false" customHeight="false" outlineLevel="0" collapsed="false">
      <c r="A26" s="28" t="s">
        <v>172</v>
      </c>
      <c r="B26" s="28" t="s">
        <v>967</v>
      </c>
      <c r="C26" s="28" t="s">
        <v>447</v>
      </c>
      <c r="D26" s="23" t="n">
        <v>41766.462</v>
      </c>
      <c r="E26" s="23" t="n">
        <v>41760.0610284898</v>
      </c>
      <c r="F26" s="31" t="n">
        <v>0.0036</v>
      </c>
      <c r="G26" s="28" t="s">
        <v>957</v>
      </c>
      <c r="H26" s="31" t="n">
        <v>0.5958</v>
      </c>
      <c r="I26" s="28" t="s">
        <v>941</v>
      </c>
    </row>
    <row r="27" customFormat="false" ht="15" hidden="false" customHeight="false" outlineLevel="0" collapsed="false">
      <c r="A27" s="28" t="s">
        <v>172</v>
      </c>
      <c r="B27" s="28" t="s">
        <v>968</v>
      </c>
      <c r="C27" s="28" t="s">
        <v>447</v>
      </c>
      <c r="D27" s="23" t="n">
        <v>21376.155</v>
      </c>
      <c r="E27" s="23" t="n">
        <v>22487.6827855554</v>
      </c>
      <c r="F27" s="31" t="n">
        <v>2.1175</v>
      </c>
      <c r="G27" s="28" t="s">
        <v>957</v>
      </c>
      <c r="H27" s="31" t="n">
        <v>7.8909</v>
      </c>
      <c r="I27" s="28" t="s">
        <v>941</v>
      </c>
    </row>
    <row r="28" customFormat="false" ht="15" hidden="false" customHeight="false" outlineLevel="0" collapsed="false">
      <c r="A28" s="28" t="s">
        <v>172</v>
      </c>
      <c r="B28" s="28" t="s">
        <v>969</v>
      </c>
      <c r="C28" s="28" t="s">
        <v>447</v>
      </c>
      <c r="D28" s="23" t="n">
        <v>1397.217</v>
      </c>
      <c r="E28" s="23" t="n">
        <v>1461.91996547767</v>
      </c>
      <c r="F28" s="31" t="n">
        <v>3.1052</v>
      </c>
      <c r="G28" s="28" t="s">
        <v>957</v>
      </c>
      <c r="H28" s="31" t="n">
        <v>16.1472</v>
      </c>
      <c r="I28" s="28" t="s">
        <v>941</v>
      </c>
    </row>
    <row r="29" customFormat="false" ht="15" hidden="false" customHeight="false" outlineLevel="0" collapsed="false">
      <c r="A29" s="28" t="s">
        <v>172</v>
      </c>
      <c r="B29" s="28" t="s">
        <v>970</v>
      </c>
      <c r="C29" s="28" t="s">
        <v>447</v>
      </c>
      <c r="D29" s="23" t="n">
        <v>42.972</v>
      </c>
      <c r="E29" s="23" t="n">
        <v>48.2469213126501</v>
      </c>
      <c r="F29" s="31" t="n">
        <v>5.2394</v>
      </c>
      <c r="G29" s="28" t="s">
        <v>957</v>
      </c>
      <c r="H29" s="31" t="n">
        <v>46.8906</v>
      </c>
      <c r="I29" s="28" t="s">
        <v>941</v>
      </c>
    </row>
    <row r="30" customFormat="false" ht="15" hidden="false" customHeight="false" outlineLevel="0" collapsed="false">
      <c r="A30" s="28" t="s">
        <v>172</v>
      </c>
      <c r="B30" s="28" t="s">
        <v>459</v>
      </c>
      <c r="C30" s="28" t="s">
        <v>447</v>
      </c>
      <c r="D30" s="23" t="n">
        <v>1976.718</v>
      </c>
      <c r="E30" s="23" t="n">
        <v>1990.30570927054</v>
      </c>
      <c r="F30" s="31" t="n">
        <v>0.166</v>
      </c>
      <c r="G30" s="28" t="s">
        <v>957</v>
      </c>
      <c r="H30" s="31" t="n">
        <v>0.0551</v>
      </c>
      <c r="I30" s="28" t="s">
        <v>941</v>
      </c>
    </row>
    <row r="31" customFormat="false" ht="15" hidden="false" customHeight="false" outlineLevel="0" collapsed="false">
      <c r="A31" s="28" t="s">
        <v>172</v>
      </c>
      <c r="B31" s="28" t="s">
        <v>489</v>
      </c>
      <c r="C31" s="28" t="s">
        <v>447</v>
      </c>
      <c r="D31" s="23" t="n">
        <v>-47552</v>
      </c>
      <c r="E31" s="23" t="n">
        <v>-47552</v>
      </c>
      <c r="F31" s="31" t="n">
        <v>0</v>
      </c>
      <c r="G31" s="28" t="s">
        <v>957</v>
      </c>
      <c r="H31" s="31" t="n">
        <v>0</v>
      </c>
      <c r="I31" s="28" t="s">
        <v>941</v>
      </c>
    </row>
    <row r="32" customFormat="false" ht="15" hidden="false" customHeight="false" outlineLevel="0" collapsed="false">
      <c r="A32" s="28" t="s">
        <v>172</v>
      </c>
      <c r="B32" s="28" t="s">
        <v>466</v>
      </c>
      <c r="C32" s="28" t="s">
        <v>447</v>
      </c>
      <c r="D32" s="23" t="n">
        <v>6200</v>
      </c>
      <c r="E32" s="23" t="n">
        <v>3968</v>
      </c>
      <c r="F32" s="31" t="n">
        <v>-18.75</v>
      </c>
      <c r="G32" s="28" t="s">
        <v>955</v>
      </c>
      <c r="H32" s="31" t="n">
        <v>0</v>
      </c>
      <c r="I32" s="28" t="s">
        <v>941</v>
      </c>
    </row>
    <row r="33" customFormat="false" ht="15" hidden="false" customHeight="false" outlineLevel="0" collapsed="false">
      <c r="A33" s="28" t="s">
        <v>172</v>
      </c>
      <c r="B33" s="28" t="s">
        <v>971</v>
      </c>
      <c r="C33" s="28" t="s">
        <v>447</v>
      </c>
      <c r="D33" s="23" t="n">
        <v>577875.54</v>
      </c>
      <c r="E33" s="23" t="n">
        <v>577875.54</v>
      </c>
      <c r="F33" s="31" t="n">
        <v>0</v>
      </c>
      <c r="G33" s="28" t="s">
        <v>955</v>
      </c>
      <c r="H33" s="31" t="n">
        <v>0</v>
      </c>
      <c r="I33" s="28" t="s">
        <v>941</v>
      </c>
    </row>
    <row r="34" customFormat="false" ht="15" hidden="false" customHeight="false" outlineLevel="0" collapsed="false">
      <c r="A34" s="28" t="s">
        <v>172</v>
      </c>
      <c r="B34" s="28" t="s">
        <v>972</v>
      </c>
      <c r="C34" s="28" t="s">
        <v>469</v>
      </c>
      <c r="D34" s="23" t="n">
        <v>1551679.623</v>
      </c>
      <c r="E34" s="23" t="n">
        <v>1453576.27990874</v>
      </c>
      <c r="F34" s="31" t="n">
        <v>5.8335</v>
      </c>
      <c r="G34" s="28" t="s">
        <v>973</v>
      </c>
      <c r="H34" s="31" t="n">
        <v>68.5351</v>
      </c>
      <c r="I34" s="28" t="s">
        <v>941</v>
      </c>
    </row>
    <row r="35" customFormat="false" ht="15" hidden="false" customHeight="false" outlineLevel="0" collapsed="false">
      <c r="A35" s="28" t="s">
        <v>172</v>
      </c>
      <c r="B35" s="28" t="s">
        <v>974</v>
      </c>
      <c r="C35" s="28" t="s">
        <v>469</v>
      </c>
      <c r="D35" s="23" t="n">
        <v>330000</v>
      </c>
      <c r="E35" s="23" t="n">
        <v>315287.721803042</v>
      </c>
      <c r="F35" s="31" t="n">
        <v>4.1481</v>
      </c>
      <c r="G35" s="28" t="s">
        <v>973</v>
      </c>
      <c r="H35" s="31" t="n">
        <v>35.786</v>
      </c>
      <c r="I35" s="28" t="s">
        <v>941</v>
      </c>
    </row>
    <row r="36" customFormat="false" ht="15" hidden="false" customHeight="false" outlineLevel="0" collapsed="false">
      <c r="A36" s="28" t="s">
        <v>172</v>
      </c>
      <c r="B36" s="28" t="s">
        <v>975</v>
      </c>
      <c r="C36" s="28" t="s">
        <v>469</v>
      </c>
      <c r="D36" s="23" t="n">
        <v>1462571.75</v>
      </c>
      <c r="E36" s="23" t="n">
        <v>1351206.03164409</v>
      </c>
      <c r="F36" s="31" t="n">
        <v>5.835</v>
      </c>
      <c r="G36" s="28" t="s">
        <v>973</v>
      </c>
      <c r="H36" s="31" t="n">
        <v>68.6004</v>
      </c>
      <c r="I36" s="28" t="s">
        <v>941</v>
      </c>
    </row>
    <row r="37" customFormat="false" ht="15" hidden="false" customHeight="false" outlineLevel="0" collapsed="false">
      <c r="A37" s="28" t="s">
        <v>172</v>
      </c>
      <c r="B37" s="28" t="s">
        <v>976</v>
      </c>
      <c r="C37" s="28" t="s">
        <v>469</v>
      </c>
      <c r="D37" s="23" t="n">
        <v>50000</v>
      </c>
      <c r="E37" s="23" t="n">
        <v>47353.4088912968</v>
      </c>
      <c r="F37" s="31" t="n">
        <v>4.1481</v>
      </c>
      <c r="G37" s="28" t="s">
        <v>973</v>
      </c>
      <c r="H37" s="31" t="n">
        <v>35.7896</v>
      </c>
      <c r="I37" s="28" t="s">
        <v>941</v>
      </c>
    </row>
    <row r="38" customFormat="false" ht="15" hidden="false" customHeight="false" outlineLevel="0" collapsed="false">
      <c r="A38" s="28" t="s">
        <v>172</v>
      </c>
      <c r="B38" s="28" t="s">
        <v>601</v>
      </c>
      <c r="C38" s="28" t="s">
        <v>469</v>
      </c>
      <c r="D38" s="23" t="n">
        <v>1000000</v>
      </c>
      <c r="E38" s="23" t="n">
        <v>949618.966814064</v>
      </c>
      <c r="F38" s="31" t="n">
        <v>3.7215</v>
      </c>
      <c r="G38" s="28" t="s">
        <v>973</v>
      </c>
      <c r="H38" s="31" t="n">
        <v>32.1256</v>
      </c>
      <c r="I38" s="28" t="s">
        <v>941</v>
      </c>
    </row>
    <row r="39" customFormat="false" ht="15" hidden="false" customHeight="false" outlineLevel="0" collapsed="false">
      <c r="A39" s="28" t="s">
        <v>172</v>
      </c>
      <c r="B39" s="28" t="s">
        <v>603</v>
      </c>
      <c r="C39" s="28" t="s">
        <v>469</v>
      </c>
      <c r="D39" s="23" t="n">
        <v>1100000</v>
      </c>
      <c r="E39" s="23" t="n">
        <v>1070178.35035166</v>
      </c>
      <c r="F39" s="31" t="n">
        <v>2.2924</v>
      </c>
      <c r="G39" s="28" t="s">
        <v>973</v>
      </c>
      <c r="H39" s="31" t="n">
        <v>16.1839</v>
      </c>
      <c r="I39" s="28" t="s">
        <v>941</v>
      </c>
    </row>
    <row r="40" customFormat="false" ht="15" hidden="false" customHeight="false" outlineLevel="0" collapsed="false">
      <c r="A40" s="28" t="s">
        <v>172</v>
      </c>
      <c r="B40" s="28" t="s">
        <v>605</v>
      </c>
      <c r="C40" s="28" t="s">
        <v>469</v>
      </c>
      <c r="D40" s="23" t="n">
        <v>800000</v>
      </c>
      <c r="E40" s="23" t="n">
        <v>789475.486893888</v>
      </c>
      <c r="F40" s="31" t="n">
        <v>1.4598</v>
      </c>
      <c r="G40" s="28" t="s">
        <v>973</v>
      </c>
      <c r="H40" s="31" t="n">
        <v>8.946</v>
      </c>
      <c r="I40" s="28" t="s">
        <v>941</v>
      </c>
    </row>
    <row r="41" customFormat="false" ht="15" hidden="false" customHeight="false" outlineLevel="0" collapsed="false">
      <c r="A41" s="28" t="s">
        <v>172</v>
      </c>
      <c r="B41" s="28" t="s">
        <v>977</v>
      </c>
      <c r="C41" s="28" t="s">
        <v>469</v>
      </c>
      <c r="D41" s="23" t="n">
        <v>765287.677</v>
      </c>
      <c r="E41" s="23" t="n">
        <v>760659.480101325</v>
      </c>
      <c r="F41" s="31" t="n">
        <v>0.7574</v>
      </c>
      <c r="G41" s="28" t="s">
        <v>973</v>
      </c>
      <c r="H41" s="31" t="n">
        <v>3.6971</v>
      </c>
      <c r="I41" s="28" t="s">
        <v>941</v>
      </c>
    </row>
    <row r="42" customFormat="false" ht="15" hidden="false" customHeight="false" outlineLevel="0" collapsed="false">
      <c r="A42" s="28" t="s">
        <v>172</v>
      </c>
      <c r="B42" s="28" t="s">
        <v>978</v>
      </c>
      <c r="C42" s="28" t="s">
        <v>469</v>
      </c>
      <c r="D42" s="23" t="n">
        <v>74688.3604</v>
      </c>
      <c r="E42" s="23" t="n">
        <v>69432.4492025866</v>
      </c>
      <c r="F42" s="31" t="n">
        <v>6.5207</v>
      </c>
      <c r="G42" s="28" t="s">
        <v>973</v>
      </c>
      <c r="H42" s="31" t="n">
        <v>97.6858</v>
      </c>
      <c r="I42" s="28" t="s">
        <v>941</v>
      </c>
    </row>
    <row r="43" customFormat="false" ht="15" hidden="false" customHeight="false" outlineLevel="0" collapsed="false">
      <c r="A43" s="28" t="s">
        <v>172</v>
      </c>
      <c r="B43" s="28" t="s">
        <v>979</v>
      </c>
      <c r="C43" s="28" t="s">
        <v>469</v>
      </c>
      <c r="D43" s="23" t="n">
        <v>14494.065</v>
      </c>
      <c r="E43" s="23" t="n">
        <v>14000.9992579168</v>
      </c>
      <c r="F43" s="31" t="n">
        <v>2.9661</v>
      </c>
      <c r="G43" s="28" t="s">
        <v>973</v>
      </c>
      <c r="H43" s="31" t="n">
        <v>20.6767</v>
      </c>
      <c r="I43" s="28" t="s">
        <v>941</v>
      </c>
    </row>
    <row r="44" customFormat="false" ht="15" hidden="false" customHeight="false" outlineLevel="0" collapsed="false">
      <c r="A44" s="28" t="s">
        <v>172</v>
      </c>
      <c r="B44" s="28" t="s">
        <v>980</v>
      </c>
      <c r="C44" s="28" t="s">
        <v>469</v>
      </c>
      <c r="D44" s="23" t="n">
        <v>734544.639</v>
      </c>
      <c r="E44" s="23" t="n">
        <v>749969.906188129</v>
      </c>
      <c r="F44" s="31" t="n">
        <v>0.7621</v>
      </c>
      <c r="G44" s="28" t="s">
        <v>981</v>
      </c>
      <c r="H44" s="31" t="n">
        <v>1.5652</v>
      </c>
      <c r="I44" s="28" t="s">
        <v>941</v>
      </c>
    </row>
    <row r="45" customFormat="false" ht="15" hidden="false" customHeight="false" outlineLevel="0" collapsed="false">
      <c r="A45" s="28" t="s">
        <v>172</v>
      </c>
      <c r="B45" s="28" t="s">
        <v>982</v>
      </c>
      <c r="C45" s="28" t="s">
        <v>469</v>
      </c>
      <c r="D45" s="23" t="n">
        <v>860301.67</v>
      </c>
      <c r="E45" s="23" t="n">
        <v>879091.654806395</v>
      </c>
      <c r="F45" s="31" t="n">
        <v>0.7622</v>
      </c>
      <c r="G45" s="28" t="s">
        <v>981</v>
      </c>
      <c r="H45" s="31" t="n">
        <v>1.5654</v>
      </c>
      <c r="I45" s="28" t="s">
        <v>941</v>
      </c>
    </row>
    <row r="46" customFormat="false" ht="15" hidden="false" customHeight="false" outlineLevel="0" collapsed="false">
      <c r="A46" s="28" t="s">
        <v>172</v>
      </c>
      <c r="B46" s="28" t="s">
        <v>983</v>
      </c>
      <c r="C46" s="28" t="s">
        <v>469</v>
      </c>
      <c r="D46" s="23" t="n">
        <v>112032.5406</v>
      </c>
      <c r="E46" s="23" t="n">
        <v>116686.64807578</v>
      </c>
      <c r="F46" s="31" t="n">
        <v>1.4552</v>
      </c>
      <c r="G46" s="28" t="s">
        <v>981</v>
      </c>
      <c r="H46" s="31" t="n">
        <v>4.116</v>
      </c>
      <c r="I46" s="28" t="s">
        <v>941</v>
      </c>
    </row>
    <row r="47" customFormat="false" ht="15" hidden="false" customHeight="false" outlineLevel="0" collapsed="false">
      <c r="A47" s="28" t="s">
        <v>172</v>
      </c>
      <c r="B47" s="28" t="s">
        <v>984</v>
      </c>
      <c r="C47" s="28" t="s">
        <v>469</v>
      </c>
      <c r="D47" s="23" t="n">
        <v>124418.196</v>
      </c>
      <c r="E47" s="23" t="n">
        <v>124418.196</v>
      </c>
      <c r="F47" s="31" t="n">
        <v>0</v>
      </c>
      <c r="G47" s="28" t="s">
        <v>984</v>
      </c>
      <c r="H47" s="31" t="n">
        <v>0</v>
      </c>
      <c r="I47" s="28" t="s">
        <v>941</v>
      </c>
    </row>
    <row r="48" customFormat="false" ht="15" hidden="false" customHeight="false" outlineLevel="0" collapsed="false">
      <c r="A48" s="28" t="s">
        <v>172</v>
      </c>
      <c r="B48" s="28" t="s">
        <v>985</v>
      </c>
      <c r="C48" s="28" t="s">
        <v>874</v>
      </c>
      <c r="D48" s="23" t="n">
        <v>0</v>
      </c>
      <c r="E48" s="23" t="n">
        <v>2700</v>
      </c>
      <c r="G48" s="28" t="s">
        <v>986</v>
      </c>
      <c r="I48" s="28" t="s">
        <v>941</v>
      </c>
    </row>
    <row r="49" customFormat="false" ht="15" hidden="false" customHeight="false" outlineLevel="0" collapsed="false">
      <c r="A49" s="28" t="s">
        <v>176</v>
      </c>
      <c r="B49" s="28" t="s">
        <v>449</v>
      </c>
      <c r="C49" s="28" t="s">
        <v>447</v>
      </c>
      <c r="D49" s="23" t="n">
        <v>695254.49</v>
      </c>
      <c r="E49" s="23" t="n">
        <v>695254.49</v>
      </c>
      <c r="F49" s="31" t="n">
        <v>0</v>
      </c>
      <c r="G49" s="28" t="s">
        <v>940</v>
      </c>
      <c r="H49" s="31" t="n">
        <v>0</v>
      </c>
      <c r="I49" s="28" t="s">
        <v>941</v>
      </c>
    </row>
    <row r="50" customFormat="false" ht="15" hidden="false" customHeight="false" outlineLevel="0" collapsed="false">
      <c r="A50" s="28" t="s">
        <v>176</v>
      </c>
      <c r="B50" s="28" t="s">
        <v>942</v>
      </c>
      <c r="C50" s="28" t="s">
        <v>447</v>
      </c>
      <c r="D50" s="23" t="n">
        <v>150051.434903246</v>
      </c>
      <c r="E50" s="23" t="n">
        <v>156051.266623618</v>
      </c>
      <c r="F50" s="31" t="n">
        <v>1.9824</v>
      </c>
      <c r="G50" s="28" t="s">
        <v>943</v>
      </c>
      <c r="H50" s="31" t="n">
        <v>6.1526</v>
      </c>
      <c r="I50" s="28" t="s">
        <v>941</v>
      </c>
    </row>
    <row r="51" customFormat="false" ht="15" hidden="false" customHeight="false" outlineLevel="0" collapsed="false">
      <c r="A51" s="28" t="s">
        <v>176</v>
      </c>
      <c r="B51" s="28" t="s">
        <v>944</v>
      </c>
      <c r="C51" s="28" t="s">
        <v>447</v>
      </c>
      <c r="D51" s="23" t="n">
        <v>367549.241673984</v>
      </c>
      <c r="E51" s="23" t="n">
        <v>389116.466804954</v>
      </c>
      <c r="F51" s="31" t="n">
        <v>2.8864</v>
      </c>
      <c r="G51" s="28" t="s">
        <v>943</v>
      </c>
      <c r="H51" s="31" t="n">
        <v>11.8775</v>
      </c>
      <c r="I51" s="28" t="s">
        <v>941</v>
      </c>
    </row>
    <row r="52" customFormat="false" ht="15" hidden="false" customHeight="false" outlineLevel="0" collapsed="false">
      <c r="A52" s="28" t="s">
        <v>176</v>
      </c>
      <c r="B52" s="28" t="s">
        <v>945</v>
      </c>
      <c r="C52" s="28" t="s">
        <v>447</v>
      </c>
      <c r="D52" s="23" t="n">
        <v>548633.753403125</v>
      </c>
      <c r="E52" s="23" t="n">
        <v>642996.77079301</v>
      </c>
      <c r="F52" s="31" t="n">
        <v>8.2103</v>
      </c>
      <c r="G52" s="28" t="s">
        <v>943</v>
      </c>
      <c r="H52" s="31" t="n">
        <v>52.9651</v>
      </c>
      <c r="I52" s="28" t="s">
        <v>941</v>
      </c>
    </row>
    <row r="53" customFormat="false" ht="15" hidden="false" customHeight="false" outlineLevel="0" collapsed="false">
      <c r="A53" s="28" t="s">
        <v>176</v>
      </c>
      <c r="B53" s="28" t="s">
        <v>946</v>
      </c>
      <c r="C53" s="28" t="s">
        <v>447</v>
      </c>
      <c r="D53" s="23" t="n">
        <v>305274.71975975</v>
      </c>
      <c r="E53" s="23" t="n">
        <v>325131.76691446</v>
      </c>
      <c r="F53" s="31" t="n">
        <v>-0.8162</v>
      </c>
      <c r="G53" s="28" t="s">
        <v>943</v>
      </c>
      <c r="H53" s="31" t="n">
        <v>-53.4188</v>
      </c>
      <c r="I53" s="28" t="s">
        <v>941</v>
      </c>
    </row>
    <row r="54" customFormat="false" ht="15" hidden="false" customHeight="false" outlineLevel="0" collapsed="false">
      <c r="A54" s="28" t="s">
        <v>176</v>
      </c>
      <c r="B54" s="28" t="s">
        <v>947</v>
      </c>
      <c r="C54" s="28" t="s">
        <v>447</v>
      </c>
      <c r="D54" s="23" t="n">
        <v>352414.480607701</v>
      </c>
      <c r="E54" s="23" t="n">
        <v>391547.371157583</v>
      </c>
      <c r="F54" s="31" t="n">
        <v>5.145</v>
      </c>
      <c r="G54" s="28" t="s">
        <v>943</v>
      </c>
      <c r="H54" s="31" t="n">
        <v>8.2809</v>
      </c>
      <c r="I54" s="28" t="s">
        <v>941</v>
      </c>
    </row>
    <row r="55" customFormat="false" ht="15" hidden="false" customHeight="false" outlineLevel="0" collapsed="false">
      <c r="A55" s="28" t="s">
        <v>176</v>
      </c>
      <c r="B55" s="28" t="s">
        <v>948</v>
      </c>
      <c r="C55" s="28" t="s">
        <v>447</v>
      </c>
      <c r="D55" s="23" t="n">
        <v>136497.166545512</v>
      </c>
      <c r="E55" s="23" t="n">
        <v>155397.695548369</v>
      </c>
      <c r="F55" s="31" t="n">
        <v>6.5579</v>
      </c>
      <c r="G55" s="28" t="s">
        <v>943</v>
      </c>
      <c r="H55" s="31" t="n">
        <v>50.2018</v>
      </c>
      <c r="I55" s="28" t="s">
        <v>941</v>
      </c>
    </row>
    <row r="56" customFormat="false" ht="15" hidden="false" customHeight="false" outlineLevel="0" collapsed="false">
      <c r="A56" s="28" t="s">
        <v>176</v>
      </c>
      <c r="B56" s="28" t="s">
        <v>949</v>
      </c>
      <c r="C56" s="28" t="s">
        <v>447</v>
      </c>
      <c r="D56" s="23" t="n">
        <v>97853.5160956092</v>
      </c>
      <c r="E56" s="23" t="n">
        <v>97666.2951138703</v>
      </c>
      <c r="F56" s="31" t="n">
        <v>-0.0809</v>
      </c>
      <c r="G56" s="28" t="s">
        <v>943</v>
      </c>
      <c r="H56" s="31" t="n">
        <v>1.5718</v>
      </c>
      <c r="I56" s="28" t="s">
        <v>941</v>
      </c>
    </row>
    <row r="57" customFormat="false" ht="15" hidden="false" customHeight="false" outlineLevel="0" collapsed="false">
      <c r="A57" s="28" t="s">
        <v>176</v>
      </c>
      <c r="B57" s="28" t="s">
        <v>950</v>
      </c>
      <c r="C57" s="28" t="s">
        <v>447</v>
      </c>
      <c r="D57" s="23" t="n">
        <v>700000</v>
      </c>
      <c r="E57" s="23" t="n">
        <v>659889.836822994</v>
      </c>
      <c r="F57" s="31" t="n">
        <v>6.0635</v>
      </c>
      <c r="G57" s="28" t="s">
        <v>943</v>
      </c>
      <c r="H57" s="31" t="n">
        <v>29.0241</v>
      </c>
      <c r="I57" s="28" t="s">
        <v>941</v>
      </c>
    </row>
    <row r="58" customFormat="false" ht="15" hidden="false" customHeight="false" outlineLevel="0" collapsed="false">
      <c r="A58" s="28" t="s">
        <v>176</v>
      </c>
      <c r="B58" s="28" t="s">
        <v>951</v>
      </c>
      <c r="C58" s="28" t="s">
        <v>447</v>
      </c>
      <c r="D58" s="23" t="n">
        <v>300000</v>
      </c>
      <c r="E58" s="23" t="n">
        <v>298192.041065291</v>
      </c>
      <c r="F58" s="31" t="n">
        <v>3.7712</v>
      </c>
      <c r="G58" s="28" t="s">
        <v>943</v>
      </c>
      <c r="H58" s="31" t="n">
        <v>17.1175</v>
      </c>
      <c r="I58" s="28" t="s">
        <v>941</v>
      </c>
    </row>
    <row r="59" customFormat="false" ht="15" hidden="false" customHeight="false" outlineLevel="0" collapsed="false">
      <c r="A59" s="28" t="s">
        <v>176</v>
      </c>
      <c r="B59" s="28" t="s">
        <v>952</v>
      </c>
      <c r="C59" s="28" t="s">
        <v>447</v>
      </c>
      <c r="D59" s="23" t="n">
        <v>200000</v>
      </c>
      <c r="E59" s="23" t="n">
        <v>195068.750361128</v>
      </c>
      <c r="F59" s="31" t="n">
        <v>7.2358</v>
      </c>
      <c r="G59" s="28" t="s">
        <v>943</v>
      </c>
      <c r="H59" s="31" t="n">
        <v>61.3348</v>
      </c>
      <c r="I59" s="28" t="s">
        <v>941</v>
      </c>
    </row>
    <row r="60" customFormat="false" ht="15" hidden="false" customHeight="false" outlineLevel="0" collapsed="false">
      <c r="A60" s="28" t="s">
        <v>176</v>
      </c>
      <c r="B60" s="28" t="s">
        <v>953</v>
      </c>
      <c r="C60" s="28" t="s">
        <v>447</v>
      </c>
      <c r="D60" s="23" t="n">
        <v>148403.71</v>
      </c>
      <c r="E60" s="23" t="n">
        <v>158735.867296787</v>
      </c>
      <c r="F60" s="31" t="n">
        <v>2.788</v>
      </c>
      <c r="G60" s="28" t="s">
        <v>943</v>
      </c>
      <c r="H60" s="31" t="n">
        <v>9.475</v>
      </c>
      <c r="I60" s="28" t="s">
        <v>941</v>
      </c>
    </row>
    <row r="61" customFormat="false" ht="15" hidden="false" customHeight="false" outlineLevel="0" collapsed="false">
      <c r="A61" s="28" t="s">
        <v>176</v>
      </c>
      <c r="B61" s="28" t="s">
        <v>954</v>
      </c>
      <c r="C61" s="28" t="s">
        <v>447</v>
      </c>
      <c r="D61" s="23" t="n">
        <v>24721.732</v>
      </c>
      <c r="E61" s="23" t="n">
        <v>24721.732</v>
      </c>
      <c r="F61" s="31" t="n">
        <v>0</v>
      </c>
      <c r="G61" s="28" t="s">
        <v>943</v>
      </c>
      <c r="H61" s="31" t="n">
        <v>0</v>
      </c>
      <c r="I61" s="28" t="s">
        <v>941</v>
      </c>
    </row>
    <row r="62" customFormat="false" ht="15" hidden="false" customHeight="false" outlineLevel="0" collapsed="false">
      <c r="A62" s="28" t="s">
        <v>176</v>
      </c>
      <c r="B62" s="28" t="s">
        <v>457</v>
      </c>
      <c r="C62" s="28" t="s">
        <v>447</v>
      </c>
      <c r="D62" s="23" t="n">
        <v>17250</v>
      </c>
      <c r="E62" s="23" t="n">
        <v>17250</v>
      </c>
      <c r="F62" s="31" t="n">
        <v>0</v>
      </c>
      <c r="G62" s="28" t="s">
        <v>955</v>
      </c>
      <c r="H62" s="31" t="n">
        <v>0</v>
      </c>
      <c r="I62" s="28" t="s">
        <v>941</v>
      </c>
    </row>
    <row r="63" customFormat="false" ht="15" hidden="false" customHeight="false" outlineLevel="0" collapsed="false">
      <c r="A63" s="28" t="s">
        <v>176</v>
      </c>
      <c r="B63" s="28" t="s">
        <v>956</v>
      </c>
      <c r="C63" s="28" t="s">
        <v>447</v>
      </c>
      <c r="D63" s="23" t="n">
        <v>1515773.50272</v>
      </c>
      <c r="E63" s="23" t="n">
        <v>1514569.70467738</v>
      </c>
      <c r="F63" s="31" t="n">
        <v>-0.0278</v>
      </c>
      <c r="G63" s="28" t="s">
        <v>957</v>
      </c>
      <c r="H63" s="31" t="n">
        <v>1.2527</v>
      </c>
      <c r="I63" s="28" t="s">
        <v>941</v>
      </c>
    </row>
    <row r="64" customFormat="false" ht="15" hidden="false" customHeight="false" outlineLevel="0" collapsed="false">
      <c r="A64" s="28" t="s">
        <v>176</v>
      </c>
      <c r="B64" s="28" t="s">
        <v>958</v>
      </c>
      <c r="C64" s="28" t="s">
        <v>447</v>
      </c>
      <c r="D64" s="23" t="n">
        <v>589467.47328</v>
      </c>
      <c r="E64" s="23" t="n">
        <v>617832.529061619</v>
      </c>
      <c r="F64" s="31" t="n">
        <v>2.6999</v>
      </c>
      <c r="G64" s="28" t="s">
        <v>957</v>
      </c>
      <c r="H64" s="31" t="n">
        <v>-104.0465</v>
      </c>
      <c r="I64" s="28" t="s">
        <v>941</v>
      </c>
    </row>
    <row r="65" customFormat="false" ht="15" hidden="false" customHeight="false" outlineLevel="0" collapsed="false">
      <c r="A65" s="28" t="s">
        <v>176</v>
      </c>
      <c r="B65" s="28" t="s">
        <v>959</v>
      </c>
      <c r="C65" s="28" t="s">
        <v>447</v>
      </c>
      <c r="D65" s="23" t="n">
        <v>1104190.947</v>
      </c>
      <c r="E65" s="23" t="n">
        <v>1130548.67951935</v>
      </c>
      <c r="F65" s="31" t="n">
        <v>1.5302</v>
      </c>
      <c r="G65" s="28" t="s">
        <v>957</v>
      </c>
      <c r="H65" s="31" t="n">
        <v>-10.2862</v>
      </c>
      <c r="I65" s="28" t="s">
        <v>941</v>
      </c>
    </row>
    <row r="66" customFormat="false" ht="15" hidden="false" customHeight="false" outlineLevel="0" collapsed="false">
      <c r="A66" s="28" t="s">
        <v>176</v>
      </c>
      <c r="B66" s="28" t="s">
        <v>960</v>
      </c>
      <c r="C66" s="28" t="s">
        <v>447</v>
      </c>
      <c r="D66" s="23" t="n">
        <v>476328.947</v>
      </c>
      <c r="E66" s="23" t="n">
        <v>486802.56647096</v>
      </c>
      <c r="F66" s="31" t="n">
        <v>1.6523</v>
      </c>
      <c r="G66" s="28" t="s">
        <v>957</v>
      </c>
      <c r="H66" s="31" t="n">
        <v>-13.4176</v>
      </c>
      <c r="I66" s="28" t="s">
        <v>941</v>
      </c>
    </row>
    <row r="67" customFormat="false" ht="15" hidden="false" customHeight="false" outlineLevel="0" collapsed="false">
      <c r="A67" s="28" t="s">
        <v>176</v>
      </c>
      <c r="B67" s="28" t="s">
        <v>961</v>
      </c>
      <c r="C67" s="28" t="s">
        <v>447</v>
      </c>
      <c r="D67" s="23" t="n">
        <v>374430.3036</v>
      </c>
      <c r="E67" s="23" t="n">
        <v>371311.263090196</v>
      </c>
      <c r="F67" s="31" t="n">
        <v>7.4114</v>
      </c>
      <c r="G67" s="28" t="s">
        <v>957</v>
      </c>
      <c r="H67" s="31" t="n">
        <v>17.5429</v>
      </c>
      <c r="I67" s="28" t="s">
        <v>941</v>
      </c>
    </row>
    <row r="68" customFormat="false" ht="15" hidden="false" customHeight="false" outlineLevel="0" collapsed="false">
      <c r="A68" s="28" t="s">
        <v>176</v>
      </c>
      <c r="B68" s="28" t="s">
        <v>962</v>
      </c>
      <c r="C68" s="28" t="s">
        <v>447</v>
      </c>
      <c r="D68" s="23" t="n">
        <v>249620.2024</v>
      </c>
      <c r="E68" s="23" t="n">
        <v>263404.430658603</v>
      </c>
      <c r="F68" s="31" t="n">
        <v>1.1815</v>
      </c>
      <c r="G68" s="28" t="s">
        <v>957</v>
      </c>
      <c r="H68" s="31" t="n">
        <v>-29.6582</v>
      </c>
      <c r="I68" s="28" t="s">
        <v>941</v>
      </c>
    </row>
    <row r="69" customFormat="false" ht="15" hidden="false" customHeight="false" outlineLevel="0" collapsed="false">
      <c r="A69" s="28" t="s">
        <v>176</v>
      </c>
      <c r="B69" s="28" t="s">
        <v>963</v>
      </c>
      <c r="C69" s="28" t="s">
        <v>447</v>
      </c>
      <c r="D69" s="23" t="n">
        <v>720674.90295</v>
      </c>
      <c r="E69" s="23" t="n">
        <v>746773.202630222</v>
      </c>
      <c r="F69" s="31" t="n">
        <v>1.9491</v>
      </c>
      <c r="G69" s="28" t="s">
        <v>957</v>
      </c>
      <c r="H69" s="31" t="n">
        <v>37.3042</v>
      </c>
      <c r="I69" s="28" t="s">
        <v>941</v>
      </c>
    </row>
    <row r="70" customFormat="false" ht="15" hidden="false" customHeight="false" outlineLevel="0" collapsed="false">
      <c r="A70" s="28" t="s">
        <v>176</v>
      </c>
      <c r="B70" s="28" t="s">
        <v>964</v>
      </c>
      <c r="C70" s="28" t="s">
        <v>447</v>
      </c>
      <c r="D70" s="23" t="n">
        <v>127177.92405</v>
      </c>
      <c r="E70" s="23" t="n">
        <v>127043.948502899</v>
      </c>
      <c r="F70" s="31" t="n">
        <v>1.7876</v>
      </c>
      <c r="G70" s="28" t="s">
        <v>957</v>
      </c>
      <c r="H70" s="31" t="n">
        <v>731.4506</v>
      </c>
      <c r="I70" s="28" t="s">
        <v>941</v>
      </c>
    </row>
    <row r="71" customFormat="false" ht="15" hidden="false" customHeight="false" outlineLevel="0" collapsed="false">
      <c r="A71" s="28" t="s">
        <v>176</v>
      </c>
      <c r="B71" s="28" t="s">
        <v>965</v>
      </c>
      <c r="C71" s="28" t="s">
        <v>447</v>
      </c>
      <c r="D71" s="23" t="n">
        <v>20543.822</v>
      </c>
      <c r="E71" s="23" t="n">
        <v>20536.724377829</v>
      </c>
      <c r="F71" s="31" t="n">
        <v>0.4295</v>
      </c>
      <c r="G71" s="28" t="s">
        <v>957</v>
      </c>
      <c r="H71" s="31" t="n">
        <v>176.6961</v>
      </c>
      <c r="I71" s="28" t="s">
        <v>941</v>
      </c>
    </row>
    <row r="72" customFormat="false" ht="15" hidden="false" customHeight="false" outlineLevel="0" collapsed="false">
      <c r="A72" s="28" t="s">
        <v>176</v>
      </c>
      <c r="B72" s="28" t="s">
        <v>966</v>
      </c>
      <c r="C72" s="28" t="s">
        <v>447</v>
      </c>
      <c r="D72" s="23" t="n">
        <v>62649.693</v>
      </c>
      <c r="E72" s="23" t="n">
        <v>63552.6396304212</v>
      </c>
      <c r="F72" s="31" t="n">
        <v>1.1384</v>
      </c>
      <c r="G72" s="28" t="s">
        <v>957</v>
      </c>
      <c r="H72" s="31" t="n">
        <v>2.4829</v>
      </c>
      <c r="I72" s="28" t="s">
        <v>941</v>
      </c>
    </row>
    <row r="73" customFormat="false" ht="15" hidden="false" customHeight="false" outlineLevel="0" collapsed="false">
      <c r="A73" s="28" t="s">
        <v>176</v>
      </c>
      <c r="B73" s="28" t="s">
        <v>967</v>
      </c>
      <c r="C73" s="28" t="s">
        <v>447</v>
      </c>
      <c r="D73" s="23" t="n">
        <v>41766.462</v>
      </c>
      <c r="E73" s="23" t="n">
        <v>41759.811167041</v>
      </c>
      <c r="F73" s="31" t="n">
        <v>-0.0023</v>
      </c>
      <c r="G73" s="28" t="s">
        <v>957</v>
      </c>
      <c r="H73" s="31" t="n">
        <v>0.5769</v>
      </c>
      <c r="I73" s="28" t="s">
        <v>941</v>
      </c>
    </row>
    <row r="74" customFormat="false" ht="15" hidden="false" customHeight="false" outlineLevel="0" collapsed="false">
      <c r="A74" s="28" t="s">
        <v>176</v>
      </c>
      <c r="B74" s="28" t="s">
        <v>968</v>
      </c>
      <c r="C74" s="28" t="s">
        <v>447</v>
      </c>
      <c r="D74" s="23" t="n">
        <v>21376.155</v>
      </c>
      <c r="E74" s="23" t="n">
        <v>22020.2682326412</v>
      </c>
      <c r="F74" s="31" t="n">
        <v>2.0838</v>
      </c>
      <c r="G74" s="28" t="s">
        <v>957</v>
      </c>
      <c r="H74" s="31" t="n">
        <v>7.6817</v>
      </c>
      <c r="I74" s="28" t="s">
        <v>941</v>
      </c>
    </row>
    <row r="75" customFormat="false" ht="15" hidden="false" customHeight="false" outlineLevel="0" collapsed="false">
      <c r="A75" s="28" t="s">
        <v>176</v>
      </c>
      <c r="B75" s="28" t="s">
        <v>969</v>
      </c>
      <c r="C75" s="28" t="s">
        <v>447</v>
      </c>
      <c r="D75" s="23" t="n">
        <v>1397.217</v>
      </c>
      <c r="E75" s="23" t="n">
        <v>1417.68545501286</v>
      </c>
      <c r="F75" s="31" t="n">
        <v>3.0409</v>
      </c>
      <c r="G75" s="28" t="s">
        <v>957</v>
      </c>
      <c r="H75" s="31" t="n">
        <v>15.6017</v>
      </c>
      <c r="I75" s="28" t="s">
        <v>941</v>
      </c>
    </row>
    <row r="76" customFormat="false" ht="15" hidden="false" customHeight="false" outlineLevel="0" collapsed="false">
      <c r="A76" s="28" t="s">
        <v>176</v>
      </c>
      <c r="B76" s="28" t="s">
        <v>970</v>
      </c>
      <c r="C76" s="28" t="s">
        <v>447</v>
      </c>
      <c r="D76" s="23" t="n">
        <v>42.972</v>
      </c>
      <c r="E76" s="23" t="n">
        <v>45.829087136326</v>
      </c>
      <c r="F76" s="31" t="n">
        <v>5.0489</v>
      </c>
      <c r="G76" s="28" t="s">
        <v>957</v>
      </c>
      <c r="H76" s="31" t="n">
        <v>44.1033</v>
      </c>
      <c r="I76" s="28" t="s">
        <v>941</v>
      </c>
    </row>
    <row r="77" customFormat="false" ht="15" hidden="false" customHeight="false" outlineLevel="0" collapsed="false">
      <c r="A77" s="28" t="s">
        <v>176</v>
      </c>
      <c r="B77" s="28" t="s">
        <v>459</v>
      </c>
      <c r="C77" s="28" t="s">
        <v>447</v>
      </c>
      <c r="D77" s="23" t="n">
        <v>1976.718</v>
      </c>
      <c r="E77" s="23" t="n">
        <v>1987.00776669122</v>
      </c>
      <c r="F77" s="31" t="n">
        <v>0.1657</v>
      </c>
      <c r="G77" s="28" t="s">
        <v>957</v>
      </c>
      <c r="H77" s="31" t="n">
        <v>0.0548</v>
      </c>
      <c r="I77" s="28" t="s">
        <v>941</v>
      </c>
    </row>
    <row r="78" customFormat="false" ht="15" hidden="false" customHeight="false" outlineLevel="0" collapsed="false">
      <c r="A78" s="28" t="s">
        <v>176</v>
      </c>
      <c r="B78" s="28" t="s">
        <v>489</v>
      </c>
      <c r="C78" s="28" t="s">
        <v>447</v>
      </c>
      <c r="D78" s="23" t="n">
        <v>-47552</v>
      </c>
      <c r="E78" s="23" t="n">
        <v>-47552</v>
      </c>
      <c r="F78" s="31" t="n">
        <v>0</v>
      </c>
      <c r="G78" s="28" t="s">
        <v>957</v>
      </c>
      <c r="H78" s="31" t="n">
        <v>0</v>
      </c>
      <c r="I78" s="28" t="s">
        <v>941</v>
      </c>
    </row>
    <row r="79" customFormat="false" ht="15" hidden="false" customHeight="false" outlineLevel="0" collapsed="false">
      <c r="A79" s="28" t="s">
        <v>176</v>
      </c>
      <c r="B79" s="28" t="s">
        <v>466</v>
      </c>
      <c r="C79" s="28" t="s">
        <v>447</v>
      </c>
      <c r="D79" s="23" t="n">
        <v>6200</v>
      </c>
      <c r="E79" s="23" t="n">
        <v>4712</v>
      </c>
      <c r="F79" s="31" t="n">
        <v>-15.7895</v>
      </c>
      <c r="G79" s="28" t="s">
        <v>955</v>
      </c>
      <c r="H79" s="31" t="n">
        <v>0</v>
      </c>
      <c r="I79" s="28" t="s">
        <v>941</v>
      </c>
    </row>
    <row r="80" customFormat="false" ht="15" hidden="false" customHeight="false" outlineLevel="0" collapsed="false">
      <c r="A80" s="28" t="s">
        <v>176</v>
      </c>
      <c r="B80" s="28" t="s">
        <v>971</v>
      </c>
      <c r="C80" s="28" t="s">
        <v>447</v>
      </c>
      <c r="D80" s="23" t="n">
        <v>577875.54</v>
      </c>
      <c r="E80" s="23" t="n">
        <v>577875.54</v>
      </c>
      <c r="F80" s="31" t="n">
        <v>0</v>
      </c>
      <c r="G80" s="28" t="s">
        <v>955</v>
      </c>
      <c r="H80" s="31" t="n">
        <v>0</v>
      </c>
      <c r="I80" s="28" t="s">
        <v>941</v>
      </c>
    </row>
    <row r="81" customFormat="false" ht="15" hidden="false" customHeight="false" outlineLevel="0" collapsed="false">
      <c r="A81" s="28" t="s">
        <v>176</v>
      </c>
      <c r="B81" s="28" t="s">
        <v>972</v>
      </c>
      <c r="C81" s="28" t="s">
        <v>469</v>
      </c>
      <c r="D81" s="23" t="n">
        <v>1551679.623</v>
      </c>
      <c r="E81" s="23" t="n">
        <v>1373564.80452703</v>
      </c>
      <c r="F81" s="31" t="n">
        <v>5.443</v>
      </c>
      <c r="G81" s="28" t="s">
        <v>973</v>
      </c>
      <c r="H81" s="31" t="n">
        <v>86.1194</v>
      </c>
      <c r="I81" s="28" t="s">
        <v>941</v>
      </c>
    </row>
    <row r="82" customFormat="false" ht="15" hidden="false" customHeight="false" outlineLevel="0" collapsed="false">
      <c r="A82" s="28" t="s">
        <v>176</v>
      </c>
      <c r="B82" s="28" t="s">
        <v>974</v>
      </c>
      <c r="C82" s="28" t="s">
        <v>469</v>
      </c>
      <c r="D82" s="23" t="n">
        <v>330000</v>
      </c>
      <c r="E82" s="23" t="n">
        <v>302756.13649308</v>
      </c>
      <c r="F82" s="31" t="n">
        <v>3.9695</v>
      </c>
      <c r="G82" s="28" t="s">
        <v>973</v>
      </c>
      <c r="H82" s="31" t="n">
        <v>32.8767</v>
      </c>
      <c r="I82" s="28" t="s">
        <v>941</v>
      </c>
    </row>
    <row r="83" customFormat="false" ht="15" hidden="false" customHeight="false" outlineLevel="0" collapsed="false">
      <c r="A83" s="28" t="s">
        <v>176</v>
      </c>
      <c r="B83" s="28" t="s">
        <v>975</v>
      </c>
      <c r="C83" s="28" t="s">
        <v>469</v>
      </c>
      <c r="D83" s="23" t="n">
        <v>1462571.75</v>
      </c>
      <c r="E83" s="23" t="n">
        <v>1276812.96506418</v>
      </c>
      <c r="F83" s="31" t="n">
        <v>5.5056</v>
      </c>
      <c r="G83" s="28" t="s">
        <v>973</v>
      </c>
      <c r="H83" s="31" t="n">
        <v>61.5636</v>
      </c>
      <c r="I83" s="28" t="s">
        <v>941</v>
      </c>
    </row>
    <row r="84" customFormat="false" ht="15" hidden="false" customHeight="false" outlineLevel="0" collapsed="false">
      <c r="A84" s="28" t="s">
        <v>176</v>
      </c>
      <c r="B84" s="28" t="s">
        <v>976</v>
      </c>
      <c r="C84" s="28" t="s">
        <v>469</v>
      </c>
      <c r="D84" s="23" t="n">
        <v>50000</v>
      </c>
      <c r="E84" s="23" t="n">
        <v>45471.296568141</v>
      </c>
      <c r="F84" s="31" t="n">
        <v>3.9695</v>
      </c>
      <c r="G84" s="28" t="s">
        <v>973</v>
      </c>
      <c r="H84" s="31" t="n">
        <v>32.8792</v>
      </c>
      <c r="I84" s="28" t="s">
        <v>941</v>
      </c>
    </row>
    <row r="85" customFormat="false" ht="15" hidden="false" customHeight="false" outlineLevel="0" collapsed="false">
      <c r="A85" s="28" t="s">
        <v>176</v>
      </c>
      <c r="B85" s="28" t="s">
        <v>601</v>
      </c>
      <c r="C85" s="28" t="s">
        <v>469</v>
      </c>
      <c r="D85" s="23" t="n">
        <v>1000000</v>
      </c>
      <c r="E85" s="23" t="n">
        <v>915757.616740333</v>
      </c>
      <c r="F85" s="31" t="n">
        <v>3.546</v>
      </c>
      <c r="G85" s="28" t="s">
        <v>973</v>
      </c>
      <c r="H85" s="31" t="n">
        <v>29.389</v>
      </c>
      <c r="I85" s="28" t="s">
        <v>941</v>
      </c>
    </row>
    <row r="86" customFormat="false" ht="15" hidden="false" customHeight="false" outlineLevel="0" collapsed="false">
      <c r="A86" s="28" t="s">
        <v>176</v>
      </c>
      <c r="B86" s="28" t="s">
        <v>603</v>
      </c>
      <c r="C86" s="28" t="s">
        <v>469</v>
      </c>
      <c r="D86" s="23" t="n">
        <v>1100000</v>
      </c>
      <c r="E86" s="23" t="n">
        <v>1046489.66788959</v>
      </c>
      <c r="F86" s="31" t="n">
        <v>2.187</v>
      </c>
      <c r="G86" s="28" t="s">
        <v>973</v>
      </c>
      <c r="H86" s="31" t="n">
        <v>14.9406</v>
      </c>
      <c r="I86" s="28" t="s">
        <v>941</v>
      </c>
    </row>
    <row r="87" customFormat="false" ht="15" hidden="false" customHeight="false" outlineLevel="0" collapsed="false">
      <c r="A87" s="28" t="s">
        <v>176</v>
      </c>
      <c r="B87" s="28" t="s">
        <v>605</v>
      </c>
      <c r="C87" s="28" t="s">
        <v>469</v>
      </c>
      <c r="D87" s="23" t="n">
        <v>800000</v>
      </c>
      <c r="E87" s="23" t="n">
        <v>778296.26639661</v>
      </c>
      <c r="F87" s="31" t="n">
        <v>1.3938</v>
      </c>
      <c r="G87" s="28" t="s">
        <v>973</v>
      </c>
      <c r="H87" s="31" t="n">
        <v>8.329</v>
      </c>
      <c r="I87" s="28" t="s">
        <v>941</v>
      </c>
    </row>
    <row r="88" customFormat="false" ht="15" hidden="false" customHeight="false" outlineLevel="0" collapsed="false">
      <c r="A88" s="28" t="s">
        <v>176</v>
      </c>
      <c r="B88" s="28" t="s">
        <v>977</v>
      </c>
      <c r="C88" s="28" t="s">
        <v>469</v>
      </c>
      <c r="D88" s="23" t="n">
        <v>765287.677</v>
      </c>
      <c r="E88" s="23" t="n">
        <v>755036.716369456</v>
      </c>
      <c r="F88" s="31" t="n">
        <v>0.7269</v>
      </c>
      <c r="G88" s="28" t="s">
        <v>973</v>
      </c>
      <c r="H88" s="31" t="n">
        <v>3.494</v>
      </c>
      <c r="I88" s="28" t="s">
        <v>941</v>
      </c>
    </row>
    <row r="89" customFormat="false" ht="15" hidden="false" customHeight="false" outlineLevel="0" collapsed="false">
      <c r="A89" s="28" t="s">
        <v>176</v>
      </c>
      <c r="B89" s="28" t="s">
        <v>978</v>
      </c>
      <c r="C89" s="28" t="s">
        <v>469</v>
      </c>
      <c r="D89" s="23" t="n">
        <v>74688.3604</v>
      </c>
      <c r="E89" s="23" t="n">
        <v>65227.8842563195</v>
      </c>
      <c r="F89" s="31" t="n">
        <v>5.9979</v>
      </c>
      <c r="G89" s="28" t="s">
        <v>973</v>
      </c>
      <c r="H89" s="31" t="n">
        <v>85.2034</v>
      </c>
      <c r="I89" s="28" t="s">
        <v>941</v>
      </c>
    </row>
    <row r="90" customFormat="false" ht="15" hidden="false" customHeight="false" outlineLevel="0" collapsed="false">
      <c r="A90" s="28" t="s">
        <v>176</v>
      </c>
      <c r="B90" s="28" t="s">
        <v>979</v>
      </c>
      <c r="C90" s="28" t="s">
        <v>469</v>
      </c>
      <c r="D90" s="23" t="n">
        <v>14494.065</v>
      </c>
      <c r="E90" s="23" t="n">
        <v>13599.8243008583</v>
      </c>
      <c r="F90" s="31" t="n">
        <v>2.8513</v>
      </c>
      <c r="G90" s="28" t="s">
        <v>973</v>
      </c>
      <c r="H90" s="31" t="n">
        <v>19.2156</v>
      </c>
      <c r="I90" s="28" t="s">
        <v>941</v>
      </c>
    </row>
    <row r="91" customFormat="false" ht="15" hidden="false" customHeight="false" outlineLevel="0" collapsed="false">
      <c r="A91" s="28" t="s">
        <v>176</v>
      </c>
      <c r="B91" s="28" t="s">
        <v>980</v>
      </c>
      <c r="C91" s="28" t="s">
        <v>469</v>
      </c>
      <c r="D91" s="23" t="n">
        <v>734544.639</v>
      </c>
      <c r="E91" s="23" t="n">
        <v>744312.646049165</v>
      </c>
      <c r="F91" s="31" t="n">
        <v>0.7524</v>
      </c>
      <c r="G91" s="28" t="s">
        <v>981</v>
      </c>
      <c r="H91" s="31" t="n">
        <v>1.5254</v>
      </c>
      <c r="I91" s="28" t="s">
        <v>941</v>
      </c>
    </row>
    <row r="92" customFormat="false" ht="15" hidden="false" customHeight="false" outlineLevel="0" collapsed="false">
      <c r="A92" s="28" t="s">
        <v>176</v>
      </c>
      <c r="B92" s="28" t="s">
        <v>982</v>
      </c>
      <c r="C92" s="28" t="s">
        <v>469</v>
      </c>
      <c r="D92" s="23" t="n">
        <v>860301.67</v>
      </c>
      <c r="E92" s="23" t="n">
        <v>872459.879990363</v>
      </c>
      <c r="F92" s="31" t="n">
        <v>0.7524</v>
      </c>
      <c r="G92" s="28" t="s">
        <v>981</v>
      </c>
      <c r="H92" s="31" t="n">
        <v>1.5256</v>
      </c>
      <c r="I92" s="28" t="s">
        <v>941</v>
      </c>
    </row>
    <row r="93" customFormat="false" ht="15" hidden="false" customHeight="false" outlineLevel="0" collapsed="false">
      <c r="A93" s="28" t="s">
        <v>176</v>
      </c>
      <c r="B93" s="28" t="s">
        <v>983</v>
      </c>
      <c r="C93" s="28" t="s">
        <v>469</v>
      </c>
      <c r="D93" s="23" t="n">
        <v>112032.5406</v>
      </c>
      <c r="E93" s="23" t="n">
        <v>115012.438624256</v>
      </c>
      <c r="F93" s="31" t="n">
        <v>1.4354</v>
      </c>
      <c r="G93" s="28" t="s">
        <v>981</v>
      </c>
      <c r="H93" s="31" t="n">
        <v>4.0169</v>
      </c>
      <c r="I93" s="28" t="s">
        <v>941</v>
      </c>
    </row>
    <row r="94" customFormat="false" ht="15" hidden="false" customHeight="false" outlineLevel="0" collapsed="false">
      <c r="A94" s="28" t="s">
        <v>176</v>
      </c>
      <c r="B94" s="28" t="s">
        <v>984</v>
      </c>
      <c r="C94" s="28" t="s">
        <v>469</v>
      </c>
      <c r="D94" s="23" t="n">
        <v>124418.196</v>
      </c>
      <c r="E94" s="23" t="n">
        <v>124418.196</v>
      </c>
      <c r="F94" s="31" t="n">
        <v>0</v>
      </c>
      <c r="G94" s="28" t="s">
        <v>984</v>
      </c>
      <c r="H94" s="31" t="n">
        <v>0</v>
      </c>
      <c r="I94" s="28" t="s">
        <v>941</v>
      </c>
    </row>
    <row r="95" customFormat="false" ht="15" hidden="false" customHeight="false" outlineLevel="0" collapsed="false">
      <c r="A95" s="28" t="s">
        <v>176</v>
      </c>
      <c r="B95" s="28" t="s">
        <v>985</v>
      </c>
      <c r="C95" s="28" t="s">
        <v>874</v>
      </c>
      <c r="D95" s="23" t="n">
        <v>0</v>
      </c>
      <c r="E95" s="23" t="n">
        <v>1800</v>
      </c>
      <c r="G95" s="28" t="s">
        <v>986</v>
      </c>
      <c r="I95" s="28" t="s">
        <v>941</v>
      </c>
    </row>
    <row r="96" customFormat="false" ht="15" hidden="false" customHeight="false" outlineLevel="0" collapsed="false">
      <c r="A96" s="28" t="s">
        <v>178</v>
      </c>
      <c r="B96" s="28" t="s">
        <v>449</v>
      </c>
      <c r="C96" s="28" t="s">
        <v>447</v>
      </c>
      <c r="D96" s="23" t="n">
        <v>695254.49</v>
      </c>
      <c r="E96" s="23" t="n">
        <v>695254.49</v>
      </c>
      <c r="F96" s="31" t="n">
        <v>0</v>
      </c>
      <c r="G96" s="28" t="s">
        <v>940</v>
      </c>
      <c r="H96" s="31" t="n">
        <v>0</v>
      </c>
      <c r="I96" s="28" t="s">
        <v>941</v>
      </c>
    </row>
    <row r="97" customFormat="false" ht="15" hidden="false" customHeight="false" outlineLevel="0" collapsed="false">
      <c r="A97" s="28" t="s">
        <v>178</v>
      </c>
      <c r="B97" s="28" t="s">
        <v>942</v>
      </c>
      <c r="C97" s="28" t="s">
        <v>447</v>
      </c>
      <c r="D97" s="23" t="n">
        <v>150051.434903246</v>
      </c>
      <c r="E97" s="23" t="n">
        <v>153005.176262854</v>
      </c>
      <c r="F97" s="31" t="n">
        <v>1.9604</v>
      </c>
      <c r="G97" s="28" t="s">
        <v>943</v>
      </c>
      <c r="H97" s="31" t="n">
        <v>6.035</v>
      </c>
      <c r="I97" s="28" t="s">
        <v>941</v>
      </c>
    </row>
    <row r="98" customFormat="false" ht="15" hidden="false" customHeight="false" outlineLevel="0" collapsed="false">
      <c r="A98" s="28" t="s">
        <v>178</v>
      </c>
      <c r="B98" s="28" t="s">
        <v>944</v>
      </c>
      <c r="C98" s="28" t="s">
        <v>447</v>
      </c>
      <c r="D98" s="23" t="n">
        <v>367549.241673984</v>
      </c>
      <c r="E98" s="23" t="n">
        <v>378113.068388129</v>
      </c>
      <c r="F98" s="31" t="n">
        <v>2.8512</v>
      </c>
      <c r="G98" s="28" t="s">
        <v>943</v>
      </c>
      <c r="H98" s="31" t="n">
        <v>11.6233</v>
      </c>
      <c r="I98" s="28" t="s">
        <v>941</v>
      </c>
    </row>
    <row r="99" customFormat="false" ht="15" hidden="false" customHeight="false" outlineLevel="0" collapsed="false">
      <c r="A99" s="28" t="s">
        <v>178</v>
      </c>
      <c r="B99" s="28" t="s">
        <v>945</v>
      </c>
      <c r="C99" s="28" t="s">
        <v>447</v>
      </c>
      <c r="D99" s="23" t="n">
        <v>548633.753403125</v>
      </c>
      <c r="E99" s="23" t="n">
        <v>591874.033127215</v>
      </c>
      <c r="F99" s="31" t="n">
        <v>8.055</v>
      </c>
      <c r="G99" s="28" t="s">
        <v>943</v>
      </c>
      <c r="H99" s="31" t="n">
        <v>177.7279</v>
      </c>
      <c r="I99" s="28" t="s">
        <v>941</v>
      </c>
    </row>
    <row r="100" customFormat="false" ht="15" hidden="false" customHeight="false" outlineLevel="0" collapsed="false">
      <c r="A100" s="28" t="s">
        <v>178</v>
      </c>
      <c r="B100" s="28" t="s">
        <v>946</v>
      </c>
      <c r="C100" s="28" t="s">
        <v>447</v>
      </c>
      <c r="D100" s="23" t="n">
        <v>305274.71975975</v>
      </c>
      <c r="E100" s="23" t="n">
        <v>324902.032494945</v>
      </c>
      <c r="F100" s="31" t="n">
        <v>3.5003</v>
      </c>
      <c r="G100" s="28" t="s">
        <v>943</v>
      </c>
      <c r="H100" s="31" t="n">
        <v>-1070.3269</v>
      </c>
      <c r="I100" s="28" t="s">
        <v>941</v>
      </c>
    </row>
    <row r="101" customFormat="false" ht="15" hidden="false" customHeight="false" outlineLevel="0" collapsed="false">
      <c r="A101" s="28" t="s">
        <v>178</v>
      </c>
      <c r="B101" s="28" t="s">
        <v>947</v>
      </c>
      <c r="C101" s="28" t="s">
        <v>447</v>
      </c>
      <c r="D101" s="23" t="n">
        <v>352414.480607701</v>
      </c>
      <c r="E101" s="23" t="n">
        <v>371564.41496896</v>
      </c>
      <c r="F101" s="31" t="n">
        <v>5.3344</v>
      </c>
      <c r="G101" s="28" t="s">
        <v>943</v>
      </c>
      <c r="H101" s="31" t="n">
        <v>8.7289</v>
      </c>
      <c r="I101" s="28" t="s">
        <v>941</v>
      </c>
    </row>
    <row r="102" customFormat="false" ht="15" hidden="false" customHeight="false" outlineLevel="0" collapsed="false">
      <c r="A102" s="28" t="s">
        <v>178</v>
      </c>
      <c r="B102" s="28" t="s">
        <v>948</v>
      </c>
      <c r="C102" s="28" t="s">
        <v>447</v>
      </c>
      <c r="D102" s="23" t="n">
        <v>136497.166545512</v>
      </c>
      <c r="E102" s="23" t="n">
        <v>145588.813911594</v>
      </c>
      <c r="F102" s="31" t="n">
        <v>6.4859</v>
      </c>
      <c r="G102" s="28" t="s">
        <v>943</v>
      </c>
      <c r="H102" s="31" t="n">
        <v>49.2406</v>
      </c>
      <c r="I102" s="28" t="s">
        <v>941</v>
      </c>
    </row>
    <row r="103" customFormat="false" ht="15" hidden="false" customHeight="false" outlineLevel="0" collapsed="false">
      <c r="A103" s="28" t="s">
        <v>178</v>
      </c>
      <c r="B103" s="28" t="s">
        <v>949</v>
      </c>
      <c r="C103" s="28" t="s">
        <v>447</v>
      </c>
      <c r="D103" s="23" t="n">
        <v>97853.5160956092</v>
      </c>
      <c r="E103" s="23" t="n">
        <v>97752.810694532</v>
      </c>
      <c r="F103" s="31" t="n">
        <v>-0.0959</v>
      </c>
      <c r="G103" s="28" t="s">
        <v>943</v>
      </c>
      <c r="H103" s="31" t="n">
        <v>1.4514</v>
      </c>
      <c r="I103" s="28" t="s">
        <v>941</v>
      </c>
    </row>
    <row r="104" customFormat="false" ht="15" hidden="false" customHeight="false" outlineLevel="0" collapsed="false">
      <c r="A104" s="28" t="s">
        <v>178</v>
      </c>
      <c r="B104" s="28" t="s">
        <v>950</v>
      </c>
      <c r="C104" s="28" t="s">
        <v>447</v>
      </c>
      <c r="D104" s="23" t="n">
        <v>700000</v>
      </c>
      <c r="E104" s="23" t="n">
        <v>620820.677550654</v>
      </c>
      <c r="F104" s="31" t="n">
        <v>5.9474</v>
      </c>
      <c r="G104" s="28" t="s">
        <v>943</v>
      </c>
      <c r="H104" s="31" t="n">
        <v>108.3409</v>
      </c>
      <c r="I104" s="28" t="s">
        <v>941</v>
      </c>
    </row>
    <row r="105" customFormat="false" ht="15" hidden="false" customHeight="false" outlineLevel="0" collapsed="false">
      <c r="A105" s="28" t="s">
        <v>178</v>
      </c>
      <c r="B105" s="28" t="s">
        <v>951</v>
      </c>
      <c r="C105" s="28" t="s">
        <v>447</v>
      </c>
      <c r="D105" s="23" t="n">
        <v>300000</v>
      </c>
      <c r="E105" s="23" t="n">
        <v>287198.713090404</v>
      </c>
      <c r="F105" s="31" t="n">
        <v>3.7423</v>
      </c>
      <c r="G105" s="28" t="s">
        <v>943</v>
      </c>
      <c r="H105" s="31" t="n">
        <v>16.8754</v>
      </c>
      <c r="I105" s="28" t="s">
        <v>941</v>
      </c>
    </row>
    <row r="106" customFormat="false" ht="15" hidden="false" customHeight="false" outlineLevel="0" collapsed="false">
      <c r="A106" s="28" t="s">
        <v>178</v>
      </c>
      <c r="B106" s="28" t="s">
        <v>952</v>
      </c>
      <c r="C106" s="28" t="s">
        <v>447</v>
      </c>
      <c r="D106" s="23" t="n">
        <v>200000</v>
      </c>
      <c r="E106" s="23" t="n">
        <v>181538.611957469</v>
      </c>
      <c r="F106" s="31" t="n">
        <v>7.1456</v>
      </c>
      <c r="G106" s="28" t="s">
        <v>943</v>
      </c>
      <c r="H106" s="31" t="n">
        <v>60.0521</v>
      </c>
      <c r="I106" s="28" t="s">
        <v>941</v>
      </c>
    </row>
    <row r="107" customFormat="false" ht="15" hidden="false" customHeight="false" outlineLevel="0" collapsed="false">
      <c r="A107" s="28" t="s">
        <v>178</v>
      </c>
      <c r="B107" s="28" t="s">
        <v>953</v>
      </c>
      <c r="C107" s="28" t="s">
        <v>447</v>
      </c>
      <c r="D107" s="23" t="n">
        <v>148403.71</v>
      </c>
      <c r="E107" s="23" t="n">
        <v>154384.775276785</v>
      </c>
      <c r="F107" s="31" t="n">
        <v>2.771</v>
      </c>
      <c r="G107" s="28" t="s">
        <v>943</v>
      </c>
      <c r="H107" s="31" t="n">
        <v>9.3683</v>
      </c>
      <c r="I107" s="28" t="s">
        <v>941</v>
      </c>
    </row>
    <row r="108" customFormat="false" ht="15" hidden="false" customHeight="false" outlineLevel="0" collapsed="false">
      <c r="A108" s="28" t="s">
        <v>178</v>
      </c>
      <c r="B108" s="28" t="s">
        <v>954</v>
      </c>
      <c r="C108" s="28" t="s">
        <v>447</v>
      </c>
      <c r="D108" s="23" t="n">
        <v>24721.732</v>
      </c>
      <c r="E108" s="23" t="n">
        <v>24721.732</v>
      </c>
      <c r="F108" s="31" t="n">
        <v>0</v>
      </c>
      <c r="G108" s="28" t="s">
        <v>943</v>
      </c>
      <c r="H108" s="31" t="n">
        <v>0</v>
      </c>
      <c r="I108" s="28" t="s">
        <v>941</v>
      </c>
    </row>
    <row r="109" customFormat="false" ht="15" hidden="false" customHeight="false" outlineLevel="0" collapsed="false">
      <c r="A109" s="28" t="s">
        <v>178</v>
      </c>
      <c r="B109" s="28" t="s">
        <v>457</v>
      </c>
      <c r="C109" s="28" t="s">
        <v>447</v>
      </c>
      <c r="D109" s="23" t="n">
        <v>17250</v>
      </c>
      <c r="E109" s="23" t="n">
        <v>17250</v>
      </c>
      <c r="F109" s="31" t="n">
        <v>0</v>
      </c>
      <c r="G109" s="28" t="s">
        <v>955</v>
      </c>
      <c r="H109" s="31" t="n">
        <v>0</v>
      </c>
      <c r="I109" s="28" t="s">
        <v>941</v>
      </c>
    </row>
    <row r="110" customFormat="false" ht="15" hidden="false" customHeight="false" outlineLevel="0" collapsed="false">
      <c r="A110" s="28" t="s">
        <v>178</v>
      </c>
      <c r="B110" s="28" t="s">
        <v>956</v>
      </c>
      <c r="C110" s="28" t="s">
        <v>447</v>
      </c>
      <c r="D110" s="23" t="n">
        <v>1515773.50272</v>
      </c>
      <c r="E110" s="23" t="n">
        <v>1515083.74357605</v>
      </c>
      <c r="F110" s="31" t="n">
        <v>-0.0398</v>
      </c>
      <c r="G110" s="28" t="s">
        <v>957</v>
      </c>
      <c r="H110" s="31" t="n">
        <v>1.1596</v>
      </c>
      <c r="I110" s="28" t="s">
        <v>941</v>
      </c>
    </row>
    <row r="111" customFormat="false" ht="15" hidden="false" customHeight="false" outlineLevel="0" collapsed="false">
      <c r="A111" s="28" t="s">
        <v>178</v>
      </c>
      <c r="B111" s="28" t="s">
        <v>958</v>
      </c>
      <c r="C111" s="28" t="s">
        <v>447</v>
      </c>
      <c r="D111" s="23" t="n">
        <v>589467.47328</v>
      </c>
      <c r="E111" s="23" t="n">
        <v>597412.622019451</v>
      </c>
      <c r="F111" s="31" t="n">
        <v>3.8173</v>
      </c>
      <c r="G111" s="28" t="s">
        <v>957</v>
      </c>
      <c r="H111" s="31" t="n">
        <v>-16.9439</v>
      </c>
      <c r="I111" s="28" t="s">
        <v>941</v>
      </c>
    </row>
    <row r="112" customFormat="false" ht="15" hidden="false" customHeight="false" outlineLevel="0" collapsed="false">
      <c r="A112" s="28" t="s">
        <v>178</v>
      </c>
      <c r="B112" s="28" t="s">
        <v>959</v>
      </c>
      <c r="C112" s="28" t="s">
        <v>447</v>
      </c>
      <c r="D112" s="23" t="n">
        <v>1104190.947</v>
      </c>
      <c r="E112" s="23" t="n">
        <v>1112523.5251594</v>
      </c>
      <c r="F112" s="31" t="n">
        <v>1.6532</v>
      </c>
      <c r="G112" s="28" t="s">
        <v>957</v>
      </c>
      <c r="H112" s="31" t="n">
        <v>2.4514</v>
      </c>
      <c r="I112" s="28" t="s">
        <v>941</v>
      </c>
    </row>
    <row r="113" customFormat="false" ht="15" hidden="false" customHeight="false" outlineLevel="0" collapsed="false">
      <c r="A113" s="28" t="s">
        <v>178</v>
      </c>
      <c r="B113" s="28" t="s">
        <v>960</v>
      </c>
      <c r="C113" s="28" t="s">
        <v>447</v>
      </c>
      <c r="D113" s="23" t="n">
        <v>476328.947</v>
      </c>
      <c r="E113" s="23" t="n">
        <v>478476.845552645</v>
      </c>
      <c r="F113" s="31" t="n">
        <v>1.764</v>
      </c>
      <c r="G113" s="28" t="s">
        <v>957</v>
      </c>
      <c r="H113" s="31" t="n">
        <v>0.3756</v>
      </c>
      <c r="I113" s="28" t="s">
        <v>941</v>
      </c>
    </row>
    <row r="114" customFormat="false" ht="15" hidden="false" customHeight="false" outlineLevel="0" collapsed="false">
      <c r="A114" s="28" t="s">
        <v>178</v>
      </c>
      <c r="B114" s="28" t="s">
        <v>961</v>
      </c>
      <c r="C114" s="28" t="s">
        <v>447</v>
      </c>
      <c r="D114" s="23" t="n">
        <v>374430.3036</v>
      </c>
      <c r="E114" s="23" t="n">
        <v>344116.813610527</v>
      </c>
      <c r="F114" s="31" t="n">
        <v>7.8086</v>
      </c>
      <c r="G114" s="28" t="s">
        <v>957</v>
      </c>
      <c r="H114" s="31" t="n">
        <v>18.7644</v>
      </c>
      <c r="I114" s="28" t="s">
        <v>941</v>
      </c>
    </row>
    <row r="115" customFormat="false" ht="15" hidden="false" customHeight="false" outlineLevel="0" collapsed="false">
      <c r="A115" s="28" t="s">
        <v>178</v>
      </c>
      <c r="B115" s="28" t="s">
        <v>962</v>
      </c>
      <c r="C115" s="28" t="s">
        <v>447</v>
      </c>
      <c r="D115" s="23" t="n">
        <v>249620.2024</v>
      </c>
      <c r="E115" s="23" t="n">
        <v>259752.043045922</v>
      </c>
      <c r="F115" s="31" t="n">
        <v>1.7417</v>
      </c>
      <c r="G115" s="28" t="s">
        <v>957</v>
      </c>
      <c r="H115" s="31" t="n">
        <v>-81.081</v>
      </c>
      <c r="I115" s="28" t="s">
        <v>941</v>
      </c>
    </row>
    <row r="116" customFormat="false" ht="15" hidden="false" customHeight="false" outlineLevel="0" collapsed="false">
      <c r="A116" s="28" t="s">
        <v>178</v>
      </c>
      <c r="B116" s="28" t="s">
        <v>963</v>
      </c>
      <c r="C116" s="28" t="s">
        <v>447</v>
      </c>
      <c r="D116" s="23" t="n">
        <v>720674.90295</v>
      </c>
      <c r="E116" s="23" t="n">
        <v>732403.228009304</v>
      </c>
      <c r="F116" s="31" t="n">
        <v>1.954</v>
      </c>
      <c r="G116" s="28" t="s">
        <v>957</v>
      </c>
      <c r="H116" s="31" t="n">
        <v>31.0927</v>
      </c>
      <c r="I116" s="28" t="s">
        <v>941</v>
      </c>
    </row>
    <row r="117" customFormat="false" ht="15" hidden="false" customHeight="false" outlineLevel="0" collapsed="false">
      <c r="A117" s="28" t="s">
        <v>178</v>
      </c>
      <c r="B117" s="28" t="s">
        <v>964</v>
      </c>
      <c r="C117" s="28" t="s">
        <v>447</v>
      </c>
      <c r="D117" s="23" t="n">
        <v>127177.92405</v>
      </c>
      <c r="E117" s="23" t="n">
        <v>127101.206608571</v>
      </c>
      <c r="F117" s="31" t="n">
        <v>-0.0529</v>
      </c>
      <c r="G117" s="28" t="s">
        <v>957</v>
      </c>
      <c r="H117" s="31" t="n">
        <v>1.5306</v>
      </c>
      <c r="I117" s="28" t="s">
        <v>941</v>
      </c>
    </row>
    <row r="118" customFormat="false" ht="15" hidden="false" customHeight="false" outlineLevel="0" collapsed="false">
      <c r="A118" s="28" t="s">
        <v>178</v>
      </c>
      <c r="B118" s="28" t="s">
        <v>965</v>
      </c>
      <c r="C118" s="28" t="s">
        <v>447</v>
      </c>
      <c r="D118" s="23" t="n">
        <v>20543.822</v>
      </c>
      <c r="E118" s="23" t="n">
        <v>20539.5850648118</v>
      </c>
      <c r="F118" s="31" t="n">
        <v>-0.0173</v>
      </c>
      <c r="G118" s="28" t="s">
        <v>957</v>
      </c>
      <c r="H118" s="31" t="n">
        <v>0.67</v>
      </c>
      <c r="I118" s="28" t="s">
        <v>941</v>
      </c>
    </row>
    <row r="119" customFormat="false" ht="15" hidden="false" customHeight="false" outlineLevel="0" collapsed="false">
      <c r="A119" s="28" t="s">
        <v>178</v>
      </c>
      <c r="B119" s="28" t="s">
        <v>966</v>
      </c>
      <c r="C119" s="28" t="s">
        <v>447</v>
      </c>
      <c r="D119" s="23" t="n">
        <v>62649.693</v>
      </c>
      <c r="E119" s="23" t="n">
        <v>62836.9849196297</v>
      </c>
      <c r="F119" s="31" t="n">
        <v>1.1266</v>
      </c>
      <c r="G119" s="28" t="s">
        <v>957</v>
      </c>
      <c r="H119" s="31" t="n">
        <v>2.4383</v>
      </c>
      <c r="I119" s="28" t="s">
        <v>941</v>
      </c>
    </row>
    <row r="120" customFormat="false" ht="15" hidden="false" customHeight="false" outlineLevel="0" collapsed="false">
      <c r="A120" s="28" t="s">
        <v>178</v>
      </c>
      <c r="B120" s="28" t="s">
        <v>967</v>
      </c>
      <c r="C120" s="28" t="s">
        <v>447</v>
      </c>
      <c r="D120" s="23" t="n">
        <v>41766.462</v>
      </c>
      <c r="E120" s="23" t="n">
        <v>41761.9704510118</v>
      </c>
      <c r="F120" s="31" t="n">
        <v>-0.008</v>
      </c>
      <c r="G120" s="28" t="s">
        <v>957</v>
      </c>
      <c r="H120" s="31" t="n">
        <v>0.5584</v>
      </c>
      <c r="I120" s="28" t="s">
        <v>941</v>
      </c>
    </row>
    <row r="121" customFormat="false" ht="15" hidden="false" customHeight="false" outlineLevel="0" collapsed="false">
      <c r="A121" s="28" t="s">
        <v>178</v>
      </c>
      <c r="B121" s="28" t="s">
        <v>968</v>
      </c>
      <c r="C121" s="28" t="s">
        <v>447</v>
      </c>
      <c r="D121" s="23" t="n">
        <v>21376.155</v>
      </c>
      <c r="E121" s="23" t="n">
        <v>21569.7717573612</v>
      </c>
      <c r="F121" s="31" t="n">
        <v>2.0507</v>
      </c>
      <c r="G121" s="28" t="s">
        <v>957</v>
      </c>
      <c r="H121" s="31" t="n">
        <v>7.4786</v>
      </c>
      <c r="I121" s="28" t="s">
        <v>941</v>
      </c>
    </row>
    <row r="122" customFormat="false" ht="15" hidden="false" customHeight="false" outlineLevel="0" collapsed="false">
      <c r="A122" s="28" t="s">
        <v>178</v>
      </c>
      <c r="B122" s="28" t="s">
        <v>969</v>
      </c>
      <c r="C122" s="28" t="s">
        <v>447</v>
      </c>
      <c r="D122" s="23" t="n">
        <v>1397.217</v>
      </c>
      <c r="E122" s="23" t="n">
        <v>1375.66344280937</v>
      </c>
      <c r="F122" s="31" t="n">
        <v>2.9781</v>
      </c>
      <c r="G122" s="28" t="s">
        <v>957</v>
      </c>
      <c r="H122" s="31" t="n">
        <v>15.075</v>
      </c>
      <c r="I122" s="28" t="s">
        <v>941</v>
      </c>
    </row>
    <row r="123" customFormat="false" ht="15" hidden="false" customHeight="false" outlineLevel="0" collapsed="false">
      <c r="A123" s="28" t="s">
        <v>178</v>
      </c>
      <c r="B123" s="28" t="s">
        <v>970</v>
      </c>
      <c r="C123" s="28" t="s">
        <v>447</v>
      </c>
      <c r="D123" s="23" t="n">
        <v>42.972</v>
      </c>
      <c r="E123" s="23" t="n">
        <v>43.6135569824947</v>
      </c>
      <c r="F123" s="31" t="n">
        <v>4.8666</v>
      </c>
      <c r="G123" s="28" t="s">
        <v>957</v>
      </c>
      <c r="H123" s="31" t="n">
        <v>41.4864</v>
      </c>
      <c r="I123" s="28" t="s">
        <v>941</v>
      </c>
    </row>
    <row r="124" customFormat="false" ht="15" hidden="false" customHeight="false" outlineLevel="0" collapsed="false">
      <c r="A124" s="28" t="s">
        <v>178</v>
      </c>
      <c r="B124" s="28" t="s">
        <v>459</v>
      </c>
      <c r="C124" s="28" t="s">
        <v>447</v>
      </c>
      <c r="D124" s="23" t="n">
        <v>1976.718</v>
      </c>
      <c r="E124" s="23" t="n">
        <v>1983.72071293088</v>
      </c>
      <c r="F124" s="31" t="n">
        <v>0.1654</v>
      </c>
      <c r="G124" s="28" t="s">
        <v>957</v>
      </c>
      <c r="H124" s="31" t="n">
        <v>0.0545</v>
      </c>
      <c r="I124" s="28" t="s">
        <v>941</v>
      </c>
    </row>
    <row r="125" customFormat="false" ht="15" hidden="false" customHeight="false" outlineLevel="0" collapsed="false">
      <c r="A125" s="28" t="s">
        <v>178</v>
      </c>
      <c r="B125" s="28" t="s">
        <v>489</v>
      </c>
      <c r="C125" s="28" t="s">
        <v>447</v>
      </c>
      <c r="D125" s="23" t="n">
        <v>-47552</v>
      </c>
      <c r="E125" s="23" t="n">
        <v>-47552</v>
      </c>
      <c r="F125" s="31" t="n">
        <v>0</v>
      </c>
      <c r="G125" s="28" t="s">
        <v>957</v>
      </c>
      <c r="H125" s="31" t="n">
        <v>0</v>
      </c>
      <c r="I125" s="28" t="s">
        <v>941</v>
      </c>
    </row>
    <row r="126" customFormat="false" ht="15" hidden="false" customHeight="false" outlineLevel="0" collapsed="false">
      <c r="A126" s="28" t="s">
        <v>178</v>
      </c>
      <c r="B126" s="28" t="s">
        <v>466</v>
      </c>
      <c r="C126" s="28" t="s">
        <v>447</v>
      </c>
      <c r="D126" s="23" t="n">
        <v>6200</v>
      </c>
      <c r="E126" s="23" t="n">
        <v>5456</v>
      </c>
      <c r="F126" s="31" t="n">
        <v>-13.6364</v>
      </c>
      <c r="G126" s="28" t="s">
        <v>955</v>
      </c>
      <c r="H126" s="31" t="n">
        <v>0</v>
      </c>
      <c r="I126" s="28" t="s">
        <v>941</v>
      </c>
    </row>
    <row r="127" customFormat="false" ht="15" hidden="false" customHeight="false" outlineLevel="0" collapsed="false">
      <c r="A127" s="28" t="s">
        <v>178</v>
      </c>
      <c r="B127" s="28" t="s">
        <v>971</v>
      </c>
      <c r="C127" s="28" t="s">
        <v>447</v>
      </c>
      <c r="D127" s="23" t="n">
        <v>577875.54</v>
      </c>
      <c r="E127" s="23" t="n">
        <v>577875.54</v>
      </c>
      <c r="F127" s="31" t="n">
        <v>0</v>
      </c>
      <c r="G127" s="28" t="s">
        <v>955</v>
      </c>
      <c r="H127" s="31" t="n">
        <v>0</v>
      </c>
      <c r="I127" s="28" t="s">
        <v>941</v>
      </c>
    </row>
    <row r="128" customFormat="false" ht="15" hidden="false" customHeight="false" outlineLevel="0" collapsed="false">
      <c r="A128" s="28" t="s">
        <v>178</v>
      </c>
      <c r="B128" s="28" t="s">
        <v>972</v>
      </c>
      <c r="C128" s="28" t="s">
        <v>469</v>
      </c>
      <c r="D128" s="23" t="n">
        <v>1551679.623</v>
      </c>
      <c r="E128" s="23" t="n">
        <v>1303666.57373668</v>
      </c>
      <c r="F128" s="31" t="n">
        <v>5.0801</v>
      </c>
      <c r="G128" s="28" t="s">
        <v>973</v>
      </c>
      <c r="H128" s="31" t="n">
        <v>54.1102</v>
      </c>
      <c r="I128" s="28" t="s">
        <v>941</v>
      </c>
    </row>
    <row r="129" customFormat="false" ht="15" hidden="false" customHeight="false" outlineLevel="0" collapsed="false">
      <c r="A129" s="28" t="s">
        <v>178</v>
      </c>
      <c r="B129" s="28" t="s">
        <v>974</v>
      </c>
      <c r="C129" s="28" t="s">
        <v>469</v>
      </c>
      <c r="D129" s="23" t="n">
        <v>330000</v>
      </c>
      <c r="E129" s="23" t="n">
        <v>291476.973750737</v>
      </c>
      <c r="F129" s="31" t="n">
        <v>3.543</v>
      </c>
      <c r="G129" s="28" t="s">
        <v>973</v>
      </c>
      <c r="H129" s="31" t="n">
        <v>63.4148</v>
      </c>
      <c r="I129" s="28" t="s">
        <v>941</v>
      </c>
    </row>
    <row r="130" customFormat="false" ht="15" hidden="false" customHeight="false" outlineLevel="0" collapsed="false">
      <c r="A130" s="28" t="s">
        <v>178</v>
      </c>
      <c r="B130" s="28" t="s">
        <v>975</v>
      </c>
      <c r="C130" s="28" t="s">
        <v>469</v>
      </c>
      <c r="D130" s="23" t="n">
        <v>1462571.75</v>
      </c>
      <c r="E130" s="23" t="n">
        <v>1210296.52434339</v>
      </c>
      <c r="F130" s="31" t="n">
        <v>5.056</v>
      </c>
      <c r="G130" s="28" t="s">
        <v>973</v>
      </c>
      <c r="H130" s="31" t="n">
        <v>115.975</v>
      </c>
      <c r="I130" s="28" t="s">
        <v>941</v>
      </c>
    </row>
    <row r="131" customFormat="false" ht="15" hidden="false" customHeight="false" outlineLevel="0" collapsed="false">
      <c r="A131" s="28" t="s">
        <v>178</v>
      </c>
      <c r="B131" s="28" t="s">
        <v>976</v>
      </c>
      <c r="C131" s="28" t="s">
        <v>469</v>
      </c>
      <c r="D131" s="23" t="n">
        <v>50000</v>
      </c>
      <c r="E131" s="23" t="n">
        <v>43738.8752669361</v>
      </c>
      <c r="F131" s="31" t="n">
        <v>3.7196</v>
      </c>
      <c r="G131" s="28" t="s">
        <v>973</v>
      </c>
      <c r="H131" s="31" t="n">
        <v>64.3233</v>
      </c>
      <c r="I131" s="28" t="s">
        <v>941</v>
      </c>
    </row>
    <row r="132" customFormat="false" ht="15" hidden="false" customHeight="false" outlineLevel="0" collapsed="false">
      <c r="A132" s="28" t="s">
        <v>178</v>
      </c>
      <c r="B132" s="28" t="s">
        <v>601</v>
      </c>
      <c r="C132" s="28" t="s">
        <v>469</v>
      </c>
      <c r="D132" s="23" t="n">
        <v>1000000</v>
      </c>
      <c r="E132" s="23" t="n">
        <v>884590.910895873</v>
      </c>
      <c r="F132" s="31" t="n">
        <v>3.3843</v>
      </c>
      <c r="G132" s="28" t="s">
        <v>973</v>
      </c>
      <c r="H132" s="31" t="n">
        <v>26.9652</v>
      </c>
      <c r="I132" s="28" t="s">
        <v>941</v>
      </c>
    </row>
    <row r="133" customFormat="false" ht="15" hidden="false" customHeight="false" outlineLevel="0" collapsed="false">
      <c r="A133" s="28" t="s">
        <v>178</v>
      </c>
      <c r="B133" s="28" t="s">
        <v>603</v>
      </c>
      <c r="C133" s="28" t="s">
        <v>469</v>
      </c>
      <c r="D133" s="23" t="n">
        <v>1100000</v>
      </c>
      <c r="E133" s="23" t="n">
        <v>1024365.81544706</v>
      </c>
      <c r="F133" s="31" t="n">
        <v>2.0889</v>
      </c>
      <c r="G133" s="28" t="s">
        <v>973</v>
      </c>
      <c r="H133" s="31" t="n">
        <v>13.824</v>
      </c>
      <c r="I133" s="28" t="s">
        <v>941</v>
      </c>
    </row>
    <row r="134" customFormat="false" ht="15" hidden="false" customHeight="false" outlineLevel="0" collapsed="false">
      <c r="A134" s="28" t="s">
        <v>178</v>
      </c>
      <c r="B134" s="28" t="s">
        <v>605</v>
      </c>
      <c r="C134" s="28" t="s">
        <v>469</v>
      </c>
      <c r="D134" s="23" t="n">
        <v>800000</v>
      </c>
      <c r="E134" s="23" t="n">
        <v>767765.670315023</v>
      </c>
      <c r="F134" s="31" t="n">
        <v>1.3319</v>
      </c>
      <c r="G134" s="28" t="s">
        <v>973</v>
      </c>
      <c r="H134" s="31" t="n">
        <v>7.7676</v>
      </c>
      <c r="I134" s="28" t="s">
        <v>941</v>
      </c>
    </row>
    <row r="135" customFormat="false" ht="15" hidden="false" customHeight="false" outlineLevel="0" collapsed="false">
      <c r="A135" s="28" t="s">
        <v>178</v>
      </c>
      <c r="B135" s="28" t="s">
        <v>977</v>
      </c>
      <c r="C135" s="28" t="s">
        <v>469</v>
      </c>
      <c r="D135" s="23" t="n">
        <v>765287.677</v>
      </c>
      <c r="E135" s="23" t="n">
        <v>749677.849951515</v>
      </c>
      <c r="F135" s="31" t="n">
        <v>0.698</v>
      </c>
      <c r="G135" s="28" t="s">
        <v>973</v>
      </c>
      <c r="H135" s="31" t="n">
        <v>3.3053</v>
      </c>
      <c r="I135" s="28" t="s">
        <v>941</v>
      </c>
    </row>
    <row r="136" customFormat="false" ht="15" hidden="false" customHeight="false" outlineLevel="0" collapsed="false">
      <c r="A136" s="28" t="s">
        <v>178</v>
      </c>
      <c r="B136" s="28" t="s">
        <v>978</v>
      </c>
      <c r="C136" s="28" t="s">
        <v>469</v>
      </c>
      <c r="D136" s="23" t="n">
        <v>74688.3604</v>
      </c>
      <c r="E136" s="23" t="n">
        <v>61580.6758029054</v>
      </c>
      <c r="F136" s="31" t="n">
        <v>5.5315</v>
      </c>
      <c r="G136" s="28" t="s">
        <v>973</v>
      </c>
      <c r="H136" s="31" t="n">
        <v>74.515</v>
      </c>
      <c r="I136" s="28" t="s">
        <v>941</v>
      </c>
    </row>
    <row r="137" customFormat="false" ht="15" hidden="false" customHeight="false" outlineLevel="0" collapsed="false">
      <c r="A137" s="28" t="s">
        <v>178</v>
      </c>
      <c r="B137" s="28" t="s">
        <v>979</v>
      </c>
      <c r="C137" s="28" t="s">
        <v>469</v>
      </c>
      <c r="D137" s="23" t="n">
        <v>14494.065</v>
      </c>
      <c r="E137" s="23" t="n">
        <v>13224.8041869382</v>
      </c>
      <c r="F137" s="31" t="n">
        <v>2.744</v>
      </c>
      <c r="G137" s="28" t="s">
        <v>973</v>
      </c>
      <c r="H137" s="31" t="n">
        <v>17.8965</v>
      </c>
      <c r="I137" s="28" t="s">
        <v>941</v>
      </c>
    </row>
    <row r="138" customFormat="false" ht="15" hidden="false" customHeight="false" outlineLevel="0" collapsed="false">
      <c r="A138" s="28" t="s">
        <v>178</v>
      </c>
      <c r="B138" s="28" t="s">
        <v>980</v>
      </c>
      <c r="C138" s="28" t="s">
        <v>469</v>
      </c>
      <c r="D138" s="23" t="n">
        <v>734544.639</v>
      </c>
      <c r="E138" s="23" t="n">
        <v>738768.930149304</v>
      </c>
      <c r="F138" s="31" t="n">
        <v>0.7429</v>
      </c>
      <c r="G138" s="28" t="s">
        <v>981</v>
      </c>
      <c r="H138" s="31" t="n">
        <v>1.4869</v>
      </c>
      <c r="I138" s="28" t="s">
        <v>941</v>
      </c>
    </row>
    <row r="139" customFormat="false" ht="15" hidden="false" customHeight="false" outlineLevel="0" collapsed="false">
      <c r="A139" s="28" t="s">
        <v>178</v>
      </c>
      <c r="B139" s="28" t="s">
        <v>982</v>
      </c>
      <c r="C139" s="28" t="s">
        <v>469</v>
      </c>
      <c r="D139" s="23" t="n">
        <v>860301.67</v>
      </c>
      <c r="E139" s="23" t="n">
        <v>865961.216263802</v>
      </c>
      <c r="F139" s="31" t="n">
        <v>0.743</v>
      </c>
      <c r="G139" s="28" t="s">
        <v>981</v>
      </c>
      <c r="H139" s="31" t="n">
        <v>1.4871</v>
      </c>
      <c r="I139" s="28" t="s">
        <v>941</v>
      </c>
    </row>
    <row r="140" customFormat="false" ht="15" hidden="false" customHeight="false" outlineLevel="0" collapsed="false">
      <c r="A140" s="28" t="s">
        <v>178</v>
      </c>
      <c r="B140" s="28" t="s">
        <v>983</v>
      </c>
      <c r="C140" s="28" t="s">
        <v>469</v>
      </c>
      <c r="D140" s="23" t="n">
        <v>112032.5406</v>
      </c>
      <c r="E140" s="23" t="n">
        <v>113384.433858346</v>
      </c>
      <c r="F140" s="31" t="n">
        <v>1.416</v>
      </c>
      <c r="G140" s="28" t="s">
        <v>981</v>
      </c>
      <c r="H140" s="31" t="n">
        <v>3.9208</v>
      </c>
      <c r="I140" s="28" t="s">
        <v>941</v>
      </c>
    </row>
    <row r="141" customFormat="false" ht="15" hidden="false" customHeight="false" outlineLevel="0" collapsed="false">
      <c r="A141" s="28" t="s">
        <v>178</v>
      </c>
      <c r="B141" s="28" t="s">
        <v>984</v>
      </c>
      <c r="C141" s="28" t="s">
        <v>469</v>
      </c>
      <c r="D141" s="23" t="n">
        <v>124418.196</v>
      </c>
      <c r="E141" s="23" t="n">
        <v>124418.196</v>
      </c>
      <c r="F141" s="31" t="n">
        <v>0</v>
      </c>
      <c r="G141" s="28" t="s">
        <v>984</v>
      </c>
      <c r="H141" s="31" t="n">
        <v>0</v>
      </c>
      <c r="I141" s="28" t="s">
        <v>941</v>
      </c>
    </row>
    <row r="142" customFormat="false" ht="15" hidden="false" customHeight="false" outlineLevel="0" collapsed="false">
      <c r="A142" s="28" t="s">
        <v>178</v>
      </c>
      <c r="B142" s="28" t="s">
        <v>985</v>
      </c>
      <c r="C142" s="28" t="s">
        <v>874</v>
      </c>
      <c r="D142" s="23" t="n">
        <v>0</v>
      </c>
      <c r="E142" s="23" t="n">
        <v>900</v>
      </c>
      <c r="G142" s="28" t="s">
        <v>986</v>
      </c>
      <c r="I142" s="28" t="s">
        <v>941</v>
      </c>
    </row>
    <row r="143" customFormat="false" ht="15" hidden="false" customHeight="false" outlineLevel="0" collapsed="false">
      <c r="A143" s="28" t="s">
        <v>180</v>
      </c>
      <c r="B143" s="28" t="s">
        <v>449</v>
      </c>
      <c r="C143" s="28" t="s">
        <v>447</v>
      </c>
      <c r="D143" s="23" t="n">
        <v>695254.49</v>
      </c>
      <c r="E143" s="23" t="n">
        <v>695254.49</v>
      </c>
      <c r="F143" s="31" t="n">
        <v>0</v>
      </c>
      <c r="G143" s="28" t="s">
        <v>940</v>
      </c>
      <c r="H143" s="31" t="n">
        <v>0</v>
      </c>
      <c r="I143" s="28" t="s">
        <v>941</v>
      </c>
    </row>
    <row r="144" customFormat="false" ht="15" hidden="false" customHeight="false" outlineLevel="0" collapsed="false">
      <c r="A144" s="28" t="s">
        <v>180</v>
      </c>
      <c r="B144" s="28" t="s">
        <v>942</v>
      </c>
      <c r="C144" s="28" t="s">
        <v>447</v>
      </c>
      <c r="D144" s="23" t="n">
        <v>150051.434903246</v>
      </c>
      <c r="E144" s="23" t="n">
        <v>150051.434903246</v>
      </c>
      <c r="F144" s="31" t="n">
        <v>1.9386</v>
      </c>
      <c r="G144" s="28" t="s">
        <v>943</v>
      </c>
      <c r="H144" s="31" t="n">
        <v>5.9199</v>
      </c>
      <c r="I144" s="28" t="s">
        <v>941</v>
      </c>
    </row>
    <row r="145" customFormat="false" ht="15" hidden="false" customHeight="false" outlineLevel="0" collapsed="false">
      <c r="A145" s="28" t="s">
        <v>180</v>
      </c>
      <c r="B145" s="28" t="s">
        <v>944</v>
      </c>
      <c r="C145" s="28" t="s">
        <v>447</v>
      </c>
      <c r="D145" s="23" t="n">
        <v>367549.241673984</v>
      </c>
      <c r="E145" s="23" t="n">
        <v>367549.241673984</v>
      </c>
      <c r="F145" s="31" t="n">
        <v>2.8165</v>
      </c>
      <c r="G145" s="28" t="s">
        <v>943</v>
      </c>
      <c r="H145" s="31" t="n">
        <v>11.3748</v>
      </c>
      <c r="I145" s="28" t="s">
        <v>941</v>
      </c>
    </row>
    <row r="146" customFormat="false" ht="15" hidden="false" customHeight="false" outlineLevel="0" collapsed="false">
      <c r="A146" s="28" t="s">
        <v>180</v>
      </c>
      <c r="B146" s="28" t="s">
        <v>945</v>
      </c>
      <c r="C146" s="28" t="s">
        <v>447</v>
      </c>
      <c r="D146" s="23" t="n">
        <v>548633.753403125</v>
      </c>
      <c r="E146" s="23" t="n">
        <v>548633.753403125</v>
      </c>
      <c r="F146" s="31" t="n">
        <v>7.3241</v>
      </c>
      <c r="G146" s="28" t="s">
        <v>943</v>
      </c>
      <c r="H146" s="31" t="n">
        <v>91.3318</v>
      </c>
      <c r="I146" s="28" t="s">
        <v>941</v>
      </c>
    </row>
    <row r="147" customFormat="false" ht="15" hidden="false" customHeight="false" outlineLevel="0" collapsed="false">
      <c r="A147" s="28" t="s">
        <v>180</v>
      </c>
      <c r="B147" s="28" t="s">
        <v>946</v>
      </c>
      <c r="C147" s="28" t="s">
        <v>447</v>
      </c>
      <c r="D147" s="23" t="n">
        <v>305274.71975975</v>
      </c>
      <c r="E147" s="23" t="n">
        <v>305274.71975975</v>
      </c>
      <c r="F147" s="31" t="n">
        <v>6.2944</v>
      </c>
      <c r="G147" s="28" t="s">
        <v>943</v>
      </c>
      <c r="H147" s="31" t="n">
        <v>-3.5469</v>
      </c>
      <c r="I147" s="28" t="s">
        <v>941</v>
      </c>
    </row>
    <row r="148" customFormat="false" ht="15" hidden="false" customHeight="false" outlineLevel="0" collapsed="false">
      <c r="A148" s="28" t="s">
        <v>180</v>
      </c>
      <c r="B148" s="28" t="s">
        <v>947</v>
      </c>
      <c r="C148" s="28" t="s">
        <v>447</v>
      </c>
      <c r="D148" s="23" t="n">
        <v>352414.480607701</v>
      </c>
      <c r="E148" s="23" t="n">
        <v>352414.480607701</v>
      </c>
      <c r="F148" s="31" t="n">
        <v>5.0754</v>
      </c>
      <c r="G148" s="28" t="s">
        <v>943</v>
      </c>
      <c r="H148" s="31" t="n">
        <v>76.4512</v>
      </c>
      <c r="I148" s="28" t="s">
        <v>941</v>
      </c>
    </row>
    <row r="149" customFormat="false" ht="15" hidden="false" customHeight="false" outlineLevel="0" collapsed="false">
      <c r="A149" s="28" t="s">
        <v>180</v>
      </c>
      <c r="B149" s="28" t="s">
        <v>948</v>
      </c>
      <c r="C149" s="28" t="s">
        <v>447</v>
      </c>
      <c r="D149" s="23" t="n">
        <v>136497.166545512</v>
      </c>
      <c r="E149" s="23" t="n">
        <v>136497.166545512</v>
      </c>
      <c r="F149" s="31" t="n">
        <v>6.4141</v>
      </c>
      <c r="G149" s="28" t="s">
        <v>943</v>
      </c>
      <c r="H149" s="31" t="n">
        <v>48.2931</v>
      </c>
      <c r="I149" s="28" t="s">
        <v>941</v>
      </c>
    </row>
    <row r="150" customFormat="false" ht="15" hidden="false" customHeight="false" outlineLevel="0" collapsed="false">
      <c r="A150" s="28" t="s">
        <v>180</v>
      </c>
      <c r="B150" s="28" t="s">
        <v>949</v>
      </c>
      <c r="C150" s="28" t="s">
        <v>447</v>
      </c>
      <c r="D150" s="23" t="n">
        <v>97853.5160956092</v>
      </c>
      <c r="E150" s="23" t="n">
        <v>97853.5160956092</v>
      </c>
      <c r="F150" s="31" t="n">
        <v>-0.1097</v>
      </c>
      <c r="G150" s="28" t="s">
        <v>943</v>
      </c>
      <c r="H150" s="31" t="n">
        <v>1.334</v>
      </c>
      <c r="I150" s="28" t="s">
        <v>941</v>
      </c>
    </row>
    <row r="151" customFormat="false" ht="15" hidden="false" customHeight="false" outlineLevel="0" collapsed="false">
      <c r="A151" s="28" t="s">
        <v>180</v>
      </c>
      <c r="B151" s="28" t="s">
        <v>950</v>
      </c>
      <c r="C151" s="28" t="s">
        <v>447</v>
      </c>
      <c r="D151" s="23" t="n">
        <v>700000</v>
      </c>
      <c r="E151" s="23" t="n">
        <v>586409.092944032</v>
      </c>
      <c r="F151" s="31" t="n">
        <v>5.5966</v>
      </c>
      <c r="G151" s="28" t="s">
        <v>943</v>
      </c>
      <c r="H151" s="31" t="n">
        <v>52.0346</v>
      </c>
      <c r="I151" s="28" t="s">
        <v>941</v>
      </c>
    </row>
    <row r="152" customFormat="false" ht="15" hidden="false" customHeight="false" outlineLevel="0" collapsed="false">
      <c r="A152" s="28" t="s">
        <v>180</v>
      </c>
      <c r="B152" s="28" t="s">
        <v>951</v>
      </c>
      <c r="C152" s="28" t="s">
        <v>447</v>
      </c>
      <c r="D152" s="23" t="n">
        <v>300000</v>
      </c>
      <c r="E152" s="23" t="n">
        <v>276690.133972887</v>
      </c>
      <c r="F152" s="31" t="n">
        <v>3.7137</v>
      </c>
      <c r="G152" s="28" t="s">
        <v>943</v>
      </c>
      <c r="H152" s="31" t="n">
        <v>16.6371</v>
      </c>
      <c r="I152" s="28" t="s">
        <v>941</v>
      </c>
    </row>
    <row r="153" customFormat="false" ht="15" hidden="false" customHeight="false" outlineLevel="0" collapsed="false">
      <c r="A153" s="28" t="s">
        <v>180</v>
      </c>
      <c r="B153" s="28" t="s">
        <v>952</v>
      </c>
      <c r="C153" s="28" t="s">
        <v>447</v>
      </c>
      <c r="D153" s="23" t="n">
        <v>200000</v>
      </c>
      <c r="E153" s="23" t="n">
        <v>169099.283745517</v>
      </c>
      <c r="F153" s="31" t="n">
        <v>7.0554</v>
      </c>
      <c r="G153" s="28" t="s">
        <v>943</v>
      </c>
      <c r="H153" s="31" t="n">
        <v>58.784</v>
      </c>
      <c r="I153" s="28" t="s">
        <v>941</v>
      </c>
    </row>
    <row r="154" customFormat="false" ht="15" hidden="false" customHeight="false" outlineLevel="0" collapsed="false">
      <c r="A154" s="28" t="s">
        <v>180</v>
      </c>
      <c r="B154" s="28" t="s">
        <v>953</v>
      </c>
      <c r="C154" s="28" t="s">
        <v>447</v>
      </c>
      <c r="D154" s="23" t="n">
        <v>148403.71</v>
      </c>
      <c r="E154" s="23" t="n">
        <v>150178.331180842</v>
      </c>
      <c r="F154" s="31" t="n">
        <v>2.7542</v>
      </c>
      <c r="G154" s="28" t="s">
        <v>943</v>
      </c>
      <c r="H154" s="31" t="n">
        <v>9.2631</v>
      </c>
      <c r="I154" s="28" t="s">
        <v>941</v>
      </c>
    </row>
    <row r="155" customFormat="false" ht="15" hidden="false" customHeight="false" outlineLevel="0" collapsed="false">
      <c r="A155" s="28" t="s">
        <v>180</v>
      </c>
      <c r="B155" s="28" t="s">
        <v>954</v>
      </c>
      <c r="C155" s="28" t="s">
        <v>447</v>
      </c>
      <c r="D155" s="23" t="n">
        <v>24721.732</v>
      </c>
      <c r="E155" s="23" t="n">
        <v>24721.732</v>
      </c>
      <c r="F155" s="31" t="n">
        <v>0</v>
      </c>
      <c r="G155" s="28" t="s">
        <v>943</v>
      </c>
      <c r="H155" s="31" t="n">
        <v>0</v>
      </c>
      <c r="I155" s="28" t="s">
        <v>941</v>
      </c>
    </row>
    <row r="156" customFormat="false" ht="15" hidden="false" customHeight="false" outlineLevel="0" collapsed="false">
      <c r="A156" s="28" t="s">
        <v>180</v>
      </c>
      <c r="B156" s="28" t="s">
        <v>457</v>
      </c>
      <c r="C156" s="28" t="s">
        <v>447</v>
      </c>
      <c r="D156" s="23" t="n">
        <v>17250</v>
      </c>
      <c r="E156" s="23" t="n">
        <v>17250</v>
      </c>
      <c r="F156" s="31" t="n">
        <v>0</v>
      </c>
      <c r="G156" s="28" t="s">
        <v>955</v>
      </c>
      <c r="H156" s="31" t="n">
        <v>0</v>
      </c>
      <c r="I156" s="28" t="s">
        <v>941</v>
      </c>
    </row>
    <row r="157" customFormat="false" ht="15" hidden="false" customHeight="false" outlineLevel="0" collapsed="false">
      <c r="A157" s="28" t="s">
        <v>180</v>
      </c>
      <c r="B157" s="28" t="s">
        <v>956</v>
      </c>
      <c r="C157" s="28" t="s">
        <v>447</v>
      </c>
      <c r="D157" s="23" t="n">
        <v>1515773.50272</v>
      </c>
      <c r="E157" s="23" t="n">
        <v>1515773.50272</v>
      </c>
      <c r="F157" s="31" t="n">
        <v>-0.051</v>
      </c>
      <c r="G157" s="28" t="s">
        <v>957</v>
      </c>
      <c r="H157" s="31" t="n">
        <v>1.069</v>
      </c>
      <c r="I157" s="28" t="s">
        <v>941</v>
      </c>
    </row>
    <row r="158" customFormat="false" ht="15" hidden="false" customHeight="false" outlineLevel="0" collapsed="false">
      <c r="A158" s="28" t="s">
        <v>180</v>
      </c>
      <c r="B158" s="28" t="s">
        <v>958</v>
      </c>
      <c r="C158" s="28" t="s">
        <v>447</v>
      </c>
      <c r="D158" s="23" t="n">
        <v>589467.47328</v>
      </c>
      <c r="E158" s="23" t="n">
        <v>574168.217993134</v>
      </c>
      <c r="F158" s="31" t="n">
        <v>4.118</v>
      </c>
      <c r="G158" s="28" t="s">
        <v>957</v>
      </c>
      <c r="H158" s="31" t="n">
        <v>-14.8445</v>
      </c>
      <c r="I158" s="28" t="s">
        <v>941</v>
      </c>
    </row>
    <row r="159" customFormat="false" ht="15" hidden="false" customHeight="false" outlineLevel="0" collapsed="false">
      <c r="A159" s="28" t="s">
        <v>180</v>
      </c>
      <c r="B159" s="28" t="s">
        <v>959</v>
      </c>
      <c r="C159" s="28" t="s">
        <v>447</v>
      </c>
      <c r="D159" s="23" t="n">
        <v>1104190.947</v>
      </c>
      <c r="E159" s="23" t="n">
        <v>1094065.15980935</v>
      </c>
      <c r="F159" s="31" t="n">
        <v>1.7126</v>
      </c>
      <c r="G159" s="28" t="s">
        <v>957</v>
      </c>
      <c r="H159" s="31" t="n">
        <v>-5.2589</v>
      </c>
      <c r="I159" s="28" t="s">
        <v>941</v>
      </c>
    </row>
    <row r="160" customFormat="false" ht="15" hidden="false" customHeight="false" outlineLevel="0" collapsed="false">
      <c r="A160" s="28" t="s">
        <v>180</v>
      </c>
      <c r="B160" s="28" t="s">
        <v>960</v>
      </c>
      <c r="C160" s="28" t="s">
        <v>447</v>
      </c>
      <c r="D160" s="23" t="n">
        <v>476328.947</v>
      </c>
      <c r="E160" s="23" t="n">
        <v>469973.764468068</v>
      </c>
      <c r="F160" s="31" t="n">
        <v>1.8378</v>
      </c>
      <c r="G160" s="28" t="s">
        <v>957</v>
      </c>
      <c r="H160" s="31" t="n">
        <v>-5.6686</v>
      </c>
      <c r="I160" s="28" t="s">
        <v>941</v>
      </c>
    </row>
    <row r="161" customFormat="false" ht="15" hidden="false" customHeight="false" outlineLevel="0" collapsed="false">
      <c r="A161" s="28" t="s">
        <v>180</v>
      </c>
      <c r="B161" s="28" t="s">
        <v>961</v>
      </c>
      <c r="C161" s="28" t="s">
        <v>447</v>
      </c>
      <c r="D161" s="23" t="n">
        <v>374430.3036</v>
      </c>
      <c r="E161" s="23" t="n">
        <v>318593.873652275</v>
      </c>
      <c r="F161" s="31" t="n">
        <v>7.2648</v>
      </c>
      <c r="G161" s="28" t="s">
        <v>957</v>
      </c>
      <c r="H161" s="31" t="n">
        <v>149.5557</v>
      </c>
      <c r="I161" s="28" t="s">
        <v>941</v>
      </c>
    </row>
    <row r="162" customFormat="false" ht="15" hidden="false" customHeight="false" outlineLevel="0" collapsed="false">
      <c r="A162" s="28" t="s">
        <v>180</v>
      </c>
      <c r="B162" s="28" t="s">
        <v>962</v>
      </c>
      <c r="C162" s="28" t="s">
        <v>447</v>
      </c>
      <c r="D162" s="23" t="n">
        <v>249620.2024</v>
      </c>
      <c r="E162" s="23" t="n">
        <v>254768.895251207</v>
      </c>
      <c r="F162" s="31" t="n">
        <v>1.9182</v>
      </c>
      <c r="G162" s="28" t="s">
        <v>957</v>
      </c>
      <c r="H162" s="31" t="n">
        <v>4.5411</v>
      </c>
      <c r="I162" s="28" t="s">
        <v>941</v>
      </c>
    </row>
    <row r="163" customFormat="false" ht="15" hidden="false" customHeight="false" outlineLevel="0" collapsed="false">
      <c r="A163" s="28" t="s">
        <v>180</v>
      </c>
      <c r="B163" s="28" t="s">
        <v>963</v>
      </c>
      <c r="C163" s="28" t="s">
        <v>447</v>
      </c>
      <c r="D163" s="23" t="n">
        <v>720674.90295</v>
      </c>
      <c r="E163" s="23" t="n">
        <v>718518.058261048</v>
      </c>
      <c r="F163" s="31" t="n">
        <v>1.9496</v>
      </c>
      <c r="G163" s="28" t="s">
        <v>957</v>
      </c>
      <c r="H163" s="31" t="n">
        <v>1.1211</v>
      </c>
      <c r="I163" s="28" t="s">
        <v>941</v>
      </c>
    </row>
    <row r="164" customFormat="false" ht="15" hidden="false" customHeight="false" outlineLevel="0" collapsed="false">
      <c r="A164" s="28" t="s">
        <v>180</v>
      </c>
      <c r="B164" s="28" t="s">
        <v>964</v>
      </c>
      <c r="C164" s="28" t="s">
        <v>447</v>
      </c>
      <c r="D164" s="23" t="n">
        <v>127177.92405</v>
      </c>
      <c r="E164" s="23" t="n">
        <v>127177.924017829</v>
      </c>
      <c r="F164" s="31" t="n">
        <v>-0.0674</v>
      </c>
      <c r="G164" s="28" t="s">
        <v>957</v>
      </c>
      <c r="H164" s="31" t="n">
        <v>1.3815</v>
      </c>
      <c r="I164" s="28" t="s">
        <v>941</v>
      </c>
    </row>
    <row r="165" customFormat="false" ht="15" hidden="false" customHeight="false" outlineLevel="0" collapsed="false">
      <c r="A165" s="28" t="s">
        <v>180</v>
      </c>
      <c r="B165" s="28" t="s">
        <v>965</v>
      </c>
      <c r="C165" s="28" t="s">
        <v>447</v>
      </c>
      <c r="D165" s="23" t="n">
        <v>20543.822</v>
      </c>
      <c r="E165" s="23" t="n">
        <v>20543.8219999801</v>
      </c>
      <c r="F165" s="31" t="n">
        <v>-0.0239</v>
      </c>
      <c r="G165" s="28" t="s">
        <v>957</v>
      </c>
      <c r="H165" s="31" t="n">
        <v>0.6475</v>
      </c>
      <c r="I165" s="28" t="s">
        <v>941</v>
      </c>
    </row>
    <row r="166" customFormat="false" ht="15" hidden="false" customHeight="false" outlineLevel="0" collapsed="false">
      <c r="A166" s="28" t="s">
        <v>180</v>
      </c>
      <c r="B166" s="28" t="s">
        <v>966</v>
      </c>
      <c r="C166" s="28" t="s">
        <v>447</v>
      </c>
      <c r="D166" s="23" t="n">
        <v>62649.693</v>
      </c>
      <c r="E166" s="23" t="n">
        <v>62136.6530189986</v>
      </c>
      <c r="F166" s="31" t="n">
        <v>1.115</v>
      </c>
      <c r="G166" s="28" t="s">
        <v>957</v>
      </c>
      <c r="H166" s="31" t="n">
        <v>2.3948</v>
      </c>
      <c r="I166" s="28" t="s">
        <v>941</v>
      </c>
    </row>
    <row r="167" customFormat="false" ht="15" hidden="false" customHeight="false" outlineLevel="0" collapsed="false">
      <c r="A167" s="28" t="s">
        <v>180</v>
      </c>
      <c r="B167" s="28" t="s">
        <v>967</v>
      </c>
      <c r="C167" s="28" t="s">
        <v>447</v>
      </c>
      <c r="D167" s="23" t="n">
        <v>41766.462</v>
      </c>
      <c r="E167" s="23" t="n">
        <v>41766.462</v>
      </c>
      <c r="F167" s="31" t="n">
        <v>-0.0135</v>
      </c>
      <c r="G167" s="28" t="s">
        <v>957</v>
      </c>
      <c r="H167" s="31" t="n">
        <v>0.5404</v>
      </c>
      <c r="I167" s="28" t="s">
        <v>941</v>
      </c>
    </row>
    <row r="168" customFormat="false" ht="15" hidden="false" customHeight="false" outlineLevel="0" collapsed="false">
      <c r="A168" s="28" t="s">
        <v>180</v>
      </c>
      <c r="B168" s="28" t="s">
        <v>968</v>
      </c>
      <c r="C168" s="28" t="s">
        <v>447</v>
      </c>
      <c r="D168" s="23" t="n">
        <v>21376.155</v>
      </c>
      <c r="E168" s="23" t="n">
        <v>21135.4090917488</v>
      </c>
      <c r="F168" s="31" t="n">
        <v>2.0183</v>
      </c>
      <c r="G168" s="28" t="s">
        <v>957</v>
      </c>
      <c r="H168" s="31" t="n">
        <v>7.2815</v>
      </c>
      <c r="I168" s="28" t="s">
        <v>941</v>
      </c>
    </row>
    <row r="169" customFormat="false" ht="15" hidden="false" customHeight="false" outlineLevel="0" collapsed="false">
      <c r="A169" s="28" t="s">
        <v>180</v>
      </c>
      <c r="B169" s="28" t="s">
        <v>969</v>
      </c>
      <c r="C169" s="28" t="s">
        <v>447</v>
      </c>
      <c r="D169" s="23" t="n">
        <v>1397.217</v>
      </c>
      <c r="E169" s="23" t="n">
        <v>1335.71585848859</v>
      </c>
      <c r="F169" s="31" t="n">
        <v>2.9167</v>
      </c>
      <c r="G169" s="28" t="s">
        <v>957</v>
      </c>
      <c r="H169" s="31" t="n">
        <v>14.5666</v>
      </c>
      <c r="I169" s="28" t="s">
        <v>941</v>
      </c>
    </row>
    <row r="170" customFormat="false" ht="15" hidden="false" customHeight="false" outlineLevel="0" collapsed="false">
      <c r="A170" s="28" t="s">
        <v>180</v>
      </c>
      <c r="B170" s="28" t="s">
        <v>970</v>
      </c>
      <c r="C170" s="28" t="s">
        <v>447</v>
      </c>
      <c r="D170" s="23" t="n">
        <v>42.972</v>
      </c>
      <c r="E170" s="23" t="n">
        <v>41.5791222307988</v>
      </c>
      <c r="F170" s="31" t="n">
        <v>4.6923</v>
      </c>
      <c r="G170" s="28" t="s">
        <v>957</v>
      </c>
      <c r="H170" s="31" t="n">
        <v>39.0319</v>
      </c>
      <c r="I170" s="28" t="s">
        <v>941</v>
      </c>
    </row>
    <row r="171" customFormat="false" ht="15" hidden="false" customHeight="false" outlineLevel="0" collapsed="false">
      <c r="A171" s="28" t="s">
        <v>180</v>
      </c>
      <c r="B171" s="28" t="s">
        <v>459</v>
      </c>
      <c r="C171" s="28" t="s">
        <v>447</v>
      </c>
      <c r="D171" s="23" t="n">
        <v>1976.718</v>
      </c>
      <c r="E171" s="23" t="n">
        <v>1980.44447670234</v>
      </c>
      <c r="F171" s="31" t="n">
        <v>0.1652</v>
      </c>
      <c r="G171" s="28" t="s">
        <v>957</v>
      </c>
      <c r="H171" s="31" t="n">
        <v>0.0543</v>
      </c>
      <c r="I171" s="28" t="s">
        <v>941</v>
      </c>
    </row>
    <row r="172" customFormat="false" ht="15" hidden="false" customHeight="false" outlineLevel="0" collapsed="false">
      <c r="A172" s="28" t="s">
        <v>180</v>
      </c>
      <c r="B172" s="28" t="s">
        <v>489</v>
      </c>
      <c r="C172" s="28" t="s">
        <v>447</v>
      </c>
      <c r="D172" s="23" t="n">
        <v>-47552</v>
      </c>
      <c r="E172" s="23" t="n">
        <v>-47552</v>
      </c>
      <c r="F172" s="31" t="n">
        <v>0</v>
      </c>
      <c r="G172" s="28" t="s">
        <v>957</v>
      </c>
      <c r="H172" s="31" t="n">
        <v>0</v>
      </c>
      <c r="I172" s="28" t="s">
        <v>941</v>
      </c>
    </row>
    <row r="173" customFormat="false" ht="15" hidden="false" customHeight="false" outlineLevel="0" collapsed="false">
      <c r="A173" s="28" t="s">
        <v>180</v>
      </c>
      <c r="B173" s="28" t="s">
        <v>466</v>
      </c>
      <c r="C173" s="28" t="s">
        <v>447</v>
      </c>
      <c r="D173" s="23" t="n">
        <v>6200</v>
      </c>
      <c r="E173" s="23" t="n">
        <v>6200</v>
      </c>
      <c r="F173" s="31" t="n">
        <v>-9</v>
      </c>
      <c r="G173" s="28" t="s">
        <v>955</v>
      </c>
      <c r="H173" s="31" t="n">
        <v>-1200</v>
      </c>
      <c r="I173" s="28" t="s">
        <v>941</v>
      </c>
    </row>
    <row r="174" customFormat="false" ht="15" hidden="false" customHeight="false" outlineLevel="0" collapsed="false">
      <c r="A174" s="28" t="s">
        <v>180</v>
      </c>
      <c r="B174" s="28" t="s">
        <v>971</v>
      </c>
      <c r="C174" s="28" t="s">
        <v>447</v>
      </c>
      <c r="D174" s="23" t="n">
        <v>577875.54</v>
      </c>
      <c r="E174" s="23" t="n">
        <v>577875.54</v>
      </c>
      <c r="F174" s="31" t="n">
        <v>0</v>
      </c>
      <c r="G174" s="28" t="s">
        <v>955</v>
      </c>
      <c r="H174" s="31" t="n">
        <v>0</v>
      </c>
      <c r="I174" s="28" t="s">
        <v>941</v>
      </c>
    </row>
    <row r="175" customFormat="false" ht="15" hidden="false" customHeight="false" outlineLevel="0" collapsed="false">
      <c r="A175" s="28" t="s">
        <v>180</v>
      </c>
      <c r="B175" s="28" t="s">
        <v>972</v>
      </c>
      <c r="C175" s="28" t="s">
        <v>469</v>
      </c>
      <c r="D175" s="23" t="n">
        <v>1551679.623</v>
      </c>
      <c r="E175" s="23" t="n">
        <v>1240835.91815688</v>
      </c>
      <c r="F175" s="31" t="n">
        <v>4.8098</v>
      </c>
      <c r="G175" s="28" t="s">
        <v>973</v>
      </c>
      <c r="H175" s="31" t="n">
        <v>48.8494</v>
      </c>
      <c r="I175" s="28" t="s">
        <v>941</v>
      </c>
    </row>
    <row r="176" customFormat="false" ht="15" hidden="false" customHeight="false" outlineLevel="0" collapsed="false">
      <c r="A176" s="28" t="s">
        <v>180</v>
      </c>
      <c r="B176" s="28" t="s">
        <v>974</v>
      </c>
      <c r="C176" s="28" t="s">
        <v>469</v>
      </c>
      <c r="D176" s="23" t="n">
        <v>330000</v>
      </c>
      <c r="E176" s="23" t="n">
        <v>281801.815089628</v>
      </c>
      <c r="F176" s="31" t="n">
        <v>3.2594</v>
      </c>
      <c r="G176" s="28" t="s">
        <v>973</v>
      </c>
      <c r="H176" s="31" t="n">
        <v>42.6189</v>
      </c>
      <c r="I176" s="28" t="s">
        <v>941</v>
      </c>
    </row>
    <row r="177" customFormat="false" ht="15" hidden="false" customHeight="false" outlineLevel="0" collapsed="false">
      <c r="A177" s="28" t="s">
        <v>180</v>
      </c>
      <c r="B177" s="28" t="s">
        <v>975</v>
      </c>
      <c r="C177" s="28" t="s">
        <v>469</v>
      </c>
      <c r="D177" s="23" t="n">
        <v>1462571.75</v>
      </c>
      <c r="E177" s="23" t="n">
        <v>1154074.35528948</v>
      </c>
      <c r="F177" s="31" t="n">
        <v>4.6275</v>
      </c>
      <c r="G177" s="28" t="s">
        <v>973</v>
      </c>
      <c r="H177" s="31" t="n">
        <v>46.9998</v>
      </c>
      <c r="I177" s="28" t="s">
        <v>941</v>
      </c>
    </row>
    <row r="178" customFormat="false" ht="15" hidden="false" customHeight="false" outlineLevel="0" collapsed="false">
      <c r="A178" s="28" t="s">
        <v>180</v>
      </c>
      <c r="B178" s="28" t="s">
        <v>976</v>
      </c>
      <c r="C178" s="28" t="s">
        <v>469</v>
      </c>
      <c r="D178" s="23" t="n">
        <v>50000</v>
      </c>
      <c r="E178" s="23" t="n">
        <v>42230.401559415</v>
      </c>
      <c r="F178" s="31" t="n">
        <v>3.3505</v>
      </c>
      <c r="G178" s="28" t="s">
        <v>973</v>
      </c>
      <c r="H178" s="31" t="n">
        <v>43.036</v>
      </c>
      <c r="I178" s="28" t="s">
        <v>941</v>
      </c>
    </row>
    <row r="179" customFormat="false" ht="15" hidden="false" customHeight="false" outlineLevel="0" collapsed="false">
      <c r="A179" s="28" t="s">
        <v>180</v>
      </c>
      <c r="B179" s="28" t="s">
        <v>601</v>
      </c>
      <c r="C179" s="28" t="s">
        <v>469</v>
      </c>
      <c r="D179" s="23" t="n">
        <v>1000000</v>
      </c>
      <c r="E179" s="23" t="n">
        <v>855812.266815533</v>
      </c>
      <c r="F179" s="31" t="n">
        <v>3.1326</v>
      </c>
      <c r="G179" s="28" t="s">
        <v>973</v>
      </c>
      <c r="H179" s="31" t="n">
        <v>65.7523</v>
      </c>
      <c r="I179" s="28" t="s">
        <v>941</v>
      </c>
    </row>
    <row r="180" customFormat="false" ht="15" hidden="false" customHeight="false" outlineLevel="0" collapsed="false">
      <c r="A180" s="28" t="s">
        <v>180</v>
      </c>
      <c r="B180" s="28" t="s">
        <v>603</v>
      </c>
      <c r="C180" s="28" t="s">
        <v>469</v>
      </c>
      <c r="D180" s="23" t="n">
        <v>1100000</v>
      </c>
      <c r="E180" s="23" t="n">
        <v>1003659.15846778</v>
      </c>
      <c r="F180" s="31" t="n">
        <v>1.8385</v>
      </c>
      <c r="G180" s="28" t="s">
        <v>973</v>
      </c>
      <c r="H180" s="31" t="n">
        <v>76.4147</v>
      </c>
      <c r="I180" s="28" t="s">
        <v>941</v>
      </c>
    </row>
    <row r="181" customFormat="false" ht="15" hidden="false" customHeight="false" outlineLevel="0" collapsed="false">
      <c r="A181" s="28" t="s">
        <v>180</v>
      </c>
      <c r="B181" s="28" t="s">
        <v>605</v>
      </c>
      <c r="C181" s="28" t="s">
        <v>469</v>
      </c>
      <c r="D181" s="23" t="n">
        <v>800000</v>
      </c>
      <c r="E181" s="23" t="n">
        <v>757831.77669435</v>
      </c>
      <c r="F181" s="31" t="n">
        <v>1.1424</v>
      </c>
      <c r="G181" s="28" t="s">
        <v>973</v>
      </c>
      <c r="H181" s="31" t="n">
        <v>59.8088</v>
      </c>
      <c r="I181" s="28" t="s">
        <v>941</v>
      </c>
    </row>
    <row r="182" customFormat="false" ht="15" hidden="false" customHeight="false" outlineLevel="0" collapsed="false">
      <c r="A182" s="28" t="s">
        <v>180</v>
      </c>
      <c r="B182" s="28" t="s">
        <v>977</v>
      </c>
      <c r="C182" s="28" t="s">
        <v>469</v>
      </c>
      <c r="D182" s="23" t="n">
        <v>765287.677</v>
      </c>
      <c r="E182" s="23" t="n">
        <v>744566.853413978</v>
      </c>
      <c r="F182" s="31" t="n">
        <v>0.5771</v>
      </c>
      <c r="G182" s="28" t="s">
        <v>973</v>
      </c>
      <c r="H182" s="31" t="n">
        <v>40.5215</v>
      </c>
      <c r="I182" s="28" t="s">
        <v>941</v>
      </c>
    </row>
    <row r="183" customFormat="false" ht="15" hidden="false" customHeight="false" outlineLevel="0" collapsed="false">
      <c r="A183" s="28" t="s">
        <v>180</v>
      </c>
      <c r="B183" s="28" t="s">
        <v>978</v>
      </c>
      <c r="C183" s="28" t="s">
        <v>469</v>
      </c>
      <c r="D183" s="23" t="n">
        <v>74688.3604</v>
      </c>
      <c r="E183" s="23" t="n">
        <v>58393.5645082874</v>
      </c>
      <c r="F183" s="31" t="n">
        <v>4.9181</v>
      </c>
      <c r="G183" s="28" t="s">
        <v>973</v>
      </c>
      <c r="H183" s="31" t="n">
        <v>144.3652</v>
      </c>
      <c r="I183" s="28" t="s">
        <v>941</v>
      </c>
    </row>
    <row r="184" customFormat="false" ht="15" hidden="false" customHeight="false" outlineLevel="0" collapsed="false">
      <c r="A184" s="28" t="s">
        <v>180</v>
      </c>
      <c r="B184" s="28" t="s">
        <v>979</v>
      </c>
      <c r="C184" s="28" t="s">
        <v>469</v>
      </c>
      <c r="D184" s="23" t="n">
        <v>14494.065</v>
      </c>
      <c r="E184" s="23" t="n">
        <v>12873.4705060105</v>
      </c>
      <c r="F184" s="31" t="n">
        <v>2.6436</v>
      </c>
      <c r="G184" s="28" t="s">
        <v>973</v>
      </c>
      <c r="H184" s="31" t="n">
        <v>16.7022</v>
      </c>
      <c r="I184" s="28" t="s">
        <v>941</v>
      </c>
    </row>
    <row r="185" customFormat="false" ht="15" hidden="false" customHeight="false" outlineLevel="0" collapsed="false">
      <c r="A185" s="28" t="s">
        <v>180</v>
      </c>
      <c r="B185" s="28" t="s">
        <v>980</v>
      </c>
      <c r="C185" s="28" t="s">
        <v>469</v>
      </c>
      <c r="D185" s="23" t="n">
        <v>734544.639</v>
      </c>
      <c r="E185" s="23" t="n">
        <v>733335.073898464</v>
      </c>
      <c r="F185" s="31" t="n">
        <v>0.7337</v>
      </c>
      <c r="G185" s="28" t="s">
        <v>981</v>
      </c>
      <c r="H185" s="31" t="n">
        <v>1.4499</v>
      </c>
      <c r="I185" s="28" t="s">
        <v>941</v>
      </c>
    </row>
    <row r="186" customFormat="false" ht="15" hidden="false" customHeight="false" outlineLevel="0" collapsed="false">
      <c r="A186" s="28" t="s">
        <v>180</v>
      </c>
      <c r="B186" s="28" t="s">
        <v>982</v>
      </c>
      <c r="C186" s="28" t="s">
        <v>469</v>
      </c>
      <c r="D186" s="23" t="n">
        <v>860301.67</v>
      </c>
      <c r="E186" s="23" t="n">
        <v>859591.344075332</v>
      </c>
      <c r="F186" s="31" t="n">
        <v>0.7337</v>
      </c>
      <c r="G186" s="28" t="s">
        <v>981</v>
      </c>
      <c r="H186" s="31" t="n">
        <v>1.4501</v>
      </c>
      <c r="I186" s="28" t="s">
        <v>941</v>
      </c>
    </row>
    <row r="187" customFormat="false" ht="15" hidden="false" customHeight="false" outlineLevel="0" collapsed="false">
      <c r="A187" s="28" t="s">
        <v>180</v>
      </c>
      <c r="B187" s="28" t="s">
        <v>983</v>
      </c>
      <c r="C187" s="28" t="s">
        <v>469</v>
      </c>
      <c r="D187" s="23" t="n">
        <v>112032.5406</v>
      </c>
      <c r="E187" s="23" t="n">
        <v>111800.889815408</v>
      </c>
      <c r="F187" s="31" t="n">
        <v>1.3971</v>
      </c>
      <c r="G187" s="28" t="s">
        <v>981</v>
      </c>
      <c r="H187" s="31" t="n">
        <v>3.8276</v>
      </c>
      <c r="I187" s="28" t="s">
        <v>941</v>
      </c>
    </row>
    <row r="188" customFormat="false" ht="15" hidden="false" customHeight="false" outlineLevel="0" collapsed="false">
      <c r="A188" s="28" t="s">
        <v>180</v>
      </c>
      <c r="B188" s="28" t="s">
        <v>984</v>
      </c>
      <c r="C188" s="28" t="s">
        <v>469</v>
      </c>
      <c r="D188" s="23" t="n">
        <v>124418.196</v>
      </c>
      <c r="E188" s="23" t="n">
        <v>124418.196</v>
      </c>
      <c r="F188" s="31" t="n">
        <v>0</v>
      </c>
      <c r="G188" s="28" t="s">
        <v>984</v>
      </c>
      <c r="H188" s="31" t="n">
        <v>0</v>
      </c>
      <c r="I188" s="28" t="s">
        <v>941</v>
      </c>
    </row>
    <row r="189" customFormat="false" ht="15" hidden="false" customHeight="false" outlineLevel="0" collapsed="false">
      <c r="A189" s="28" t="s">
        <v>180</v>
      </c>
      <c r="B189" s="28" t="s">
        <v>985</v>
      </c>
      <c r="C189" s="28" t="s">
        <v>874</v>
      </c>
      <c r="D189" s="23" t="n">
        <v>0</v>
      </c>
      <c r="E189" s="23" t="n">
        <v>0</v>
      </c>
      <c r="G189" s="28" t="s">
        <v>986</v>
      </c>
      <c r="I189" s="28" t="s">
        <v>941</v>
      </c>
    </row>
    <row r="190" customFormat="false" ht="15" hidden="false" customHeight="false" outlineLevel="0" collapsed="false">
      <c r="A190" s="28" t="s">
        <v>182</v>
      </c>
      <c r="B190" s="28" t="s">
        <v>449</v>
      </c>
      <c r="C190" s="28" t="s">
        <v>447</v>
      </c>
      <c r="D190" s="23" t="n">
        <v>695254.49</v>
      </c>
      <c r="E190" s="23" t="n">
        <v>695254.49</v>
      </c>
      <c r="F190" s="31" t="n">
        <v>0</v>
      </c>
      <c r="G190" s="28" t="s">
        <v>940</v>
      </c>
      <c r="H190" s="31" t="n">
        <v>0</v>
      </c>
      <c r="I190" s="28" t="s">
        <v>941</v>
      </c>
    </row>
    <row r="191" customFormat="false" ht="15" hidden="false" customHeight="false" outlineLevel="0" collapsed="false">
      <c r="A191" s="28" t="s">
        <v>182</v>
      </c>
      <c r="B191" s="28" t="s">
        <v>942</v>
      </c>
      <c r="C191" s="28" t="s">
        <v>447</v>
      </c>
      <c r="D191" s="23" t="n">
        <v>150051.434903246</v>
      </c>
      <c r="E191" s="23" t="n">
        <v>147186.532423363</v>
      </c>
      <c r="F191" s="31" t="n">
        <v>1.9171</v>
      </c>
      <c r="G191" s="28" t="s">
        <v>943</v>
      </c>
      <c r="H191" s="31" t="n">
        <v>5.8073</v>
      </c>
      <c r="I191" s="28" t="s">
        <v>941</v>
      </c>
    </row>
    <row r="192" customFormat="false" ht="15" hidden="false" customHeight="false" outlineLevel="0" collapsed="false">
      <c r="A192" s="28" t="s">
        <v>182</v>
      </c>
      <c r="B192" s="28" t="s">
        <v>944</v>
      </c>
      <c r="C192" s="28" t="s">
        <v>447</v>
      </c>
      <c r="D192" s="23" t="n">
        <v>367549.241673984</v>
      </c>
      <c r="E192" s="23" t="n">
        <v>357403.570528314</v>
      </c>
      <c r="F192" s="31" t="n">
        <v>2.7824</v>
      </c>
      <c r="G192" s="28" t="s">
        <v>943</v>
      </c>
      <c r="H192" s="31" t="n">
        <v>11.132</v>
      </c>
      <c r="I192" s="28" t="s">
        <v>941</v>
      </c>
    </row>
    <row r="193" customFormat="false" ht="15" hidden="false" customHeight="false" outlineLevel="0" collapsed="false">
      <c r="A193" s="28" t="s">
        <v>182</v>
      </c>
      <c r="B193" s="28" t="s">
        <v>945</v>
      </c>
      <c r="C193" s="28" t="s">
        <v>447</v>
      </c>
      <c r="D193" s="23" t="n">
        <v>548633.753403125</v>
      </c>
      <c r="E193" s="23" t="n">
        <v>510862.028197535</v>
      </c>
      <c r="F193" s="31" t="n">
        <v>6.9573</v>
      </c>
      <c r="G193" s="28" t="s">
        <v>943</v>
      </c>
      <c r="H193" s="31" t="n">
        <v>83.8957</v>
      </c>
      <c r="I193" s="28" t="s">
        <v>941</v>
      </c>
    </row>
    <row r="194" customFormat="false" ht="15" hidden="false" customHeight="false" outlineLevel="0" collapsed="false">
      <c r="A194" s="28" t="s">
        <v>182</v>
      </c>
      <c r="B194" s="28" t="s">
        <v>946</v>
      </c>
      <c r="C194" s="28" t="s">
        <v>447</v>
      </c>
      <c r="D194" s="23" t="n">
        <v>305274.71975975</v>
      </c>
      <c r="E194" s="23" t="n">
        <v>286007.9257659</v>
      </c>
      <c r="F194" s="31" t="n">
        <v>6.7527</v>
      </c>
      <c r="G194" s="28" t="s">
        <v>943</v>
      </c>
      <c r="H194" s="31" t="n">
        <v>-3.0677</v>
      </c>
      <c r="I194" s="28" t="s">
        <v>941</v>
      </c>
    </row>
    <row r="195" customFormat="false" ht="15" hidden="false" customHeight="false" outlineLevel="0" collapsed="false">
      <c r="A195" s="28" t="s">
        <v>182</v>
      </c>
      <c r="B195" s="28" t="s">
        <v>947</v>
      </c>
      <c r="C195" s="28" t="s">
        <v>447</v>
      </c>
      <c r="D195" s="23" t="n">
        <v>352414.480607701</v>
      </c>
      <c r="E195" s="23" t="n">
        <v>335550.204535163</v>
      </c>
      <c r="F195" s="31" t="n">
        <v>4.8232</v>
      </c>
      <c r="G195" s="28" t="s">
        <v>943</v>
      </c>
      <c r="H195" s="31" t="n">
        <v>39.4718</v>
      </c>
      <c r="I195" s="28" t="s">
        <v>941</v>
      </c>
    </row>
    <row r="196" customFormat="false" ht="15" hidden="false" customHeight="false" outlineLevel="0" collapsed="false">
      <c r="A196" s="28" t="s">
        <v>182</v>
      </c>
      <c r="B196" s="28" t="s">
        <v>948</v>
      </c>
      <c r="C196" s="28" t="s">
        <v>447</v>
      </c>
      <c r="D196" s="23" t="n">
        <v>136497.166545512</v>
      </c>
      <c r="E196" s="23" t="n">
        <v>128065.019315842</v>
      </c>
      <c r="F196" s="31" t="n">
        <v>6.3425</v>
      </c>
      <c r="G196" s="28" t="s">
        <v>943</v>
      </c>
      <c r="H196" s="31" t="n">
        <v>47.3589</v>
      </c>
      <c r="I196" s="28" t="s">
        <v>941</v>
      </c>
    </row>
    <row r="197" customFormat="false" ht="15" hidden="false" customHeight="false" outlineLevel="0" collapsed="false">
      <c r="A197" s="28" t="s">
        <v>182</v>
      </c>
      <c r="B197" s="28" t="s">
        <v>949</v>
      </c>
      <c r="C197" s="28" t="s">
        <v>447</v>
      </c>
      <c r="D197" s="23" t="n">
        <v>97853.5160956092</v>
      </c>
      <c r="E197" s="23" t="n">
        <v>97967.2768397791</v>
      </c>
      <c r="F197" s="31" t="n">
        <v>-0.1224</v>
      </c>
      <c r="G197" s="28" t="s">
        <v>943</v>
      </c>
      <c r="H197" s="31" t="n">
        <v>1.22</v>
      </c>
      <c r="I197" s="28" t="s">
        <v>941</v>
      </c>
    </row>
    <row r="198" customFormat="false" ht="15" hidden="false" customHeight="false" outlineLevel="0" collapsed="false">
      <c r="A198" s="28" t="s">
        <v>182</v>
      </c>
      <c r="B198" s="28" t="s">
        <v>950</v>
      </c>
      <c r="C198" s="28" t="s">
        <v>447</v>
      </c>
      <c r="D198" s="23" t="n">
        <v>700000</v>
      </c>
      <c r="E198" s="23" t="n">
        <v>555072.979413683</v>
      </c>
      <c r="F198" s="31" t="n">
        <v>5.3932</v>
      </c>
      <c r="G198" s="28" t="s">
        <v>943</v>
      </c>
      <c r="H198" s="31" t="n">
        <v>48.9862</v>
      </c>
      <c r="I198" s="28" t="s">
        <v>941</v>
      </c>
    </row>
    <row r="199" customFormat="false" ht="15" hidden="false" customHeight="false" outlineLevel="0" collapsed="false">
      <c r="A199" s="28" t="s">
        <v>182</v>
      </c>
      <c r="B199" s="28" t="s">
        <v>951</v>
      </c>
      <c r="C199" s="28" t="s">
        <v>447</v>
      </c>
      <c r="D199" s="23" t="n">
        <v>300000</v>
      </c>
      <c r="E199" s="23" t="n">
        <v>266641.973158424</v>
      </c>
      <c r="F199" s="31" t="n">
        <v>3.6853</v>
      </c>
      <c r="G199" s="28" t="s">
        <v>943</v>
      </c>
      <c r="H199" s="31" t="n">
        <v>16.4028</v>
      </c>
      <c r="I199" s="28" t="s">
        <v>941</v>
      </c>
    </row>
    <row r="200" customFormat="false" ht="15" hidden="false" customHeight="false" outlineLevel="0" collapsed="false">
      <c r="A200" s="28" t="s">
        <v>182</v>
      </c>
      <c r="B200" s="28" t="s">
        <v>952</v>
      </c>
      <c r="C200" s="28" t="s">
        <v>447</v>
      </c>
      <c r="D200" s="23" t="n">
        <v>200000</v>
      </c>
      <c r="E200" s="23" t="n">
        <v>157654.557871109</v>
      </c>
      <c r="F200" s="31" t="n">
        <v>6.965</v>
      </c>
      <c r="G200" s="28" t="s">
        <v>943</v>
      </c>
      <c r="H200" s="31" t="n">
        <v>57.5305</v>
      </c>
      <c r="I200" s="28" t="s">
        <v>941</v>
      </c>
    </row>
    <row r="201" customFormat="false" ht="15" hidden="false" customHeight="false" outlineLevel="0" collapsed="false">
      <c r="A201" s="28" t="s">
        <v>182</v>
      </c>
      <c r="B201" s="28" t="s">
        <v>953</v>
      </c>
      <c r="C201" s="28" t="s">
        <v>447</v>
      </c>
      <c r="D201" s="23" t="n">
        <v>148403.71</v>
      </c>
      <c r="E201" s="23" t="n">
        <v>146111.013466412</v>
      </c>
      <c r="F201" s="31" t="n">
        <v>2.7375</v>
      </c>
      <c r="G201" s="28" t="s">
        <v>943</v>
      </c>
      <c r="H201" s="31" t="n">
        <v>9.1593</v>
      </c>
      <c r="I201" s="28" t="s">
        <v>941</v>
      </c>
    </row>
    <row r="202" customFormat="false" ht="15" hidden="false" customHeight="false" outlineLevel="0" collapsed="false">
      <c r="A202" s="28" t="s">
        <v>182</v>
      </c>
      <c r="B202" s="28" t="s">
        <v>954</v>
      </c>
      <c r="C202" s="28" t="s">
        <v>447</v>
      </c>
      <c r="D202" s="23" t="n">
        <v>24721.732</v>
      </c>
      <c r="E202" s="23" t="n">
        <v>24721.732</v>
      </c>
      <c r="F202" s="31" t="n">
        <v>0</v>
      </c>
      <c r="G202" s="28" t="s">
        <v>943</v>
      </c>
      <c r="H202" s="31" t="n">
        <v>0</v>
      </c>
      <c r="I202" s="28" t="s">
        <v>941</v>
      </c>
    </row>
    <row r="203" customFormat="false" ht="15" hidden="false" customHeight="false" outlineLevel="0" collapsed="false">
      <c r="A203" s="28" t="s">
        <v>182</v>
      </c>
      <c r="B203" s="28" t="s">
        <v>457</v>
      </c>
      <c r="C203" s="28" t="s">
        <v>447</v>
      </c>
      <c r="D203" s="23" t="n">
        <v>17250</v>
      </c>
      <c r="E203" s="23" t="n">
        <v>17250</v>
      </c>
      <c r="F203" s="31" t="n">
        <v>0</v>
      </c>
      <c r="G203" s="28" t="s">
        <v>955</v>
      </c>
      <c r="H203" s="31" t="n">
        <v>0</v>
      </c>
      <c r="I203" s="28" t="s">
        <v>941</v>
      </c>
    </row>
    <row r="204" customFormat="false" ht="15" hidden="false" customHeight="false" outlineLevel="0" collapsed="false">
      <c r="A204" s="28" t="s">
        <v>182</v>
      </c>
      <c r="B204" s="28" t="s">
        <v>956</v>
      </c>
      <c r="C204" s="28" t="s">
        <v>447</v>
      </c>
      <c r="D204" s="23" t="n">
        <v>1515773.50272</v>
      </c>
      <c r="E204" s="23" t="n">
        <v>1516625.33596497</v>
      </c>
      <c r="F204" s="31" t="n">
        <v>-0.0612</v>
      </c>
      <c r="G204" s="28" t="s">
        <v>957</v>
      </c>
      <c r="H204" s="31" t="n">
        <v>0.9817</v>
      </c>
      <c r="I204" s="28" t="s">
        <v>941</v>
      </c>
    </row>
    <row r="205" customFormat="false" ht="15" hidden="false" customHeight="false" outlineLevel="0" collapsed="false">
      <c r="A205" s="28" t="s">
        <v>182</v>
      </c>
      <c r="B205" s="28" t="s">
        <v>958</v>
      </c>
      <c r="C205" s="28" t="s">
        <v>447</v>
      </c>
      <c r="D205" s="23" t="n">
        <v>589467.47328</v>
      </c>
      <c r="E205" s="23" t="n">
        <v>550098.715037682</v>
      </c>
      <c r="F205" s="31" t="n">
        <v>4.4526</v>
      </c>
      <c r="G205" s="28" t="s">
        <v>957</v>
      </c>
      <c r="H205" s="31" t="n">
        <v>-15.3967</v>
      </c>
      <c r="I205" s="28" t="s">
        <v>941</v>
      </c>
    </row>
    <row r="206" customFormat="false" ht="15" hidden="false" customHeight="false" outlineLevel="0" collapsed="false">
      <c r="A206" s="28" t="s">
        <v>182</v>
      </c>
      <c r="B206" s="28" t="s">
        <v>959</v>
      </c>
      <c r="C206" s="28" t="s">
        <v>447</v>
      </c>
      <c r="D206" s="23" t="n">
        <v>1104190.947</v>
      </c>
      <c r="E206" s="23" t="n">
        <v>1075041.97220078</v>
      </c>
      <c r="F206" s="31" t="n">
        <v>1.7959</v>
      </c>
      <c r="G206" s="28" t="s">
        <v>957</v>
      </c>
      <c r="H206" s="31" t="n">
        <v>-5.237</v>
      </c>
      <c r="I206" s="28" t="s">
        <v>941</v>
      </c>
    </row>
    <row r="207" customFormat="false" ht="15" hidden="false" customHeight="false" outlineLevel="0" collapsed="false">
      <c r="A207" s="28" t="s">
        <v>182</v>
      </c>
      <c r="B207" s="28" t="s">
        <v>960</v>
      </c>
      <c r="C207" s="28" t="s">
        <v>447</v>
      </c>
      <c r="D207" s="23" t="n">
        <v>476328.947</v>
      </c>
      <c r="E207" s="23" t="n">
        <v>461204.283427537</v>
      </c>
      <c r="F207" s="31" t="n">
        <v>1.9299</v>
      </c>
      <c r="G207" s="28" t="s">
        <v>957</v>
      </c>
      <c r="H207" s="31" t="n">
        <v>-5.657</v>
      </c>
      <c r="I207" s="28" t="s">
        <v>941</v>
      </c>
    </row>
    <row r="208" customFormat="false" ht="15" hidden="false" customHeight="false" outlineLevel="0" collapsed="false">
      <c r="A208" s="28" t="s">
        <v>182</v>
      </c>
      <c r="B208" s="28" t="s">
        <v>961</v>
      </c>
      <c r="C208" s="28" t="s">
        <v>447</v>
      </c>
      <c r="D208" s="23" t="n">
        <v>374430.3036</v>
      </c>
      <c r="E208" s="23" t="n">
        <v>297280.764068319</v>
      </c>
      <c r="F208" s="31" t="n">
        <v>6.754</v>
      </c>
      <c r="G208" s="28" t="s">
        <v>957</v>
      </c>
      <c r="H208" s="31" t="n">
        <v>79.8882</v>
      </c>
      <c r="I208" s="28" t="s">
        <v>941</v>
      </c>
    </row>
    <row r="209" customFormat="false" ht="15" hidden="false" customHeight="false" outlineLevel="0" collapsed="false">
      <c r="A209" s="28" t="s">
        <v>182</v>
      </c>
      <c r="B209" s="28" t="s">
        <v>962</v>
      </c>
      <c r="C209" s="28" t="s">
        <v>447</v>
      </c>
      <c r="D209" s="23" t="n">
        <v>249620.2024</v>
      </c>
      <c r="E209" s="23" t="n">
        <v>249939.338561347</v>
      </c>
      <c r="F209" s="31" t="n">
        <v>1.9098</v>
      </c>
      <c r="G209" s="28" t="s">
        <v>957</v>
      </c>
      <c r="H209" s="31" t="n">
        <v>4.4553</v>
      </c>
      <c r="I209" s="28" t="s">
        <v>941</v>
      </c>
    </row>
    <row r="210" customFormat="false" ht="15" hidden="false" customHeight="false" outlineLevel="0" collapsed="false">
      <c r="A210" s="28" t="s">
        <v>182</v>
      </c>
      <c r="B210" s="28" t="s">
        <v>963</v>
      </c>
      <c r="C210" s="28" t="s">
        <v>447</v>
      </c>
      <c r="D210" s="23" t="n">
        <v>720674.90295</v>
      </c>
      <c r="E210" s="23" t="n">
        <v>704555.443857894</v>
      </c>
      <c r="F210" s="31" t="n">
        <v>1.9746</v>
      </c>
      <c r="G210" s="28" t="s">
        <v>957</v>
      </c>
      <c r="H210" s="31" t="n">
        <v>1.4388</v>
      </c>
      <c r="I210" s="28" t="s">
        <v>941</v>
      </c>
    </row>
    <row r="211" customFormat="false" ht="15" hidden="false" customHeight="false" outlineLevel="0" collapsed="false">
      <c r="A211" s="28" t="s">
        <v>182</v>
      </c>
      <c r="B211" s="28" t="s">
        <v>964</v>
      </c>
      <c r="C211" s="28" t="s">
        <v>447</v>
      </c>
      <c r="D211" s="23" t="n">
        <v>127177.92405</v>
      </c>
      <c r="E211" s="23" t="n">
        <v>127272.217958954</v>
      </c>
      <c r="F211" s="31" t="n">
        <v>-0.0805</v>
      </c>
      <c r="G211" s="28" t="s">
        <v>957</v>
      </c>
      <c r="H211" s="31" t="n">
        <v>1.2405</v>
      </c>
      <c r="I211" s="28" t="s">
        <v>941</v>
      </c>
    </row>
    <row r="212" customFormat="false" ht="15" hidden="false" customHeight="false" outlineLevel="0" collapsed="false">
      <c r="A212" s="28" t="s">
        <v>182</v>
      </c>
      <c r="B212" s="28" t="s">
        <v>965</v>
      </c>
      <c r="C212" s="28" t="s">
        <v>447</v>
      </c>
      <c r="D212" s="23" t="n">
        <v>20543.822</v>
      </c>
      <c r="E212" s="23" t="n">
        <v>20549.3892080107</v>
      </c>
      <c r="F212" s="31" t="n">
        <v>-0.0302</v>
      </c>
      <c r="G212" s="28" t="s">
        <v>957</v>
      </c>
      <c r="H212" s="31" t="n">
        <v>0.6255</v>
      </c>
      <c r="I212" s="28" t="s">
        <v>941</v>
      </c>
    </row>
    <row r="213" customFormat="false" ht="15" hidden="false" customHeight="false" outlineLevel="0" collapsed="false">
      <c r="A213" s="28" t="s">
        <v>182</v>
      </c>
      <c r="B213" s="28" t="s">
        <v>966</v>
      </c>
      <c r="C213" s="28" t="s">
        <v>447</v>
      </c>
      <c r="D213" s="23" t="n">
        <v>62649.693</v>
      </c>
      <c r="E213" s="23" t="n">
        <v>61451.202433751</v>
      </c>
      <c r="F213" s="31" t="n">
        <v>1.1036</v>
      </c>
      <c r="G213" s="28" t="s">
        <v>957</v>
      </c>
      <c r="H213" s="31" t="n">
        <v>2.3522</v>
      </c>
      <c r="I213" s="28" t="s">
        <v>941</v>
      </c>
    </row>
    <row r="214" customFormat="false" ht="15" hidden="false" customHeight="false" outlineLevel="0" collapsed="false">
      <c r="A214" s="28" t="s">
        <v>182</v>
      </c>
      <c r="B214" s="28" t="s">
        <v>967</v>
      </c>
      <c r="C214" s="28" t="s">
        <v>447</v>
      </c>
      <c r="D214" s="23" t="n">
        <v>41766.462</v>
      </c>
      <c r="E214" s="23" t="n">
        <v>41773.2108728051</v>
      </c>
      <c r="F214" s="31" t="n">
        <v>-0.0188</v>
      </c>
      <c r="G214" s="28" t="s">
        <v>957</v>
      </c>
      <c r="H214" s="31" t="n">
        <v>0.5229</v>
      </c>
      <c r="I214" s="28" t="s">
        <v>941</v>
      </c>
    </row>
    <row r="215" customFormat="false" ht="15" hidden="false" customHeight="false" outlineLevel="0" collapsed="false">
      <c r="A215" s="28" t="s">
        <v>182</v>
      </c>
      <c r="B215" s="28" t="s">
        <v>968</v>
      </c>
      <c r="C215" s="28" t="s">
        <v>447</v>
      </c>
      <c r="D215" s="23" t="n">
        <v>21376.155</v>
      </c>
      <c r="E215" s="23" t="n">
        <v>20716.4385751344</v>
      </c>
      <c r="F215" s="31" t="n">
        <v>1.9865</v>
      </c>
      <c r="G215" s="28" t="s">
        <v>957</v>
      </c>
      <c r="H215" s="31" t="n">
        <v>7.0901</v>
      </c>
      <c r="I215" s="28" t="s">
        <v>941</v>
      </c>
    </row>
    <row r="216" customFormat="false" ht="15" hidden="false" customHeight="false" outlineLevel="0" collapsed="false">
      <c r="A216" s="28" t="s">
        <v>182</v>
      </c>
      <c r="B216" s="28" t="s">
        <v>969</v>
      </c>
      <c r="C216" s="28" t="s">
        <v>447</v>
      </c>
      <c r="D216" s="23" t="n">
        <v>1397.217</v>
      </c>
      <c r="E216" s="23" t="n">
        <v>1297.71453028248</v>
      </c>
      <c r="F216" s="31" t="n">
        <v>2.8568</v>
      </c>
      <c r="G216" s="28" t="s">
        <v>957</v>
      </c>
      <c r="H216" s="31" t="n">
        <v>14.0761</v>
      </c>
      <c r="I216" s="28" t="s">
        <v>941</v>
      </c>
    </row>
    <row r="217" customFormat="false" ht="15" hidden="false" customHeight="false" outlineLevel="0" collapsed="false">
      <c r="A217" s="28" t="s">
        <v>182</v>
      </c>
      <c r="B217" s="28" t="s">
        <v>970</v>
      </c>
      <c r="C217" s="28" t="s">
        <v>447</v>
      </c>
      <c r="D217" s="23" t="n">
        <v>42.972</v>
      </c>
      <c r="E217" s="23" t="n">
        <v>39.7071164626379</v>
      </c>
      <c r="F217" s="31" t="n">
        <v>4.5259</v>
      </c>
      <c r="G217" s="28" t="s">
        <v>957</v>
      </c>
      <c r="H217" s="31" t="n">
        <v>36.7317</v>
      </c>
      <c r="I217" s="28" t="s">
        <v>941</v>
      </c>
    </row>
    <row r="218" customFormat="false" ht="15" hidden="false" customHeight="false" outlineLevel="0" collapsed="false">
      <c r="A218" s="28" t="s">
        <v>182</v>
      </c>
      <c r="B218" s="28" t="s">
        <v>459</v>
      </c>
      <c r="C218" s="28" t="s">
        <v>447</v>
      </c>
      <c r="D218" s="23" t="n">
        <v>1976.718</v>
      </c>
      <c r="E218" s="23" t="n">
        <v>1977.17898757256</v>
      </c>
      <c r="F218" s="31" t="n">
        <v>0.1649</v>
      </c>
      <c r="G218" s="28" t="s">
        <v>957</v>
      </c>
      <c r="H218" s="31" t="n">
        <v>0.054</v>
      </c>
      <c r="I218" s="28" t="s">
        <v>941</v>
      </c>
    </row>
    <row r="219" customFormat="false" ht="15" hidden="false" customHeight="false" outlineLevel="0" collapsed="false">
      <c r="A219" s="28" t="s">
        <v>182</v>
      </c>
      <c r="B219" s="28" t="s">
        <v>489</v>
      </c>
      <c r="C219" s="28" t="s">
        <v>447</v>
      </c>
      <c r="D219" s="23" t="n">
        <v>-47552</v>
      </c>
      <c r="E219" s="23" t="n">
        <v>-47552</v>
      </c>
      <c r="F219" s="31" t="n">
        <v>0</v>
      </c>
      <c r="G219" s="28" t="s">
        <v>957</v>
      </c>
      <c r="H219" s="31" t="n">
        <v>0</v>
      </c>
      <c r="I219" s="28" t="s">
        <v>941</v>
      </c>
    </row>
    <row r="220" customFormat="false" ht="15" hidden="false" customHeight="false" outlineLevel="0" collapsed="false">
      <c r="A220" s="28" t="s">
        <v>182</v>
      </c>
      <c r="B220" s="28" t="s">
        <v>466</v>
      </c>
      <c r="C220" s="28" t="s">
        <v>447</v>
      </c>
      <c r="D220" s="23" t="n">
        <v>6200</v>
      </c>
      <c r="E220" s="23" t="n">
        <v>6572</v>
      </c>
      <c r="F220" s="31" t="n">
        <v>-5.6604</v>
      </c>
      <c r="G220" s="28" t="s">
        <v>955</v>
      </c>
      <c r="H220" s="31" t="n">
        <v>0</v>
      </c>
      <c r="I220" s="28" t="s">
        <v>941</v>
      </c>
    </row>
    <row r="221" customFormat="false" ht="15" hidden="false" customHeight="false" outlineLevel="0" collapsed="false">
      <c r="A221" s="28" t="s">
        <v>182</v>
      </c>
      <c r="B221" s="28" t="s">
        <v>971</v>
      </c>
      <c r="C221" s="28" t="s">
        <v>447</v>
      </c>
      <c r="D221" s="23" t="n">
        <v>577875.54</v>
      </c>
      <c r="E221" s="23" t="n">
        <v>577875.54</v>
      </c>
      <c r="F221" s="31" t="n">
        <v>0</v>
      </c>
      <c r="G221" s="28" t="s">
        <v>955</v>
      </c>
      <c r="H221" s="31" t="n">
        <v>0</v>
      </c>
      <c r="I221" s="28" t="s">
        <v>941</v>
      </c>
    </row>
    <row r="222" customFormat="false" ht="15" hidden="false" customHeight="false" outlineLevel="0" collapsed="false">
      <c r="A222" s="28" t="s">
        <v>182</v>
      </c>
      <c r="B222" s="28" t="s">
        <v>972</v>
      </c>
      <c r="C222" s="28" t="s">
        <v>469</v>
      </c>
      <c r="D222" s="23" t="n">
        <v>1551679.623</v>
      </c>
      <c r="E222" s="23" t="n">
        <v>1184077.36092379</v>
      </c>
      <c r="F222" s="31" t="n">
        <v>4.5639</v>
      </c>
      <c r="G222" s="28" t="s">
        <v>973</v>
      </c>
      <c r="H222" s="31" t="n">
        <v>44.2561</v>
      </c>
      <c r="I222" s="28" t="s">
        <v>941</v>
      </c>
    </row>
    <row r="223" customFormat="false" ht="15" hidden="false" customHeight="false" outlineLevel="0" collapsed="false">
      <c r="A223" s="28" t="s">
        <v>182</v>
      </c>
      <c r="B223" s="28" t="s">
        <v>974</v>
      </c>
      <c r="C223" s="28" t="s">
        <v>469</v>
      </c>
      <c r="D223" s="23" t="n">
        <v>330000</v>
      </c>
      <c r="E223" s="23" t="n">
        <v>273082.104149573</v>
      </c>
      <c r="F223" s="31" t="n">
        <v>3.0754</v>
      </c>
      <c r="G223" s="28" t="s">
        <v>973</v>
      </c>
      <c r="H223" s="31" t="n">
        <v>22.8748</v>
      </c>
      <c r="I223" s="28" t="s">
        <v>941</v>
      </c>
    </row>
    <row r="224" customFormat="false" ht="15" hidden="false" customHeight="false" outlineLevel="0" collapsed="false">
      <c r="A224" s="28" t="s">
        <v>182</v>
      </c>
      <c r="B224" s="28" t="s">
        <v>975</v>
      </c>
      <c r="C224" s="28" t="s">
        <v>469</v>
      </c>
      <c r="D224" s="23" t="n">
        <v>1462571.75</v>
      </c>
      <c r="E224" s="23" t="n">
        <v>1103285.89950021</v>
      </c>
      <c r="F224" s="31" t="n">
        <v>4.383</v>
      </c>
      <c r="G224" s="28" t="s">
        <v>973</v>
      </c>
      <c r="H224" s="31" t="n">
        <v>42.4965</v>
      </c>
      <c r="I224" s="28" t="s">
        <v>941</v>
      </c>
    </row>
    <row r="225" customFormat="false" ht="15" hidden="false" customHeight="false" outlineLevel="0" collapsed="false">
      <c r="A225" s="28" t="s">
        <v>182</v>
      </c>
      <c r="B225" s="28" t="s">
        <v>976</v>
      </c>
      <c r="C225" s="28" t="s">
        <v>469</v>
      </c>
      <c r="D225" s="23" t="n">
        <v>50000</v>
      </c>
      <c r="E225" s="23" t="n">
        <v>40886.2617812231</v>
      </c>
      <c r="F225" s="31" t="n">
        <v>3.1668</v>
      </c>
      <c r="G225" s="28" t="s">
        <v>973</v>
      </c>
      <c r="H225" s="31" t="n">
        <v>23.4619</v>
      </c>
      <c r="I225" s="28" t="s">
        <v>941</v>
      </c>
    </row>
    <row r="226" customFormat="false" ht="15" hidden="false" customHeight="false" outlineLevel="0" collapsed="false">
      <c r="A226" s="28" t="s">
        <v>182</v>
      </c>
      <c r="B226" s="28" t="s">
        <v>601</v>
      </c>
      <c r="C226" s="28" t="s">
        <v>469</v>
      </c>
      <c r="D226" s="23" t="n">
        <v>1000000</v>
      </c>
      <c r="E226" s="23" t="n">
        <v>830879.060068925</v>
      </c>
      <c r="F226" s="31" t="n">
        <v>2.8909</v>
      </c>
      <c r="G226" s="28" t="s">
        <v>973</v>
      </c>
      <c r="H226" s="31" t="n">
        <v>21.3811</v>
      </c>
      <c r="I226" s="28" t="s">
        <v>941</v>
      </c>
    </row>
    <row r="227" customFormat="false" ht="15" hidden="false" customHeight="false" outlineLevel="0" collapsed="false">
      <c r="A227" s="28" t="s">
        <v>182</v>
      </c>
      <c r="B227" s="28" t="s">
        <v>603</v>
      </c>
      <c r="C227" s="28" t="s">
        <v>469</v>
      </c>
      <c r="D227" s="23" t="n">
        <v>1100000</v>
      </c>
      <c r="E227" s="23" t="n">
        <v>987384.329029071</v>
      </c>
      <c r="F227" s="31" t="n">
        <v>1.5968</v>
      </c>
      <c r="G227" s="28" t="s">
        <v>973</v>
      </c>
      <c r="H227" s="31" t="n">
        <v>10.0501</v>
      </c>
      <c r="I227" s="28" t="s">
        <v>941</v>
      </c>
    </row>
    <row r="228" customFormat="false" ht="15" hidden="false" customHeight="false" outlineLevel="0" collapsed="false">
      <c r="A228" s="28" t="s">
        <v>182</v>
      </c>
      <c r="B228" s="28" t="s">
        <v>605</v>
      </c>
      <c r="C228" s="28" t="s">
        <v>469</v>
      </c>
      <c r="D228" s="23" t="n">
        <v>800000</v>
      </c>
      <c r="E228" s="23" t="n">
        <v>750415.418043509</v>
      </c>
      <c r="F228" s="31" t="n">
        <v>0.96</v>
      </c>
      <c r="G228" s="28" t="s">
        <v>973</v>
      </c>
      <c r="H228" s="31" t="n">
        <v>5.5432</v>
      </c>
      <c r="I228" s="28" t="s">
        <v>941</v>
      </c>
    </row>
    <row r="229" customFormat="false" ht="15" hidden="false" customHeight="false" outlineLevel="0" collapsed="false">
      <c r="A229" s="28" t="s">
        <v>182</v>
      </c>
      <c r="B229" s="28" t="s">
        <v>977</v>
      </c>
      <c r="C229" s="28" t="s">
        <v>469</v>
      </c>
      <c r="D229" s="23" t="n">
        <v>765287.677</v>
      </c>
      <c r="E229" s="23" t="n">
        <v>741068.704030022</v>
      </c>
      <c r="F229" s="31" t="n">
        <v>0.4603</v>
      </c>
      <c r="G229" s="28" t="s">
        <v>973</v>
      </c>
      <c r="H229" s="31" t="n">
        <v>2.3169</v>
      </c>
      <c r="I229" s="28" t="s">
        <v>941</v>
      </c>
    </row>
    <row r="230" customFormat="false" ht="15" hidden="false" customHeight="false" outlineLevel="0" collapsed="false">
      <c r="A230" s="28" t="s">
        <v>182</v>
      </c>
      <c r="B230" s="28" t="s">
        <v>978</v>
      </c>
      <c r="C230" s="28" t="s">
        <v>469</v>
      </c>
      <c r="D230" s="23" t="n">
        <v>74688.3604</v>
      </c>
      <c r="E230" s="23" t="n">
        <v>55813.066270922</v>
      </c>
      <c r="F230" s="31" t="n">
        <v>4.3468</v>
      </c>
      <c r="G230" s="28" t="s">
        <v>973</v>
      </c>
      <c r="H230" s="31" t="n">
        <v>52.9053</v>
      </c>
      <c r="I230" s="28" t="s">
        <v>941</v>
      </c>
    </row>
    <row r="231" customFormat="false" ht="15" hidden="false" customHeight="false" outlineLevel="0" collapsed="false">
      <c r="A231" s="28" t="s">
        <v>182</v>
      </c>
      <c r="B231" s="28" t="s">
        <v>979</v>
      </c>
      <c r="C231" s="28" t="s">
        <v>469</v>
      </c>
      <c r="D231" s="23" t="n">
        <v>14494.065</v>
      </c>
      <c r="E231" s="23" t="n">
        <v>12543.6542203211</v>
      </c>
      <c r="F231" s="31" t="n">
        <v>2.5494</v>
      </c>
      <c r="G231" s="28" t="s">
        <v>973</v>
      </c>
      <c r="H231" s="31" t="n">
        <v>15.6178</v>
      </c>
      <c r="I231" s="28" t="s">
        <v>941</v>
      </c>
    </row>
    <row r="232" customFormat="false" ht="15" hidden="false" customHeight="false" outlineLevel="0" collapsed="false">
      <c r="A232" s="28" t="s">
        <v>182</v>
      </c>
      <c r="B232" s="28" t="s">
        <v>980</v>
      </c>
      <c r="C232" s="28" t="s">
        <v>469</v>
      </c>
      <c r="D232" s="23" t="n">
        <v>734544.639</v>
      </c>
      <c r="E232" s="23" t="n">
        <v>728007.55081417</v>
      </c>
      <c r="F232" s="31" t="n">
        <v>0.7247</v>
      </c>
      <c r="G232" s="28" t="s">
        <v>981</v>
      </c>
      <c r="H232" s="31" t="n">
        <v>1.4141</v>
      </c>
      <c r="I232" s="28" t="s">
        <v>941</v>
      </c>
    </row>
    <row r="233" customFormat="false" ht="15" hidden="false" customHeight="false" outlineLevel="0" collapsed="false">
      <c r="A233" s="28" t="s">
        <v>182</v>
      </c>
      <c r="B233" s="28" t="s">
        <v>982</v>
      </c>
      <c r="C233" s="28" t="s">
        <v>469</v>
      </c>
      <c r="D233" s="23" t="n">
        <v>860301.67</v>
      </c>
      <c r="E233" s="23" t="n">
        <v>853346.129221315</v>
      </c>
      <c r="F233" s="31" t="n">
        <v>0.7247</v>
      </c>
      <c r="G233" s="28" t="s">
        <v>981</v>
      </c>
      <c r="H233" s="31" t="n">
        <v>1.4143</v>
      </c>
      <c r="I233" s="28" t="s">
        <v>941</v>
      </c>
    </row>
    <row r="234" customFormat="false" ht="15" hidden="false" customHeight="false" outlineLevel="0" collapsed="false">
      <c r="A234" s="28" t="s">
        <v>182</v>
      </c>
      <c r="B234" s="28" t="s">
        <v>983</v>
      </c>
      <c r="C234" s="28" t="s">
        <v>469</v>
      </c>
      <c r="D234" s="23" t="n">
        <v>112032.5406</v>
      </c>
      <c r="E234" s="23" t="n">
        <v>110260.143046863</v>
      </c>
      <c r="F234" s="31" t="n">
        <v>1.3785</v>
      </c>
      <c r="G234" s="28" t="s">
        <v>981</v>
      </c>
      <c r="H234" s="31" t="n">
        <v>3.7371</v>
      </c>
      <c r="I234" s="28" t="s">
        <v>941</v>
      </c>
    </row>
    <row r="235" customFormat="false" ht="15" hidden="false" customHeight="false" outlineLevel="0" collapsed="false">
      <c r="A235" s="28" t="s">
        <v>182</v>
      </c>
      <c r="B235" s="28" t="s">
        <v>984</v>
      </c>
      <c r="C235" s="28" t="s">
        <v>469</v>
      </c>
      <c r="D235" s="23" t="n">
        <v>124418.196</v>
      </c>
      <c r="E235" s="23" t="n">
        <v>124418.196</v>
      </c>
      <c r="F235" s="31" t="n">
        <v>0</v>
      </c>
      <c r="G235" s="28" t="s">
        <v>984</v>
      </c>
      <c r="H235" s="31" t="n">
        <v>0</v>
      </c>
      <c r="I235" s="28" t="s">
        <v>941</v>
      </c>
    </row>
    <row r="236" customFormat="false" ht="15" hidden="false" customHeight="false" outlineLevel="0" collapsed="false">
      <c r="A236" s="28" t="s">
        <v>182</v>
      </c>
      <c r="B236" s="28" t="s">
        <v>985</v>
      </c>
      <c r="C236" s="28" t="s">
        <v>874</v>
      </c>
      <c r="D236" s="23" t="n">
        <v>0</v>
      </c>
      <c r="E236" s="23" t="n">
        <v>-1440</v>
      </c>
      <c r="G236" s="28" t="s">
        <v>986</v>
      </c>
      <c r="I236" s="28" t="s">
        <v>941</v>
      </c>
    </row>
    <row r="237" customFormat="false" ht="15" hidden="false" customHeight="false" outlineLevel="0" collapsed="false">
      <c r="A237" s="28" t="s">
        <v>184</v>
      </c>
      <c r="B237" s="28" t="s">
        <v>449</v>
      </c>
      <c r="C237" s="28" t="s">
        <v>447</v>
      </c>
      <c r="D237" s="23" t="n">
        <v>695254.49</v>
      </c>
      <c r="E237" s="23" t="n">
        <v>695254.49</v>
      </c>
      <c r="F237" s="31" t="n">
        <v>0</v>
      </c>
      <c r="G237" s="28" t="s">
        <v>940</v>
      </c>
      <c r="H237" s="31" t="n">
        <v>0</v>
      </c>
      <c r="I237" s="28" t="s">
        <v>941</v>
      </c>
    </row>
    <row r="238" customFormat="false" ht="15" hidden="false" customHeight="false" outlineLevel="0" collapsed="false">
      <c r="A238" s="28" t="s">
        <v>184</v>
      </c>
      <c r="B238" s="28" t="s">
        <v>942</v>
      </c>
      <c r="C238" s="28" t="s">
        <v>447</v>
      </c>
      <c r="D238" s="23" t="n">
        <v>150051.434903246</v>
      </c>
      <c r="E238" s="23" t="n">
        <v>144407.114105838</v>
      </c>
      <c r="F238" s="31" t="n">
        <v>1.896</v>
      </c>
      <c r="G238" s="28" t="s">
        <v>943</v>
      </c>
      <c r="H238" s="31" t="n">
        <v>5.697</v>
      </c>
      <c r="I238" s="28" t="s">
        <v>941</v>
      </c>
    </row>
    <row r="239" customFormat="false" ht="15" hidden="false" customHeight="false" outlineLevel="0" collapsed="false">
      <c r="A239" s="28" t="s">
        <v>184</v>
      </c>
      <c r="B239" s="28" t="s">
        <v>944</v>
      </c>
      <c r="C239" s="28" t="s">
        <v>447</v>
      </c>
      <c r="D239" s="23" t="n">
        <v>367549.241673984</v>
      </c>
      <c r="E239" s="23" t="n">
        <v>347655.830628248</v>
      </c>
      <c r="F239" s="31" t="n">
        <v>2.7487</v>
      </c>
      <c r="G239" s="28" t="s">
        <v>943</v>
      </c>
      <c r="H239" s="31" t="n">
        <v>10.8947</v>
      </c>
      <c r="I239" s="28" t="s">
        <v>941</v>
      </c>
    </row>
    <row r="240" customFormat="false" ht="15" hidden="false" customHeight="false" outlineLevel="0" collapsed="false">
      <c r="A240" s="28" t="s">
        <v>184</v>
      </c>
      <c r="B240" s="28" t="s">
        <v>945</v>
      </c>
      <c r="C240" s="28" t="s">
        <v>447</v>
      </c>
      <c r="D240" s="23" t="n">
        <v>548633.753403125</v>
      </c>
      <c r="E240" s="23" t="n">
        <v>477383.597110138</v>
      </c>
      <c r="F240" s="31" t="n">
        <v>6.6123</v>
      </c>
      <c r="G240" s="28" t="s">
        <v>943</v>
      </c>
      <c r="H240" s="31" t="n">
        <v>77.0759</v>
      </c>
      <c r="I240" s="28" t="s">
        <v>941</v>
      </c>
    </row>
    <row r="241" customFormat="false" ht="15" hidden="false" customHeight="false" outlineLevel="0" collapsed="false">
      <c r="A241" s="28" t="s">
        <v>184</v>
      </c>
      <c r="B241" s="28" t="s">
        <v>946</v>
      </c>
      <c r="C241" s="28" t="s">
        <v>447</v>
      </c>
      <c r="D241" s="23" t="n">
        <v>305274.71975975</v>
      </c>
      <c r="E241" s="23" t="n">
        <v>266653.382977733</v>
      </c>
      <c r="F241" s="31" t="n">
        <v>7.2257</v>
      </c>
      <c r="G241" s="28" t="s">
        <v>943</v>
      </c>
      <c r="H241" s="31" t="n">
        <v>15.9621</v>
      </c>
      <c r="I241" s="28" t="s">
        <v>941</v>
      </c>
    </row>
    <row r="242" customFormat="false" ht="15" hidden="false" customHeight="false" outlineLevel="0" collapsed="false">
      <c r="A242" s="28" t="s">
        <v>184</v>
      </c>
      <c r="B242" s="28" t="s">
        <v>947</v>
      </c>
      <c r="C242" s="28" t="s">
        <v>447</v>
      </c>
      <c r="D242" s="23" t="n">
        <v>352414.480607701</v>
      </c>
      <c r="E242" s="23" t="n">
        <v>320011.425977099</v>
      </c>
      <c r="F242" s="31" t="n">
        <v>4.664</v>
      </c>
      <c r="G242" s="28" t="s">
        <v>943</v>
      </c>
      <c r="H242" s="31" t="n">
        <v>37.3522</v>
      </c>
      <c r="I242" s="28" t="s">
        <v>941</v>
      </c>
    </row>
    <row r="243" customFormat="false" ht="15" hidden="false" customHeight="false" outlineLevel="0" collapsed="false">
      <c r="A243" s="28" t="s">
        <v>184</v>
      </c>
      <c r="B243" s="28" t="s">
        <v>948</v>
      </c>
      <c r="C243" s="28" t="s">
        <v>447</v>
      </c>
      <c r="D243" s="23" t="n">
        <v>136497.166545512</v>
      </c>
      <c r="E243" s="23" t="n">
        <v>120239.657864888</v>
      </c>
      <c r="F243" s="31" t="n">
        <v>6.2711</v>
      </c>
      <c r="G243" s="28" t="s">
        <v>943</v>
      </c>
      <c r="H243" s="31" t="n">
        <v>46.4379</v>
      </c>
      <c r="I243" s="28" t="s">
        <v>941</v>
      </c>
    </row>
    <row r="244" customFormat="false" ht="15" hidden="false" customHeight="false" outlineLevel="0" collapsed="false">
      <c r="A244" s="28" t="s">
        <v>184</v>
      </c>
      <c r="B244" s="28" t="s">
        <v>949</v>
      </c>
      <c r="C244" s="28" t="s">
        <v>447</v>
      </c>
      <c r="D244" s="23" t="n">
        <v>97853.5160956092</v>
      </c>
      <c r="E244" s="23" t="n">
        <v>98092.9921361501</v>
      </c>
      <c r="F244" s="31" t="n">
        <v>-0.1338</v>
      </c>
      <c r="G244" s="28" t="s">
        <v>943</v>
      </c>
      <c r="H244" s="31" t="n">
        <v>1.1101</v>
      </c>
      <c r="I244" s="28" t="s">
        <v>941</v>
      </c>
    </row>
    <row r="245" customFormat="false" ht="15" hidden="false" customHeight="false" outlineLevel="0" collapsed="false">
      <c r="A245" s="28" t="s">
        <v>184</v>
      </c>
      <c r="B245" s="28" t="s">
        <v>950</v>
      </c>
      <c r="C245" s="28" t="s">
        <v>447</v>
      </c>
      <c r="D245" s="23" t="n">
        <v>700000</v>
      </c>
      <c r="E245" s="23" t="n">
        <v>526458.506873417</v>
      </c>
      <c r="F245" s="31" t="n">
        <v>5.198</v>
      </c>
      <c r="G245" s="28" t="s">
        <v>943</v>
      </c>
      <c r="H245" s="31" t="n">
        <v>46.113</v>
      </c>
      <c r="I245" s="28" t="s">
        <v>941</v>
      </c>
    </row>
    <row r="246" customFormat="false" ht="15" hidden="false" customHeight="false" outlineLevel="0" collapsed="false">
      <c r="A246" s="28" t="s">
        <v>184</v>
      </c>
      <c r="B246" s="28" t="s">
        <v>951</v>
      </c>
      <c r="C246" s="28" t="s">
        <v>447</v>
      </c>
      <c r="D246" s="23" t="n">
        <v>300000</v>
      </c>
      <c r="E246" s="23" t="n">
        <v>257031.258820502</v>
      </c>
      <c r="F246" s="31" t="n">
        <v>3.6572</v>
      </c>
      <c r="G246" s="28" t="s">
        <v>943</v>
      </c>
      <c r="H246" s="31" t="n">
        <v>16.1722</v>
      </c>
      <c r="I246" s="28" t="s">
        <v>941</v>
      </c>
    </row>
    <row r="247" customFormat="false" ht="15" hidden="false" customHeight="false" outlineLevel="0" collapsed="false">
      <c r="A247" s="28" t="s">
        <v>184</v>
      </c>
      <c r="B247" s="28" t="s">
        <v>952</v>
      </c>
      <c r="C247" s="28" t="s">
        <v>447</v>
      </c>
      <c r="D247" s="23" t="n">
        <v>200000</v>
      </c>
      <c r="E247" s="23" t="n">
        <v>147117.337751248</v>
      </c>
      <c r="F247" s="31" t="n">
        <v>6.8745</v>
      </c>
      <c r="G247" s="28" t="s">
        <v>943</v>
      </c>
      <c r="H247" s="31" t="n">
        <v>56.2914</v>
      </c>
      <c r="I247" s="28" t="s">
        <v>941</v>
      </c>
    </row>
    <row r="248" customFormat="false" ht="15" hidden="false" customHeight="false" outlineLevel="0" collapsed="false">
      <c r="A248" s="28" t="s">
        <v>184</v>
      </c>
      <c r="B248" s="28" t="s">
        <v>953</v>
      </c>
      <c r="C248" s="28" t="s">
        <v>447</v>
      </c>
      <c r="D248" s="23" t="n">
        <v>148403.71</v>
      </c>
      <c r="E248" s="23" t="n">
        <v>142177.537449184</v>
      </c>
      <c r="F248" s="31" t="n">
        <v>2.7209</v>
      </c>
      <c r="G248" s="28" t="s">
        <v>943</v>
      </c>
      <c r="H248" s="31" t="n">
        <v>9.0569</v>
      </c>
      <c r="I248" s="28" t="s">
        <v>941</v>
      </c>
    </row>
    <row r="249" customFormat="false" ht="15" hidden="false" customHeight="false" outlineLevel="0" collapsed="false">
      <c r="A249" s="28" t="s">
        <v>184</v>
      </c>
      <c r="B249" s="28" t="s">
        <v>954</v>
      </c>
      <c r="C249" s="28" t="s">
        <v>447</v>
      </c>
      <c r="D249" s="23" t="n">
        <v>24721.732</v>
      </c>
      <c r="E249" s="23" t="n">
        <v>24721.732</v>
      </c>
      <c r="F249" s="31" t="n">
        <v>0</v>
      </c>
      <c r="G249" s="28" t="s">
        <v>943</v>
      </c>
      <c r="H249" s="31" t="n">
        <v>0</v>
      </c>
      <c r="I249" s="28" t="s">
        <v>941</v>
      </c>
    </row>
    <row r="250" customFormat="false" ht="15" hidden="false" customHeight="false" outlineLevel="0" collapsed="false">
      <c r="A250" s="28" t="s">
        <v>184</v>
      </c>
      <c r="B250" s="28" t="s">
        <v>457</v>
      </c>
      <c r="C250" s="28" t="s">
        <v>447</v>
      </c>
      <c r="D250" s="23" t="n">
        <v>17250</v>
      </c>
      <c r="E250" s="23" t="n">
        <v>17250</v>
      </c>
      <c r="F250" s="31" t="n">
        <v>0</v>
      </c>
      <c r="G250" s="28" t="s">
        <v>955</v>
      </c>
      <c r="H250" s="31" t="n">
        <v>0</v>
      </c>
      <c r="I250" s="28" t="s">
        <v>941</v>
      </c>
    </row>
    <row r="251" customFormat="false" ht="15" hidden="false" customHeight="false" outlineLevel="0" collapsed="false">
      <c r="A251" s="28" t="s">
        <v>184</v>
      </c>
      <c r="B251" s="28" t="s">
        <v>956</v>
      </c>
      <c r="C251" s="28" t="s">
        <v>447</v>
      </c>
      <c r="D251" s="23" t="n">
        <v>1515773.50272</v>
      </c>
      <c r="E251" s="23" t="n">
        <v>1517626.0867602</v>
      </c>
      <c r="F251" s="31" t="n">
        <v>-0.0705</v>
      </c>
      <c r="G251" s="28" t="s">
        <v>957</v>
      </c>
      <c r="H251" s="31" t="n">
        <v>0.8981</v>
      </c>
      <c r="I251" s="28" t="s">
        <v>941</v>
      </c>
    </row>
    <row r="252" customFormat="false" ht="15" hidden="false" customHeight="false" outlineLevel="0" collapsed="false">
      <c r="A252" s="28" t="s">
        <v>184</v>
      </c>
      <c r="B252" s="28" t="s">
        <v>958</v>
      </c>
      <c r="C252" s="28" t="s">
        <v>447</v>
      </c>
      <c r="D252" s="23" t="n">
        <v>589467.47328</v>
      </c>
      <c r="E252" s="23" t="n">
        <v>525182.322112685</v>
      </c>
      <c r="F252" s="31" t="n">
        <v>4.5515</v>
      </c>
      <c r="G252" s="28" t="s">
        <v>957</v>
      </c>
      <c r="H252" s="31" t="n">
        <v>93.2035</v>
      </c>
      <c r="I252" s="28" t="s">
        <v>941</v>
      </c>
    </row>
    <row r="253" customFormat="false" ht="15" hidden="false" customHeight="false" outlineLevel="0" collapsed="false">
      <c r="A253" s="28" t="s">
        <v>184</v>
      </c>
      <c r="B253" s="28" t="s">
        <v>959</v>
      </c>
      <c r="C253" s="28" t="s">
        <v>447</v>
      </c>
      <c r="D253" s="23" t="n">
        <v>1104190.947</v>
      </c>
      <c r="E253" s="23" t="n">
        <v>1055455.80083714</v>
      </c>
      <c r="F253" s="31" t="n">
        <v>1.8057</v>
      </c>
      <c r="G253" s="28" t="s">
        <v>957</v>
      </c>
      <c r="H253" s="31" t="n">
        <v>25.2944</v>
      </c>
      <c r="I253" s="28" t="s">
        <v>941</v>
      </c>
    </row>
    <row r="254" customFormat="false" ht="15" hidden="false" customHeight="false" outlineLevel="0" collapsed="false">
      <c r="A254" s="28" t="s">
        <v>184</v>
      </c>
      <c r="B254" s="28" t="s">
        <v>960</v>
      </c>
      <c r="C254" s="28" t="s">
        <v>447</v>
      </c>
      <c r="D254" s="23" t="n">
        <v>476328.947</v>
      </c>
      <c r="E254" s="23" t="n">
        <v>452250.502789663</v>
      </c>
      <c r="F254" s="31" t="n">
        <v>1.9062</v>
      </c>
      <c r="G254" s="28" t="s">
        <v>957</v>
      </c>
      <c r="H254" s="31" t="n">
        <v>28.3865</v>
      </c>
      <c r="I254" s="28" t="s">
        <v>941</v>
      </c>
    </row>
    <row r="255" customFormat="false" ht="15" hidden="false" customHeight="false" outlineLevel="0" collapsed="false">
      <c r="A255" s="28" t="s">
        <v>184</v>
      </c>
      <c r="B255" s="28" t="s">
        <v>961</v>
      </c>
      <c r="C255" s="28" t="s">
        <v>447</v>
      </c>
      <c r="D255" s="23" t="n">
        <v>374430.3036</v>
      </c>
      <c r="E255" s="23" t="n">
        <v>278346.57553152</v>
      </c>
      <c r="F255" s="31" t="n">
        <v>6.4211</v>
      </c>
      <c r="G255" s="28" t="s">
        <v>957</v>
      </c>
      <c r="H255" s="31" t="n">
        <v>73.398</v>
      </c>
      <c r="I255" s="28" t="s">
        <v>941</v>
      </c>
    </row>
    <row r="256" customFormat="false" ht="15" hidden="false" customHeight="false" outlineLevel="0" collapsed="false">
      <c r="A256" s="28" t="s">
        <v>184</v>
      </c>
      <c r="B256" s="28" t="s">
        <v>962</v>
      </c>
      <c r="C256" s="28" t="s">
        <v>447</v>
      </c>
      <c r="D256" s="23" t="n">
        <v>249620.2024</v>
      </c>
      <c r="E256" s="23" t="n">
        <v>245221.133977253</v>
      </c>
      <c r="F256" s="31" t="n">
        <v>1.8999</v>
      </c>
      <c r="G256" s="28" t="s">
        <v>957</v>
      </c>
      <c r="H256" s="31" t="n">
        <v>5.2149</v>
      </c>
      <c r="I256" s="28" t="s">
        <v>941</v>
      </c>
    </row>
    <row r="257" customFormat="false" ht="15" hidden="false" customHeight="false" outlineLevel="0" collapsed="false">
      <c r="A257" s="28" t="s">
        <v>184</v>
      </c>
      <c r="B257" s="28" t="s">
        <v>963</v>
      </c>
      <c r="C257" s="28" t="s">
        <v>447</v>
      </c>
      <c r="D257" s="23" t="n">
        <v>720674.90295</v>
      </c>
      <c r="E257" s="23" t="n">
        <v>690694.109692392</v>
      </c>
      <c r="F257" s="31" t="n">
        <v>1.9995</v>
      </c>
      <c r="G257" s="28" t="s">
        <v>957</v>
      </c>
      <c r="H257" s="31" t="n">
        <v>1.4634</v>
      </c>
      <c r="I257" s="28" t="s">
        <v>941</v>
      </c>
    </row>
    <row r="258" customFormat="false" ht="15" hidden="false" customHeight="false" outlineLevel="0" collapsed="false">
      <c r="A258" s="28" t="s">
        <v>184</v>
      </c>
      <c r="B258" s="28" t="s">
        <v>964</v>
      </c>
      <c r="C258" s="28" t="s">
        <v>447</v>
      </c>
      <c r="D258" s="23" t="n">
        <v>127177.92405</v>
      </c>
      <c r="E258" s="23" t="n">
        <v>127382.306631397</v>
      </c>
      <c r="F258" s="31" t="n">
        <v>-0.0921</v>
      </c>
      <c r="G258" s="28" t="s">
        <v>957</v>
      </c>
      <c r="H258" s="31" t="n">
        <v>1.1081</v>
      </c>
      <c r="I258" s="28" t="s">
        <v>941</v>
      </c>
    </row>
    <row r="259" customFormat="false" ht="15" hidden="false" customHeight="false" outlineLevel="0" collapsed="false">
      <c r="A259" s="28" t="s">
        <v>184</v>
      </c>
      <c r="B259" s="28" t="s">
        <v>965</v>
      </c>
      <c r="C259" s="28" t="s">
        <v>447</v>
      </c>
      <c r="D259" s="23" t="n">
        <v>20543.822</v>
      </c>
      <c r="E259" s="23" t="n">
        <v>20556.2418677155</v>
      </c>
      <c r="F259" s="31" t="n">
        <v>-0.0364</v>
      </c>
      <c r="G259" s="28" t="s">
        <v>957</v>
      </c>
      <c r="H259" s="31" t="n">
        <v>0.604</v>
      </c>
      <c r="I259" s="28" t="s">
        <v>941</v>
      </c>
    </row>
    <row r="260" customFormat="false" ht="15" hidden="false" customHeight="false" outlineLevel="0" collapsed="false">
      <c r="A260" s="28" t="s">
        <v>184</v>
      </c>
      <c r="B260" s="28" t="s">
        <v>966</v>
      </c>
      <c r="C260" s="28" t="s">
        <v>447</v>
      </c>
      <c r="D260" s="23" t="n">
        <v>62649.693</v>
      </c>
      <c r="E260" s="23" t="n">
        <v>60780.2071385646</v>
      </c>
      <c r="F260" s="31" t="n">
        <v>1.0923</v>
      </c>
      <c r="G260" s="28" t="s">
        <v>957</v>
      </c>
      <c r="H260" s="31" t="n">
        <v>2.3105</v>
      </c>
      <c r="I260" s="28" t="s">
        <v>941</v>
      </c>
    </row>
    <row r="261" customFormat="false" ht="15" hidden="false" customHeight="false" outlineLevel="0" collapsed="false">
      <c r="A261" s="28" t="s">
        <v>184</v>
      </c>
      <c r="B261" s="28" t="s">
        <v>967</v>
      </c>
      <c r="C261" s="28" t="s">
        <v>447</v>
      </c>
      <c r="D261" s="23" t="n">
        <v>41766.462</v>
      </c>
      <c r="E261" s="23" t="n">
        <v>41782.14401828</v>
      </c>
      <c r="F261" s="31" t="n">
        <v>-0.0239</v>
      </c>
      <c r="G261" s="28" t="s">
        <v>957</v>
      </c>
      <c r="H261" s="31" t="n">
        <v>0.5057</v>
      </c>
      <c r="I261" s="28" t="s">
        <v>941</v>
      </c>
    </row>
    <row r="262" customFormat="false" ht="15" hidden="false" customHeight="false" outlineLevel="0" collapsed="false">
      <c r="A262" s="28" t="s">
        <v>184</v>
      </c>
      <c r="B262" s="28" t="s">
        <v>968</v>
      </c>
      <c r="C262" s="28" t="s">
        <v>447</v>
      </c>
      <c r="D262" s="23" t="n">
        <v>21376.155</v>
      </c>
      <c r="E262" s="23" t="n">
        <v>20312.1585493886</v>
      </c>
      <c r="F262" s="31" t="n">
        <v>1.9554</v>
      </c>
      <c r="G262" s="28" t="s">
        <v>957</v>
      </c>
      <c r="H262" s="31" t="n">
        <v>6.9043</v>
      </c>
      <c r="I262" s="28" t="s">
        <v>941</v>
      </c>
    </row>
    <row r="263" customFormat="false" ht="15" hidden="false" customHeight="false" outlineLevel="0" collapsed="false">
      <c r="A263" s="28" t="s">
        <v>184</v>
      </c>
      <c r="B263" s="28" t="s">
        <v>969</v>
      </c>
      <c r="C263" s="28" t="s">
        <v>447</v>
      </c>
      <c r="D263" s="23" t="n">
        <v>1397.217</v>
      </c>
      <c r="E263" s="23" t="n">
        <v>1261.54039990099</v>
      </c>
      <c r="F263" s="31" t="n">
        <v>2.7984</v>
      </c>
      <c r="G263" s="28" t="s">
        <v>957</v>
      </c>
      <c r="H263" s="31" t="n">
        <v>13.6028</v>
      </c>
      <c r="I263" s="28" t="s">
        <v>941</v>
      </c>
    </row>
    <row r="264" customFormat="false" ht="15" hidden="false" customHeight="false" outlineLevel="0" collapsed="false">
      <c r="A264" s="28" t="s">
        <v>184</v>
      </c>
      <c r="B264" s="28" t="s">
        <v>970</v>
      </c>
      <c r="C264" s="28" t="s">
        <v>447</v>
      </c>
      <c r="D264" s="23" t="n">
        <v>42.972</v>
      </c>
      <c r="E264" s="23" t="n">
        <v>37.9810815803949</v>
      </c>
      <c r="F264" s="31" t="n">
        <v>4.3669</v>
      </c>
      <c r="G264" s="28" t="s">
        <v>957</v>
      </c>
      <c r="H264" s="31" t="n">
        <v>34.5777</v>
      </c>
      <c r="I264" s="28" t="s">
        <v>941</v>
      </c>
    </row>
    <row r="265" customFormat="false" ht="15" hidden="false" customHeight="false" outlineLevel="0" collapsed="false">
      <c r="A265" s="28" t="s">
        <v>184</v>
      </c>
      <c r="B265" s="28" t="s">
        <v>459</v>
      </c>
      <c r="C265" s="28" t="s">
        <v>447</v>
      </c>
      <c r="D265" s="23" t="n">
        <v>1976.718</v>
      </c>
      <c r="E265" s="23" t="n">
        <v>1973.92417594719</v>
      </c>
      <c r="F265" s="31" t="n">
        <v>0.1646</v>
      </c>
      <c r="G265" s="28" t="s">
        <v>957</v>
      </c>
      <c r="H265" s="31" t="n">
        <v>0.0537</v>
      </c>
      <c r="I265" s="28" t="s">
        <v>941</v>
      </c>
    </row>
    <row r="266" customFormat="false" ht="15" hidden="false" customHeight="false" outlineLevel="0" collapsed="false">
      <c r="A266" s="28" t="s">
        <v>184</v>
      </c>
      <c r="B266" s="28" t="s">
        <v>489</v>
      </c>
      <c r="C266" s="28" t="s">
        <v>447</v>
      </c>
      <c r="D266" s="23" t="n">
        <v>-47552</v>
      </c>
      <c r="E266" s="23" t="n">
        <v>-47552</v>
      </c>
      <c r="F266" s="31" t="n">
        <v>0</v>
      </c>
      <c r="G266" s="28" t="s">
        <v>957</v>
      </c>
      <c r="H266" s="31" t="n">
        <v>0</v>
      </c>
      <c r="I266" s="28" t="s">
        <v>941</v>
      </c>
    </row>
    <row r="267" customFormat="false" ht="15" hidden="false" customHeight="false" outlineLevel="0" collapsed="false">
      <c r="A267" s="28" t="s">
        <v>184</v>
      </c>
      <c r="B267" s="28" t="s">
        <v>466</v>
      </c>
      <c r="C267" s="28" t="s">
        <v>447</v>
      </c>
      <c r="D267" s="23" t="n">
        <v>6200</v>
      </c>
      <c r="E267" s="23" t="n">
        <v>6944</v>
      </c>
      <c r="F267" s="31" t="n">
        <v>-5.3571</v>
      </c>
      <c r="G267" s="28" t="s">
        <v>955</v>
      </c>
      <c r="H267" s="31" t="n">
        <v>0</v>
      </c>
      <c r="I267" s="28" t="s">
        <v>941</v>
      </c>
    </row>
    <row r="268" customFormat="false" ht="15" hidden="false" customHeight="false" outlineLevel="0" collapsed="false">
      <c r="A268" s="28" t="s">
        <v>184</v>
      </c>
      <c r="B268" s="28" t="s">
        <v>971</v>
      </c>
      <c r="C268" s="28" t="s">
        <v>447</v>
      </c>
      <c r="D268" s="23" t="n">
        <v>577875.54</v>
      </c>
      <c r="E268" s="23" t="n">
        <v>577875.54</v>
      </c>
      <c r="F268" s="31" t="n">
        <v>0</v>
      </c>
      <c r="G268" s="28" t="s">
        <v>955</v>
      </c>
      <c r="H268" s="31" t="n">
        <v>0</v>
      </c>
      <c r="I268" s="28" t="s">
        <v>941</v>
      </c>
    </row>
    <row r="269" customFormat="false" ht="15" hidden="false" customHeight="false" outlineLevel="0" collapsed="false">
      <c r="A269" s="28" t="s">
        <v>184</v>
      </c>
      <c r="B269" s="28" t="s">
        <v>972</v>
      </c>
      <c r="C269" s="28" t="s">
        <v>469</v>
      </c>
      <c r="D269" s="23" t="n">
        <v>1551679.623</v>
      </c>
      <c r="E269" s="23" t="n">
        <v>1132567.63636668</v>
      </c>
      <c r="F269" s="31" t="n">
        <v>4.3397</v>
      </c>
      <c r="G269" s="28" t="s">
        <v>973</v>
      </c>
      <c r="H269" s="31" t="n">
        <v>40.2337</v>
      </c>
      <c r="I269" s="28" t="s">
        <v>941</v>
      </c>
    </row>
    <row r="270" customFormat="false" ht="15" hidden="false" customHeight="false" outlineLevel="0" collapsed="false">
      <c r="A270" s="28" t="s">
        <v>184</v>
      </c>
      <c r="B270" s="28" t="s">
        <v>974</v>
      </c>
      <c r="C270" s="28" t="s">
        <v>469</v>
      </c>
      <c r="D270" s="23" t="n">
        <v>330000</v>
      </c>
      <c r="E270" s="23" t="n">
        <v>264987.689668335</v>
      </c>
      <c r="F270" s="31" t="n">
        <v>2.946</v>
      </c>
      <c r="G270" s="28" t="s">
        <v>973</v>
      </c>
      <c r="H270" s="31" t="n">
        <v>21.1525</v>
      </c>
      <c r="I270" s="28" t="s">
        <v>941</v>
      </c>
    </row>
    <row r="271" customFormat="false" ht="15" hidden="false" customHeight="false" outlineLevel="0" collapsed="false">
      <c r="A271" s="28" t="s">
        <v>184</v>
      </c>
      <c r="B271" s="28" t="s">
        <v>975</v>
      </c>
      <c r="C271" s="28" t="s">
        <v>469</v>
      </c>
      <c r="D271" s="23" t="n">
        <v>1462571.75</v>
      </c>
      <c r="E271" s="23" t="n">
        <v>1057193.70787298</v>
      </c>
      <c r="F271" s="31" t="n">
        <v>4.1602</v>
      </c>
      <c r="G271" s="28" t="s">
        <v>973</v>
      </c>
      <c r="H271" s="31" t="n">
        <v>38.5594</v>
      </c>
      <c r="I271" s="28" t="s">
        <v>941</v>
      </c>
    </row>
    <row r="272" customFormat="false" ht="15" hidden="false" customHeight="false" outlineLevel="0" collapsed="false">
      <c r="A272" s="28" t="s">
        <v>184</v>
      </c>
      <c r="B272" s="28" t="s">
        <v>976</v>
      </c>
      <c r="C272" s="28" t="s">
        <v>469</v>
      </c>
      <c r="D272" s="23" t="n">
        <v>50000</v>
      </c>
      <c r="E272" s="23" t="n">
        <v>39638.1452578524</v>
      </c>
      <c r="F272" s="31" t="n">
        <v>3.0372</v>
      </c>
      <c r="G272" s="28" t="s">
        <v>973</v>
      </c>
      <c r="H272" s="31" t="n">
        <v>21.715</v>
      </c>
      <c r="I272" s="28" t="s">
        <v>941</v>
      </c>
    </row>
    <row r="273" customFormat="false" ht="15" hidden="false" customHeight="false" outlineLevel="0" collapsed="false">
      <c r="A273" s="28" t="s">
        <v>184</v>
      </c>
      <c r="B273" s="28" t="s">
        <v>601</v>
      </c>
      <c r="C273" s="28" t="s">
        <v>469</v>
      </c>
      <c r="D273" s="23" t="n">
        <v>1000000</v>
      </c>
      <c r="E273" s="23" t="n">
        <v>807724.143214422</v>
      </c>
      <c r="F273" s="31" t="n">
        <v>2.7653</v>
      </c>
      <c r="G273" s="28" t="s">
        <v>973</v>
      </c>
      <c r="H273" s="31" t="n">
        <v>19.7359</v>
      </c>
      <c r="I273" s="28" t="s">
        <v>941</v>
      </c>
    </row>
    <row r="274" customFormat="false" ht="15" hidden="false" customHeight="false" outlineLevel="0" collapsed="false">
      <c r="A274" s="28" t="s">
        <v>184</v>
      </c>
      <c r="B274" s="28" t="s">
        <v>603</v>
      </c>
      <c r="C274" s="28" t="s">
        <v>469</v>
      </c>
      <c r="D274" s="23" t="n">
        <v>1100000</v>
      </c>
      <c r="E274" s="23" t="n">
        <v>972102.524029212</v>
      </c>
      <c r="F274" s="31" t="n">
        <v>1.5243</v>
      </c>
      <c r="G274" s="28" t="s">
        <v>973</v>
      </c>
      <c r="H274" s="31" t="n">
        <v>9.3266</v>
      </c>
      <c r="I274" s="28" t="s">
        <v>941</v>
      </c>
    </row>
    <row r="275" customFormat="false" ht="15" hidden="false" customHeight="false" outlineLevel="0" collapsed="false">
      <c r="A275" s="28" t="s">
        <v>184</v>
      </c>
      <c r="B275" s="28" t="s">
        <v>605</v>
      </c>
      <c r="C275" s="28" t="s">
        <v>469</v>
      </c>
      <c r="D275" s="23" t="n">
        <v>800000</v>
      </c>
      <c r="E275" s="23" t="n">
        <v>743415.239424862</v>
      </c>
      <c r="F275" s="31" t="n">
        <v>0.9152</v>
      </c>
      <c r="G275" s="28" t="s">
        <v>973</v>
      </c>
      <c r="H275" s="31" t="n">
        <v>5.1798</v>
      </c>
      <c r="I275" s="28" t="s">
        <v>941</v>
      </c>
    </row>
    <row r="276" customFormat="false" ht="15" hidden="false" customHeight="false" outlineLevel="0" collapsed="false">
      <c r="A276" s="28" t="s">
        <v>184</v>
      </c>
      <c r="B276" s="28" t="s">
        <v>977</v>
      </c>
      <c r="C276" s="28" t="s">
        <v>469</v>
      </c>
      <c r="D276" s="23" t="n">
        <v>765287.677</v>
      </c>
      <c r="E276" s="23" t="n">
        <v>737742.300188193</v>
      </c>
      <c r="F276" s="31" t="n">
        <v>0.4398</v>
      </c>
      <c r="G276" s="28" t="s">
        <v>973</v>
      </c>
      <c r="H276" s="31" t="n">
        <v>2.1932</v>
      </c>
      <c r="I276" s="28" t="s">
        <v>941</v>
      </c>
    </row>
    <row r="277" customFormat="false" ht="15" hidden="false" customHeight="false" outlineLevel="0" collapsed="false">
      <c r="A277" s="28" t="s">
        <v>184</v>
      </c>
      <c r="B277" s="28" t="s">
        <v>978</v>
      </c>
      <c r="C277" s="28" t="s">
        <v>469</v>
      </c>
      <c r="D277" s="23" t="n">
        <v>74688.3604</v>
      </c>
      <c r="E277" s="23" t="n">
        <v>53528.5379867859</v>
      </c>
      <c r="F277" s="31" t="n">
        <v>4.0249</v>
      </c>
      <c r="G277" s="28" t="s">
        <v>973</v>
      </c>
      <c r="H277" s="31" t="n">
        <v>46.5463</v>
      </c>
      <c r="I277" s="28" t="s">
        <v>941</v>
      </c>
    </row>
    <row r="278" customFormat="false" ht="15" hidden="false" customHeight="false" outlineLevel="0" collapsed="false">
      <c r="A278" s="28" t="s">
        <v>184</v>
      </c>
      <c r="B278" s="28" t="s">
        <v>979</v>
      </c>
      <c r="C278" s="28" t="s">
        <v>469</v>
      </c>
      <c r="D278" s="23" t="n">
        <v>14494.065</v>
      </c>
      <c r="E278" s="23" t="n">
        <v>12233.4419844398</v>
      </c>
      <c r="F278" s="31" t="n">
        <v>2.4609</v>
      </c>
      <c r="G278" s="28" t="s">
        <v>973</v>
      </c>
      <c r="H278" s="31" t="n">
        <v>14.6306</v>
      </c>
      <c r="I278" s="28" t="s">
        <v>941</v>
      </c>
    </row>
    <row r="279" customFormat="false" ht="15" hidden="false" customHeight="false" outlineLevel="0" collapsed="false">
      <c r="A279" s="28" t="s">
        <v>184</v>
      </c>
      <c r="B279" s="28" t="s">
        <v>980</v>
      </c>
      <c r="C279" s="28" t="s">
        <v>469</v>
      </c>
      <c r="D279" s="23" t="n">
        <v>734544.639</v>
      </c>
      <c r="E279" s="23" t="n">
        <v>722782.984365741</v>
      </c>
      <c r="F279" s="31" t="n">
        <v>0.7159</v>
      </c>
      <c r="G279" s="28" t="s">
        <v>981</v>
      </c>
      <c r="H279" s="31" t="n">
        <v>1.3796</v>
      </c>
      <c r="I279" s="28" t="s">
        <v>941</v>
      </c>
    </row>
    <row r="280" customFormat="false" ht="15" hidden="false" customHeight="false" outlineLevel="0" collapsed="false">
      <c r="A280" s="28" t="s">
        <v>184</v>
      </c>
      <c r="B280" s="28" t="s">
        <v>982</v>
      </c>
      <c r="C280" s="28" t="s">
        <v>469</v>
      </c>
      <c r="D280" s="23" t="n">
        <v>860301.67</v>
      </c>
      <c r="E280" s="23" t="n">
        <v>847221.613285353</v>
      </c>
      <c r="F280" s="31" t="n">
        <v>0.7159</v>
      </c>
      <c r="G280" s="28" t="s">
        <v>981</v>
      </c>
      <c r="H280" s="31" t="n">
        <v>1.3798</v>
      </c>
      <c r="I280" s="28" t="s">
        <v>941</v>
      </c>
    </row>
    <row r="281" customFormat="false" ht="15" hidden="false" customHeight="false" outlineLevel="0" collapsed="false">
      <c r="A281" s="28" t="s">
        <v>184</v>
      </c>
      <c r="B281" s="28" t="s">
        <v>983</v>
      </c>
      <c r="C281" s="28" t="s">
        <v>469</v>
      </c>
      <c r="D281" s="23" t="n">
        <v>112032.5406</v>
      </c>
      <c r="E281" s="23" t="n">
        <v>108760.606313415</v>
      </c>
      <c r="F281" s="31" t="n">
        <v>1.3603</v>
      </c>
      <c r="G281" s="28" t="s">
        <v>981</v>
      </c>
      <c r="H281" s="31" t="n">
        <v>3.6494</v>
      </c>
      <c r="I281" s="28" t="s">
        <v>941</v>
      </c>
    </row>
    <row r="282" customFormat="false" ht="15" hidden="false" customHeight="false" outlineLevel="0" collapsed="false">
      <c r="A282" s="28" t="s">
        <v>184</v>
      </c>
      <c r="B282" s="28" t="s">
        <v>984</v>
      </c>
      <c r="C282" s="28" t="s">
        <v>469</v>
      </c>
      <c r="D282" s="23" t="n">
        <v>124418.196</v>
      </c>
      <c r="E282" s="23" t="n">
        <v>124418.196</v>
      </c>
      <c r="F282" s="31" t="n">
        <v>0</v>
      </c>
      <c r="G282" s="28" t="s">
        <v>984</v>
      </c>
      <c r="H282" s="31" t="n">
        <v>0</v>
      </c>
      <c r="I282" s="28" t="s">
        <v>941</v>
      </c>
    </row>
    <row r="283" customFormat="false" ht="15" hidden="false" customHeight="false" outlineLevel="0" collapsed="false">
      <c r="A283" s="28" t="s">
        <v>184</v>
      </c>
      <c r="B283" s="28" t="s">
        <v>985</v>
      </c>
      <c r="C283" s="28" t="s">
        <v>874</v>
      </c>
      <c r="D283" s="23" t="n">
        <v>0</v>
      </c>
      <c r="E283" s="23" t="n">
        <v>-2880</v>
      </c>
      <c r="G283" s="28" t="s">
        <v>986</v>
      </c>
      <c r="I283" s="28" t="s">
        <v>941</v>
      </c>
    </row>
    <row r="284" customFormat="false" ht="15" hidden="false" customHeight="false" outlineLevel="0" collapsed="false">
      <c r="A284" s="28" t="s">
        <v>186</v>
      </c>
      <c r="B284" s="28" t="s">
        <v>449</v>
      </c>
      <c r="C284" s="28" t="s">
        <v>447</v>
      </c>
      <c r="D284" s="23" t="n">
        <v>695254.49</v>
      </c>
      <c r="E284" s="23" t="n">
        <v>695254.49</v>
      </c>
      <c r="F284" s="31" t="n">
        <v>0</v>
      </c>
      <c r="G284" s="28" t="s">
        <v>940</v>
      </c>
      <c r="H284" s="31" t="n">
        <v>0</v>
      </c>
      <c r="I284" s="28" t="s">
        <v>941</v>
      </c>
    </row>
    <row r="285" customFormat="false" ht="15" hidden="false" customHeight="false" outlineLevel="0" collapsed="false">
      <c r="A285" s="28" t="s">
        <v>186</v>
      </c>
      <c r="B285" s="28" t="s">
        <v>942</v>
      </c>
      <c r="C285" s="28" t="s">
        <v>447</v>
      </c>
      <c r="D285" s="23" t="n">
        <v>150051.434903246</v>
      </c>
      <c r="E285" s="23" t="n">
        <v>141709.972894691</v>
      </c>
      <c r="F285" s="31" t="n">
        <v>1.8751</v>
      </c>
      <c r="G285" s="28" t="s">
        <v>943</v>
      </c>
      <c r="H285" s="31" t="n">
        <v>5.589</v>
      </c>
      <c r="I285" s="28" t="s">
        <v>941</v>
      </c>
    </row>
    <row r="286" customFormat="false" ht="15" hidden="false" customHeight="false" outlineLevel="0" collapsed="false">
      <c r="A286" s="28" t="s">
        <v>186</v>
      </c>
      <c r="B286" s="28" t="s">
        <v>944</v>
      </c>
      <c r="C286" s="28" t="s">
        <v>447</v>
      </c>
      <c r="D286" s="23" t="n">
        <v>367549.241673984</v>
      </c>
      <c r="E286" s="23" t="n">
        <v>338286.916085903</v>
      </c>
      <c r="F286" s="31" t="n">
        <v>2.7155</v>
      </c>
      <c r="G286" s="28" t="s">
        <v>943</v>
      </c>
      <c r="H286" s="31" t="n">
        <v>10.6628</v>
      </c>
      <c r="I286" s="28" t="s">
        <v>941</v>
      </c>
    </row>
    <row r="287" customFormat="false" ht="15" hidden="false" customHeight="false" outlineLevel="0" collapsed="false">
      <c r="A287" s="28" t="s">
        <v>186</v>
      </c>
      <c r="B287" s="28" t="s">
        <v>945</v>
      </c>
      <c r="C287" s="28" t="s">
        <v>447</v>
      </c>
      <c r="D287" s="23" t="n">
        <v>548633.753403125</v>
      </c>
      <c r="E287" s="23" t="n">
        <v>447590.718440845</v>
      </c>
      <c r="F287" s="31" t="n">
        <v>6.2885</v>
      </c>
      <c r="G287" s="28" t="s">
        <v>943</v>
      </c>
      <c r="H287" s="31" t="n">
        <v>70.8346</v>
      </c>
      <c r="I287" s="28" t="s">
        <v>941</v>
      </c>
    </row>
    <row r="288" customFormat="false" ht="15" hidden="false" customHeight="false" outlineLevel="0" collapsed="false">
      <c r="A288" s="28" t="s">
        <v>186</v>
      </c>
      <c r="B288" s="28" t="s">
        <v>946</v>
      </c>
      <c r="C288" s="28" t="s">
        <v>447</v>
      </c>
      <c r="D288" s="23" t="n">
        <v>305274.71975975</v>
      </c>
      <c r="E288" s="23" t="n">
        <v>249154.032393839</v>
      </c>
      <c r="F288" s="31" t="n">
        <v>6.1794</v>
      </c>
      <c r="G288" s="28" t="s">
        <v>943</v>
      </c>
      <c r="H288" s="31" t="n">
        <v>70.862</v>
      </c>
      <c r="I288" s="28" t="s">
        <v>941</v>
      </c>
    </row>
    <row r="289" customFormat="false" ht="15" hidden="false" customHeight="false" outlineLevel="0" collapsed="false">
      <c r="A289" s="28" t="s">
        <v>186</v>
      </c>
      <c r="B289" s="28" t="s">
        <v>947</v>
      </c>
      <c r="C289" s="28" t="s">
        <v>447</v>
      </c>
      <c r="D289" s="23" t="n">
        <v>352414.480607701</v>
      </c>
      <c r="E289" s="23" t="n">
        <v>305668.855061411</v>
      </c>
      <c r="F289" s="31" t="n">
        <v>4.5109</v>
      </c>
      <c r="G289" s="28" t="s">
        <v>943</v>
      </c>
      <c r="H289" s="31" t="n">
        <v>35.3479</v>
      </c>
      <c r="I289" s="28" t="s">
        <v>941</v>
      </c>
    </row>
    <row r="290" customFormat="false" ht="15" hidden="false" customHeight="false" outlineLevel="0" collapsed="false">
      <c r="A290" s="28" t="s">
        <v>186</v>
      </c>
      <c r="B290" s="28" t="s">
        <v>948</v>
      </c>
      <c r="C290" s="28" t="s">
        <v>447</v>
      </c>
      <c r="D290" s="23" t="n">
        <v>136497.166545512</v>
      </c>
      <c r="E290" s="23" t="n">
        <v>112972.92168945</v>
      </c>
      <c r="F290" s="31" t="n">
        <v>6.1999</v>
      </c>
      <c r="G290" s="28" t="s">
        <v>943</v>
      </c>
      <c r="H290" s="31" t="n">
        <v>45.5299</v>
      </c>
      <c r="I290" s="28" t="s">
        <v>941</v>
      </c>
    </row>
    <row r="291" customFormat="false" ht="15" hidden="false" customHeight="false" outlineLevel="0" collapsed="false">
      <c r="A291" s="28" t="s">
        <v>186</v>
      </c>
      <c r="B291" s="28" t="s">
        <v>949</v>
      </c>
      <c r="C291" s="28" t="s">
        <v>447</v>
      </c>
      <c r="D291" s="23" t="n">
        <v>97853.5160956092</v>
      </c>
      <c r="E291" s="23" t="n">
        <v>98229.5994471397</v>
      </c>
      <c r="F291" s="31" t="n">
        <v>-0.1442</v>
      </c>
      <c r="G291" s="28" t="s">
        <v>943</v>
      </c>
      <c r="H291" s="31" t="n">
        <v>1.0047</v>
      </c>
      <c r="I291" s="28" t="s">
        <v>941</v>
      </c>
    </row>
    <row r="292" customFormat="false" ht="15" hidden="false" customHeight="false" outlineLevel="0" collapsed="false">
      <c r="A292" s="28" t="s">
        <v>186</v>
      </c>
      <c r="B292" s="28" t="s">
        <v>950</v>
      </c>
      <c r="C292" s="28" t="s">
        <v>447</v>
      </c>
      <c r="D292" s="23" t="n">
        <v>700000</v>
      </c>
      <c r="E292" s="23" t="n">
        <v>500273.901930295</v>
      </c>
      <c r="F292" s="31" t="n">
        <v>5.0108</v>
      </c>
      <c r="G292" s="28" t="s">
        <v>943</v>
      </c>
      <c r="H292" s="31" t="n">
        <v>43.4083</v>
      </c>
      <c r="I292" s="28" t="s">
        <v>941</v>
      </c>
    </row>
    <row r="293" customFormat="false" ht="15" hidden="false" customHeight="false" outlineLevel="0" collapsed="false">
      <c r="A293" s="28" t="s">
        <v>186</v>
      </c>
      <c r="B293" s="28" t="s">
        <v>951</v>
      </c>
      <c r="C293" s="28" t="s">
        <v>447</v>
      </c>
      <c r="D293" s="23" t="n">
        <v>300000</v>
      </c>
      <c r="E293" s="23" t="n">
        <v>247836.2947138</v>
      </c>
      <c r="F293" s="31" t="n">
        <v>3.6294</v>
      </c>
      <c r="G293" s="28" t="s">
        <v>943</v>
      </c>
      <c r="H293" s="31" t="n">
        <v>15.9453</v>
      </c>
      <c r="I293" s="28" t="s">
        <v>941</v>
      </c>
    </row>
    <row r="294" customFormat="false" ht="15" hidden="false" customHeight="false" outlineLevel="0" collapsed="false">
      <c r="A294" s="28" t="s">
        <v>186</v>
      </c>
      <c r="B294" s="28" t="s">
        <v>952</v>
      </c>
      <c r="C294" s="28" t="s">
        <v>447</v>
      </c>
      <c r="D294" s="23" t="n">
        <v>200000</v>
      </c>
      <c r="E294" s="23" t="n">
        <v>137408.721389001</v>
      </c>
      <c r="F294" s="31" t="n">
        <v>6.7838</v>
      </c>
      <c r="G294" s="28" t="s">
        <v>943</v>
      </c>
      <c r="H294" s="31" t="n">
        <v>55.0665</v>
      </c>
      <c r="I294" s="28" t="s">
        <v>941</v>
      </c>
    </row>
    <row r="295" customFormat="false" ht="15" hidden="false" customHeight="false" outlineLevel="0" collapsed="false">
      <c r="A295" s="28" t="s">
        <v>186</v>
      </c>
      <c r="B295" s="28" t="s">
        <v>953</v>
      </c>
      <c r="C295" s="28" t="s">
        <v>447</v>
      </c>
      <c r="D295" s="23" t="n">
        <v>148403.71</v>
      </c>
      <c r="E295" s="23" t="n">
        <v>138372.844046531</v>
      </c>
      <c r="F295" s="31" t="n">
        <v>2.7044</v>
      </c>
      <c r="G295" s="28" t="s">
        <v>943</v>
      </c>
      <c r="H295" s="31" t="n">
        <v>8.9559</v>
      </c>
      <c r="I295" s="28" t="s">
        <v>941</v>
      </c>
    </row>
    <row r="296" customFormat="false" ht="15" hidden="false" customHeight="false" outlineLevel="0" collapsed="false">
      <c r="A296" s="28" t="s">
        <v>186</v>
      </c>
      <c r="B296" s="28" t="s">
        <v>954</v>
      </c>
      <c r="C296" s="28" t="s">
        <v>447</v>
      </c>
      <c r="D296" s="23" t="n">
        <v>24721.732</v>
      </c>
      <c r="E296" s="23" t="n">
        <v>24721.732</v>
      </c>
      <c r="F296" s="31" t="n">
        <v>0</v>
      </c>
      <c r="G296" s="28" t="s">
        <v>943</v>
      </c>
      <c r="H296" s="31" t="n">
        <v>0</v>
      </c>
      <c r="I296" s="28" t="s">
        <v>941</v>
      </c>
    </row>
    <row r="297" customFormat="false" ht="15" hidden="false" customHeight="false" outlineLevel="0" collapsed="false">
      <c r="A297" s="28" t="s">
        <v>186</v>
      </c>
      <c r="B297" s="28" t="s">
        <v>457</v>
      </c>
      <c r="C297" s="28" t="s">
        <v>447</v>
      </c>
      <c r="D297" s="23" t="n">
        <v>17250</v>
      </c>
      <c r="E297" s="23" t="n">
        <v>17250</v>
      </c>
      <c r="F297" s="31" t="n">
        <v>0</v>
      </c>
      <c r="G297" s="28" t="s">
        <v>955</v>
      </c>
      <c r="H297" s="31" t="n">
        <v>0</v>
      </c>
      <c r="I297" s="28" t="s">
        <v>941</v>
      </c>
    </row>
    <row r="298" customFormat="false" ht="15" hidden="false" customHeight="false" outlineLevel="0" collapsed="false">
      <c r="A298" s="28" t="s">
        <v>186</v>
      </c>
      <c r="B298" s="28" t="s">
        <v>956</v>
      </c>
      <c r="C298" s="28" t="s">
        <v>447</v>
      </c>
      <c r="D298" s="23" t="n">
        <v>1515773.50272</v>
      </c>
      <c r="E298" s="23" t="n">
        <v>1518763.17661619</v>
      </c>
      <c r="F298" s="31" t="n">
        <v>-0.0791</v>
      </c>
      <c r="G298" s="28" t="s">
        <v>957</v>
      </c>
      <c r="H298" s="31" t="n">
        <v>0.8189</v>
      </c>
      <c r="I298" s="28" t="s">
        <v>941</v>
      </c>
    </row>
    <row r="299" customFormat="false" ht="15" hidden="false" customHeight="false" outlineLevel="0" collapsed="false">
      <c r="A299" s="28" t="s">
        <v>186</v>
      </c>
      <c r="B299" s="28" t="s">
        <v>958</v>
      </c>
      <c r="C299" s="28" t="s">
        <v>447</v>
      </c>
      <c r="D299" s="23" t="n">
        <v>589467.47328</v>
      </c>
      <c r="E299" s="23" t="n">
        <v>503451.934620729</v>
      </c>
      <c r="F299" s="31" t="n">
        <v>4.0576</v>
      </c>
      <c r="G299" s="28" t="s">
        <v>957</v>
      </c>
      <c r="H299" s="31" t="n">
        <v>28.0446</v>
      </c>
      <c r="I299" s="28" t="s">
        <v>941</v>
      </c>
    </row>
    <row r="300" customFormat="false" ht="15" hidden="false" customHeight="false" outlineLevel="0" collapsed="false">
      <c r="A300" s="28" t="s">
        <v>186</v>
      </c>
      <c r="B300" s="28" t="s">
        <v>959</v>
      </c>
      <c r="C300" s="28" t="s">
        <v>447</v>
      </c>
      <c r="D300" s="23" t="n">
        <v>1104190.947</v>
      </c>
      <c r="E300" s="23" t="n">
        <v>1037279.8158157</v>
      </c>
      <c r="F300" s="31" t="n">
        <v>1.7185</v>
      </c>
      <c r="G300" s="28" t="s">
        <v>957</v>
      </c>
      <c r="H300" s="31" t="n">
        <v>5.2527</v>
      </c>
      <c r="I300" s="28" t="s">
        <v>941</v>
      </c>
    </row>
    <row r="301" customFormat="false" ht="15" hidden="false" customHeight="false" outlineLevel="0" collapsed="false">
      <c r="A301" s="28" t="s">
        <v>186</v>
      </c>
      <c r="B301" s="28" t="s">
        <v>960</v>
      </c>
      <c r="C301" s="28" t="s">
        <v>447</v>
      </c>
      <c r="D301" s="23" t="n">
        <v>476328.947</v>
      </c>
      <c r="E301" s="23" t="n">
        <v>444016.675889919</v>
      </c>
      <c r="F301" s="31" t="n">
        <v>1.825</v>
      </c>
      <c r="G301" s="28" t="s">
        <v>957</v>
      </c>
      <c r="H301" s="31" t="n">
        <v>5.8236</v>
      </c>
      <c r="I301" s="28" t="s">
        <v>941</v>
      </c>
    </row>
    <row r="302" customFormat="false" ht="15" hidden="false" customHeight="false" outlineLevel="0" collapsed="false">
      <c r="A302" s="28" t="s">
        <v>186</v>
      </c>
      <c r="B302" s="28" t="s">
        <v>961</v>
      </c>
      <c r="C302" s="28" t="s">
        <v>447</v>
      </c>
      <c r="D302" s="23" t="n">
        <v>374430.3036</v>
      </c>
      <c r="E302" s="23" t="n">
        <v>261458.690655884</v>
      </c>
      <c r="F302" s="31" t="n">
        <v>6.109</v>
      </c>
      <c r="G302" s="28" t="s">
        <v>957</v>
      </c>
      <c r="H302" s="31" t="n">
        <v>67.4662</v>
      </c>
      <c r="I302" s="28" t="s">
        <v>941</v>
      </c>
    </row>
    <row r="303" customFormat="false" ht="15" hidden="false" customHeight="false" outlineLevel="0" collapsed="false">
      <c r="A303" s="28" t="s">
        <v>186</v>
      </c>
      <c r="B303" s="28" t="s">
        <v>962</v>
      </c>
      <c r="C303" s="28" t="s">
        <v>447</v>
      </c>
      <c r="D303" s="23" t="n">
        <v>249620.2024</v>
      </c>
      <c r="E303" s="23" t="n">
        <v>240654.924736624</v>
      </c>
      <c r="F303" s="31" t="n">
        <v>1.8542</v>
      </c>
      <c r="G303" s="28" t="s">
        <v>957</v>
      </c>
      <c r="H303" s="31" t="n">
        <v>7.1926</v>
      </c>
      <c r="I303" s="28" t="s">
        <v>941</v>
      </c>
    </row>
    <row r="304" customFormat="false" ht="15" hidden="false" customHeight="false" outlineLevel="0" collapsed="false">
      <c r="A304" s="28" t="s">
        <v>186</v>
      </c>
      <c r="B304" s="28" t="s">
        <v>963</v>
      </c>
      <c r="C304" s="28" t="s">
        <v>447</v>
      </c>
      <c r="D304" s="23" t="n">
        <v>720674.90295</v>
      </c>
      <c r="E304" s="23" t="n">
        <v>677594.165017454</v>
      </c>
      <c r="F304" s="31" t="n">
        <v>1.8131</v>
      </c>
      <c r="G304" s="28" t="s">
        <v>957</v>
      </c>
      <c r="H304" s="31" t="n">
        <v>7.615</v>
      </c>
      <c r="I304" s="28" t="s">
        <v>941</v>
      </c>
    </row>
    <row r="305" customFormat="false" ht="15" hidden="false" customHeight="false" outlineLevel="0" collapsed="false">
      <c r="A305" s="28" t="s">
        <v>186</v>
      </c>
      <c r="B305" s="28" t="s">
        <v>964</v>
      </c>
      <c r="C305" s="28" t="s">
        <v>447</v>
      </c>
      <c r="D305" s="23" t="n">
        <v>127177.92405</v>
      </c>
      <c r="E305" s="23" t="n">
        <v>127506.518263153</v>
      </c>
      <c r="F305" s="31" t="n">
        <v>-0.1025</v>
      </c>
      <c r="G305" s="28" t="s">
        <v>957</v>
      </c>
      <c r="H305" s="31" t="n">
        <v>0.985</v>
      </c>
      <c r="I305" s="28" t="s">
        <v>941</v>
      </c>
    </row>
    <row r="306" customFormat="false" ht="15" hidden="false" customHeight="false" outlineLevel="0" collapsed="false">
      <c r="A306" s="28" t="s">
        <v>186</v>
      </c>
      <c r="B306" s="28" t="s">
        <v>965</v>
      </c>
      <c r="C306" s="28" t="s">
        <v>447</v>
      </c>
      <c r="D306" s="23" t="n">
        <v>20543.822</v>
      </c>
      <c r="E306" s="23" t="n">
        <v>20564.336282423</v>
      </c>
      <c r="F306" s="31" t="n">
        <v>-0.0423</v>
      </c>
      <c r="G306" s="28" t="s">
        <v>957</v>
      </c>
      <c r="H306" s="31" t="n">
        <v>0.5831</v>
      </c>
      <c r="I306" s="28" t="s">
        <v>941</v>
      </c>
    </row>
    <row r="307" customFormat="false" ht="15" hidden="false" customHeight="false" outlineLevel="0" collapsed="false">
      <c r="A307" s="28" t="s">
        <v>186</v>
      </c>
      <c r="B307" s="28" t="s">
        <v>966</v>
      </c>
      <c r="C307" s="28" t="s">
        <v>447</v>
      </c>
      <c r="D307" s="23" t="n">
        <v>62649.693</v>
      </c>
      <c r="E307" s="23" t="n">
        <v>60123.255947949</v>
      </c>
      <c r="F307" s="31" t="n">
        <v>1.0812</v>
      </c>
      <c r="G307" s="28" t="s">
        <v>957</v>
      </c>
      <c r="H307" s="31" t="n">
        <v>2.2697</v>
      </c>
      <c r="I307" s="28" t="s">
        <v>941</v>
      </c>
    </row>
    <row r="308" customFormat="false" ht="15" hidden="false" customHeight="false" outlineLevel="0" collapsed="false">
      <c r="A308" s="28" t="s">
        <v>186</v>
      </c>
      <c r="B308" s="28" t="s">
        <v>967</v>
      </c>
      <c r="C308" s="28" t="s">
        <v>447</v>
      </c>
      <c r="D308" s="23" t="n">
        <v>41766.462</v>
      </c>
      <c r="E308" s="23" t="n">
        <v>41793.1902286541</v>
      </c>
      <c r="F308" s="31" t="n">
        <v>-0.0289</v>
      </c>
      <c r="G308" s="28" t="s">
        <v>957</v>
      </c>
      <c r="H308" s="31" t="n">
        <v>0.489</v>
      </c>
      <c r="I308" s="28" t="s">
        <v>941</v>
      </c>
    </row>
    <row r="309" customFormat="false" ht="15" hidden="false" customHeight="false" outlineLevel="0" collapsed="false">
      <c r="A309" s="28" t="s">
        <v>186</v>
      </c>
      <c r="B309" s="28" t="s">
        <v>968</v>
      </c>
      <c r="C309" s="28" t="s">
        <v>447</v>
      </c>
      <c r="D309" s="23" t="n">
        <v>21376.155</v>
      </c>
      <c r="E309" s="23" t="n">
        <v>19921.9049292819</v>
      </c>
      <c r="F309" s="31" t="n">
        <v>1.9249</v>
      </c>
      <c r="G309" s="28" t="s">
        <v>957</v>
      </c>
      <c r="H309" s="31" t="n">
        <v>6.724</v>
      </c>
      <c r="I309" s="28" t="s">
        <v>941</v>
      </c>
    </row>
    <row r="310" customFormat="false" ht="15" hidden="false" customHeight="false" outlineLevel="0" collapsed="false">
      <c r="A310" s="28" t="s">
        <v>186</v>
      </c>
      <c r="B310" s="28" t="s">
        <v>969</v>
      </c>
      <c r="C310" s="28" t="s">
        <v>447</v>
      </c>
      <c r="D310" s="23" t="n">
        <v>1397.217</v>
      </c>
      <c r="E310" s="23" t="n">
        <v>1227.08280487377</v>
      </c>
      <c r="F310" s="31" t="n">
        <v>2.7413</v>
      </c>
      <c r="G310" s="28" t="s">
        <v>957</v>
      </c>
      <c r="H310" s="31" t="n">
        <v>13.1464</v>
      </c>
      <c r="I310" s="28" t="s">
        <v>941</v>
      </c>
    </row>
    <row r="311" customFormat="false" ht="15" hidden="false" customHeight="false" outlineLevel="0" collapsed="false">
      <c r="A311" s="28" t="s">
        <v>186</v>
      </c>
      <c r="B311" s="28" t="s">
        <v>970</v>
      </c>
      <c r="C311" s="28" t="s">
        <v>447</v>
      </c>
      <c r="D311" s="23" t="n">
        <v>42.972</v>
      </c>
      <c r="E311" s="23" t="n">
        <v>36.3864808685951</v>
      </c>
      <c r="F311" s="31" t="n">
        <v>4.2153</v>
      </c>
      <c r="G311" s="28" t="s">
        <v>957</v>
      </c>
      <c r="H311" s="31" t="n">
        <v>32.5618</v>
      </c>
      <c r="I311" s="28" t="s">
        <v>941</v>
      </c>
    </row>
    <row r="312" customFormat="false" ht="15" hidden="false" customHeight="false" outlineLevel="0" collapsed="false">
      <c r="A312" s="28" t="s">
        <v>186</v>
      </c>
      <c r="B312" s="28" t="s">
        <v>459</v>
      </c>
      <c r="C312" s="28" t="s">
        <v>447</v>
      </c>
      <c r="D312" s="23" t="n">
        <v>1976.718</v>
      </c>
      <c r="E312" s="23" t="n">
        <v>1970.67997305542</v>
      </c>
      <c r="F312" s="31" t="n">
        <v>0.1644</v>
      </c>
      <c r="G312" s="28" t="s">
        <v>957</v>
      </c>
      <c r="H312" s="31" t="n">
        <v>0.0535</v>
      </c>
      <c r="I312" s="28" t="s">
        <v>941</v>
      </c>
    </row>
    <row r="313" customFormat="false" ht="15" hidden="false" customHeight="false" outlineLevel="0" collapsed="false">
      <c r="A313" s="28" t="s">
        <v>186</v>
      </c>
      <c r="B313" s="28" t="s">
        <v>489</v>
      </c>
      <c r="C313" s="28" t="s">
        <v>447</v>
      </c>
      <c r="D313" s="23" t="n">
        <v>-47552</v>
      </c>
      <c r="E313" s="23" t="n">
        <v>-47552</v>
      </c>
      <c r="F313" s="31" t="n">
        <v>0</v>
      </c>
      <c r="G313" s="28" t="s">
        <v>957</v>
      </c>
      <c r="H313" s="31" t="n">
        <v>0</v>
      </c>
      <c r="I313" s="28" t="s">
        <v>941</v>
      </c>
    </row>
    <row r="314" customFormat="false" ht="15" hidden="false" customHeight="false" outlineLevel="0" collapsed="false">
      <c r="A314" s="28" t="s">
        <v>186</v>
      </c>
      <c r="B314" s="28" t="s">
        <v>466</v>
      </c>
      <c r="C314" s="28" t="s">
        <v>447</v>
      </c>
      <c r="D314" s="23" t="n">
        <v>6200</v>
      </c>
      <c r="E314" s="23" t="n">
        <v>7316</v>
      </c>
      <c r="F314" s="31" t="n">
        <v>-4.2373</v>
      </c>
      <c r="G314" s="28" t="s">
        <v>955</v>
      </c>
      <c r="H314" s="31" t="n">
        <v>-338.9831</v>
      </c>
      <c r="I314" s="28" t="s">
        <v>941</v>
      </c>
    </row>
    <row r="315" customFormat="false" ht="15" hidden="false" customHeight="false" outlineLevel="0" collapsed="false">
      <c r="A315" s="28" t="s">
        <v>186</v>
      </c>
      <c r="B315" s="28" t="s">
        <v>971</v>
      </c>
      <c r="C315" s="28" t="s">
        <v>447</v>
      </c>
      <c r="D315" s="23" t="n">
        <v>577875.54</v>
      </c>
      <c r="E315" s="23" t="n">
        <v>577875.54</v>
      </c>
      <c r="F315" s="31" t="n">
        <v>0</v>
      </c>
      <c r="G315" s="28" t="s">
        <v>955</v>
      </c>
      <c r="H315" s="31" t="n">
        <v>0</v>
      </c>
      <c r="I315" s="28" t="s">
        <v>941</v>
      </c>
    </row>
    <row r="316" customFormat="false" ht="15" hidden="false" customHeight="false" outlineLevel="0" collapsed="false">
      <c r="A316" s="28" t="s">
        <v>186</v>
      </c>
      <c r="B316" s="28" t="s">
        <v>972</v>
      </c>
      <c r="C316" s="28" t="s">
        <v>469</v>
      </c>
      <c r="D316" s="23" t="n">
        <v>1551679.623</v>
      </c>
      <c r="E316" s="23" t="n">
        <v>1085621.57250155</v>
      </c>
      <c r="F316" s="31" t="n">
        <v>4.1345</v>
      </c>
      <c r="G316" s="28" t="s">
        <v>973</v>
      </c>
      <c r="H316" s="31" t="n">
        <v>36.7003</v>
      </c>
      <c r="I316" s="28" t="s">
        <v>941</v>
      </c>
    </row>
    <row r="317" customFormat="false" ht="15" hidden="false" customHeight="false" outlineLevel="0" collapsed="false">
      <c r="A317" s="28" t="s">
        <v>186</v>
      </c>
      <c r="B317" s="28" t="s">
        <v>974</v>
      </c>
      <c r="C317" s="28" t="s">
        <v>469</v>
      </c>
      <c r="D317" s="23" t="n">
        <v>330000</v>
      </c>
      <c r="E317" s="23" t="n">
        <v>257454.314609132</v>
      </c>
      <c r="F317" s="31" t="n">
        <v>2.8255</v>
      </c>
      <c r="G317" s="28" t="s">
        <v>973</v>
      </c>
      <c r="H317" s="31" t="n">
        <v>19.6066</v>
      </c>
      <c r="I317" s="28" t="s">
        <v>941</v>
      </c>
    </row>
    <row r="318" customFormat="false" ht="15" hidden="false" customHeight="false" outlineLevel="0" collapsed="false">
      <c r="A318" s="28" t="s">
        <v>186</v>
      </c>
      <c r="B318" s="28" t="s">
        <v>975</v>
      </c>
      <c r="C318" s="28" t="s">
        <v>469</v>
      </c>
      <c r="D318" s="23" t="n">
        <v>1462571.75</v>
      </c>
      <c r="E318" s="23" t="n">
        <v>1015184.19488271</v>
      </c>
      <c r="F318" s="31" t="n">
        <v>3.9565</v>
      </c>
      <c r="G318" s="28" t="s">
        <v>973</v>
      </c>
      <c r="H318" s="31" t="n">
        <v>35.1063</v>
      </c>
      <c r="I318" s="28" t="s">
        <v>941</v>
      </c>
    </row>
    <row r="319" customFormat="false" ht="15" hidden="false" customHeight="false" outlineLevel="0" collapsed="false">
      <c r="A319" s="28" t="s">
        <v>186</v>
      </c>
      <c r="B319" s="28" t="s">
        <v>976</v>
      </c>
      <c r="C319" s="28" t="s">
        <v>469</v>
      </c>
      <c r="D319" s="23" t="n">
        <v>50000</v>
      </c>
      <c r="E319" s="23" t="n">
        <v>38476.1835990286</v>
      </c>
      <c r="F319" s="31" t="n">
        <v>2.9165</v>
      </c>
      <c r="G319" s="28" t="s">
        <v>973</v>
      </c>
      <c r="H319" s="31" t="n">
        <v>20.1463</v>
      </c>
      <c r="I319" s="28" t="s">
        <v>941</v>
      </c>
    </row>
    <row r="320" customFormat="false" ht="15" hidden="false" customHeight="false" outlineLevel="0" collapsed="false">
      <c r="A320" s="28" t="s">
        <v>186</v>
      </c>
      <c r="B320" s="28" t="s">
        <v>601</v>
      </c>
      <c r="C320" s="28" t="s">
        <v>469</v>
      </c>
      <c r="D320" s="23" t="n">
        <v>1000000</v>
      </c>
      <c r="E320" s="23" t="n">
        <v>786164.832972063</v>
      </c>
      <c r="F320" s="31" t="n">
        <v>2.6486</v>
      </c>
      <c r="G320" s="28" t="s">
        <v>973</v>
      </c>
      <c r="H320" s="31" t="n">
        <v>18.2616</v>
      </c>
      <c r="I320" s="28" t="s">
        <v>941</v>
      </c>
    </row>
    <row r="321" customFormat="false" ht="15" hidden="false" customHeight="false" outlineLevel="0" collapsed="false">
      <c r="A321" s="28" t="s">
        <v>186</v>
      </c>
      <c r="B321" s="28" t="s">
        <v>603</v>
      </c>
      <c r="C321" s="28" t="s">
        <v>469</v>
      </c>
      <c r="D321" s="23" t="n">
        <v>1100000</v>
      </c>
      <c r="E321" s="23" t="n">
        <v>957727.959222691</v>
      </c>
      <c r="F321" s="31" t="n">
        <v>1.4566</v>
      </c>
      <c r="G321" s="28" t="s">
        <v>973</v>
      </c>
      <c r="H321" s="31" t="n">
        <v>8.6716</v>
      </c>
      <c r="I321" s="28" t="s">
        <v>941</v>
      </c>
    </row>
    <row r="322" customFormat="false" ht="15" hidden="false" customHeight="false" outlineLevel="0" collapsed="false">
      <c r="A322" s="28" t="s">
        <v>186</v>
      </c>
      <c r="B322" s="28" t="s">
        <v>605</v>
      </c>
      <c r="C322" s="28" t="s">
        <v>469</v>
      </c>
      <c r="D322" s="23" t="n">
        <v>800000</v>
      </c>
      <c r="E322" s="23" t="n">
        <v>736800.318355445</v>
      </c>
      <c r="F322" s="31" t="n">
        <v>0.8731</v>
      </c>
      <c r="G322" s="28" t="s">
        <v>973</v>
      </c>
      <c r="H322" s="31" t="n">
        <v>4.8472</v>
      </c>
      <c r="I322" s="28" t="s">
        <v>941</v>
      </c>
    </row>
    <row r="323" customFormat="false" ht="15" hidden="false" customHeight="false" outlineLevel="0" collapsed="false">
      <c r="A323" s="28" t="s">
        <v>186</v>
      </c>
      <c r="B323" s="28" t="s">
        <v>977</v>
      </c>
      <c r="C323" s="28" t="s">
        <v>469</v>
      </c>
      <c r="D323" s="23" t="n">
        <v>765287.677</v>
      </c>
      <c r="E323" s="23" t="n">
        <v>734577.744198245</v>
      </c>
      <c r="F323" s="31" t="n">
        <v>0.4203</v>
      </c>
      <c r="G323" s="28" t="s">
        <v>973</v>
      </c>
      <c r="H323" s="31" t="n">
        <v>2.078</v>
      </c>
      <c r="I323" s="28" t="s">
        <v>941</v>
      </c>
    </row>
    <row r="324" customFormat="false" ht="15" hidden="false" customHeight="false" outlineLevel="0" collapsed="false">
      <c r="A324" s="28" t="s">
        <v>186</v>
      </c>
      <c r="B324" s="28" t="s">
        <v>978</v>
      </c>
      <c r="C324" s="28" t="s">
        <v>469</v>
      </c>
      <c r="D324" s="23" t="n">
        <v>74688.3604</v>
      </c>
      <c r="E324" s="23" t="n">
        <v>51493.7059293915</v>
      </c>
      <c r="F324" s="31" t="n">
        <v>3.7374</v>
      </c>
      <c r="G324" s="28" t="s">
        <v>973</v>
      </c>
      <c r="H324" s="31" t="n">
        <v>41.1143</v>
      </c>
      <c r="I324" s="28" t="s">
        <v>941</v>
      </c>
    </row>
    <row r="325" customFormat="false" ht="15" hidden="false" customHeight="false" outlineLevel="0" collapsed="false">
      <c r="A325" s="28" t="s">
        <v>186</v>
      </c>
      <c r="B325" s="28" t="s">
        <v>979</v>
      </c>
      <c r="C325" s="28" t="s">
        <v>469</v>
      </c>
      <c r="D325" s="23" t="n">
        <v>14494.065</v>
      </c>
      <c r="E325" s="23" t="n">
        <v>11941.139807568</v>
      </c>
      <c r="F325" s="31" t="n">
        <v>2.3777</v>
      </c>
      <c r="G325" s="28" t="s">
        <v>973</v>
      </c>
      <c r="H325" s="31" t="n">
        <v>13.7297</v>
      </c>
      <c r="I325" s="28" t="s">
        <v>941</v>
      </c>
    </row>
    <row r="326" customFormat="false" ht="15" hidden="false" customHeight="false" outlineLevel="0" collapsed="false">
      <c r="A326" s="28" t="s">
        <v>186</v>
      </c>
      <c r="B326" s="28" t="s">
        <v>980</v>
      </c>
      <c r="C326" s="28" t="s">
        <v>469</v>
      </c>
      <c r="D326" s="23" t="n">
        <v>734544.639</v>
      </c>
      <c r="E326" s="23" t="n">
        <v>717658.140298962</v>
      </c>
      <c r="F326" s="31" t="n">
        <v>0.7073</v>
      </c>
      <c r="G326" s="28" t="s">
        <v>981</v>
      </c>
      <c r="H326" s="31" t="n">
        <v>1.3463</v>
      </c>
      <c r="I326" s="28" t="s">
        <v>941</v>
      </c>
    </row>
    <row r="327" customFormat="false" ht="15" hidden="false" customHeight="false" outlineLevel="0" collapsed="false">
      <c r="A327" s="28" t="s">
        <v>186</v>
      </c>
      <c r="B327" s="28" t="s">
        <v>982</v>
      </c>
      <c r="C327" s="28" t="s">
        <v>469</v>
      </c>
      <c r="D327" s="23" t="n">
        <v>860301.67</v>
      </c>
      <c r="E327" s="23" t="n">
        <v>841214.004640978</v>
      </c>
      <c r="F327" s="31" t="n">
        <v>0.7074</v>
      </c>
      <c r="G327" s="28" t="s">
        <v>981</v>
      </c>
      <c r="H327" s="31" t="n">
        <v>1.3464</v>
      </c>
      <c r="I327" s="28" t="s">
        <v>941</v>
      </c>
    </row>
    <row r="328" customFormat="false" ht="15" hidden="false" customHeight="false" outlineLevel="0" collapsed="false">
      <c r="A328" s="28" t="s">
        <v>186</v>
      </c>
      <c r="B328" s="28" t="s">
        <v>983</v>
      </c>
      <c r="C328" s="28" t="s">
        <v>469</v>
      </c>
      <c r="D328" s="23" t="n">
        <v>112032.5406</v>
      </c>
      <c r="E328" s="23" t="n">
        <v>107300.764538416</v>
      </c>
      <c r="F328" s="31" t="n">
        <v>1.3425</v>
      </c>
      <c r="G328" s="28" t="s">
        <v>981</v>
      </c>
      <c r="H328" s="31" t="n">
        <v>3.5642</v>
      </c>
      <c r="I328" s="28" t="s">
        <v>941</v>
      </c>
    </row>
    <row r="329" customFormat="false" ht="15" hidden="false" customHeight="false" outlineLevel="0" collapsed="false">
      <c r="A329" s="28" t="s">
        <v>186</v>
      </c>
      <c r="B329" s="28" t="s">
        <v>984</v>
      </c>
      <c r="C329" s="28" t="s">
        <v>469</v>
      </c>
      <c r="D329" s="23" t="n">
        <v>124418.196</v>
      </c>
      <c r="E329" s="23" t="n">
        <v>124418.196</v>
      </c>
      <c r="F329" s="31" t="n">
        <v>0</v>
      </c>
      <c r="G329" s="28" t="s">
        <v>984</v>
      </c>
      <c r="H329" s="31" t="n">
        <v>0</v>
      </c>
      <c r="I329" s="28" t="s">
        <v>941</v>
      </c>
    </row>
    <row r="330" customFormat="false" ht="15" hidden="false" customHeight="false" outlineLevel="0" collapsed="false">
      <c r="A330" s="28" t="s">
        <v>186</v>
      </c>
      <c r="B330" s="28" t="s">
        <v>985</v>
      </c>
      <c r="C330" s="28" t="s">
        <v>874</v>
      </c>
      <c r="D330" s="23" t="n">
        <v>0</v>
      </c>
      <c r="E330" s="23" t="n">
        <v>-4320</v>
      </c>
      <c r="G330" s="28" t="s">
        <v>986</v>
      </c>
      <c r="I330" s="28" t="s">
        <v>941</v>
      </c>
    </row>
    <row r="331" customFormat="false" ht="15" hidden="false" customHeight="false" outlineLevel="0" collapsed="false">
      <c r="A331" s="28" t="s">
        <v>188</v>
      </c>
      <c r="B331" s="28" t="s">
        <v>449</v>
      </c>
      <c r="C331" s="28" t="s">
        <v>447</v>
      </c>
      <c r="D331" s="23" t="n">
        <v>695254.49</v>
      </c>
      <c r="E331" s="23" t="n">
        <v>695254.49</v>
      </c>
      <c r="F331" s="31" t="n">
        <v>0</v>
      </c>
      <c r="G331" s="28" t="s">
        <v>940</v>
      </c>
      <c r="H331" s="31" t="n">
        <v>0</v>
      </c>
      <c r="I331" s="28" t="s">
        <v>941</v>
      </c>
    </row>
    <row r="332" customFormat="false" ht="15" hidden="false" customHeight="false" outlineLevel="0" collapsed="false">
      <c r="A332" s="28" t="s">
        <v>188</v>
      </c>
      <c r="B332" s="28" t="s">
        <v>942</v>
      </c>
      <c r="C332" s="28" t="s">
        <v>447</v>
      </c>
      <c r="D332" s="23" t="n">
        <v>150051.434903246</v>
      </c>
      <c r="E332" s="23" t="n">
        <v>139092.042078253</v>
      </c>
      <c r="F332" s="31" t="n">
        <v>1.8545</v>
      </c>
      <c r="G332" s="28" t="s">
        <v>943</v>
      </c>
      <c r="H332" s="31" t="n">
        <v>5.4834</v>
      </c>
      <c r="I332" s="28" t="s">
        <v>941</v>
      </c>
    </row>
    <row r="333" customFormat="false" ht="15" hidden="false" customHeight="false" outlineLevel="0" collapsed="false">
      <c r="A333" s="28" t="s">
        <v>188</v>
      </c>
      <c r="B333" s="28" t="s">
        <v>944</v>
      </c>
      <c r="C333" s="28" t="s">
        <v>447</v>
      </c>
      <c r="D333" s="23" t="n">
        <v>367549.241673984</v>
      </c>
      <c r="E333" s="23" t="n">
        <v>329278.770982365</v>
      </c>
      <c r="F333" s="31" t="n">
        <v>2.6829</v>
      </c>
      <c r="G333" s="28" t="s">
        <v>943</v>
      </c>
      <c r="H333" s="31" t="n">
        <v>10.4362</v>
      </c>
      <c r="I333" s="28" t="s">
        <v>941</v>
      </c>
    </row>
    <row r="334" customFormat="false" ht="15" hidden="false" customHeight="false" outlineLevel="0" collapsed="false">
      <c r="A334" s="28" t="s">
        <v>188</v>
      </c>
      <c r="B334" s="28" t="s">
        <v>945</v>
      </c>
      <c r="C334" s="28" t="s">
        <v>447</v>
      </c>
      <c r="D334" s="23" t="n">
        <v>548633.753403125</v>
      </c>
      <c r="E334" s="23" t="n">
        <v>420973.342870528</v>
      </c>
      <c r="F334" s="31" t="n">
        <v>5.985</v>
      </c>
      <c r="G334" s="28" t="s">
        <v>943</v>
      </c>
      <c r="H334" s="31" t="n">
        <v>65.1327</v>
      </c>
      <c r="I334" s="28" t="s">
        <v>941</v>
      </c>
    </row>
    <row r="335" customFormat="false" ht="15" hidden="false" customHeight="false" outlineLevel="0" collapsed="false">
      <c r="A335" s="28" t="s">
        <v>188</v>
      </c>
      <c r="B335" s="28" t="s">
        <v>946</v>
      </c>
      <c r="C335" s="28" t="s">
        <v>447</v>
      </c>
      <c r="D335" s="23" t="n">
        <v>305274.71975975</v>
      </c>
      <c r="E335" s="23" t="n">
        <v>234608.170351835</v>
      </c>
      <c r="F335" s="31" t="n">
        <v>5.8641</v>
      </c>
      <c r="G335" s="28" t="s">
        <v>943</v>
      </c>
      <c r="H335" s="31" t="n">
        <v>64.6742</v>
      </c>
      <c r="I335" s="28" t="s">
        <v>941</v>
      </c>
    </row>
    <row r="336" customFormat="false" ht="15" hidden="false" customHeight="false" outlineLevel="0" collapsed="false">
      <c r="A336" s="28" t="s">
        <v>188</v>
      </c>
      <c r="B336" s="28" t="s">
        <v>947</v>
      </c>
      <c r="C336" s="28" t="s">
        <v>447</v>
      </c>
      <c r="D336" s="23" t="n">
        <v>352414.480607701</v>
      </c>
      <c r="E336" s="23" t="n">
        <v>292407.544513269</v>
      </c>
      <c r="F336" s="31" t="n">
        <v>4.3637</v>
      </c>
      <c r="G336" s="28" t="s">
        <v>943</v>
      </c>
      <c r="H336" s="31" t="n">
        <v>33.4542</v>
      </c>
      <c r="I336" s="28" t="s">
        <v>941</v>
      </c>
    </row>
    <row r="337" customFormat="false" ht="15" hidden="false" customHeight="false" outlineLevel="0" collapsed="false">
      <c r="A337" s="28" t="s">
        <v>188</v>
      </c>
      <c r="B337" s="28" t="s">
        <v>948</v>
      </c>
      <c r="C337" s="28" t="s">
        <v>447</v>
      </c>
      <c r="D337" s="23" t="n">
        <v>136497.166545512</v>
      </c>
      <c r="E337" s="23" t="n">
        <v>106220.78400445</v>
      </c>
      <c r="F337" s="31" t="n">
        <v>6.1289</v>
      </c>
      <c r="G337" s="28" t="s">
        <v>943</v>
      </c>
      <c r="H337" s="31" t="n">
        <v>44.6347</v>
      </c>
      <c r="I337" s="28" t="s">
        <v>941</v>
      </c>
    </row>
    <row r="338" customFormat="false" ht="15" hidden="false" customHeight="false" outlineLevel="0" collapsed="false">
      <c r="A338" s="28" t="s">
        <v>188</v>
      </c>
      <c r="B338" s="28" t="s">
        <v>949</v>
      </c>
      <c r="C338" s="28" t="s">
        <v>447</v>
      </c>
      <c r="D338" s="23" t="n">
        <v>97853.5160956092</v>
      </c>
      <c r="E338" s="23" t="n">
        <v>98376.0786259915</v>
      </c>
      <c r="F338" s="31" t="n">
        <v>-0.1535</v>
      </c>
      <c r="G338" s="28" t="s">
        <v>943</v>
      </c>
      <c r="H338" s="31" t="n">
        <v>0.9041</v>
      </c>
      <c r="I338" s="28" t="s">
        <v>941</v>
      </c>
    </row>
    <row r="339" customFormat="false" ht="15" hidden="false" customHeight="false" outlineLevel="0" collapsed="false">
      <c r="A339" s="28" t="s">
        <v>188</v>
      </c>
      <c r="B339" s="28" t="s">
        <v>950</v>
      </c>
      <c r="C339" s="28" t="s">
        <v>447</v>
      </c>
      <c r="D339" s="23" t="n">
        <v>700000</v>
      </c>
      <c r="E339" s="23" t="n">
        <v>476262.817322423</v>
      </c>
      <c r="F339" s="31" t="n">
        <v>4.8315</v>
      </c>
      <c r="G339" s="28" t="s">
        <v>943</v>
      </c>
      <c r="H339" s="31" t="n">
        <v>40.865</v>
      </c>
      <c r="I339" s="28" t="s">
        <v>941</v>
      </c>
    </row>
    <row r="340" customFormat="false" ht="15" hidden="false" customHeight="false" outlineLevel="0" collapsed="false">
      <c r="A340" s="28" t="s">
        <v>188</v>
      </c>
      <c r="B340" s="28" t="s">
        <v>951</v>
      </c>
      <c r="C340" s="28" t="s">
        <v>447</v>
      </c>
      <c r="D340" s="23" t="n">
        <v>300000</v>
      </c>
      <c r="E340" s="23" t="n">
        <v>239036.582541248</v>
      </c>
      <c r="F340" s="31" t="n">
        <v>3.6017</v>
      </c>
      <c r="G340" s="28" t="s">
        <v>943</v>
      </c>
      <c r="H340" s="31" t="n">
        <v>15.722</v>
      </c>
      <c r="I340" s="28" t="s">
        <v>941</v>
      </c>
    </row>
    <row r="341" customFormat="false" ht="15" hidden="false" customHeight="false" outlineLevel="0" collapsed="false">
      <c r="A341" s="28" t="s">
        <v>188</v>
      </c>
      <c r="B341" s="28" t="s">
        <v>952</v>
      </c>
      <c r="C341" s="28" t="s">
        <v>447</v>
      </c>
      <c r="D341" s="23" t="n">
        <v>200000</v>
      </c>
      <c r="E341" s="23" t="n">
        <v>128457.181945809</v>
      </c>
      <c r="F341" s="31" t="n">
        <v>6.6931</v>
      </c>
      <c r="G341" s="28" t="s">
        <v>943</v>
      </c>
      <c r="H341" s="31" t="n">
        <v>53.856</v>
      </c>
      <c r="I341" s="28" t="s">
        <v>941</v>
      </c>
    </row>
    <row r="342" customFormat="false" ht="15" hidden="false" customHeight="false" outlineLevel="0" collapsed="false">
      <c r="A342" s="28" t="s">
        <v>188</v>
      </c>
      <c r="B342" s="28" t="s">
        <v>953</v>
      </c>
      <c r="C342" s="28" t="s">
        <v>447</v>
      </c>
      <c r="D342" s="23" t="n">
        <v>148403.71</v>
      </c>
      <c r="E342" s="23" t="n">
        <v>134692.08910724</v>
      </c>
      <c r="F342" s="31" t="n">
        <v>2.688</v>
      </c>
      <c r="G342" s="28" t="s">
        <v>943</v>
      </c>
      <c r="H342" s="31" t="n">
        <v>8.8563</v>
      </c>
      <c r="I342" s="28" t="s">
        <v>941</v>
      </c>
    </row>
    <row r="343" customFormat="false" ht="15" hidden="false" customHeight="false" outlineLevel="0" collapsed="false">
      <c r="A343" s="28" t="s">
        <v>188</v>
      </c>
      <c r="B343" s="28" t="s">
        <v>954</v>
      </c>
      <c r="C343" s="28" t="s">
        <v>447</v>
      </c>
      <c r="D343" s="23" t="n">
        <v>24721.732</v>
      </c>
      <c r="E343" s="23" t="n">
        <v>24721.732</v>
      </c>
      <c r="F343" s="31" t="n">
        <v>0</v>
      </c>
      <c r="G343" s="28" t="s">
        <v>943</v>
      </c>
      <c r="H343" s="31" t="n">
        <v>0</v>
      </c>
      <c r="I343" s="28" t="s">
        <v>941</v>
      </c>
    </row>
    <row r="344" customFormat="false" ht="15" hidden="false" customHeight="false" outlineLevel="0" collapsed="false">
      <c r="A344" s="28" t="s">
        <v>188</v>
      </c>
      <c r="B344" s="28" t="s">
        <v>457</v>
      </c>
      <c r="C344" s="28" t="s">
        <v>447</v>
      </c>
      <c r="D344" s="23" t="n">
        <v>17250</v>
      </c>
      <c r="E344" s="23" t="n">
        <v>17250</v>
      </c>
      <c r="F344" s="31" t="n">
        <v>0</v>
      </c>
      <c r="G344" s="28" t="s">
        <v>955</v>
      </c>
      <c r="H344" s="31" t="n">
        <v>0</v>
      </c>
      <c r="I344" s="28" t="s">
        <v>941</v>
      </c>
    </row>
    <row r="345" customFormat="false" ht="15" hidden="false" customHeight="false" outlineLevel="0" collapsed="false">
      <c r="A345" s="28" t="s">
        <v>188</v>
      </c>
      <c r="B345" s="28" t="s">
        <v>956</v>
      </c>
      <c r="C345" s="28" t="s">
        <v>447</v>
      </c>
      <c r="D345" s="23" t="n">
        <v>1515773.50272</v>
      </c>
      <c r="E345" s="23" t="n">
        <v>1520024.67658242</v>
      </c>
      <c r="F345" s="31" t="n">
        <v>-0.0868</v>
      </c>
      <c r="G345" s="28" t="s">
        <v>957</v>
      </c>
      <c r="H345" s="31" t="n">
        <v>0.7443</v>
      </c>
      <c r="I345" s="28" t="s">
        <v>941</v>
      </c>
    </row>
    <row r="346" customFormat="false" ht="15" hidden="false" customHeight="false" outlineLevel="0" collapsed="false">
      <c r="A346" s="28" t="s">
        <v>188</v>
      </c>
      <c r="B346" s="28" t="s">
        <v>958</v>
      </c>
      <c r="C346" s="28" t="s">
        <v>447</v>
      </c>
      <c r="D346" s="23" t="n">
        <v>589467.47328</v>
      </c>
      <c r="E346" s="23" t="n">
        <v>483714.9392727</v>
      </c>
      <c r="F346" s="31" t="n">
        <v>3.9435</v>
      </c>
      <c r="G346" s="28" t="s">
        <v>957</v>
      </c>
      <c r="H346" s="31" t="n">
        <v>26.7597</v>
      </c>
      <c r="I346" s="28" t="s">
        <v>941</v>
      </c>
    </row>
    <row r="347" customFormat="false" ht="15" hidden="false" customHeight="false" outlineLevel="0" collapsed="false">
      <c r="A347" s="28" t="s">
        <v>188</v>
      </c>
      <c r="B347" s="28" t="s">
        <v>959</v>
      </c>
      <c r="C347" s="28" t="s">
        <v>447</v>
      </c>
      <c r="D347" s="23" t="n">
        <v>1104190.947</v>
      </c>
      <c r="E347" s="23" t="n">
        <v>1019724.30986624</v>
      </c>
      <c r="F347" s="31" t="n">
        <v>1.6957</v>
      </c>
      <c r="G347" s="28" t="s">
        <v>957</v>
      </c>
      <c r="H347" s="31" t="n">
        <v>5.1357</v>
      </c>
      <c r="I347" s="28" t="s">
        <v>941</v>
      </c>
    </row>
    <row r="348" customFormat="false" ht="15" hidden="false" customHeight="false" outlineLevel="0" collapsed="false">
      <c r="A348" s="28" t="s">
        <v>188</v>
      </c>
      <c r="B348" s="28" t="s">
        <v>960</v>
      </c>
      <c r="C348" s="28" t="s">
        <v>447</v>
      </c>
      <c r="D348" s="23" t="n">
        <v>476328.947</v>
      </c>
      <c r="E348" s="23" t="n">
        <v>436041.457256171</v>
      </c>
      <c r="F348" s="31" t="n">
        <v>1.8003</v>
      </c>
      <c r="G348" s="28" t="s">
        <v>957</v>
      </c>
      <c r="H348" s="31" t="n">
        <v>5.6917</v>
      </c>
      <c r="I348" s="28" t="s">
        <v>941</v>
      </c>
    </row>
    <row r="349" customFormat="false" ht="15" hidden="false" customHeight="false" outlineLevel="0" collapsed="false">
      <c r="A349" s="28" t="s">
        <v>188</v>
      </c>
      <c r="B349" s="28" t="s">
        <v>961</v>
      </c>
      <c r="C349" s="28" t="s">
        <v>447</v>
      </c>
      <c r="D349" s="23" t="n">
        <v>374430.3036</v>
      </c>
      <c r="E349" s="23" t="n">
        <v>246337.492559226</v>
      </c>
      <c r="F349" s="31" t="n">
        <v>5.8167</v>
      </c>
      <c r="G349" s="28" t="s">
        <v>957</v>
      </c>
      <c r="H349" s="31" t="n">
        <v>62.0533</v>
      </c>
      <c r="I349" s="28" t="s">
        <v>941</v>
      </c>
    </row>
    <row r="350" customFormat="false" ht="15" hidden="false" customHeight="false" outlineLevel="0" collapsed="false">
      <c r="A350" s="28" t="s">
        <v>188</v>
      </c>
      <c r="B350" s="28" t="s">
        <v>962</v>
      </c>
      <c r="C350" s="28" t="s">
        <v>447</v>
      </c>
      <c r="D350" s="23" t="n">
        <v>249620.2024</v>
      </c>
      <c r="E350" s="23" t="n">
        <v>234211.088197192</v>
      </c>
      <c r="F350" s="31" t="n">
        <v>4.5417</v>
      </c>
      <c r="G350" s="28" t="s">
        <v>957</v>
      </c>
      <c r="H350" s="31" t="n">
        <v>-370.3503</v>
      </c>
      <c r="I350" s="28" t="s">
        <v>941</v>
      </c>
    </row>
    <row r="351" customFormat="false" ht="15" hidden="false" customHeight="false" outlineLevel="0" collapsed="false">
      <c r="A351" s="28" t="s">
        <v>188</v>
      </c>
      <c r="B351" s="28" t="s">
        <v>963</v>
      </c>
      <c r="C351" s="28" t="s">
        <v>447</v>
      </c>
      <c r="D351" s="23" t="n">
        <v>720674.90295</v>
      </c>
      <c r="E351" s="23" t="n">
        <v>665550.576473424</v>
      </c>
      <c r="F351" s="31" t="n">
        <v>1.7762</v>
      </c>
      <c r="G351" s="28" t="s">
        <v>957</v>
      </c>
      <c r="H351" s="31" t="n">
        <v>6.5763</v>
      </c>
      <c r="I351" s="28" t="s">
        <v>941</v>
      </c>
    </row>
    <row r="352" customFormat="false" ht="15" hidden="false" customHeight="false" outlineLevel="0" collapsed="false">
      <c r="A352" s="28" t="s">
        <v>188</v>
      </c>
      <c r="B352" s="28" t="s">
        <v>964</v>
      </c>
      <c r="C352" s="28" t="s">
        <v>447</v>
      </c>
      <c r="D352" s="23" t="n">
        <v>127177.92405</v>
      </c>
      <c r="E352" s="23" t="n">
        <v>127643.297427193</v>
      </c>
      <c r="F352" s="31" t="n">
        <v>-0.1117</v>
      </c>
      <c r="G352" s="28" t="s">
        <v>957</v>
      </c>
      <c r="H352" s="31" t="n">
        <v>0.8715</v>
      </c>
      <c r="I352" s="28" t="s">
        <v>941</v>
      </c>
    </row>
    <row r="353" customFormat="false" ht="15" hidden="false" customHeight="false" outlineLevel="0" collapsed="false">
      <c r="A353" s="28" t="s">
        <v>188</v>
      </c>
      <c r="B353" s="28" t="s">
        <v>965</v>
      </c>
      <c r="C353" s="28" t="s">
        <v>447</v>
      </c>
      <c r="D353" s="23" t="n">
        <v>20543.822</v>
      </c>
      <c r="E353" s="23" t="n">
        <v>20573.6298520005</v>
      </c>
      <c r="F353" s="31" t="n">
        <v>-0.048</v>
      </c>
      <c r="G353" s="28" t="s">
        <v>957</v>
      </c>
      <c r="H353" s="31" t="n">
        <v>0.5626</v>
      </c>
      <c r="I353" s="28" t="s">
        <v>941</v>
      </c>
    </row>
    <row r="354" customFormat="false" ht="15" hidden="false" customHeight="false" outlineLevel="0" collapsed="false">
      <c r="A354" s="28" t="s">
        <v>188</v>
      </c>
      <c r="B354" s="28" t="s">
        <v>966</v>
      </c>
      <c r="C354" s="28" t="s">
        <v>447</v>
      </c>
      <c r="D354" s="23" t="n">
        <v>62649.693</v>
      </c>
      <c r="E354" s="23" t="n">
        <v>59479.9519156017</v>
      </c>
      <c r="F354" s="31" t="n">
        <v>1.0703</v>
      </c>
      <c r="G354" s="28" t="s">
        <v>957</v>
      </c>
      <c r="H354" s="31" t="n">
        <v>2.2298</v>
      </c>
      <c r="I354" s="28" t="s">
        <v>941</v>
      </c>
    </row>
    <row r="355" customFormat="false" ht="15" hidden="false" customHeight="false" outlineLevel="0" collapsed="false">
      <c r="A355" s="28" t="s">
        <v>188</v>
      </c>
      <c r="B355" s="28" t="s">
        <v>967</v>
      </c>
      <c r="C355" s="28" t="s">
        <v>447</v>
      </c>
      <c r="D355" s="23" t="n">
        <v>41766.462</v>
      </c>
      <c r="E355" s="23" t="n">
        <v>41720.2458135717</v>
      </c>
      <c r="F355" s="31" t="n">
        <v>0.8548</v>
      </c>
      <c r="G355" s="28" t="s">
        <v>957</v>
      </c>
      <c r="H355" s="31" t="n">
        <v>-189.9638</v>
      </c>
      <c r="I355" s="28" t="s">
        <v>941</v>
      </c>
    </row>
    <row r="356" customFormat="false" ht="15" hidden="false" customHeight="false" outlineLevel="0" collapsed="false">
      <c r="A356" s="28" t="s">
        <v>188</v>
      </c>
      <c r="B356" s="28" t="s">
        <v>968</v>
      </c>
      <c r="C356" s="28" t="s">
        <v>447</v>
      </c>
      <c r="D356" s="23" t="n">
        <v>21376.155</v>
      </c>
      <c r="E356" s="23" t="n">
        <v>19545.0489352004</v>
      </c>
      <c r="F356" s="31" t="n">
        <v>1.895</v>
      </c>
      <c r="G356" s="28" t="s">
        <v>957</v>
      </c>
      <c r="H356" s="31" t="n">
        <v>6.549</v>
      </c>
      <c r="I356" s="28" t="s">
        <v>941</v>
      </c>
    </row>
    <row r="357" customFormat="false" ht="15" hidden="false" customHeight="false" outlineLevel="0" collapsed="false">
      <c r="A357" s="28" t="s">
        <v>188</v>
      </c>
      <c r="B357" s="28" t="s">
        <v>969</v>
      </c>
      <c r="C357" s="28" t="s">
        <v>447</v>
      </c>
      <c r="D357" s="23" t="n">
        <v>1397.217</v>
      </c>
      <c r="E357" s="23" t="n">
        <v>1194.23882216453</v>
      </c>
      <c r="F357" s="31" t="n">
        <v>2.6857</v>
      </c>
      <c r="G357" s="28" t="s">
        <v>957</v>
      </c>
      <c r="H357" s="31" t="n">
        <v>12.7061</v>
      </c>
      <c r="I357" s="28" t="s">
        <v>941</v>
      </c>
    </row>
    <row r="358" customFormat="false" ht="15" hidden="false" customHeight="false" outlineLevel="0" collapsed="false">
      <c r="A358" s="28" t="s">
        <v>188</v>
      </c>
      <c r="B358" s="28" t="s">
        <v>970</v>
      </c>
      <c r="C358" s="28" t="s">
        <v>447</v>
      </c>
      <c r="D358" s="23" t="n">
        <v>42.972</v>
      </c>
      <c r="E358" s="23" t="n">
        <v>34.9104520302686</v>
      </c>
      <c r="F358" s="31" t="n">
        <v>4.0707</v>
      </c>
      <c r="G358" s="28" t="s">
        <v>957</v>
      </c>
      <c r="H358" s="31" t="n">
        <v>30.676</v>
      </c>
      <c r="I358" s="28" t="s">
        <v>941</v>
      </c>
    </row>
    <row r="359" customFormat="false" ht="15" hidden="false" customHeight="false" outlineLevel="0" collapsed="false">
      <c r="A359" s="28" t="s">
        <v>188</v>
      </c>
      <c r="B359" s="28" t="s">
        <v>459</v>
      </c>
      <c r="C359" s="28" t="s">
        <v>447</v>
      </c>
      <c r="D359" s="23" t="n">
        <v>1976.718</v>
      </c>
      <c r="E359" s="23" t="n">
        <v>1967.44631093526</v>
      </c>
      <c r="F359" s="31" t="n">
        <v>0.1641</v>
      </c>
      <c r="G359" s="28" t="s">
        <v>957</v>
      </c>
      <c r="H359" s="31" t="n">
        <v>0.0532</v>
      </c>
      <c r="I359" s="28" t="s">
        <v>941</v>
      </c>
    </row>
    <row r="360" customFormat="false" ht="15" hidden="false" customHeight="false" outlineLevel="0" collapsed="false">
      <c r="A360" s="28" t="s">
        <v>188</v>
      </c>
      <c r="B360" s="28" t="s">
        <v>489</v>
      </c>
      <c r="C360" s="28" t="s">
        <v>447</v>
      </c>
      <c r="D360" s="23" t="n">
        <v>-47552</v>
      </c>
      <c r="E360" s="23" t="n">
        <v>-47552</v>
      </c>
      <c r="F360" s="31" t="n">
        <v>0</v>
      </c>
      <c r="G360" s="28" t="s">
        <v>957</v>
      </c>
      <c r="H360" s="31" t="n">
        <v>0</v>
      </c>
      <c r="I360" s="28" t="s">
        <v>941</v>
      </c>
    </row>
    <row r="361" customFormat="false" ht="15" hidden="false" customHeight="false" outlineLevel="0" collapsed="false">
      <c r="A361" s="28" t="s">
        <v>188</v>
      </c>
      <c r="B361" s="28" t="s">
        <v>466</v>
      </c>
      <c r="C361" s="28" t="s">
        <v>447</v>
      </c>
      <c r="D361" s="23" t="n">
        <v>6200</v>
      </c>
      <c r="E361" s="23" t="n">
        <v>7440</v>
      </c>
      <c r="F361" s="31" t="n">
        <v>0</v>
      </c>
      <c r="G361" s="28" t="s">
        <v>955</v>
      </c>
      <c r="H361" s="31" t="n">
        <v>0</v>
      </c>
      <c r="I361" s="28" t="s">
        <v>941</v>
      </c>
    </row>
    <row r="362" customFormat="false" ht="15" hidden="false" customHeight="false" outlineLevel="0" collapsed="false">
      <c r="A362" s="28" t="s">
        <v>188</v>
      </c>
      <c r="B362" s="28" t="s">
        <v>971</v>
      </c>
      <c r="C362" s="28" t="s">
        <v>447</v>
      </c>
      <c r="D362" s="23" t="n">
        <v>577875.54</v>
      </c>
      <c r="E362" s="23" t="n">
        <v>577875.54</v>
      </c>
      <c r="F362" s="31" t="n">
        <v>0</v>
      </c>
      <c r="G362" s="28" t="s">
        <v>955</v>
      </c>
      <c r="H362" s="31" t="n">
        <v>0</v>
      </c>
      <c r="I362" s="28" t="s">
        <v>941</v>
      </c>
    </row>
    <row r="363" customFormat="false" ht="15" hidden="false" customHeight="false" outlineLevel="0" collapsed="false">
      <c r="A363" s="28" t="s">
        <v>188</v>
      </c>
      <c r="B363" s="28" t="s">
        <v>972</v>
      </c>
      <c r="C363" s="28" t="s">
        <v>469</v>
      </c>
      <c r="D363" s="23" t="n">
        <v>1551679.623</v>
      </c>
      <c r="E363" s="23" t="n">
        <v>1042665.39233706</v>
      </c>
      <c r="F363" s="31" t="n">
        <v>3.9464</v>
      </c>
      <c r="G363" s="28" t="s">
        <v>973</v>
      </c>
      <c r="H363" s="31" t="n">
        <v>33.5862</v>
      </c>
      <c r="I363" s="28" t="s">
        <v>941</v>
      </c>
    </row>
    <row r="364" customFormat="false" ht="15" hidden="false" customHeight="false" outlineLevel="0" collapsed="false">
      <c r="A364" s="28" t="s">
        <v>188</v>
      </c>
      <c r="B364" s="28" t="s">
        <v>974</v>
      </c>
      <c r="C364" s="28" t="s">
        <v>469</v>
      </c>
      <c r="D364" s="23" t="n">
        <v>330000</v>
      </c>
      <c r="E364" s="23" t="n">
        <v>250426.163952122</v>
      </c>
      <c r="F364" s="31" t="n">
        <v>2.7131</v>
      </c>
      <c r="G364" s="28" t="s">
        <v>973</v>
      </c>
      <c r="H364" s="31" t="n">
        <v>18.215</v>
      </c>
      <c r="I364" s="28" t="s">
        <v>941</v>
      </c>
    </row>
    <row r="365" customFormat="false" ht="15" hidden="false" customHeight="false" outlineLevel="0" collapsed="false">
      <c r="A365" s="28" t="s">
        <v>188</v>
      </c>
      <c r="B365" s="28" t="s">
        <v>975</v>
      </c>
      <c r="C365" s="28" t="s">
        <v>469</v>
      </c>
      <c r="D365" s="23" t="n">
        <v>1462571.75</v>
      </c>
      <c r="E365" s="23" t="n">
        <v>976743.655957784</v>
      </c>
      <c r="F365" s="31" t="n">
        <v>3.77</v>
      </c>
      <c r="G365" s="28" t="s">
        <v>973</v>
      </c>
      <c r="H365" s="31" t="n">
        <v>32.0676</v>
      </c>
      <c r="I365" s="28" t="s">
        <v>941</v>
      </c>
    </row>
    <row r="366" customFormat="false" ht="15" hidden="false" customHeight="false" outlineLevel="0" collapsed="false">
      <c r="A366" s="28" t="s">
        <v>188</v>
      </c>
      <c r="B366" s="28" t="s">
        <v>976</v>
      </c>
      <c r="C366" s="28" t="s">
        <v>469</v>
      </c>
      <c r="D366" s="23" t="n">
        <v>50000</v>
      </c>
      <c r="E366" s="23" t="n">
        <v>37391.8051989268</v>
      </c>
      <c r="F366" s="31" t="n">
        <v>2.804</v>
      </c>
      <c r="G366" s="28" t="s">
        <v>973</v>
      </c>
      <c r="H366" s="31" t="n">
        <v>18.7333</v>
      </c>
      <c r="I366" s="28" t="s">
        <v>941</v>
      </c>
    </row>
    <row r="367" customFormat="false" ht="15" hidden="false" customHeight="false" outlineLevel="0" collapsed="false">
      <c r="A367" s="28" t="s">
        <v>188</v>
      </c>
      <c r="B367" s="28" t="s">
        <v>601</v>
      </c>
      <c r="C367" s="28" t="s">
        <v>469</v>
      </c>
      <c r="D367" s="23" t="n">
        <v>1000000</v>
      </c>
      <c r="E367" s="23" t="n">
        <v>766042.447324502</v>
      </c>
      <c r="F367" s="31" t="n">
        <v>2.5399</v>
      </c>
      <c r="G367" s="28" t="s">
        <v>973</v>
      </c>
      <c r="H367" s="31" t="n">
        <v>16.9365</v>
      </c>
      <c r="I367" s="28" t="s">
        <v>941</v>
      </c>
    </row>
    <row r="368" customFormat="false" ht="15" hidden="false" customHeight="false" outlineLevel="0" collapsed="false">
      <c r="A368" s="28" t="s">
        <v>188</v>
      </c>
      <c r="B368" s="28" t="s">
        <v>603</v>
      </c>
      <c r="C368" s="28" t="s">
        <v>469</v>
      </c>
      <c r="D368" s="23" t="n">
        <v>1100000</v>
      </c>
      <c r="E368" s="23" t="n">
        <v>944184.408297857</v>
      </c>
      <c r="F368" s="31" t="n">
        <v>1.3932</v>
      </c>
      <c r="G368" s="28" t="s">
        <v>973</v>
      </c>
      <c r="H368" s="31" t="n">
        <v>8.0769</v>
      </c>
      <c r="I368" s="28" t="s">
        <v>941</v>
      </c>
    </row>
    <row r="369" customFormat="false" ht="15" hidden="false" customHeight="false" outlineLevel="0" collapsed="false">
      <c r="A369" s="28" t="s">
        <v>188</v>
      </c>
      <c r="B369" s="28" t="s">
        <v>605</v>
      </c>
      <c r="C369" s="28" t="s">
        <v>469</v>
      </c>
      <c r="D369" s="23" t="n">
        <v>800000</v>
      </c>
      <c r="E369" s="23" t="n">
        <v>730542.700892787</v>
      </c>
      <c r="F369" s="31" t="n">
        <v>0.8334</v>
      </c>
      <c r="G369" s="28" t="s">
        <v>973</v>
      </c>
      <c r="H369" s="31" t="n">
        <v>4.5422</v>
      </c>
      <c r="I369" s="28" t="s">
        <v>941</v>
      </c>
    </row>
    <row r="370" customFormat="false" ht="15" hidden="false" customHeight="false" outlineLevel="0" collapsed="false">
      <c r="A370" s="28" t="s">
        <v>188</v>
      </c>
      <c r="B370" s="28" t="s">
        <v>977</v>
      </c>
      <c r="C370" s="28" t="s">
        <v>469</v>
      </c>
      <c r="D370" s="23" t="n">
        <v>765287.677</v>
      </c>
      <c r="E370" s="23" t="n">
        <v>731565.872912713</v>
      </c>
      <c r="F370" s="31" t="n">
        <v>0.4017</v>
      </c>
      <c r="G370" s="28" t="s">
        <v>973</v>
      </c>
      <c r="H370" s="31" t="n">
        <v>1.9704</v>
      </c>
      <c r="I370" s="28" t="s">
        <v>941</v>
      </c>
    </row>
    <row r="371" customFormat="false" ht="15" hidden="false" customHeight="false" outlineLevel="0" collapsed="false">
      <c r="A371" s="28" t="s">
        <v>188</v>
      </c>
      <c r="B371" s="28" t="s">
        <v>978</v>
      </c>
      <c r="C371" s="28" t="s">
        <v>469</v>
      </c>
      <c r="D371" s="23" t="n">
        <v>74688.3604</v>
      </c>
      <c r="E371" s="23" t="n">
        <v>49671.0125129196</v>
      </c>
      <c r="F371" s="31" t="n">
        <v>3.4799</v>
      </c>
      <c r="G371" s="28" t="s">
        <v>973</v>
      </c>
      <c r="H371" s="31" t="n">
        <v>36.4626</v>
      </c>
      <c r="I371" s="28" t="s">
        <v>941</v>
      </c>
    </row>
    <row r="372" customFormat="false" ht="15" hidden="false" customHeight="false" outlineLevel="0" collapsed="false">
      <c r="A372" s="28" t="s">
        <v>188</v>
      </c>
      <c r="B372" s="28" t="s">
        <v>979</v>
      </c>
      <c r="C372" s="28" t="s">
        <v>469</v>
      </c>
      <c r="D372" s="23" t="n">
        <v>14494.065</v>
      </c>
      <c r="E372" s="23" t="n">
        <v>11665.2426796931</v>
      </c>
      <c r="F372" s="31" t="n">
        <v>2.2992</v>
      </c>
      <c r="G372" s="28" t="s">
        <v>973</v>
      </c>
      <c r="H372" s="31" t="n">
        <v>12.9056</v>
      </c>
      <c r="I372" s="28" t="s">
        <v>941</v>
      </c>
    </row>
    <row r="373" customFormat="false" ht="15" hidden="false" customHeight="false" outlineLevel="0" collapsed="false">
      <c r="A373" s="28" t="s">
        <v>188</v>
      </c>
      <c r="B373" s="28" t="s">
        <v>980</v>
      </c>
      <c r="C373" s="28" t="s">
        <v>469</v>
      </c>
      <c r="D373" s="23" t="n">
        <v>734544.639</v>
      </c>
      <c r="E373" s="23" t="n">
        <v>712629.919409838</v>
      </c>
      <c r="F373" s="31" t="n">
        <v>0.699</v>
      </c>
      <c r="G373" s="28" t="s">
        <v>981</v>
      </c>
      <c r="H373" s="31" t="n">
        <v>1.3141</v>
      </c>
      <c r="I373" s="28" t="s">
        <v>941</v>
      </c>
    </row>
    <row r="374" customFormat="false" ht="15" hidden="false" customHeight="false" outlineLevel="0" collapsed="false">
      <c r="A374" s="28" t="s">
        <v>188</v>
      </c>
      <c r="B374" s="28" t="s">
        <v>982</v>
      </c>
      <c r="C374" s="28" t="s">
        <v>469</v>
      </c>
      <c r="D374" s="23" t="n">
        <v>860301.67</v>
      </c>
      <c r="E374" s="23" t="n">
        <v>835319.669980763</v>
      </c>
      <c r="F374" s="31" t="n">
        <v>0.699</v>
      </c>
      <c r="G374" s="28" t="s">
        <v>981</v>
      </c>
      <c r="H374" s="31" t="n">
        <v>1.3143</v>
      </c>
      <c r="I374" s="28" t="s">
        <v>941</v>
      </c>
    </row>
    <row r="375" customFormat="false" ht="15" hidden="false" customHeight="false" outlineLevel="0" collapsed="false">
      <c r="A375" s="28" t="s">
        <v>188</v>
      </c>
      <c r="B375" s="28" t="s">
        <v>983</v>
      </c>
      <c r="C375" s="28" t="s">
        <v>469</v>
      </c>
      <c r="D375" s="23" t="n">
        <v>112032.5406</v>
      </c>
      <c r="E375" s="23" t="n">
        <v>105879.171002367</v>
      </c>
      <c r="F375" s="31" t="n">
        <v>1.3251</v>
      </c>
      <c r="G375" s="28" t="s">
        <v>981</v>
      </c>
      <c r="H375" s="31" t="n">
        <v>3.4816</v>
      </c>
      <c r="I375" s="28" t="s">
        <v>941</v>
      </c>
    </row>
    <row r="376" customFormat="false" ht="15" hidden="false" customHeight="false" outlineLevel="0" collapsed="false">
      <c r="A376" s="28" t="s">
        <v>188</v>
      </c>
      <c r="B376" s="28" t="s">
        <v>984</v>
      </c>
      <c r="C376" s="28" t="s">
        <v>469</v>
      </c>
      <c r="D376" s="23" t="n">
        <v>124418.196</v>
      </c>
      <c r="E376" s="23" t="n">
        <v>124418.196</v>
      </c>
      <c r="F376" s="31" t="n">
        <v>0</v>
      </c>
      <c r="G376" s="28" t="s">
        <v>984</v>
      </c>
      <c r="H376" s="31" t="n">
        <v>0</v>
      </c>
      <c r="I376" s="28" t="s">
        <v>941</v>
      </c>
    </row>
    <row r="377" customFormat="false" ht="15" hidden="false" customHeight="false" outlineLevel="0" collapsed="false">
      <c r="A377" s="28" t="s">
        <v>188</v>
      </c>
      <c r="B377" s="28" t="s">
        <v>985</v>
      </c>
      <c r="C377" s="28" t="s">
        <v>874</v>
      </c>
      <c r="D377" s="23" t="n">
        <v>0</v>
      </c>
      <c r="E377" s="23" t="n">
        <v>-5760</v>
      </c>
      <c r="G377" s="28" t="s">
        <v>986</v>
      </c>
      <c r="I377" s="28" t="s">
        <v>941</v>
      </c>
    </row>
    <row r="378" customFormat="false" ht="15" hidden="false" customHeight="false" outlineLevel="0" collapsed="false">
      <c r="A378" s="28" t="s">
        <v>200</v>
      </c>
      <c r="B378" s="28" t="s">
        <v>449</v>
      </c>
      <c r="C378" s="28" t="s">
        <v>447</v>
      </c>
      <c r="D378" s="23" t="n">
        <v>695254.49</v>
      </c>
      <c r="E378" s="23" t="n">
        <v>695254.49</v>
      </c>
      <c r="F378" s="31" t="n">
        <v>0</v>
      </c>
      <c r="G378" s="28" t="s">
        <v>940</v>
      </c>
      <c r="H378" s="31" t="n">
        <v>0</v>
      </c>
      <c r="I378" s="28" t="s">
        <v>941</v>
      </c>
    </row>
    <row r="379" customFormat="false" ht="15" hidden="false" customHeight="false" outlineLevel="0" collapsed="false">
      <c r="A379" s="28" t="s">
        <v>200</v>
      </c>
      <c r="B379" s="28" t="s">
        <v>942</v>
      </c>
      <c r="C379" s="28" t="s">
        <v>447</v>
      </c>
      <c r="D379" s="23" t="n">
        <v>150051.434903246</v>
      </c>
      <c r="E379" s="23" t="n">
        <v>147899.329321384</v>
      </c>
      <c r="F379" s="31" t="n">
        <v>1.9231</v>
      </c>
      <c r="G379" s="28" t="s">
        <v>943</v>
      </c>
      <c r="H379" s="31" t="n">
        <v>5.8394</v>
      </c>
      <c r="I379" s="28" t="s">
        <v>941</v>
      </c>
    </row>
    <row r="380" customFormat="false" ht="15" hidden="false" customHeight="false" outlineLevel="0" collapsed="false">
      <c r="A380" s="28" t="s">
        <v>200</v>
      </c>
      <c r="B380" s="28" t="s">
        <v>944</v>
      </c>
      <c r="C380" s="28" t="s">
        <v>447</v>
      </c>
      <c r="D380" s="23" t="n">
        <v>367549.241673984</v>
      </c>
      <c r="E380" s="23" t="n">
        <v>358828.50425707</v>
      </c>
      <c r="F380" s="31" t="n">
        <v>2.7892</v>
      </c>
      <c r="G380" s="28" t="s">
        <v>943</v>
      </c>
      <c r="H380" s="31" t="n">
        <v>11.1831</v>
      </c>
      <c r="I380" s="28" t="s">
        <v>941</v>
      </c>
    </row>
    <row r="381" customFormat="false" ht="15" hidden="false" customHeight="false" outlineLevel="0" collapsed="false">
      <c r="A381" s="28" t="s">
        <v>200</v>
      </c>
      <c r="B381" s="28" t="s">
        <v>945</v>
      </c>
      <c r="C381" s="28" t="s">
        <v>447</v>
      </c>
      <c r="D381" s="23" t="n">
        <v>548633.753403125</v>
      </c>
      <c r="E381" s="23" t="n">
        <v>497496.183604896</v>
      </c>
      <c r="F381" s="31" t="n">
        <v>6.8151</v>
      </c>
      <c r="G381" s="28" t="s">
        <v>943</v>
      </c>
      <c r="H381" s="31" t="n">
        <v>81.1154</v>
      </c>
      <c r="I381" s="28" t="s">
        <v>941</v>
      </c>
    </row>
    <row r="382" customFormat="false" ht="15" hidden="false" customHeight="false" outlineLevel="0" collapsed="false">
      <c r="A382" s="28" t="s">
        <v>200</v>
      </c>
      <c r="B382" s="28" t="s">
        <v>946</v>
      </c>
      <c r="C382" s="28" t="s">
        <v>447</v>
      </c>
      <c r="D382" s="23" t="n">
        <v>305274.71975975</v>
      </c>
      <c r="E382" s="23" t="n">
        <v>278774.070014146</v>
      </c>
      <c r="F382" s="31" t="n">
        <v>7.0981</v>
      </c>
      <c r="G382" s="28" t="s">
        <v>943</v>
      </c>
      <c r="H382" s="31" t="n">
        <v>-2.0754</v>
      </c>
      <c r="I382" s="28" t="s">
        <v>941</v>
      </c>
    </row>
    <row r="383" customFormat="false" ht="15" hidden="false" customHeight="false" outlineLevel="0" collapsed="false">
      <c r="A383" s="28" t="s">
        <v>200</v>
      </c>
      <c r="B383" s="28" t="s">
        <v>947</v>
      </c>
      <c r="C383" s="28" t="s">
        <v>447</v>
      </c>
      <c r="D383" s="23" t="n">
        <v>352414.480607701</v>
      </c>
      <c r="E383" s="23" t="n">
        <v>331404.314081087</v>
      </c>
      <c r="F383" s="31" t="n">
        <v>4.7806</v>
      </c>
      <c r="G383" s="28" t="s">
        <v>943</v>
      </c>
      <c r="H383" s="31" t="n">
        <v>38.9239</v>
      </c>
      <c r="I383" s="28" t="s">
        <v>941</v>
      </c>
    </row>
    <row r="384" customFormat="false" ht="15" hidden="false" customHeight="false" outlineLevel="0" collapsed="false">
      <c r="A384" s="28" t="s">
        <v>200</v>
      </c>
      <c r="B384" s="28" t="s">
        <v>948</v>
      </c>
      <c r="C384" s="28" t="s">
        <v>447</v>
      </c>
      <c r="D384" s="23" t="n">
        <v>136497.166545512</v>
      </c>
      <c r="E384" s="23" t="n">
        <v>125950.552731164</v>
      </c>
      <c r="F384" s="31" t="n">
        <v>6.3748</v>
      </c>
      <c r="G384" s="28" t="s">
        <v>943</v>
      </c>
      <c r="H384" s="31" t="n">
        <v>47.7399</v>
      </c>
      <c r="I384" s="28" t="s">
        <v>941</v>
      </c>
    </row>
    <row r="385" customFormat="false" ht="15" hidden="false" customHeight="false" outlineLevel="0" collapsed="false">
      <c r="A385" s="28" t="s">
        <v>200</v>
      </c>
      <c r="B385" s="28" t="s">
        <v>949</v>
      </c>
      <c r="C385" s="28" t="s">
        <v>447</v>
      </c>
      <c r="D385" s="23" t="n">
        <v>97853.5160956092</v>
      </c>
      <c r="E385" s="23" t="n">
        <v>95492.2893494002</v>
      </c>
      <c r="F385" s="31" t="n">
        <v>-0.1722</v>
      </c>
      <c r="G385" s="28" t="s">
        <v>943</v>
      </c>
      <c r="H385" s="31" t="n">
        <v>1.2504</v>
      </c>
      <c r="I385" s="28" t="s">
        <v>941</v>
      </c>
    </row>
    <row r="386" customFormat="false" ht="15" hidden="false" customHeight="false" outlineLevel="0" collapsed="false">
      <c r="A386" s="28" t="s">
        <v>200</v>
      </c>
      <c r="B386" s="28" t="s">
        <v>950</v>
      </c>
      <c r="C386" s="28" t="s">
        <v>447</v>
      </c>
      <c r="D386" s="23" t="n">
        <v>700000</v>
      </c>
      <c r="E386" s="23" t="n">
        <v>546071.007032347</v>
      </c>
      <c r="F386" s="31" t="n">
        <v>5.3326</v>
      </c>
      <c r="G386" s="28" t="s">
        <v>943</v>
      </c>
      <c r="H386" s="31" t="n">
        <v>48.1256</v>
      </c>
      <c r="I386" s="28" t="s">
        <v>941</v>
      </c>
    </row>
    <row r="387" customFormat="false" ht="15" hidden="false" customHeight="false" outlineLevel="0" collapsed="false">
      <c r="A387" s="28" t="s">
        <v>200</v>
      </c>
      <c r="B387" s="28" t="s">
        <v>951</v>
      </c>
      <c r="C387" s="28" t="s">
        <v>447</v>
      </c>
      <c r="D387" s="23" t="n">
        <v>300000</v>
      </c>
      <c r="E387" s="23" t="n">
        <v>267561.511318291</v>
      </c>
      <c r="F387" s="31" t="n">
        <v>3.6967</v>
      </c>
      <c r="G387" s="28" t="s">
        <v>943</v>
      </c>
      <c r="H387" s="31" t="n">
        <v>16.4901</v>
      </c>
      <c r="I387" s="28" t="s">
        <v>941</v>
      </c>
    </row>
    <row r="388" customFormat="false" ht="15" hidden="false" customHeight="false" outlineLevel="0" collapsed="false">
      <c r="A388" s="28" t="s">
        <v>200</v>
      </c>
      <c r="B388" s="28" t="s">
        <v>952</v>
      </c>
      <c r="C388" s="28" t="s">
        <v>447</v>
      </c>
      <c r="D388" s="23" t="n">
        <v>200000</v>
      </c>
      <c r="E388" s="23" t="n">
        <v>153742.714253311</v>
      </c>
      <c r="F388" s="31" t="n">
        <v>7.0047</v>
      </c>
      <c r="G388" s="28" t="s">
        <v>943</v>
      </c>
      <c r="H388" s="31" t="n">
        <v>58.056</v>
      </c>
      <c r="I388" s="28" t="s">
        <v>941</v>
      </c>
    </row>
    <row r="389" customFormat="false" ht="15" hidden="false" customHeight="false" outlineLevel="0" collapsed="false">
      <c r="A389" s="28" t="s">
        <v>200</v>
      </c>
      <c r="B389" s="28" t="s">
        <v>953</v>
      </c>
      <c r="C389" s="28" t="s">
        <v>447</v>
      </c>
      <c r="D389" s="23" t="n">
        <v>148403.71</v>
      </c>
      <c r="E389" s="23" t="n">
        <v>146985.030806386</v>
      </c>
      <c r="F389" s="31" t="n">
        <v>2.745</v>
      </c>
      <c r="G389" s="28" t="s">
        <v>943</v>
      </c>
      <c r="H389" s="31" t="n">
        <v>9.2043</v>
      </c>
      <c r="I389" s="28" t="s">
        <v>941</v>
      </c>
    </row>
    <row r="390" customFormat="false" ht="15" hidden="false" customHeight="false" outlineLevel="0" collapsed="false">
      <c r="A390" s="28" t="s">
        <v>200</v>
      </c>
      <c r="B390" s="28" t="s">
        <v>954</v>
      </c>
      <c r="C390" s="28" t="s">
        <v>447</v>
      </c>
      <c r="D390" s="23" t="n">
        <v>24721.732</v>
      </c>
      <c r="E390" s="23" t="n">
        <v>24721.732</v>
      </c>
      <c r="F390" s="31" t="n">
        <v>0</v>
      </c>
      <c r="G390" s="28" t="s">
        <v>943</v>
      </c>
      <c r="H390" s="31" t="n">
        <v>0</v>
      </c>
      <c r="I390" s="28" t="s">
        <v>941</v>
      </c>
    </row>
    <row r="391" customFormat="false" ht="15" hidden="false" customHeight="false" outlineLevel="0" collapsed="false">
      <c r="A391" s="28" t="s">
        <v>200</v>
      </c>
      <c r="B391" s="28" t="s">
        <v>457</v>
      </c>
      <c r="C391" s="28" t="s">
        <v>447</v>
      </c>
      <c r="D391" s="23" t="n">
        <v>17250</v>
      </c>
      <c r="E391" s="23" t="n">
        <v>17250</v>
      </c>
      <c r="F391" s="31" t="n">
        <v>0</v>
      </c>
      <c r="G391" s="28" t="s">
        <v>955</v>
      </c>
      <c r="H391" s="31" t="n">
        <v>0</v>
      </c>
      <c r="I391" s="28" t="s">
        <v>941</v>
      </c>
    </row>
    <row r="392" customFormat="false" ht="15" hidden="false" customHeight="false" outlineLevel="0" collapsed="false">
      <c r="A392" s="28" t="s">
        <v>200</v>
      </c>
      <c r="B392" s="28" t="s">
        <v>956</v>
      </c>
      <c r="C392" s="28" t="s">
        <v>447</v>
      </c>
      <c r="D392" s="23" t="n">
        <v>1515773.50272</v>
      </c>
      <c r="E392" s="23" t="n">
        <v>1490622.36080976</v>
      </c>
      <c r="F392" s="31" t="n">
        <v>-0.1005</v>
      </c>
      <c r="G392" s="28" t="s">
        <v>957</v>
      </c>
      <c r="H392" s="31" t="n">
        <v>0.9966</v>
      </c>
      <c r="I392" s="28" t="s">
        <v>941</v>
      </c>
    </row>
    <row r="393" customFormat="false" ht="15" hidden="false" customHeight="false" outlineLevel="0" collapsed="false">
      <c r="A393" s="28" t="s">
        <v>200</v>
      </c>
      <c r="B393" s="28" t="s">
        <v>958</v>
      </c>
      <c r="C393" s="28" t="s">
        <v>447</v>
      </c>
      <c r="D393" s="23" t="n">
        <v>589467.47328</v>
      </c>
      <c r="E393" s="23" t="n">
        <v>546332.004320006</v>
      </c>
      <c r="F393" s="31" t="n">
        <v>4.5595</v>
      </c>
      <c r="G393" s="28" t="s">
        <v>957</v>
      </c>
      <c r="H393" s="31" t="n">
        <v>-15.5652</v>
      </c>
      <c r="I393" s="28" t="s">
        <v>941</v>
      </c>
    </row>
    <row r="394" customFormat="false" ht="15" hidden="false" customHeight="false" outlineLevel="0" collapsed="false">
      <c r="A394" s="28" t="s">
        <v>200</v>
      </c>
      <c r="B394" s="28" t="s">
        <v>959</v>
      </c>
      <c r="C394" s="28" t="s">
        <v>447</v>
      </c>
      <c r="D394" s="23" t="n">
        <v>1104190.947</v>
      </c>
      <c r="E394" s="23" t="n">
        <v>1079792.95645084</v>
      </c>
      <c r="F394" s="31" t="n">
        <v>1.7858</v>
      </c>
      <c r="G394" s="28" t="s">
        <v>957</v>
      </c>
      <c r="H394" s="31" t="n">
        <v>-5.2576</v>
      </c>
      <c r="I394" s="28" t="s">
        <v>941</v>
      </c>
    </row>
    <row r="395" customFormat="false" ht="15" hidden="false" customHeight="false" outlineLevel="0" collapsed="false">
      <c r="A395" s="28" t="s">
        <v>200</v>
      </c>
      <c r="B395" s="28" t="s">
        <v>960</v>
      </c>
      <c r="C395" s="28" t="s">
        <v>447</v>
      </c>
      <c r="D395" s="23" t="n">
        <v>476328.947</v>
      </c>
      <c r="E395" s="23" t="n">
        <v>463261.648341016</v>
      </c>
      <c r="F395" s="31" t="n">
        <v>1.9196</v>
      </c>
      <c r="G395" s="28" t="s">
        <v>957</v>
      </c>
      <c r="H395" s="31" t="n">
        <v>-5.6776</v>
      </c>
      <c r="I395" s="28" t="s">
        <v>941</v>
      </c>
    </row>
    <row r="396" customFormat="false" ht="15" hidden="false" customHeight="false" outlineLevel="0" collapsed="false">
      <c r="A396" s="28" t="s">
        <v>200</v>
      </c>
      <c r="B396" s="28" t="s">
        <v>961</v>
      </c>
      <c r="C396" s="28" t="s">
        <v>447</v>
      </c>
      <c r="D396" s="23" t="n">
        <v>374430.3036</v>
      </c>
      <c r="E396" s="23" t="n">
        <v>289894.823584492</v>
      </c>
      <c r="F396" s="31" t="n">
        <v>6.6173</v>
      </c>
      <c r="G396" s="28" t="s">
        <v>957</v>
      </c>
      <c r="H396" s="31" t="n">
        <v>77.2404</v>
      </c>
      <c r="I396" s="28" t="s">
        <v>941</v>
      </c>
    </row>
    <row r="397" customFormat="false" ht="15" hidden="false" customHeight="false" outlineLevel="0" collapsed="false">
      <c r="A397" s="28" t="s">
        <v>200</v>
      </c>
      <c r="B397" s="28" t="s">
        <v>962</v>
      </c>
      <c r="C397" s="28" t="s">
        <v>447</v>
      </c>
      <c r="D397" s="23" t="n">
        <v>249620.2024</v>
      </c>
      <c r="E397" s="23" t="n">
        <v>240645.065632605</v>
      </c>
      <c r="F397" s="31" t="n">
        <v>1.9701</v>
      </c>
      <c r="G397" s="28" t="s">
        <v>957</v>
      </c>
      <c r="H397" s="31" t="n">
        <v>5.0331</v>
      </c>
      <c r="I397" s="28" t="s">
        <v>941</v>
      </c>
    </row>
    <row r="398" customFormat="false" ht="15" hidden="false" customHeight="false" outlineLevel="0" collapsed="false">
      <c r="A398" s="28" t="s">
        <v>200</v>
      </c>
      <c r="B398" s="28" t="s">
        <v>963</v>
      </c>
      <c r="C398" s="28" t="s">
        <v>447</v>
      </c>
      <c r="D398" s="23" t="n">
        <v>720674.90295</v>
      </c>
      <c r="E398" s="23" t="n">
        <v>691543.005626896</v>
      </c>
      <c r="F398" s="31" t="n">
        <v>2.1353</v>
      </c>
      <c r="G398" s="28" t="s">
        <v>957</v>
      </c>
      <c r="H398" s="31" t="n">
        <v>1.2337</v>
      </c>
      <c r="I398" s="28" t="s">
        <v>941</v>
      </c>
    </row>
    <row r="399" customFormat="false" ht="15" hidden="false" customHeight="false" outlineLevel="0" collapsed="false">
      <c r="A399" s="28" t="s">
        <v>200</v>
      </c>
      <c r="B399" s="28" t="s">
        <v>964</v>
      </c>
      <c r="C399" s="28" t="s">
        <v>447</v>
      </c>
      <c r="D399" s="23" t="n">
        <v>127177.92405</v>
      </c>
      <c r="E399" s="23" t="n">
        <v>123703.055860819</v>
      </c>
      <c r="F399" s="31" t="n">
        <v>-0.1616</v>
      </c>
      <c r="G399" s="28" t="s">
        <v>957</v>
      </c>
      <c r="H399" s="31" t="n">
        <v>1.17</v>
      </c>
      <c r="I399" s="28" t="s">
        <v>941</v>
      </c>
    </row>
    <row r="400" customFormat="false" ht="15" hidden="false" customHeight="false" outlineLevel="0" collapsed="false">
      <c r="A400" s="28" t="s">
        <v>200</v>
      </c>
      <c r="B400" s="28" t="s">
        <v>965</v>
      </c>
      <c r="C400" s="28" t="s">
        <v>447</v>
      </c>
      <c r="D400" s="23" t="n">
        <v>20543.822</v>
      </c>
      <c r="E400" s="23" t="n">
        <v>20457.5732819126</v>
      </c>
      <c r="F400" s="31" t="n">
        <v>-0.0318</v>
      </c>
      <c r="G400" s="28" t="s">
        <v>957</v>
      </c>
      <c r="H400" s="31" t="n">
        <v>0.631</v>
      </c>
      <c r="I400" s="28" t="s">
        <v>941</v>
      </c>
    </row>
    <row r="401" customFormat="false" ht="15" hidden="false" customHeight="false" outlineLevel="0" collapsed="false">
      <c r="A401" s="28" t="s">
        <v>200</v>
      </c>
      <c r="B401" s="28" t="s">
        <v>966</v>
      </c>
      <c r="C401" s="28" t="s">
        <v>447</v>
      </c>
      <c r="D401" s="23" t="n">
        <v>62649.693</v>
      </c>
      <c r="E401" s="23" t="n">
        <v>61688.3964104169</v>
      </c>
      <c r="F401" s="31" t="n">
        <v>1.1075</v>
      </c>
      <c r="G401" s="28" t="s">
        <v>957</v>
      </c>
      <c r="H401" s="31" t="n">
        <v>2.3667</v>
      </c>
      <c r="I401" s="28" t="s">
        <v>941</v>
      </c>
    </row>
    <row r="402" customFormat="false" ht="15" hidden="false" customHeight="false" outlineLevel="0" collapsed="false">
      <c r="A402" s="28" t="s">
        <v>200</v>
      </c>
      <c r="B402" s="28" t="s">
        <v>967</v>
      </c>
      <c r="C402" s="28" t="s">
        <v>447</v>
      </c>
      <c r="D402" s="23" t="n">
        <v>41766.462</v>
      </c>
      <c r="E402" s="23" t="n">
        <v>41640.9708493672</v>
      </c>
      <c r="F402" s="31" t="n">
        <v>-0.0196</v>
      </c>
      <c r="G402" s="28" t="s">
        <v>957</v>
      </c>
      <c r="H402" s="31" t="n">
        <v>0.5272</v>
      </c>
      <c r="I402" s="28" t="s">
        <v>941</v>
      </c>
    </row>
    <row r="403" customFormat="false" ht="15" hidden="false" customHeight="false" outlineLevel="0" collapsed="false">
      <c r="A403" s="28" t="s">
        <v>200</v>
      </c>
      <c r="B403" s="28" t="s">
        <v>968</v>
      </c>
      <c r="C403" s="28" t="s">
        <v>447</v>
      </c>
      <c r="D403" s="23" t="n">
        <v>21376.155</v>
      </c>
      <c r="E403" s="23" t="n">
        <v>20794.9846137457</v>
      </c>
      <c r="F403" s="31" t="n">
        <v>1.9923</v>
      </c>
      <c r="G403" s="28" t="s">
        <v>957</v>
      </c>
      <c r="H403" s="31" t="n">
        <v>7.1254</v>
      </c>
      <c r="I403" s="28" t="s">
        <v>941</v>
      </c>
    </row>
    <row r="404" customFormat="false" ht="15" hidden="false" customHeight="false" outlineLevel="0" collapsed="false">
      <c r="A404" s="28" t="s">
        <v>200</v>
      </c>
      <c r="B404" s="28" t="s">
        <v>969</v>
      </c>
      <c r="C404" s="28" t="s">
        <v>447</v>
      </c>
      <c r="D404" s="23" t="n">
        <v>1397.217</v>
      </c>
      <c r="E404" s="23" t="n">
        <v>1299.01839479135</v>
      </c>
      <c r="F404" s="31" t="n">
        <v>2.859</v>
      </c>
      <c r="G404" s="28" t="s">
        <v>957</v>
      </c>
      <c r="H404" s="31" t="n">
        <v>14.0969</v>
      </c>
      <c r="I404" s="28" t="s">
        <v>941</v>
      </c>
    </row>
    <row r="405" customFormat="false" ht="15" hidden="false" customHeight="false" outlineLevel="0" collapsed="false">
      <c r="A405" s="28" t="s">
        <v>200</v>
      </c>
      <c r="B405" s="28" t="s">
        <v>970</v>
      </c>
      <c r="C405" s="28" t="s">
        <v>447</v>
      </c>
      <c r="D405" s="23" t="n">
        <v>42.972</v>
      </c>
      <c r="E405" s="23" t="n">
        <v>39.2893974662712</v>
      </c>
      <c r="F405" s="31" t="n">
        <v>4.4796</v>
      </c>
      <c r="G405" s="28" t="s">
        <v>957</v>
      </c>
      <c r="H405" s="31" t="n">
        <v>36.096</v>
      </c>
      <c r="I405" s="28" t="s">
        <v>941</v>
      </c>
    </row>
    <row r="406" customFormat="false" ht="15" hidden="false" customHeight="false" outlineLevel="0" collapsed="false">
      <c r="A406" s="28" t="s">
        <v>200</v>
      </c>
      <c r="B406" s="28" t="s">
        <v>459</v>
      </c>
      <c r="C406" s="28" t="s">
        <v>447</v>
      </c>
      <c r="D406" s="23" t="n">
        <v>1976.718</v>
      </c>
      <c r="E406" s="23" t="n">
        <v>1978.79394335094</v>
      </c>
      <c r="F406" s="31" t="n">
        <v>0.165</v>
      </c>
      <c r="G406" s="28" t="s">
        <v>957</v>
      </c>
      <c r="H406" s="31" t="n">
        <v>0.0541</v>
      </c>
      <c r="I406" s="28" t="s">
        <v>941</v>
      </c>
    </row>
    <row r="407" customFormat="false" ht="15" hidden="false" customHeight="false" outlineLevel="0" collapsed="false">
      <c r="A407" s="28" t="s">
        <v>200</v>
      </c>
      <c r="B407" s="28" t="s">
        <v>489</v>
      </c>
      <c r="C407" s="28" t="s">
        <v>447</v>
      </c>
      <c r="D407" s="23" t="n">
        <v>-47552</v>
      </c>
      <c r="E407" s="23" t="n">
        <v>-47552</v>
      </c>
      <c r="F407" s="31" t="n">
        <v>0</v>
      </c>
      <c r="G407" s="28" t="s">
        <v>957</v>
      </c>
      <c r="H407" s="31" t="n">
        <v>0</v>
      </c>
      <c r="I407" s="28" t="s">
        <v>941</v>
      </c>
    </row>
    <row r="408" customFormat="false" ht="15" hidden="false" customHeight="false" outlineLevel="0" collapsed="false">
      <c r="A408" s="28" t="s">
        <v>200</v>
      </c>
      <c r="B408" s="28" t="s">
        <v>466</v>
      </c>
      <c r="C408" s="28" t="s">
        <v>447</v>
      </c>
      <c r="D408" s="23" t="n">
        <v>6200</v>
      </c>
      <c r="E408" s="23" t="n">
        <v>6758</v>
      </c>
      <c r="F408" s="31" t="n">
        <v>-5.5046</v>
      </c>
      <c r="G408" s="28" t="s">
        <v>955</v>
      </c>
      <c r="H408" s="31" t="n">
        <v>0</v>
      </c>
      <c r="I408" s="28" t="s">
        <v>941</v>
      </c>
    </row>
    <row r="409" customFormat="false" ht="15" hidden="false" customHeight="false" outlineLevel="0" collapsed="false">
      <c r="A409" s="28" t="s">
        <v>200</v>
      </c>
      <c r="B409" s="28" t="s">
        <v>971</v>
      </c>
      <c r="C409" s="28" t="s">
        <v>447</v>
      </c>
      <c r="D409" s="23" t="n">
        <v>577875.54</v>
      </c>
      <c r="E409" s="23" t="n">
        <v>577875.54</v>
      </c>
      <c r="F409" s="31" t="n">
        <v>0</v>
      </c>
      <c r="G409" s="28" t="s">
        <v>955</v>
      </c>
      <c r="H409" s="31" t="n">
        <v>0</v>
      </c>
      <c r="I409" s="28" t="s">
        <v>941</v>
      </c>
    </row>
    <row r="410" customFormat="false" ht="15" hidden="false" customHeight="false" outlineLevel="0" collapsed="false">
      <c r="A410" s="28" t="s">
        <v>200</v>
      </c>
      <c r="B410" s="28" t="s">
        <v>972</v>
      </c>
      <c r="C410" s="28" t="s">
        <v>469</v>
      </c>
      <c r="D410" s="23" t="n">
        <v>1551679.623</v>
      </c>
      <c r="E410" s="23" t="n">
        <v>1169578.97864315</v>
      </c>
      <c r="F410" s="31" t="n">
        <v>4.4761</v>
      </c>
      <c r="G410" s="28" t="s">
        <v>973</v>
      </c>
      <c r="H410" s="31" t="n">
        <v>42.53</v>
      </c>
      <c r="I410" s="28" t="s">
        <v>941</v>
      </c>
    </row>
    <row r="411" customFormat="false" ht="15" hidden="false" customHeight="false" outlineLevel="0" collapsed="false">
      <c r="A411" s="28" t="s">
        <v>200</v>
      </c>
      <c r="B411" s="28" t="s">
        <v>974</v>
      </c>
      <c r="C411" s="28" t="s">
        <v>469</v>
      </c>
      <c r="D411" s="23" t="n">
        <v>330000</v>
      </c>
      <c r="E411" s="23" t="n">
        <v>271201.518734454</v>
      </c>
      <c r="F411" s="31" t="n">
        <v>3.0354</v>
      </c>
      <c r="G411" s="28" t="s">
        <v>973</v>
      </c>
      <c r="H411" s="31" t="n">
        <v>22.25</v>
      </c>
      <c r="I411" s="28" t="s">
        <v>941</v>
      </c>
    </row>
    <row r="412" customFormat="false" ht="15" hidden="false" customHeight="false" outlineLevel="0" collapsed="false">
      <c r="A412" s="28" t="s">
        <v>200</v>
      </c>
      <c r="B412" s="28" t="s">
        <v>975</v>
      </c>
      <c r="C412" s="28" t="s">
        <v>469</v>
      </c>
      <c r="D412" s="23" t="n">
        <v>1462571.75</v>
      </c>
      <c r="E412" s="23" t="n">
        <v>1088779.57276548</v>
      </c>
      <c r="F412" s="31" t="n">
        <v>4.2945</v>
      </c>
      <c r="G412" s="28" t="s">
        <v>973</v>
      </c>
      <c r="H412" s="31" t="n">
        <v>40.7936</v>
      </c>
      <c r="I412" s="28" t="s">
        <v>941</v>
      </c>
    </row>
    <row r="413" customFormat="false" ht="15" hidden="false" customHeight="false" outlineLevel="0" collapsed="false">
      <c r="A413" s="28" t="s">
        <v>200</v>
      </c>
      <c r="B413" s="28" t="s">
        <v>976</v>
      </c>
      <c r="C413" s="28" t="s">
        <v>469</v>
      </c>
      <c r="D413" s="23" t="n">
        <v>50000</v>
      </c>
      <c r="E413" s="23" t="n">
        <v>40623.1973683215</v>
      </c>
      <c r="F413" s="31" t="n">
        <v>3.1271</v>
      </c>
      <c r="G413" s="28" t="s">
        <v>973</v>
      </c>
      <c r="H413" s="31" t="n">
        <v>22.8317</v>
      </c>
      <c r="I413" s="28" t="s">
        <v>941</v>
      </c>
    </row>
    <row r="414" customFormat="false" ht="15" hidden="false" customHeight="false" outlineLevel="0" collapsed="false">
      <c r="A414" s="28" t="s">
        <v>200</v>
      </c>
      <c r="B414" s="28" t="s">
        <v>601</v>
      </c>
      <c r="C414" s="28" t="s">
        <v>469</v>
      </c>
      <c r="D414" s="23" t="n">
        <v>1000000</v>
      </c>
      <c r="E414" s="23" t="n">
        <v>824389.725687903</v>
      </c>
      <c r="F414" s="31" t="n">
        <v>2.8495</v>
      </c>
      <c r="G414" s="28" t="s">
        <v>973</v>
      </c>
      <c r="H414" s="31" t="n">
        <v>20.7617</v>
      </c>
      <c r="I414" s="28" t="s">
        <v>941</v>
      </c>
    </row>
    <row r="415" customFormat="false" ht="15" hidden="false" customHeight="false" outlineLevel="0" collapsed="false">
      <c r="A415" s="28" t="s">
        <v>200</v>
      </c>
      <c r="B415" s="28" t="s">
        <v>603</v>
      </c>
      <c r="C415" s="28" t="s">
        <v>469</v>
      </c>
      <c r="D415" s="23" t="n">
        <v>1100000</v>
      </c>
      <c r="E415" s="23" t="n">
        <v>979751.173709119</v>
      </c>
      <c r="F415" s="31" t="n">
        <v>1.5689</v>
      </c>
      <c r="G415" s="28" t="s">
        <v>973</v>
      </c>
      <c r="H415" s="31" t="n">
        <v>9.7553</v>
      </c>
      <c r="I415" s="28" t="s">
        <v>941</v>
      </c>
    </row>
    <row r="416" customFormat="false" ht="15" hidden="false" customHeight="false" outlineLevel="0" collapsed="false">
      <c r="A416" s="28" t="s">
        <v>200</v>
      </c>
      <c r="B416" s="28" t="s">
        <v>605</v>
      </c>
      <c r="C416" s="28" t="s">
        <v>469</v>
      </c>
      <c r="D416" s="23" t="n">
        <v>800000</v>
      </c>
      <c r="E416" s="23" t="n">
        <v>745529.381692139</v>
      </c>
      <c r="F416" s="31" t="n">
        <v>0.9411</v>
      </c>
      <c r="G416" s="28" t="s">
        <v>973</v>
      </c>
      <c r="H416" s="31" t="n">
        <v>5.3886</v>
      </c>
      <c r="I416" s="28" t="s">
        <v>941</v>
      </c>
    </row>
    <row r="417" customFormat="false" ht="15" hidden="false" customHeight="false" outlineLevel="0" collapsed="false">
      <c r="A417" s="28" t="s">
        <v>200</v>
      </c>
      <c r="B417" s="28" t="s">
        <v>977</v>
      </c>
      <c r="C417" s="28" t="s">
        <v>469</v>
      </c>
      <c r="D417" s="23" t="n">
        <v>765287.677</v>
      </c>
      <c r="E417" s="23" t="n">
        <v>738231.60547637</v>
      </c>
      <c r="F417" s="31" t="n">
        <v>0.4525</v>
      </c>
      <c r="G417" s="28" t="s">
        <v>973</v>
      </c>
      <c r="H417" s="31" t="n">
        <v>2.2722</v>
      </c>
      <c r="I417" s="28" t="s">
        <v>941</v>
      </c>
    </row>
    <row r="418" customFormat="false" ht="15" hidden="false" customHeight="false" outlineLevel="0" collapsed="false">
      <c r="A418" s="28" t="s">
        <v>200</v>
      </c>
      <c r="B418" s="28" t="s">
        <v>978</v>
      </c>
      <c r="C418" s="28" t="s">
        <v>469</v>
      </c>
      <c r="D418" s="23" t="n">
        <v>74688.3604</v>
      </c>
      <c r="E418" s="23" t="n">
        <v>54295.2734064567</v>
      </c>
      <c r="F418" s="31" t="n">
        <v>4.1809</v>
      </c>
      <c r="G418" s="28" t="s">
        <v>973</v>
      </c>
      <c r="H418" s="31" t="n">
        <v>49.706</v>
      </c>
      <c r="I418" s="28" t="s">
        <v>941</v>
      </c>
    </row>
    <row r="419" customFormat="false" ht="15" hidden="false" customHeight="false" outlineLevel="0" collapsed="false">
      <c r="A419" s="28" t="s">
        <v>200</v>
      </c>
      <c r="B419" s="28" t="s">
        <v>979</v>
      </c>
      <c r="C419" s="28" t="s">
        <v>469</v>
      </c>
      <c r="D419" s="23" t="n">
        <v>14494.065</v>
      </c>
      <c r="E419" s="23" t="n">
        <v>12506.3618925595</v>
      </c>
      <c r="F419" s="31" t="n">
        <v>2.5294</v>
      </c>
      <c r="G419" s="28" t="s">
        <v>973</v>
      </c>
      <c r="H419" s="31" t="n">
        <v>15.3318</v>
      </c>
      <c r="I419" s="28" t="s">
        <v>941</v>
      </c>
    </row>
    <row r="420" customFormat="false" ht="15" hidden="false" customHeight="false" outlineLevel="0" collapsed="false">
      <c r="A420" s="28" t="s">
        <v>200</v>
      </c>
      <c r="B420" s="28" t="s">
        <v>980</v>
      </c>
      <c r="C420" s="28" t="s">
        <v>469</v>
      </c>
      <c r="D420" s="23" t="n">
        <v>734544.639</v>
      </c>
      <c r="E420" s="23" t="n">
        <v>729935.592634848</v>
      </c>
      <c r="F420" s="31" t="n">
        <v>0.7272</v>
      </c>
      <c r="G420" s="28" t="s">
        <v>981</v>
      </c>
      <c r="H420" s="31" t="n">
        <v>1.4233</v>
      </c>
      <c r="I420" s="28" t="s">
        <v>941</v>
      </c>
    </row>
    <row r="421" customFormat="false" ht="15" hidden="false" customHeight="false" outlineLevel="0" collapsed="false">
      <c r="A421" s="28" t="s">
        <v>200</v>
      </c>
      <c r="B421" s="28" t="s">
        <v>982</v>
      </c>
      <c r="C421" s="28" t="s">
        <v>469</v>
      </c>
      <c r="D421" s="23" t="n">
        <v>860301.67</v>
      </c>
      <c r="E421" s="23" t="n">
        <v>855606.204864274</v>
      </c>
      <c r="F421" s="31" t="n">
        <v>0.7273</v>
      </c>
      <c r="G421" s="28" t="s">
        <v>981</v>
      </c>
      <c r="H421" s="31" t="n">
        <v>1.4235</v>
      </c>
      <c r="I421" s="28" t="s">
        <v>941</v>
      </c>
    </row>
    <row r="422" customFormat="false" ht="15" hidden="false" customHeight="false" outlineLevel="0" collapsed="false">
      <c r="A422" s="28" t="s">
        <v>200</v>
      </c>
      <c r="B422" s="28" t="s">
        <v>983</v>
      </c>
      <c r="C422" s="28" t="s">
        <v>469</v>
      </c>
      <c r="D422" s="23" t="n">
        <v>112032.5406</v>
      </c>
      <c r="E422" s="23" t="n">
        <v>110694.898186548</v>
      </c>
      <c r="F422" s="31" t="n">
        <v>1.3831</v>
      </c>
      <c r="G422" s="28" t="s">
        <v>981</v>
      </c>
      <c r="H422" s="31" t="n">
        <v>3.7586</v>
      </c>
      <c r="I422" s="28" t="s">
        <v>941</v>
      </c>
    </row>
    <row r="423" customFormat="false" ht="15" hidden="false" customHeight="false" outlineLevel="0" collapsed="false">
      <c r="A423" s="28" t="s">
        <v>200</v>
      </c>
      <c r="B423" s="28" t="s">
        <v>984</v>
      </c>
      <c r="C423" s="28" t="s">
        <v>469</v>
      </c>
      <c r="D423" s="23" t="n">
        <v>124418.196</v>
      </c>
      <c r="E423" s="23" t="n">
        <v>124418.196</v>
      </c>
      <c r="F423" s="31" t="n">
        <v>0</v>
      </c>
      <c r="G423" s="28" t="s">
        <v>984</v>
      </c>
      <c r="H423" s="31" t="n">
        <v>0</v>
      </c>
      <c r="I423" s="28" t="s">
        <v>941</v>
      </c>
    </row>
    <row r="424" customFormat="false" ht="15" hidden="false" customHeight="false" outlineLevel="0" collapsed="false">
      <c r="A424" s="28" t="s">
        <v>200</v>
      </c>
      <c r="B424" s="28" t="s">
        <v>985</v>
      </c>
      <c r="C424" s="28" t="s">
        <v>874</v>
      </c>
      <c r="D424" s="23" t="n">
        <v>0</v>
      </c>
      <c r="E424" s="23" t="n">
        <v>-1421.53846153846</v>
      </c>
      <c r="G424" s="28" t="s">
        <v>986</v>
      </c>
      <c r="I424" s="28" t="s">
        <v>941</v>
      </c>
    </row>
    <row r="425" customFormat="false" ht="15" hidden="false" customHeight="false" outlineLevel="0" collapsed="false">
      <c r="A425" s="28" t="s">
        <v>203</v>
      </c>
      <c r="B425" s="28" t="s">
        <v>449</v>
      </c>
      <c r="C425" s="28" t="s">
        <v>447</v>
      </c>
      <c r="D425" s="23" t="n">
        <v>695254.49</v>
      </c>
      <c r="E425" s="23" t="n">
        <v>695254.49</v>
      </c>
      <c r="F425" s="31" t="n">
        <v>0</v>
      </c>
      <c r="G425" s="28" t="s">
        <v>940</v>
      </c>
      <c r="H425" s="31" t="n">
        <v>0</v>
      </c>
      <c r="I425" s="28" t="s">
        <v>941</v>
      </c>
    </row>
    <row r="426" customFormat="false" ht="15" hidden="false" customHeight="false" outlineLevel="0" collapsed="false">
      <c r="A426" s="28" t="s">
        <v>203</v>
      </c>
      <c r="B426" s="28" t="s">
        <v>942</v>
      </c>
      <c r="C426" s="28" t="s">
        <v>447</v>
      </c>
      <c r="D426" s="23" t="n">
        <v>150051.434903246</v>
      </c>
      <c r="E426" s="23" t="n">
        <v>150775.930619875</v>
      </c>
      <c r="F426" s="31" t="n">
        <v>1.9434</v>
      </c>
      <c r="G426" s="28" t="s">
        <v>943</v>
      </c>
      <c r="H426" s="31" t="n">
        <v>5.9441</v>
      </c>
      <c r="I426" s="28" t="s">
        <v>941</v>
      </c>
    </row>
    <row r="427" customFormat="false" ht="15" hidden="false" customHeight="false" outlineLevel="0" collapsed="false">
      <c r="A427" s="28" t="s">
        <v>203</v>
      </c>
      <c r="B427" s="28" t="s">
        <v>944</v>
      </c>
      <c r="C427" s="28" t="s">
        <v>447</v>
      </c>
      <c r="D427" s="23" t="n">
        <v>367549.241673984</v>
      </c>
      <c r="E427" s="23" t="n">
        <v>371265.577223831</v>
      </c>
      <c r="F427" s="31" t="n">
        <v>2.8268</v>
      </c>
      <c r="G427" s="28" t="s">
        <v>943</v>
      </c>
      <c r="H427" s="31" t="n">
        <v>11.4456</v>
      </c>
      <c r="I427" s="28" t="s">
        <v>941</v>
      </c>
    </row>
    <row r="428" customFormat="false" ht="15" hidden="false" customHeight="false" outlineLevel="0" collapsed="false">
      <c r="A428" s="28" t="s">
        <v>203</v>
      </c>
      <c r="B428" s="28" t="s">
        <v>945</v>
      </c>
      <c r="C428" s="28" t="s">
        <v>447</v>
      </c>
      <c r="D428" s="23" t="n">
        <v>548633.753403125</v>
      </c>
      <c r="E428" s="23" t="n">
        <v>586824.312750532</v>
      </c>
      <c r="F428" s="31" t="n">
        <v>7.9924</v>
      </c>
      <c r="G428" s="28" t="s">
        <v>943</v>
      </c>
      <c r="H428" s="31" t="n">
        <v>170.6719</v>
      </c>
      <c r="I428" s="28" t="s">
        <v>941</v>
      </c>
    </row>
    <row r="429" customFormat="false" ht="15" hidden="false" customHeight="false" outlineLevel="0" collapsed="false">
      <c r="A429" s="28" t="s">
        <v>203</v>
      </c>
      <c r="B429" s="28" t="s">
        <v>946</v>
      </c>
      <c r="C429" s="28" t="s">
        <v>447</v>
      </c>
      <c r="D429" s="23" t="n">
        <v>305274.71975975</v>
      </c>
      <c r="E429" s="23" t="n">
        <v>321501.333794711</v>
      </c>
      <c r="F429" s="31" t="n">
        <v>3.2351</v>
      </c>
      <c r="G429" s="28" t="s">
        <v>943</v>
      </c>
      <c r="H429" s="31" t="n">
        <v>-1162.3401</v>
      </c>
      <c r="I429" s="28" t="s">
        <v>941</v>
      </c>
    </row>
    <row r="430" customFormat="false" ht="15" hidden="false" customHeight="false" outlineLevel="0" collapsed="false">
      <c r="A430" s="28" t="s">
        <v>203</v>
      </c>
      <c r="B430" s="28" t="s">
        <v>947</v>
      </c>
      <c r="C430" s="28" t="s">
        <v>447</v>
      </c>
      <c r="D430" s="23" t="n">
        <v>352414.480607701</v>
      </c>
      <c r="E430" s="23" t="n">
        <v>366974.428101986</v>
      </c>
      <c r="F430" s="31" t="n">
        <v>5.2694</v>
      </c>
      <c r="G430" s="28" t="s">
        <v>943</v>
      </c>
      <c r="H430" s="31" t="n">
        <v>8.3513</v>
      </c>
      <c r="I430" s="28" t="s">
        <v>941</v>
      </c>
    </row>
    <row r="431" customFormat="false" ht="15" hidden="false" customHeight="false" outlineLevel="0" collapsed="false">
      <c r="A431" s="28" t="s">
        <v>203</v>
      </c>
      <c r="B431" s="28" t="s">
        <v>948</v>
      </c>
      <c r="C431" s="28" t="s">
        <v>447</v>
      </c>
      <c r="D431" s="23" t="n">
        <v>136497.166545512</v>
      </c>
      <c r="E431" s="23" t="n">
        <v>143230.760843763</v>
      </c>
      <c r="F431" s="31" t="n">
        <v>6.419</v>
      </c>
      <c r="G431" s="28" t="s">
        <v>943</v>
      </c>
      <c r="H431" s="31" t="n">
        <v>48.3965</v>
      </c>
      <c r="I431" s="28" t="s">
        <v>941</v>
      </c>
    </row>
    <row r="432" customFormat="false" ht="15" hidden="false" customHeight="false" outlineLevel="0" collapsed="false">
      <c r="A432" s="28" t="s">
        <v>203</v>
      </c>
      <c r="B432" s="28" t="s">
        <v>949</v>
      </c>
      <c r="C432" s="28" t="s">
        <v>447</v>
      </c>
      <c r="D432" s="23" t="n">
        <v>97853.5160956092</v>
      </c>
      <c r="E432" s="23" t="n">
        <v>100436.177397295</v>
      </c>
      <c r="F432" s="31" t="n">
        <v>-0.051</v>
      </c>
      <c r="G432" s="28" t="s">
        <v>943</v>
      </c>
      <c r="H432" s="31" t="n">
        <v>1.3671</v>
      </c>
      <c r="I432" s="28" t="s">
        <v>941</v>
      </c>
    </row>
    <row r="433" customFormat="false" ht="15" hidden="false" customHeight="false" outlineLevel="0" collapsed="false">
      <c r="A433" s="28" t="s">
        <v>203</v>
      </c>
      <c r="B433" s="28" t="s">
        <v>950</v>
      </c>
      <c r="C433" s="28" t="s">
        <v>447</v>
      </c>
      <c r="D433" s="23" t="n">
        <v>700000</v>
      </c>
      <c r="E433" s="23" t="n">
        <v>613934.656986702</v>
      </c>
      <c r="F433" s="31" t="n">
        <v>5.8934</v>
      </c>
      <c r="G433" s="28" t="s">
        <v>943</v>
      </c>
      <c r="H433" s="31" t="n">
        <v>103.0724</v>
      </c>
      <c r="I433" s="28" t="s">
        <v>941</v>
      </c>
    </row>
    <row r="434" customFormat="false" ht="15" hidden="false" customHeight="false" outlineLevel="0" collapsed="false">
      <c r="A434" s="28" t="s">
        <v>203</v>
      </c>
      <c r="B434" s="28" t="s">
        <v>951</v>
      </c>
      <c r="C434" s="28" t="s">
        <v>447</v>
      </c>
      <c r="D434" s="23" t="n">
        <v>300000</v>
      </c>
      <c r="E434" s="23" t="n">
        <v>280875.250675625</v>
      </c>
      <c r="F434" s="31" t="n">
        <v>3.7166</v>
      </c>
      <c r="G434" s="28" t="s">
        <v>943</v>
      </c>
      <c r="H434" s="31" t="n">
        <v>16.6676</v>
      </c>
      <c r="I434" s="28" t="s">
        <v>941</v>
      </c>
    </row>
    <row r="435" customFormat="false" ht="15" hidden="false" customHeight="false" outlineLevel="0" collapsed="false">
      <c r="A435" s="28" t="s">
        <v>203</v>
      </c>
      <c r="B435" s="28" t="s">
        <v>952</v>
      </c>
      <c r="C435" s="28" t="s">
        <v>447</v>
      </c>
      <c r="D435" s="23" t="n">
        <v>200000</v>
      </c>
      <c r="E435" s="23" t="n">
        <v>179482.395065496</v>
      </c>
      <c r="F435" s="31" t="n">
        <v>7.063</v>
      </c>
      <c r="G435" s="28" t="s">
        <v>943</v>
      </c>
      <c r="H435" s="31" t="n">
        <v>58.9146</v>
      </c>
      <c r="I435" s="28" t="s">
        <v>941</v>
      </c>
    </row>
    <row r="436" customFormat="false" ht="15" hidden="false" customHeight="false" outlineLevel="0" collapsed="false">
      <c r="A436" s="28" t="s">
        <v>203</v>
      </c>
      <c r="B436" s="28" t="s">
        <v>953</v>
      </c>
      <c r="C436" s="28" t="s">
        <v>447</v>
      </c>
      <c r="D436" s="23" t="n">
        <v>148403.71</v>
      </c>
      <c r="E436" s="23" t="n">
        <v>151345.09383226</v>
      </c>
      <c r="F436" s="31" t="n">
        <v>2.7551</v>
      </c>
      <c r="G436" s="28" t="s">
        <v>943</v>
      </c>
      <c r="H436" s="31" t="n">
        <v>9.27</v>
      </c>
      <c r="I436" s="28" t="s">
        <v>941</v>
      </c>
    </row>
    <row r="437" customFormat="false" ht="15" hidden="false" customHeight="false" outlineLevel="0" collapsed="false">
      <c r="A437" s="28" t="s">
        <v>203</v>
      </c>
      <c r="B437" s="28" t="s">
        <v>954</v>
      </c>
      <c r="C437" s="28" t="s">
        <v>447</v>
      </c>
      <c r="D437" s="23" t="n">
        <v>24721.732</v>
      </c>
      <c r="E437" s="23" t="n">
        <v>24721.732</v>
      </c>
      <c r="F437" s="31" t="n">
        <v>0</v>
      </c>
      <c r="G437" s="28" t="s">
        <v>943</v>
      </c>
      <c r="H437" s="31" t="n">
        <v>0</v>
      </c>
      <c r="I437" s="28" t="s">
        <v>941</v>
      </c>
    </row>
    <row r="438" customFormat="false" ht="15" hidden="false" customHeight="false" outlineLevel="0" collapsed="false">
      <c r="A438" s="28" t="s">
        <v>203</v>
      </c>
      <c r="B438" s="28" t="s">
        <v>457</v>
      </c>
      <c r="C438" s="28" t="s">
        <v>447</v>
      </c>
      <c r="D438" s="23" t="n">
        <v>17250</v>
      </c>
      <c r="E438" s="23" t="n">
        <v>17250</v>
      </c>
      <c r="F438" s="31" t="n">
        <v>0</v>
      </c>
      <c r="G438" s="28" t="s">
        <v>955</v>
      </c>
      <c r="H438" s="31" t="n">
        <v>0</v>
      </c>
      <c r="I438" s="28" t="s">
        <v>941</v>
      </c>
    </row>
    <row r="439" customFormat="false" ht="15" hidden="false" customHeight="false" outlineLevel="0" collapsed="false">
      <c r="A439" s="28" t="s">
        <v>203</v>
      </c>
      <c r="B439" s="28" t="s">
        <v>956</v>
      </c>
      <c r="C439" s="28" t="s">
        <v>447</v>
      </c>
      <c r="D439" s="23" t="n">
        <v>1515773.50272</v>
      </c>
      <c r="E439" s="23" t="n">
        <v>1543016.44428453</v>
      </c>
      <c r="F439" s="31" t="n">
        <v>-0.0039</v>
      </c>
      <c r="G439" s="28" t="s">
        <v>957</v>
      </c>
      <c r="H439" s="31" t="n">
        <v>1.1021</v>
      </c>
      <c r="I439" s="28" t="s">
        <v>941</v>
      </c>
    </row>
    <row r="440" customFormat="false" ht="15" hidden="false" customHeight="false" outlineLevel="0" collapsed="false">
      <c r="A440" s="28" t="s">
        <v>203</v>
      </c>
      <c r="B440" s="28" t="s">
        <v>958</v>
      </c>
      <c r="C440" s="28" t="s">
        <v>447</v>
      </c>
      <c r="D440" s="23" t="n">
        <v>589467.47328</v>
      </c>
      <c r="E440" s="23" t="n">
        <v>589136.324307713</v>
      </c>
      <c r="F440" s="31" t="n">
        <v>3.8912</v>
      </c>
      <c r="G440" s="28" t="s">
        <v>957</v>
      </c>
      <c r="H440" s="31" t="n">
        <v>-6.1124</v>
      </c>
      <c r="I440" s="28" t="s">
        <v>941</v>
      </c>
    </row>
    <row r="441" customFormat="false" ht="15" hidden="false" customHeight="false" outlineLevel="0" collapsed="false">
      <c r="A441" s="28" t="s">
        <v>203</v>
      </c>
      <c r="B441" s="28" t="s">
        <v>959</v>
      </c>
      <c r="C441" s="28" t="s">
        <v>447</v>
      </c>
      <c r="D441" s="23" t="n">
        <v>1104190.947</v>
      </c>
      <c r="E441" s="23" t="n">
        <v>1098669.62626567</v>
      </c>
      <c r="F441" s="31" t="n">
        <v>1.6818</v>
      </c>
      <c r="G441" s="28" t="s">
        <v>957</v>
      </c>
      <c r="H441" s="31" t="n">
        <v>-5.2487</v>
      </c>
      <c r="I441" s="28" t="s">
        <v>941</v>
      </c>
    </row>
    <row r="442" customFormat="false" ht="15" hidden="false" customHeight="false" outlineLevel="0" collapsed="false">
      <c r="A442" s="28" t="s">
        <v>203</v>
      </c>
      <c r="B442" s="28" t="s">
        <v>960</v>
      </c>
      <c r="C442" s="28" t="s">
        <v>447</v>
      </c>
      <c r="D442" s="23" t="n">
        <v>476328.947</v>
      </c>
      <c r="E442" s="23" t="n">
        <v>472225.423821611</v>
      </c>
      <c r="F442" s="31" t="n">
        <v>1.8028</v>
      </c>
      <c r="G442" s="28" t="s">
        <v>957</v>
      </c>
      <c r="H442" s="31" t="n">
        <v>-5.6533</v>
      </c>
      <c r="I442" s="28" t="s">
        <v>941</v>
      </c>
    </row>
    <row r="443" customFormat="false" ht="15" hidden="false" customHeight="false" outlineLevel="0" collapsed="false">
      <c r="A443" s="28" t="s">
        <v>203</v>
      </c>
      <c r="B443" s="28" t="s">
        <v>961</v>
      </c>
      <c r="C443" s="28" t="s">
        <v>447</v>
      </c>
      <c r="D443" s="23" t="n">
        <v>374430.3036</v>
      </c>
      <c r="E443" s="23" t="n">
        <v>340953.741910919</v>
      </c>
      <c r="F443" s="31" t="n">
        <v>7.718</v>
      </c>
      <c r="G443" s="28" t="s">
        <v>957</v>
      </c>
      <c r="H443" s="31" t="n">
        <v>17.8239</v>
      </c>
      <c r="I443" s="28" t="s">
        <v>941</v>
      </c>
    </row>
    <row r="444" customFormat="false" ht="15" hidden="false" customHeight="false" outlineLevel="0" collapsed="false">
      <c r="A444" s="28" t="s">
        <v>203</v>
      </c>
      <c r="B444" s="28" t="s">
        <v>962</v>
      </c>
      <c r="C444" s="28" t="s">
        <v>447</v>
      </c>
      <c r="D444" s="23" t="n">
        <v>249620.2024</v>
      </c>
      <c r="E444" s="23" t="n">
        <v>266963.971919725</v>
      </c>
      <c r="F444" s="31" t="n">
        <v>1.0645</v>
      </c>
      <c r="G444" s="28" t="s">
        <v>957</v>
      </c>
      <c r="H444" s="31" t="n">
        <v>-382.7508</v>
      </c>
      <c r="I444" s="28" t="s">
        <v>941</v>
      </c>
    </row>
    <row r="445" customFormat="false" ht="15" hidden="false" customHeight="false" outlineLevel="0" collapsed="false">
      <c r="A445" s="28" t="s">
        <v>203</v>
      </c>
      <c r="B445" s="28" t="s">
        <v>963</v>
      </c>
      <c r="C445" s="28" t="s">
        <v>447</v>
      </c>
      <c r="D445" s="23" t="n">
        <v>720674.90295</v>
      </c>
      <c r="E445" s="23" t="n">
        <v>737841.267453033</v>
      </c>
      <c r="F445" s="31" t="n">
        <v>1.8533</v>
      </c>
      <c r="G445" s="28" t="s">
        <v>957</v>
      </c>
      <c r="H445" s="31" t="n">
        <v>27.4</v>
      </c>
      <c r="I445" s="28" t="s">
        <v>941</v>
      </c>
    </row>
    <row r="446" customFormat="false" ht="15" hidden="false" customHeight="false" outlineLevel="0" collapsed="false">
      <c r="A446" s="28" t="s">
        <v>203</v>
      </c>
      <c r="B446" s="28" t="s">
        <v>964</v>
      </c>
      <c r="C446" s="28" t="s">
        <v>447</v>
      </c>
      <c r="D446" s="23" t="n">
        <v>127177.92405</v>
      </c>
      <c r="E446" s="23" t="n">
        <v>131005.983220732</v>
      </c>
      <c r="F446" s="31" t="n">
        <v>0.0262</v>
      </c>
      <c r="G446" s="28" t="s">
        <v>957</v>
      </c>
      <c r="H446" s="31" t="n">
        <v>1.543</v>
      </c>
      <c r="I446" s="28" t="s">
        <v>941</v>
      </c>
    </row>
    <row r="447" customFormat="false" ht="15" hidden="false" customHeight="false" outlineLevel="0" collapsed="false">
      <c r="A447" s="28" t="s">
        <v>203</v>
      </c>
      <c r="B447" s="28" t="s">
        <v>965</v>
      </c>
      <c r="C447" s="28" t="s">
        <v>447</v>
      </c>
      <c r="D447" s="23" t="n">
        <v>20543.822</v>
      </c>
      <c r="E447" s="23" t="n">
        <v>20633.9802334565</v>
      </c>
      <c r="F447" s="31" t="n">
        <v>-0.0191</v>
      </c>
      <c r="G447" s="28" t="s">
        <v>957</v>
      </c>
      <c r="H447" s="31" t="n">
        <v>0.6531</v>
      </c>
      <c r="I447" s="28" t="s">
        <v>941</v>
      </c>
    </row>
    <row r="448" customFormat="false" ht="15" hidden="false" customHeight="false" outlineLevel="0" collapsed="false">
      <c r="A448" s="28" t="s">
        <v>203</v>
      </c>
      <c r="B448" s="28" t="s">
        <v>966</v>
      </c>
      <c r="C448" s="28" t="s">
        <v>447</v>
      </c>
      <c r="D448" s="23" t="n">
        <v>62649.693</v>
      </c>
      <c r="E448" s="23" t="n">
        <v>62241.8773690136</v>
      </c>
      <c r="F448" s="31" t="n">
        <v>1.1168</v>
      </c>
      <c r="G448" s="28" t="s">
        <v>957</v>
      </c>
      <c r="H448" s="31" t="n">
        <v>2.4015</v>
      </c>
      <c r="I448" s="28" t="s">
        <v>941</v>
      </c>
    </row>
    <row r="449" customFormat="false" ht="15" hidden="false" customHeight="false" outlineLevel="0" collapsed="false">
      <c r="A449" s="28" t="s">
        <v>203</v>
      </c>
      <c r="B449" s="28" t="s">
        <v>967</v>
      </c>
      <c r="C449" s="28" t="s">
        <v>447</v>
      </c>
      <c r="D449" s="23" t="n">
        <v>41766.462</v>
      </c>
      <c r="E449" s="23" t="n">
        <v>41896.7943392261</v>
      </c>
      <c r="F449" s="31" t="n">
        <v>-0.01</v>
      </c>
      <c r="G449" s="28" t="s">
        <v>957</v>
      </c>
      <c r="H449" s="31" t="n">
        <v>0.545</v>
      </c>
      <c r="I449" s="28" t="s">
        <v>941</v>
      </c>
    </row>
    <row r="450" customFormat="false" ht="15" hidden="false" customHeight="false" outlineLevel="0" collapsed="false">
      <c r="A450" s="28" t="s">
        <v>203</v>
      </c>
      <c r="B450" s="28" t="s">
        <v>968</v>
      </c>
      <c r="C450" s="28" t="s">
        <v>447</v>
      </c>
      <c r="D450" s="23" t="n">
        <v>21376.155</v>
      </c>
      <c r="E450" s="23" t="n">
        <v>21268.4696020379</v>
      </c>
      <c r="F450" s="31" t="n">
        <v>2.0285</v>
      </c>
      <c r="G450" s="28" t="s">
        <v>957</v>
      </c>
      <c r="H450" s="31" t="n">
        <v>7.3426</v>
      </c>
      <c r="I450" s="28" t="s">
        <v>941</v>
      </c>
    </row>
    <row r="451" customFormat="false" ht="15" hidden="false" customHeight="false" outlineLevel="0" collapsed="false">
      <c r="A451" s="28" t="s">
        <v>203</v>
      </c>
      <c r="B451" s="28" t="s">
        <v>969</v>
      </c>
      <c r="C451" s="28" t="s">
        <v>447</v>
      </c>
      <c r="D451" s="23" t="n">
        <v>1397.217</v>
      </c>
      <c r="E451" s="23" t="n">
        <v>1354.06747282859</v>
      </c>
      <c r="F451" s="31" t="n">
        <v>2.9449</v>
      </c>
      <c r="G451" s="28" t="s">
        <v>957</v>
      </c>
      <c r="H451" s="31" t="n">
        <v>14.7966</v>
      </c>
      <c r="I451" s="28" t="s">
        <v>941</v>
      </c>
    </row>
    <row r="452" customFormat="false" ht="15" hidden="false" customHeight="false" outlineLevel="0" collapsed="false">
      <c r="A452" s="28" t="s">
        <v>203</v>
      </c>
      <c r="B452" s="28" t="s">
        <v>970</v>
      </c>
      <c r="C452" s="28" t="s">
        <v>447</v>
      </c>
      <c r="D452" s="23" t="n">
        <v>42.972</v>
      </c>
      <c r="E452" s="23" t="n">
        <v>43.0704694266693</v>
      </c>
      <c r="F452" s="31" t="n">
        <v>4.8292</v>
      </c>
      <c r="G452" s="28" t="s">
        <v>957</v>
      </c>
      <c r="H452" s="31" t="n">
        <v>40.9555</v>
      </c>
      <c r="I452" s="28" t="s">
        <v>941</v>
      </c>
    </row>
    <row r="453" customFormat="false" ht="15" hidden="false" customHeight="false" outlineLevel="0" collapsed="false">
      <c r="A453" s="28" t="s">
        <v>203</v>
      </c>
      <c r="B453" s="28" t="s">
        <v>459</v>
      </c>
      <c r="C453" s="28" t="s">
        <v>447</v>
      </c>
      <c r="D453" s="23" t="n">
        <v>1976.718</v>
      </c>
      <c r="E453" s="23" t="n">
        <v>1980.46098265072</v>
      </c>
      <c r="F453" s="31" t="n">
        <v>0.1652</v>
      </c>
      <c r="G453" s="28" t="s">
        <v>957</v>
      </c>
      <c r="H453" s="31" t="n">
        <v>0.0543</v>
      </c>
      <c r="I453" s="28" t="s">
        <v>941</v>
      </c>
    </row>
    <row r="454" customFormat="false" ht="15" hidden="false" customHeight="false" outlineLevel="0" collapsed="false">
      <c r="A454" s="28" t="s">
        <v>203</v>
      </c>
      <c r="B454" s="28" t="s">
        <v>489</v>
      </c>
      <c r="C454" s="28" t="s">
        <v>447</v>
      </c>
      <c r="D454" s="23" t="n">
        <v>-47552</v>
      </c>
      <c r="E454" s="23" t="n">
        <v>-47552</v>
      </c>
      <c r="F454" s="31" t="n">
        <v>0</v>
      </c>
      <c r="G454" s="28" t="s">
        <v>957</v>
      </c>
      <c r="H454" s="31" t="n">
        <v>0</v>
      </c>
      <c r="I454" s="28" t="s">
        <v>941</v>
      </c>
    </row>
    <row r="455" customFormat="false" ht="15" hidden="false" customHeight="false" outlineLevel="0" collapsed="false">
      <c r="A455" s="28" t="s">
        <v>203</v>
      </c>
      <c r="B455" s="28" t="s">
        <v>466</v>
      </c>
      <c r="C455" s="28" t="s">
        <v>447</v>
      </c>
      <c r="D455" s="23" t="n">
        <v>6200</v>
      </c>
      <c r="E455" s="23" t="n">
        <v>5456</v>
      </c>
      <c r="F455" s="31" t="n">
        <v>-13.6364</v>
      </c>
      <c r="G455" s="28" t="s">
        <v>955</v>
      </c>
      <c r="H455" s="31" t="n">
        <v>0</v>
      </c>
      <c r="I455" s="28" t="s">
        <v>941</v>
      </c>
    </row>
    <row r="456" customFormat="false" ht="15" hidden="false" customHeight="false" outlineLevel="0" collapsed="false">
      <c r="A456" s="28" t="s">
        <v>203</v>
      </c>
      <c r="B456" s="28" t="s">
        <v>971</v>
      </c>
      <c r="C456" s="28" t="s">
        <v>447</v>
      </c>
      <c r="D456" s="23" t="n">
        <v>577875.54</v>
      </c>
      <c r="E456" s="23" t="n">
        <v>577875.54</v>
      </c>
      <c r="F456" s="31" t="n">
        <v>0</v>
      </c>
      <c r="G456" s="28" t="s">
        <v>955</v>
      </c>
      <c r="H456" s="31" t="n">
        <v>0</v>
      </c>
      <c r="I456" s="28" t="s">
        <v>941</v>
      </c>
    </row>
    <row r="457" customFormat="false" ht="15" hidden="false" customHeight="false" outlineLevel="0" collapsed="false">
      <c r="A457" s="28" t="s">
        <v>203</v>
      </c>
      <c r="B457" s="28" t="s">
        <v>972</v>
      </c>
      <c r="C457" s="28" t="s">
        <v>469</v>
      </c>
      <c r="D457" s="23" t="n">
        <v>1551679.623</v>
      </c>
      <c r="E457" s="23" t="n">
        <v>1289791.6069131</v>
      </c>
      <c r="F457" s="31" t="n">
        <v>5.0509</v>
      </c>
      <c r="G457" s="28" t="s">
        <v>973</v>
      </c>
      <c r="H457" s="31" t="n">
        <v>53.6832</v>
      </c>
      <c r="I457" s="28" t="s">
        <v>941</v>
      </c>
    </row>
    <row r="458" customFormat="false" ht="15" hidden="false" customHeight="false" outlineLevel="0" collapsed="false">
      <c r="A458" s="28" t="s">
        <v>203</v>
      </c>
      <c r="B458" s="28" t="s">
        <v>974</v>
      </c>
      <c r="C458" s="28" t="s">
        <v>469</v>
      </c>
      <c r="D458" s="23" t="n">
        <v>330000</v>
      </c>
      <c r="E458" s="23" t="n">
        <v>288669.787091599</v>
      </c>
      <c r="F458" s="31" t="n">
        <v>3.3819</v>
      </c>
      <c r="G458" s="28" t="s">
        <v>973</v>
      </c>
      <c r="H458" s="31" t="n">
        <v>44.4827</v>
      </c>
      <c r="I458" s="28" t="s">
        <v>941</v>
      </c>
    </row>
    <row r="459" customFormat="false" ht="15" hidden="false" customHeight="false" outlineLevel="0" collapsed="false">
      <c r="A459" s="28" t="s">
        <v>203</v>
      </c>
      <c r="B459" s="28" t="s">
        <v>975</v>
      </c>
      <c r="C459" s="28" t="s">
        <v>469</v>
      </c>
      <c r="D459" s="23" t="n">
        <v>1462571.75</v>
      </c>
      <c r="E459" s="23" t="n">
        <v>1199620.8007469</v>
      </c>
      <c r="F459" s="31" t="n">
        <v>4.8686</v>
      </c>
      <c r="G459" s="28" t="s">
        <v>973</v>
      </c>
      <c r="H459" s="31" t="n">
        <v>51.7592</v>
      </c>
      <c r="I459" s="28" t="s">
        <v>941</v>
      </c>
    </row>
    <row r="460" customFormat="false" ht="15" hidden="false" customHeight="false" outlineLevel="0" collapsed="false">
      <c r="A460" s="28" t="s">
        <v>203</v>
      </c>
      <c r="B460" s="28" t="s">
        <v>976</v>
      </c>
      <c r="C460" s="28" t="s">
        <v>469</v>
      </c>
      <c r="D460" s="23" t="n">
        <v>50000</v>
      </c>
      <c r="E460" s="23" t="n">
        <v>43259.672144858</v>
      </c>
      <c r="F460" s="31" t="n">
        <v>3.4728</v>
      </c>
      <c r="G460" s="28" t="s">
        <v>973</v>
      </c>
      <c r="H460" s="31" t="n">
        <v>44.9301</v>
      </c>
      <c r="I460" s="28" t="s">
        <v>941</v>
      </c>
    </row>
    <row r="461" customFormat="false" ht="15" hidden="false" customHeight="false" outlineLevel="0" collapsed="false">
      <c r="A461" s="28" t="s">
        <v>203</v>
      </c>
      <c r="B461" s="28" t="s">
        <v>601</v>
      </c>
      <c r="C461" s="28" t="s">
        <v>469</v>
      </c>
      <c r="D461" s="23" t="n">
        <v>1000000</v>
      </c>
      <c r="E461" s="23" t="n">
        <v>876669.628117293</v>
      </c>
      <c r="F461" s="31" t="n">
        <v>3.2546</v>
      </c>
      <c r="G461" s="28" t="s">
        <v>973</v>
      </c>
      <c r="H461" s="31" t="n">
        <v>67.6231</v>
      </c>
      <c r="I461" s="28" t="s">
        <v>941</v>
      </c>
    </row>
    <row r="462" customFormat="false" ht="15" hidden="false" customHeight="false" outlineLevel="0" collapsed="false">
      <c r="A462" s="28" t="s">
        <v>203</v>
      </c>
      <c r="B462" s="28" t="s">
        <v>603</v>
      </c>
      <c r="C462" s="28" t="s">
        <v>469</v>
      </c>
      <c r="D462" s="23" t="n">
        <v>1100000</v>
      </c>
      <c r="E462" s="23" t="n">
        <v>1020650.71426908</v>
      </c>
      <c r="F462" s="31" t="n">
        <v>1.9119</v>
      </c>
      <c r="G462" s="28" t="s">
        <v>973</v>
      </c>
      <c r="H462" s="31" t="n">
        <v>77.2673</v>
      </c>
      <c r="I462" s="28" t="s">
        <v>941</v>
      </c>
    </row>
    <row r="463" customFormat="false" ht="15" hidden="false" customHeight="false" outlineLevel="0" collapsed="false">
      <c r="A463" s="28" t="s">
        <v>203</v>
      </c>
      <c r="B463" s="28" t="s">
        <v>605</v>
      </c>
      <c r="C463" s="28" t="s">
        <v>469</v>
      </c>
      <c r="D463" s="23" t="n">
        <v>800000</v>
      </c>
      <c r="E463" s="23" t="n">
        <v>766952.451523606</v>
      </c>
      <c r="F463" s="31" t="n">
        <v>1.1888</v>
      </c>
      <c r="G463" s="28" t="s">
        <v>973</v>
      </c>
      <c r="H463" s="31" t="n">
        <v>60.2194</v>
      </c>
      <c r="I463" s="28" t="s">
        <v>941</v>
      </c>
    </row>
    <row r="464" customFormat="false" ht="15" hidden="false" customHeight="false" outlineLevel="0" collapsed="false">
      <c r="A464" s="28" t="s">
        <v>203</v>
      </c>
      <c r="B464" s="28" t="s">
        <v>977</v>
      </c>
      <c r="C464" s="28" t="s">
        <v>469</v>
      </c>
      <c r="D464" s="23" t="n">
        <v>765287.677</v>
      </c>
      <c r="E464" s="23" t="n">
        <v>749334.09192112</v>
      </c>
      <c r="F464" s="31" t="n">
        <v>0.5967</v>
      </c>
      <c r="G464" s="28" t="s">
        <v>973</v>
      </c>
      <c r="H464" s="31" t="n">
        <v>40.6462</v>
      </c>
      <c r="I464" s="28" t="s">
        <v>941</v>
      </c>
    </row>
    <row r="465" customFormat="false" ht="15" hidden="false" customHeight="false" outlineLevel="0" collapsed="false">
      <c r="A465" s="28" t="s">
        <v>203</v>
      </c>
      <c r="B465" s="28" t="s">
        <v>978</v>
      </c>
      <c r="C465" s="28" t="s">
        <v>469</v>
      </c>
      <c r="D465" s="23" t="n">
        <v>74688.3604</v>
      </c>
      <c r="E465" s="23" t="n">
        <v>61706.1414743387</v>
      </c>
      <c r="F465" s="31" t="n">
        <v>5.3203</v>
      </c>
      <c r="G465" s="28" t="s">
        <v>973</v>
      </c>
      <c r="H465" s="31" t="n">
        <v>152.797</v>
      </c>
      <c r="I465" s="28" t="s">
        <v>941</v>
      </c>
    </row>
    <row r="466" customFormat="false" ht="15" hidden="false" customHeight="false" outlineLevel="0" collapsed="false">
      <c r="A466" s="28" t="s">
        <v>203</v>
      </c>
      <c r="B466" s="28" t="s">
        <v>979</v>
      </c>
      <c r="C466" s="28" t="s">
        <v>469</v>
      </c>
      <c r="D466" s="23" t="n">
        <v>14494.065</v>
      </c>
      <c r="E466" s="23" t="n">
        <v>13091.4181360338</v>
      </c>
      <c r="F466" s="31" t="n">
        <v>2.7172</v>
      </c>
      <c r="G466" s="28" t="s">
        <v>973</v>
      </c>
      <c r="H466" s="31" t="n">
        <v>17.6455</v>
      </c>
      <c r="I466" s="28" t="s">
        <v>941</v>
      </c>
    </row>
    <row r="467" customFormat="false" ht="15" hidden="false" customHeight="false" outlineLevel="0" collapsed="false">
      <c r="A467" s="28" t="s">
        <v>203</v>
      </c>
      <c r="B467" s="28" t="s">
        <v>980</v>
      </c>
      <c r="C467" s="28" t="s">
        <v>469</v>
      </c>
      <c r="D467" s="23" t="n">
        <v>734544.639</v>
      </c>
      <c r="E467" s="23" t="n">
        <v>734072.481229035</v>
      </c>
      <c r="F467" s="31" t="n">
        <v>0.7356</v>
      </c>
      <c r="G467" s="28" t="s">
        <v>981</v>
      </c>
      <c r="H467" s="31" t="n">
        <v>1.4587</v>
      </c>
      <c r="I467" s="28" t="s">
        <v>941</v>
      </c>
    </row>
    <row r="468" customFormat="false" ht="15" hidden="false" customHeight="false" outlineLevel="0" collapsed="false">
      <c r="A468" s="28" t="s">
        <v>203</v>
      </c>
      <c r="B468" s="28" t="s">
        <v>982</v>
      </c>
      <c r="C468" s="28" t="s">
        <v>469</v>
      </c>
      <c r="D468" s="23" t="n">
        <v>860301.67</v>
      </c>
      <c r="E468" s="23" t="n">
        <v>860455.85385541</v>
      </c>
      <c r="F468" s="31" t="n">
        <v>0.7357</v>
      </c>
      <c r="G468" s="28" t="s">
        <v>981</v>
      </c>
      <c r="H468" s="31" t="n">
        <v>1.4589</v>
      </c>
      <c r="I468" s="28" t="s">
        <v>941</v>
      </c>
    </row>
    <row r="469" customFormat="false" ht="15" hidden="false" customHeight="false" outlineLevel="0" collapsed="false">
      <c r="A469" s="28" t="s">
        <v>203</v>
      </c>
      <c r="B469" s="28" t="s">
        <v>983</v>
      </c>
      <c r="C469" s="28" t="s">
        <v>469</v>
      </c>
      <c r="D469" s="23" t="n">
        <v>112032.5406</v>
      </c>
      <c r="E469" s="23" t="n">
        <v>112138.881891341</v>
      </c>
      <c r="F469" s="31" t="n">
        <v>1.4018</v>
      </c>
      <c r="G469" s="28" t="s">
        <v>981</v>
      </c>
      <c r="H469" s="31" t="n">
        <v>3.8516</v>
      </c>
      <c r="I469" s="28" t="s">
        <v>941</v>
      </c>
    </row>
    <row r="470" customFormat="false" ht="15" hidden="false" customHeight="false" outlineLevel="0" collapsed="false">
      <c r="A470" s="28" t="s">
        <v>203</v>
      </c>
      <c r="B470" s="28" t="s">
        <v>984</v>
      </c>
      <c r="C470" s="28" t="s">
        <v>469</v>
      </c>
      <c r="D470" s="23" t="n">
        <v>124418.196</v>
      </c>
      <c r="E470" s="23" t="n">
        <v>124418.196</v>
      </c>
      <c r="F470" s="31" t="n">
        <v>0</v>
      </c>
      <c r="G470" s="28" t="s">
        <v>984</v>
      </c>
      <c r="H470" s="31" t="n">
        <v>0</v>
      </c>
      <c r="I470" s="28" t="s">
        <v>941</v>
      </c>
    </row>
    <row r="471" customFormat="false" ht="15" hidden="false" customHeight="false" outlineLevel="0" collapsed="false">
      <c r="A471" s="28" t="s">
        <v>203</v>
      </c>
      <c r="B471" s="28" t="s">
        <v>985</v>
      </c>
      <c r="C471" s="28" t="s">
        <v>874</v>
      </c>
      <c r="D471" s="23" t="n">
        <v>0</v>
      </c>
      <c r="E471" s="23" t="n">
        <v>438.461538461539</v>
      </c>
      <c r="G471" s="28" t="s">
        <v>986</v>
      </c>
      <c r="I471" s="28" t="s">
        <v>941</v>
      </c>
    </row>
    <row r="472" customFormat="false" ht="15" hidden="false" customHeight="false" outlineLevel="0" collapsed="false">
      <c r="A472" s="28" t="s">
        <v>205</v>
      </c>
      <c r="B472" s="28" t="s">
        <v>449</v>
      </c>
      <c r="C472" s="28" t="s">
        <v>447</v>
      </c>
      <c r="D472" s="23" t="n">
        <v>695254.49</v>
      </c>
      <c r="E472" s="23" t="n">
        <v>695254.49</v>
      </c>
      <c r="F472" s="31" t="n">
        <v>0</v>
      </c>
      <c r="G472" s="28" t="s">
        <v>940</v>
      </c>
      <c r="H472" s="31" t="n">
        <v>0</v>
      </c>
      <c r="I472" s="28" t="s">
        <v>941</v>
      </c>
    </row>
    <row r="473" customFormat="false" ht="15" hidden="false" customHeight="false" outlineLevel="0" collapsed="false">
      <c r="A473" s="28" t="s">
        <v>205</v>
      </c>
      <c r="B473" s="28" t="s">
        <v>942</v>
      </c>
      <c r="C473" s="28" t="s">
        <v>447</v>
      </c>
      <c r="D473" s="23" t="n">
        <v>150051.434903246</v>
      </c>
      <c r="E473" s="23" t="n">
        <v>145189.693976948</v>
      </c>
      <c r="F473" s="31" t="n">
        <v>1.9009</v>
      </c>
      <c r="G473" s="28" t="s">
        <v>943</v>
      </c>
      <c r="H473" s="31" t="n">
        <v>5.7214</v>
      </c>
      <c r="I473" s="28" t="s">
        <v>941</v>
      </c>
    </row>
    <row r="474" customFormat="false" ht="15" hidden="false" customHeight="false" outlineLevel="0" collapsed="false">
      <c r="A474" s="28" t="s">
        <v>205</v>
      </c>
      <c r="B474" s="28" t="s">
        <v>944</v>
      </c>
      <c r="C474" s="28" t="s">
        <v>447</v>
      </c>
      <c r="D474" s="23" t="n">
        <v>367549.241673984</v>
      </c>
      <c r="E474" s="23" t="n">
        <v>352055.960044645</v>
      </c>
      <c r="F474" s="31" t="n">
        <v>2.7609</v>
      </c>
      <c r="G474" s="28" t="s">
        <v>943</v>
      </c>
      <c r="H474" s="31" t="n">
        <v>10.9766</v>
      </c>
      <c r="I474" s="28" t="s">
        <v>941</v>
      </c>
    </row>
    <row r="475" customFormat="false" ht="15" hidden="false" customHeight="false" outlineLevel="0" collapsed="false">
      <c r="A475" s="28" t="s">
        <v>205</v>
      </c>
      <c r="B475" s="28" t="s">
        <v>945</v>
      </c>
      <c r="C475" s="28" t="s">
        <v>447</v>
      </c>
      <c r="D475" s="23" t="n">
        <v>548633.753403125</v>
      </c>
      <c r="E475" s="23" t="n">
        <v>522411.977901692</v>
      </c>
      <c r="F475" s="31" t="n">
        <v>7.0819</v>
      </c>
      <c r="G475" s="28" t="s">
        <v>943</v>
      </c>
      <c r="H475" s="31" t="n">
        <v>86.302</v>
      </c>
      <c r="I475" s="28" t="s">
        <v>941</v>
      </c>
    </row>
    <row r="476" customFormat="false" ht="15" hidden="false" customHeight="false" outlineLevel="0" collapsed="false">
      <c r="A476" s="28" t="s">
        <v>205</v>
      </c>
      <c r="B476" s="28" t="s">
        <v>946</v>
      </c>
      <c r="C476" s="28" t="s">
        <v>447</v>
      </c>
      <c r="D476" s="23" t="n">
        <v>305274.71975975</v>
      </c>
      <c r="E476" s="23" t="n">
        <v>291163.708912462</v>
      </c>
      <c r="F476" s="31" t="n">
        <v>6.3755</v>
      </c>
      <c r="G476" s="28" t="s">
        <v>943</v>
      </c>
      <c r="H476" s="31" t="n">
        <v>-4.3146</v>
      </c>
      <c r="I476" s="28" t="s">
        <v>941</v>
      </c>
    </row>
    <row r="477" customFormat="false" ht="15" hidden="false" customHeight="false" outlineLevel="0" collapsed="false">
      <c r="A477" s="28" t="s">
        <v>205</v>
      </c>
      <c r="B477" s="28" t="s">
        <v>947</v>
      </c>
      <c r="C477" s="28" t="s">
        <v>447</v>
      </c>
      <c r="D477" s="23" t="n">
        <v>352414.480607701</v>
      </c>
      <c r="E477" s="23" t="n">
        <v>337405.912407518</v>
      </c>
      <c r="F477" s="31" t="n">
        <v>4.8427</v>
      </c>
      <c r="G477" s="28" t="s">
        <v>943</v>
      </c>
      <c r="H477" s="31" t="n">
        <v>39.6934</v>
      </c>
      <c r="I477" s="28" t="s">
        <v>941</v>
      </c>
    </row>
    <row r="478" customFormat="false" ht="15" hidden="false" customHeight="false" outlineLevel="0" collapsed="false">
      <c r="A478" s="28" t="s">
        <v>205</v>
      </c>
      <c r="B478" s="28" t="s">
        <v>948</v>
      </c>
      <c r="C478" s="28" t="s">
        <v>447</v>
      </c>
      <c r="D478" s="23" t="n">
        <v>136497.166545512</v>
      </c>
      <c r="E478" s="23" t="n">
        <v>128970.550048573</v>
      </c>
      <c r="F478" s="31" t="n">
        <v>6.2697</v>
      </c>
      <c r="G478" s="28" t="s">
        <v>943</v>
      </c>
      <c r="H478" s="31" t="n">
        <v>46.4771</v>
      </c>
      <c r="I478" s="28" t="s">
        <v>941</v>
      </c>
    </row>
    <row r="479" customFormat="false" ht="15" hidden="false" customHeight="false" outlineLevel="0" collapsed="false">
      <c r="A479" s="28" t="s">
        <v>205</v>
      </c>
      <c r="B479" s="28" t="s">
        <v>949</v>
      </c>
      <c r="C479" s="28" t="s">
        <v>447</v>
      </c>
      <c r="D479" s="23" t="n">
        <v>97853.5160956092</v>
      </c>
      <c r="E479" s="23" t="n">
        <v>101694.628784573</v>
      </c>
      <c r="F479" s="31" t="n">
        <v>-0.0508</v>
      </c>
      <c r="G479" s="28" t="s">
        <v>943</v>
      </c>
      <c r="H479" s="31" t="n">
        <v>1.1734</v>
      </c>
      <c r="I479" s="28" t="s">
        <v>941</v>
      </c>
    </row>
    <row r="480" customFormat="false" ht="15" hidden="false" customHeight="false" outlineLevel="0" collapsed="false">
      <c r="A480" s="28" t="s">
        <v>205</v>
      </c>
      <c r="B480" s="28" t="s">
        <v>950</v>
      </c>
      <c r="C480" s="28" t="s">
        <v>447</v>
      </c>
      <c r="D480" s="23" t="n">
        <v>700000</v>
      </c>
      <c r="E480" s="23" t="n">
        <v>560764.304252186</v>
      </c>
      <c r="F480" s="31" t="n">
        <v>5.4307</v>
      </c>
      <c r="G480" s="28" t="s">
        <v>943</v>
      </c>
      <c r="H480" s="31" t="n">
        <v>49.4793</v>
      </c>
      <c r="I480" s="28" t="s">
        <v>941</v>
      </c>
    </row>
    <row r="481" customFormat="false" ht="15" hidden="false" customHeight="false" outlineLevel="0" collapsed="false">
      <c r="A481" s="28" t="s">
        <v>205</v>
      </c>
      <c r="B481" s="28" t="s">
        <v>951</v>
      </c>
      <c r="C481" s="28" t="s">
        <v>447</v>
      </c>
      <c r="D481" s="23" t="n">
        <v>300000</v>
      </c>
      <c r="E481" s="23" t="n">
        <v>262148.763423073</v>
      </c>
      <c r="F481" s="31" t="n">
        <v>3.6584</v>
      </c>
      <c r="G481" s="28" t="s">
        <v>943</v>
      </c>
      <c r="H481" s="31" t="n">
        <v>16.1915</v>
      </c>
      <c r="I481" s="28" t="s">
        <v>941</v>
      </c>
    </row>
    <row r="482" customFormat="false" ht="15" hidden="false" customHeight="false" outlineLevel="0" collapsed="false">
      <c r="A482" s="28" t="s">
        <v>205</v>
      </c>
      <c r="B482" s="28" t="s">
        <v>952</v>
      </c>
      <c r="C482" s="28" t="s">
        <v>447</v>
      </c>
      <c r="D482" s="23" t="n">
        <v>200000</v>
      </c>
      <c r="E482" s="23" t="n">
        <v>160609.317974242</v>
      </c>
      <c r="F482" s="31" t="n">
        <v>6.876</v>
      </c>
      <c r="G482" s="28" t="s">
        <v>943</v>
      </c>
      <c r="H482" s="31" t="n">
        <v>56.3381</v>
      </c>
      <c r="I482" s="28" t="s">
        <v>941</v>
      </c>
    </row>
    <row r="483" customFormat="false" ht="15" hidden="false" customHeight="false" outlineLevel="0" collapsed="false">
      <c r="A483" s="28" t="s">
        <v>205</v>
      </c>
      <c r="B483" s="28" t="s">
        <v>953</v>
      </c>
      <c r="C483" s="28" t="s">
        <v>447</v>
      </c>
      <c r="D483" s="23" t="n">
        <v>148403.71</v>
      </c>
      <c r="E483" s="23" t="n">
        <v>143483.507773423</v>
      </c>
      <c r="F483" s="31" t="n">
        <v>2.7203</v>
      </c>
      <c r="G483" s="28" t="s">
        <v>943</v>
      </c>
      <c r="H483" s="31" t="n">
        <v>9.0558</v>
      </c>
      <c r="I483" s="28" t="s">
        <v>941</v>
      </c>
    </row>
    <row r="484" customFormat="false" ht="15" hidden="false" customHeight="false" outlineLevel="0" collapsed="false">
      <c r="A484" s="28" t="s">
        <v>205</v>
      </c>
      <c r="B484" s="28" t="s">
        <v>954</v>
      </c>
      <c r="C484" s="28" t="s">
        <v>447</v>
      </c>
      <c r="D484" s="23" t="n">
        <v>24721.732</v>
      </c>
      <c r="E484" s="23" t="n">
        <v>24721.732</v>
      </c>
      <c r="F484" s="31" t="n">
        <v>0</v>
      </c>
      <c r="G484" s="28" t="s">
        <v>943</v>
      </c>
      <c r="H484" s="31" t="n">
        <v>0</v>
      </c>
      <c r="I484" s="28" t="s">
        <v>941</v>
      </c>
    </row>
    <row r="485" customFormat="false" ht="15" hidden="false" customHeight="false" outlineLevel="0" collapsed="false">
      <c r="A485" s="28" t="s">
        <v>205</v>
      </c>
      <c r="B485" s="28" t="s">
        <v>457</v>
      </c>
      <c r="C485" s="28" t="s">
        <v>447</v>
      </c>
      <c r="D485" s="23" t="n">
        <v>17250</v>
      </c>
      <c r="E485" s="23" t="n">
        <v>17250</v>
      </c>
      <c r="F485" s="31" t="n">
        <v>0</v>
      </c>
      <c r="G485" s="28" t="s">
        <v>955</v>
      </c>
      <c r="H485" s="31" t="n">
        <v>0</v>
      </c>
      <c r="I485" s="28" t="s">
        <v>941</v>
      </c>
    </row>
    <row r="486" customFormat="false" ht="15" hidden="false" customHeight="false" outlineLevel="0" collapsed="false">
      <c r="A486" s="28" t="s">
        <v>205</v>
      </c>
      <c r="B486" s="28" t="s">
        <v>956</v>
      </c>
      <c r="C486" s="28" t="s">
        <v>447</v>
      </c>
      <c r="D486" s="23" t="n">
        <v>1515773.50272</v>
      </c>
      <c r="E486" s="23" t="n">
        <v>1554456.43170506</v>
      </c>
      <c r="F486" s="31" t="n">
        <v>-0.004</v>
      </c>
      <c r="G486" s="28" t="s">
        <v>957</v>
      </c>
      <c r="H486" s="31" t="n">
        <v>0.9793</v>
      </c>
      <c r="I486" s="28" t="s">
        <v>941</v>
      </c>
    </row>
    <row r="487" customFormat="false" ht="15" hidden="false" customHeight="false" outlineLevel="0" collapsed="false">
      <c r="A487" s="28" t="s">
        <v>205</v>
      </c>
      <c r="B487" s="28" t="s">
        <v>958</v>
      </c>
      <c r="C487" s="28" t="s">
        <v>447</v>
      </c>
      <c r="D487" s="23" t="n">
        <v>589467.47328</v>
      </c>
      <c r="E487" s="23" t="n">
        <v>549004.50920815</v>
      </c>
      <c r="F487" s="31" t="n">
        <v>4.3843</v>
      </c>
      <c r="G487" s="28" t="s">
        <v>957</v>
      </c>
      <c r="H487" s="31" t="n">
        <v>-15.2851</v>
      </c>
      <c r="I487" s="28" t="s">
        <v>941</v>
      </c>
    </row>
    <row r="488" customFormat="false" ht="15" hidden="false" customHeight="false" outlineLevel="0" collapsed="false">
      <c r="A488" s="28" t="s">
        <v>205</v>
      </c>
      <c r="B488" s="28" t="s">
        <v>959</v>
      </c>
      <c r="C488" s="28" t="s">
        <v>447</v>
      </c>
      <c r="D488" s="23" t="n">
        <v>1104190.947</v>
      </c>
      <c r="E488" s="23" t="n">
        <v>1061385.44672293</v>
      </c>
      <c r="F488" s="31" t="n">
        <v>1.8231</v>
      </c>
      <c r="G488" s="28" t="s">
        <v>957</v>
      </c>
      <c r="H488" s="31" t="n">
        <v>1.2502</v>
      </c>
      <c r="I488" s="28" t="s">
        <v>941</v>
      </c>
    </row>
    <row r="489" customFormat="false" ht="15" hidden="false" customHeight="false" outlineLevel="0" collapsed="false">
      <c r="A489" s="28" t="s">
        <v>205</v>
      </c>
      <c r="B489" s="28" t="s">
        <v>960</v>
      </c>
      <c r="C489" s="28" t="s">
        <v>447</v>
      </c>
      <c r="D489" s="23" t="n">
        <v>476328.947</v>
      </c>
      <c r="E489" s="23" t="n">
        <v>455122.513877298</v>
      </c>
      <c r="F489" s="31" t="n">
        <v>1.9333</v>
      </c>
      <c r="G489" s="28" t="s">
        <v>957</v>
      </c>
      <c r="H489" s="31" t="n">
        <v>11.6108</v>
      </c>
      <c r="I489" s="28" t="s">
        <v>941</v>
      </c>
    </row>
    <row r="490" customFormat="false" ht="15" hidden="false" customHeight="false" outlineLevel="0" collapsed="false">
      <c r="A490" s="28" t="s">
        <v>205</v>
      </c>
      <c r="B490" s="28" t="s">
        <v>961</v>
      </c>
      <c r="C490" s="28" t="s">
        <v>447</v>
      </c>
      <c r="D490" s="23" t="n">
        <v>374430.3036</v>
      </c>
      <c r="E490" s="23" t="n">
        <v>303520.784592634</v>
      </c>
      <c r="F490" s="31" t="n">
        <v>6.8736</v>
      </c>
      <c r="G490" s="28" t="s">
        <v>957</v>
      </c>
      <c r="H490" s="31" t="n">
        <v>82.1845</v>
      </c>
      <c r="I490" s="28" t="s">
        <v>941</v>
      </c>
    </row>
    <row r="491" customFormat="false" ht="15" hidden="false" customHeight="false" outlineLevel="0" collapsed="false">
      <c r="A491" s="28" t="s">
        <v>205</v>
      </c>
      <c r="B491" s="28" t="s">
        <v>962</v>
      </c>
      <c r="C491" s="28" t="s">
        <v>447</v>
      </c>
      <c r="D491" s="23" t="n">
        <v>249620.2024</v>
      </c>
      <c r="E491" s="23" t="n">
        <v>263889.935074817</v>
      </c>
      <c r="F491" s="31" t="n">
        <v>1.8255</v>
      </c>
      <c r="G491" s="28" t="s">
        <v>957</v>
      </c>
      <c r="H491" s="31" t="n">
        <v>3.6545</v>
      </c>
      <c r="I491" s="28" t="s">
        <v>941</v>
      </c>
    </row>
    <row r="492" customFormat="false" ht="15" hidden="false" customHeight="false" outlineLevel="0" collapsed="false">
      <c r="A492" s="28" t="s">
        <v>205</v>
      </c>
      <c r="B492" s="28" t="s">
        <v>963</v>
      </c>
      <c r="C492" s="28" t="s">
        <v>447</v>
      </c>
      <c r="D492" s="23" t="n">
        <v>720674.90295</v>
      </c>
      <c r="E492" s="23" t="n">
        <v>723147.944095164</v>
      </c>
      <c r="F492" s="31" t="n">
        <v>1.7156</v>
      </c>
      <c r="G492" s="28" t="s">
        <v>957</v>
      </c>
      <c r="H492" s="31" t="n">
        <v>1.8055</v>
      </c>
      <c r="I492" s="28" t="s">
        <v>941</v>
      </c>
    </row>
    <row r="493" customFormat="false" ht="15" hidden="false" customHeight="false" outlineLevel="0" collapsed="false">
      <c r="A493" s="28" t="s">
        <v>205</v>
      </c>
      <c r="B493" s="28" t="s">
        <v>964</v>
      </c>
      <c r="C493" s="28" t="s">
        <v>447</v>
      </c>
      <c r="D493" s="23" t="n">
        <v>127177.92405</v>
      </c>
      <c r="E493" s="23" t="n">
        <v>132668.440432162</v>
      </c>
      <c r="F493" s="31" t="n">
        <v>0.0405</v>
      </c>
      <c r="G493" s="28" t="s">
        <v>957</v>
      </c>
      <c r="H493" s="31" t="n">
        <v>1.4018</v>
      </c>
      <c r="I493" s="28" t="s">
        <v>941</v>
      </c>
    </row>
    <row r="494" customFormat="false" ht="15" hidden="false" customHeight="false" outlineLevel="0" collapsed="false">
      <c r="A494" s="28" t="s">
        <v>205</v>
      </c>
      <c r="B494" s="28" t="s">
        <v>965</v>
      </c>
      <c r="C494" s="28" t="s">
        <v>447</v>
      </c>
      <c r="D494" s="23" t="n">
        <v>20543.822</v>
      </c>
      <c r="E494" s="23" t="n">
        <v>20658.9173805752</v>
      </c>
      <c r="F494" s="31" t="n">
        <v>-0.0312</v>
      </c>
      <c r="G494" s="28" t="s">
        <v>957</v>
      </c>
      <c r="H494" s="31" t="n">
        <v>0.6097</v>
      </c>
      <c r="I494" s="28" t="s">
        <v>941</v>
      </c>
    </row>
    <row r="495" customFormat="false" ht="15" hidden="false" customHeight="false" outlineLevel="0" collapsed="false">
      <c r="A495" s="28" t="s">
        <v>205</v>
      </c>
      <c r="B495" s="28" t="s">
        <v>966</v>
      </c>
      <c r="C495" s="28" t="s">
        <v>447</v>
      </c>
      <c r="D495" s="23" t="n">
        <v>62649.693</v>
      </c>
      <c r="E495" s="23" t="n">
        <v>60868.9152655846</v>
      </c>
      <c r="F495" s="31" t="n">
        <v>1.0938</v>
      </c>
      <c r="G495" s="28" t="s">
        <v>957</v>
      </c>
      <c r="H495" s="31" t="n">
        <v>2.316</v>
      </c>
      <c r="I495" s="28" t="s">
        <v>941</v>
      </c>
    </row>
    <row r="496" customFormat="false" ht="15" hidden="false" customHeight="false" outlineLevel="0" collapsed="false">
      <c r="A496" s="28" t="s">
        <v>205</v>
      </c>
      <c r="B496" s="28" t="s">
        <v>967</v>
      </c>
      <c r="C496" s="28" t="s">
        <v>447</v>
      </c>
      <c r="D496" s="23" t="n">
        <v>41766.462</v>
      </c>
      <c r="E496" s="23" t="n">
        <v>41922.6264094864</v>
      </c>
      <c r="F496" s="31" t="n">
        <v>-0.0203</v>
      </c>
      <c r="G496" s="28" t="s">
        <v>957</v>
      </c>
      <c r="H496" s="31" t="n">
        <v>0.5102</v>
      </c>
      <c r="I496" s="28" t="s">
        <v>941</v>
      </c>
    </row>
    <row r="497" customFormat="false" ht="15" hidden="false" customHeight="false" outlineLevel="0" collapsed="false">
      <c r="A497" s="28" t="s">
        <v>205</v>
      </c>
      <c r="B497" s="28" t="s">
        <v>968</v>
      </c>
      <c r="C497" s="28" t="s">
        <v>447</v>
      </c>
      <c r="D497" s="23" t="n">
        <v>21376.155</v>
      </c>
      <c r="E497" s="23" t="n">
        <v>20465.3062176793</v>
      </c>
      <c r="F497" s="31" t="n">
        <v>1.9675</v>
      </c>
      <c r="G497" s="28" t="s">
        <v>957</v>
      </c>
      <c r="H497" s="31" t="n">
        <v>6.9754</v>
      </c>
      <c r="I497" s="28" t="s">
        <v>941</v>
      </c>
    </row>
    <row r="498" customFormat="false" ht="15" hidden="false" customHeight="false" outlineLevel="0" collapsed="false">
      <c r="A498" s="28" t="s">
        <v>205</v>
      </c>
      <c r="B498" s="28" t="s">
        <v>969</v>
      </c>
      <c r="C498" s="28" t="s">
        <v>447</v>
      </c>
      <c r="D498" s="23" t="n">
        <v>1397.217</v>
      </c>
      <c r="E498" s="23" t="n">
        <v>1284.27519097507</v>
      </c>
      <c r="F498" s="31" t="n">
        <v>2.835</v>
      </c>
      <c r="G498" s="28" t="s">
        <v>957</v>
      </c>
      <c r="H498" s="31" t="n">
        <v>13.8941</v>
      </c>
      <c r="I498" s="28" t="s">
        <v>941</v>
      </c>
    </row>
    <row r="499" customFormat="false" ht="15" hidden="false" customHeight="false" outlineLevel="0" collapsed="false">
      <c r="A499" s="28" t="s">
        <v>205</v>
      </c>
      <c r="B499" s="28" t="s">
        <v>970</v>
      </c>
      <c r="C499" s="28" t="s">
        <v>447</v>
      </c>
      <c r="D499" s="23" t="n">
        <v>42.972</v>
      </c>
      <c r="E499" s="23" t="n">
        <v>39.8456728381727</v>
      </c>
      <c r="F499" s="31" t="n">
        <v>4.5516</v>
      </c>
      <c r="G499" s="28" t="s">
        <v>957</v>
      </c>
      <c r="H499" s="31" t="n">
        <v>37.0894</v>
      </c>
      <c r="I499" s="28" t="s">
        <v>941</v>
      </c>
    </row>
    <row r="500" customFormat="false" ht="15" hidden="false" customHeight="false" outlineLevel="0" collapsed="false">
      <c r="A500" s="28" t="s">
        <v>205</v>
      </c>
      <c r="B500" s="28" t="s">
        <v>459</v>
      </c>
      <c r="C500" s="28" t="s">
        <v>447</v>
      </c>
      <c r="D500" s="23" t="n">
        <v>1976.718</v>
      </c>
      <c r="E500" s="23" t="n">
        <v>1973.92417594719</v>
      </c>
      <c r="F500" s="31" t="n">
        <v>0.1646</v>
      </c>
      <c r="G500" s="28" t="s">
        <v>957</v>
      </c>
      <c r="H500" s="31" t="n">
        <v>0.0537</v>
      </c>
      <c r="I500" s="28" t="s">
        <v>941</v>
      </c>
    </row>
    <row r="501" customFormat="false" ht="15" hidden="false" customHeight="false" outlineLevel="0" collapsed="false">
      <c r="A501" s="28" t="s">
        <v>205</v>
      </c>
      <c r="B501" s="28" t="s">
        <v>489</v>
      </c>
      <c r="C501" s="28" t="s">
        <v>447</v>
      </c>
      <c r="D501" s="23" t="n">
        <v>-47552</v>
      </c>
      <c r="E501" s="23" t="n">
        <v>-47552</v>
      </c>
      <c r="F501" s="31" t="n">
        <v>0</v>
      </c>
      <c r="G501" s="28" t="s">
        <v>957</v>
      </c>
      <c r="H501" s="31" t="n">
        <v>0</v>
      </c>
      <c r="I501" s="28" t="s">
        <v>941</v>
      </c>
    </row>
    <row r="502" customFormat="false" ht="15" hidden="false" customHeight="false" outlineLevel="0" collapsed="false">
      <c r="A502" s="28" t="s">
        <v>205</v>
      </c>
      <c r="B502" s="28" t="s">
        <v>466</v>
      </c>
      <c r="C502" s="28" t="s">
        <v>447</v>
      </c>
      <c r="D502" s="23" t="n">
        <v>6200</v>
      </c>
      <c r="E502" s="23" t="n">
        <v>6386</v>
      </c>
      <c r="F502" s="31" t="n">
        <v>-5.8252</v>
      </c>
      <c r="G502" s="28" t="s">
        <v>955</v>
      </c>
      <c r="H502" s="31" t="n">
        <v>0</v>
      </c>
      <c r="I502" s="28" t="s">
        <v>941</v>
      </c>
    </row>
    <row r="503" customFormat="false" ht="15" hidden="false" customHeight="false" outlineLevel="0" collapsed="false">
      <c r="A503" s="28" t="s">
        <v>205</v>
      </c>
      <c r="B503" s="28" t="s">
        <v>971</v>
      </c>
      <c r="C503" s="28" t="s">
        <v>447</v>
      </c>
      <c r="D503" s="23" t="n">
        <v>577875.54</v>
      </c>
      <c r="E503" s="23" t="n">
        <v>577875.54</v>
      </c>
      <c r="F503" s="31" t="n">
        <v>0</v>
      </c>
      <c r="G503" s="28" t="s">
        <v>955</v>
      </c>
      <c r="H503" s="31" t="n">
        <v>0</v>
      </c>
      <c r="I503" s="28" t="s">
        <v>941</v>
      </c>
    </row>
    <row r="504" customFormat="false" ht="15" hidden="false" customHeight="false" outlineLevel="0" collapsed="false">
      <c r="A504" s="28" t="s">
        <v>205</v>
      </c>
      <c r="B504" s="28" t="s">
        <v>972</v>
      </c>
      <c r="C504" s="28" t="s">
        <v>469</v>
      </c>
      <c r="D504" s="23" t="n">
        <v>1551679.623</v>
      </c>
      <c r="E504" s="23" t="n">
        <v>1191658.19165867</v>
      </c>
      <c r="F504" s="31" t="n">
        <v>4.6399</v>
      </c>
      <c r="G504" s="28" t="s">
        <v>973</v>
      </c>
      <c r="H504" s="31" t="n">
        <v>45.8759</v>
      </c>
      <c r="I504" s="28" t="s">
        <v>941</v>
      </c>
    </row>
    <row r="505" customFormat="false" ht="15" hidden="false" customHeight="false" outlineLevel="0" collapsed="false">
      <c r="A505" s="28" t="s">
        <v>205</v>
      </c>
      <c r="B505" s="28" t="s">
        <v>974</v>
      </c>
      <c r="C505" s="28" t="s">
        <v>469</v>
      </c>
      <c r="D505" s="23" t="n">
        <v>330000</v>
      </c>
      <c r="E505" s="23" t="n">
        <v>273492.588387957</v>
      </c>
      <c r="F505" s="31" t="n">
        <v>3.101</v>
      </c>
      <c r="G505" s="28" t="s">
        <v>973</v>
      </c>
      <c r="H505" s="31" t="n">
        <v>23.3698</v>
      </c>
      <c r="I505" s="28" t="s">
        <v>941</v>
      </c>
    </row>
    <row r="506" customFormat="false" ht="15" hidden="false" customHeight="false" outlineLevel="0" collapsed="false">
      <c r="A506" s="28" t="s">
        <v>205</v>
      </c>
      <c r="B506" s="28" t="s">
        <v>975</v>
      </c>
      <c r="C506" s="28" t="s">
        <v>469</v>
      </c>
      <c r="D506" s="23" t="n">
        <v>1462571.75</v>
      </c>
      <c r="E506" s="23" t="n">
        <v>1112373.36066299</v>
      </c>
      <c r="F506" s="31" t="n">
        <v>4.4602</v>
      </c>
      <c r="G506" s="28" t="s">
        <v>973</v>
      </c>
      <c r="H506" s="31" t="n">
        <v>44.103</v>
      </c>
      <c r="I506" s="28" t="s">
        <v>941</v>
      </c>
    </row>
    <row r="507" customFormat="false" ht="15" hidden="false" customHeight="false" outlineLevel="0" collapsed="false">
      <c r="A507" s="28" t="s">
        <v>205</v>
      </c>
      <c r="B507" s="28" t="s">
        <v>976</v>
      </c>
      <c r="C507" s="28" t="s">
        <v>469</v>
      </c>
      <c r="D507" s="23" t="n">
        <v>50000</v>
      </c>
      <c r="E507" s="23" t="n">
        <v>40910.6111784373</v>
      </c>
      <c r="F507" s="31" t="n">
        <v>3.192</v>
      </c>
      <c r="G507" s="28" t="s">
        <v>973</v>
      </c>
      <c r="H507" s="31" t="n">
        <v>23.9586</v>
      </c>
      <c r="I507" s="28" t="s">
        <v>941</v>
      </c>
    </row>
    <row r="508" customFormat="false" ht="15" hidden="false" customHeight="false" outlineLevel="0" collapsed="false">
      <c r="A508" s="28" t="s">
        <v>205</v>
      </c>
      <c r="B508" s="28" t="s">
        <v>601</v>
      </c>
      <c r="C508" s="28" t="s">
        <v>469</v>
      </c>
      <c r="D508" s="23" t="n">
        <v>1000000</v>
      </c>
      <c r="E508" s="23" t="n">
        <v>833663.685275599</v>
      </c>
      <c r="F508" s="31" t="n">
        <v>2.9194</v>
      </c>
      <c r="G508" s="28" t="s">
        <v>973</v>
      </c>
      <c r="H508" s="31" t="n">
        <v>21.8886</v>
      </c>
      <c r="I508" s="28" t="s">
        <v>941</v>
      </c>
    </row>
    <row r="509" customFormat="false" ht="15" hidden="false" customHeight="false" outlineLevel="0" collapsed="false">
      <c r="A509" s="28" t="s">
        <v>205</v>
      </c>
      <c r="B509" s="28" t="s">
        <v>603</v>
      </c>
      <c r="C509" s="28" t="s">
        <v>469</v>
      </c>
      <c r="D509" s="23" t="n">
        <v>1100000</v>
      </c>
      <c r="E509" s="23" t="n">
        <v>993544.522873299</v>
      </c>
      <c r="F509" s="31" t="n">
        <v>1.6177</v>
      </c>
      <c r="G509" s="28" t="s">
        <v>973</v>
      </c>
      <c r="H509" s="31" t="n">
        <v>10.2956</v>
      </c>
      <c r="I509" s="28" t="s">
        <v>941</v>
      </c>
    </row>
    <row r="510" customFormat="false" ht="15" hidden="false" customHeight="false" outlineLevel="0" collapsed="false">
      <c r="A510" s="28" t="s">
        <v>205</v>
      </c>
      <c r="B510" s="28" t="s">
        <v>605</v>
      </c>
      <c r="C510" s="28" t="s">
        <v>469</v>
      </c>
      <c r="D510" s="23" t="n">
        <v>800000</v>
      </c>
      <c r="E510" s="23" t="n">
        <v>754859.912531371</v>
      </c>
      <c r="F510" s="31" t="n">
        <v>0.9741</v>
      </c>
      <c r="G510" s="28" t="s">
        <v>973</v>
      </c>
      <c r="H510" s="31" t="n">
        <v>5.6686</v>
      </c>
      <c r="I510" s="28" t="s">
        <v>941</v>
      </c>
    </row>
    <row r="511" customFormat="false" ht="15" hidden="false" customHeight="false" outlineLevel="0" collapsed="false">
      <c r="A511" s="28" t="s">
        <v>205</v>
      </c>
      <c r="B511" s="28" t="s">
        <v>977</v>
      </c>
      <c r="C511" s="28" t="s">
        <v>469</v>
      </c>
      <c r="D511" s="23" t="n">
        <v>765287.677</v>
      </c>
      <c r="E511" s="23" t="n">
        <v>743474.686946096</v>
      </c>
      <c r="F511" s="31" t="n">
        <v>0.4641</v>
      </c>
      <c r="G511" s="28" t="s">
        <v>973</v>
      </c>
      <c r="H511" s="31" t="n">
        <v>2.342</v>
      </c>
      <c r="I511" s="28" t="s">
        <v>941</v>
      </c>
    </row>
    <row r="512" customFormat="false" ht="15" hidden="false" customHeight="false" outlineLevel="0" collapsed="false">
      <c r="A512" s="28" t="s">
        <v>205</v>
      </c>
      <c r="B512" s="28" t="s">
        <v>978</v>
      </c>
      <c r="C512" s="28" t="s">
        <v>469</v>
      </c>
      <c r="D512" s="23" t="n">
        <v>74688.3604</v>
      </c>
      <c r="E512" s="23" t="n">
        <v>57525.8214765865</v>
      </c>
      <c r="F512" s="31" t="n">
        <v>4.5176</v>
      </c>
      <c r="G512" s="28" t="s">
        <v>973</v>
      </c>
      <c r="H512" s="31" t="n">
        <v>56.2142</v>
      </c>
      <c r="I512" s="28" t="s">
        <v>941</v>
      </c>
    </row>
    <row r="513" customFormat="false" ht="15" hidden="false" customHeight="false" outlineLevel="0" collapsed="false">
      <c r="A513" s="28" t="s">
        <v>205</v>
      </c>
      <c r="B513" s="28" t="s">
        <v>979</v>
      </c>
      <c r="C513" s="28" t="s">
        <v>469</v>
      </c>
      <c r="D513" s="23" t="n">
        <v>14494.065</v>
      </c>
      <c r="E513" s="23" t="n">
        <v>12503.1887616365</v>
      </c>
      <c r="F513" s="31" t="n">
        <v>2.5547</v>
      </c>
      <c r="G513" s="28" t="s">
        <v>973</v>
      </c>
      <c r="H513" s="31" t="n">
        <v>15.7789</v>
      </c>
      <c r="I513" s="28" t="s">
        <v>941</v>
      </c>
    </row>
    <row r="514" customFormat="false" ht="15" hidden="false" customHeight="false" outlineLevel="0" collapsed="false">
      <c r="A514" s="28" t="s">
        <v>205</v>
      </c>
      <c r="B514" s="28" t="s">
        <v>980</v>
      </c>
      <c r="C514" s="28" t="s">
        <v>469</v>
      </c>
      <c r="D514" s="23" t="n">
        <v>734544.639</v>
      </c>
      <c r="E514" s="23" t="n">
        <v>723426.323705643</v>
      </c>
      <c r="F514" s="31" t="n">
        <v>0.7179</v>
      </c>
      <c r="G514" s="28" t="s">
        <v>981</v>
      </c>
      <c r="H514" s="31" t="n">
        <v>1.3887</v>
      </c>
      <c r="I514" s="28" t="s">
        <v>941</v>
      </c>
    </row>
    <row r="515" customFormat="false" ht="15" hidden="false" customHeight="false" outlineLevel="0" collapsed="false">
      <c r="A515" s="28" t="s">
        <v>205</v>
      </c>
      <c r="B515" s="28" t="s">
        <v>982</v>
      </c>
      <c r="C515" s="28" t="s">
        <v>469</v>
      </c>
      <c r="D515" s="23" t="n">
        <v>860301.67</v>
      </c>
      <c r="E515" s="23" t="n">
        <v>847975.870307962</v>
      </c>
      <c r="F515" s="31" t="n">
        <v>0.7179</v>
      </c>
      <c r="G515" s="28" t="s">
        <v>981</v>
      </c>
      <c r="H515" s="31" t="n">
        <v>1.3889</v>
      </c>
      <c r="I515" s="28" t="s">
        <v>941</v>
      </c>
    </row>
    <row r="516" customFormat="false" ht="15" hidden="false" customHeight="false" outlineLevel="0" collapsed="false">
      <c r="A516" s="28" t="s">
        <v>205</v>
      </c>
      <c r="B516" s="28" t="s">
        <v>983</v>
      </c>
      <c r="C516" s="28" t="s">
        <v>469</v>
      </c>
      <c r="D516" s="23" t="n">
        <v>112032.5406</v>
      </c>
      <c r="E516" s="23" t="n">
        <v>109106.128388594</v>
      </c>
      <c r="F516" s="31" t="n">
        <v>1.3654</v>
      </c>
      <c r="G516" s="28" t="s">
        <v>981</v>
      </c>
      <c r="H516" s="31" t="n">
        <v>3.6753</v>
      </c>
      <c r="I516" s="28" t="s">
        <v>941</v>
      </c>
    </row>
    <row r="517" customFormat="false" ht="15" hidden="false" customHeight="false" outlineLevel="0" collapsed="false">
      <c r="A517" s="28" t="s">
        <v>205</v>
      </c>
      <c r="B517" s="28" t="s">
        <v>984</v>
      </c>
      <c r="C517" s="28" t="s">
        <v>469</v>
      </c>
      <c r="D517" s="23" t="n">
        <v>124418.196</v>
      </c>
      <c r="E517" s="23" t="n">
        <v>124418.196</v>
      </c>
      <c r="F517" s="31" t="n">
        <v>0</v>
      </c>
      <c r="G517" s="28" t="s">
        <v>984</v>
      </c>
      <c r="H517" s="31" t="n">
        <v>0</v>
      </c>
      <c r="I517" s="28" t="s">
        <v>941</v>
      </c>
    </row>
    <row r="518" customFormat="false" ht="15" hidden="false" customHeight="false" outlineLevel="0" collapsed="false">
      <c r="A518" s="28" t="s">
        <v>205</v>
      </c>
      <c r="B518" s="28" t="s">
        <v>985</v>
      </c>
      <c r="C518" s="28" t="s">
        <v>874</v>
      </c>
      <c r="D518" s="23" t="n">
        <v>0</v>
      </c>
      <c r="E518" s="23" t="n">
        <v>-1920</v>
      </c>
      <c r="G518" s="28" t="s">
        <v>986</v>
      </c>
      <c r="I518" s="28" t="s">
        <v>941</v>
      </c>
    </row>
    <row r="519" customFormat="false" ht="15" hidden="false" customHeight="false" outlineLevel="0" collapsed="false">
      <c r="A519" s="28" t="s">
        <v>207</v>
      </c>
      <c r="B519" s="28" t="s">
        <v>449</v>
      </c>
      <c r="C519" s="28" t="s">
        <v>447</v>
      </c>
      <c r="D519" s="23" t="n">
        <v>695254.49</v>
      </c>
      <c r="E519" s="23" t="n">
        <v>695254.49</v>
      </c>
      <c r="F519" s="31" t="n">
        <v>0</v>
      </c>
      <c r="G519" s="28" t="s">
        <v>940</v>
      </c>
      <c r="H519" s="31" t="n">
        <v>0</v>
      </c>
      <c r="I519" s="28" t="s">
        <v>941</v>
      </c>
    </row>
    <row r="520" customFormat="false" ht="15" hidden="false" customHeight="false" outlineLevel="0" collapsed="false">
      <c r="A520" s="28" t="s">
        <v>207</v>
      </c>
      <c r="B520" s="28" t="s">
        <v>942</v>
      </c>
      <c r="C520" s="28" t="s">
        <v>447</v>
      </c>
      <c r="D520" s="23" t="n">
        <v>150051.434903246</v>
      </c>
      <c r="E520" s="23" t="n">
        <v>147852.168324403</v>
      </c>
      <c r="F520" s="31" t="n">
        <v>1.9224</v>
      </c>
      <c r="G520" s="28" t="s">
        <v>943</v>
      </c>
      <c r="H520" s="31" t="n">
        <v>5.8356</v>
      </c>
      <c r="I520" s="28" t="s">
        <v>941</v>
      </c>
    </row>
    <row r="521" customFormat="false" ht="15" hidden="false" customHeight="false" outlineLevel="0" collapsed="false">
      <c r="A521" s="28" t="s">
        <v>207</v>
      </c>
      <c r="B521" s="28" t="s">
        <v>944</v>
      </c>
      <c r="C521" s="28" t="s">
        <v>447</v>
      </c>
      <c r="D521" s="23" t="n">
        <v>367549.241673984</v>
      </c>
      <c r="E521" s="23" t="n">
        <v>359211.572394639</v>
      </c>
      <c r="F521" s="31" t="n">
        <v>2.7897</v>
      </c>
      <c r="G521" s="28" t="s">
        <v>943</v>
      </c>
      <c r="H521" s="31" t="n">
        <v>11.1848</v>
      </c>
      <c r="I521" s="28" t="s">
        <v>941</v>
      </c>
    </row>
    <row r="522" customFormat="false" ht="15" hidden="false" customHeight="false" outlineLevel="0" collapsed="false">
      <c r="A522" s="28" t="s">
        <v>207</v>
      </c>
      <c r="B522" s="28" t="s">
        <v>945</v>
      </c>
      <c r="C522" s="28" t="s">
        <v>447</v>
      </c>
      <c r="D522" s="23" t="n">
        <v>548633.753403125</v>
      </c>
      <c r="E522" s="23" t="n">
        <v>519088.336043811</v>
      </c>
      <c r="F522" s="31" t="n">
        <v>7.0377</v>
      </c>
      <c r="G522" s="28" t="s">
        <v>943</v>
      </c>
      <c r="H522" s="31" t="n">
        <v>85.5018</v>
      </c>
      <c r="I522" s="28" t="s">
        <v>941</v>
      </c>
    </row>
    <row r="523" customFormat="false" ht="15" hidden="false" customHeight="false" outlineLevel="0" collapsed="false">
      <c r="A523" s="28" t="s">
        <v>207</v>
      </c>
      <c r="B523" s="28" t="s">
        <v>946</v>
      </c>
      <c r="C523" s="28" t="s">
        <v>447</v>
      </c>
      <c r="D523" s="23" t="n">
        <v>305274.71975975</v>
      </c>
      <c r="E523" s="23" t="n">
        <v>290273.101134709</v>
      </c>
      <c r="F523" s="31" t="n">
        <v>6.636</v>
      </c>
      <c r="G523" s="28" t="s">
        <v>943</v>
      </c>
      <c r="H523" s="31" t="n">
        <v>-3.0829</v>
      </c>
      <c r="I523" s="28" t="s">
        <v>941</v>
      </c>
    </row>
    <row r="524" customFormat="false" ht="15" hidden="false" customHeight="false" outlineLevel="0" collapsed="false">
      <c r="A524" s="28" t="s">
        <v>207</v>
      </c>
      <c r="B524" s="28" t="s">
        <v>947</v>
      </c>
      <c r="C524" s="28" t="s">
        <v>447</v>
      </c>
      <c r="D524" s="23" t="n">
        <v>352414.480607701</v>
      </c>
      <c r="E524" s="23" t="n">
        <v>338570.881843711</v>
      </c>
      <c r="F524" s="31" t="n">
        <v>4.8524</v>
      </c>
      <c r="G524" s="28" t="s">
        <v>943</v>
      </c>
      <c r="H524" s="31" t="n">
        <v>39.8656</v>
      </c>
      <c r="I524" s="28" t="s">
        <v>941</v>
      </c>
    </row>
    <row r="525" customFormat="false" ht="15" hidden="false" customHeight="false" outlineLevel="0" collapsed="false">
      <c r="A525" s="28" t="s">
        <v>207</v>
      </c>
      <c r="B525" s="28" t="s">
        <v>948</v>
      </c>
      <c r="C525" s="28" t="s">
        <v>447</v>
      </c>
      <c r="D525" s="23" t="n">
        <v>136497.166545512</v>
      </c>
      <c r="E525" s="23" t="n">
        <v>129270.024351053</v>
      </c>
      <c r="F525" s="31" t="n">
        <v>6.3575</v>
      </c>
      <c r="G525" s="28" t="s">
        <v>943</v>
      </c>
      <c r="H525" s="31" t="n">
        <v>47.5585</v>
      </c>
      <c r="I525" s="28" t="s">
        <v>941</v>
      </c>
    </row>
    <row r="526" customFormat="false" ht="15" hidden="false" customHeight="false" outlineLevel="0" collapsed="false">
      <c r="A526" s="28" t="s">
        <v>207</v>
      </c>
      <c r="B526" s="28" t="s">
        <v>949</v>
      </c>
      <c r="C526" s="28" t="s">
        <v>447</v>
      </c>
      <c r="D526" s="23" t="n">
        <v>97853.5160956092</v>
      </c>
      <c r="E526" s="23" t="n">
        <v>95781.7719620237</v>
      </c>
      <c r="F526" s="31" t="n">
        <v>-0.1656</v>
      </c>
      <c r="G526" s="28" t="s">
        <v>943</v>
      </c>
      <c r="H526" s="31" t="n">
        <v>1.2483</v>
      </c>
      <c r="I526" s="28" t="s">
        <v>941</v>
      </c>
    </row>
    <row r="527" customFormat="false" ht="15" hidden="false" customHeight="false" outlineLevel="0" collapsed="false">
      <c r="A527" s="28" t="s">
        <v>207</v>
      </c>
      <c r="B527" s="28" t="s">
        <v>950</v>
      </c>
      <c r="C527" s="28" t="s">
        <v>447</v>
      </c>
      <c r="D527" s="23" t="n">
        <v>700000</v>
      </c>
      <c r="E527" s="23" t="n">
        <v>560906.876842082</v>
      </c>
      <c r="F527" s="31" t="n">
        <v>5.4305</v>
      </c>
      <c r="G527" s="28" t="s">
        <v>943</v>
      </c>
      <c r="H527" s="31" t="n">
        <v>49.5423</v>
      </c>
      <c r="I527" s="28" t="s">
        <v>941</v>
      </c>
    </row>
    <row r="528" customFormat="false" ht="15" hidden="false" customHeight="false" outlineLevel="0" collapsed="false">
      <c r="A528" s="28" t="s">
        <v>207</v>
      </c>
      <c r="B528" s="28" t="s">
        <v>951</v>
      </c>
      <c r="C528" s="28" t="s">
        <v>447</v>
      </c>
      <c r="D528" s="23" t="n">
        <v>300000</v>
      </c>
      <c r="E528" s="23" t="n">
        <v>268055.112374178</v>
      </c>
      <c r="F528" s="31" t="n">
        <v>3.6947</v>
      </c>
      <c r="G528" s="28" t="s">
        <v>943</v>
      </c>
      <c r="H528" s="31" t="n">
        <v>16.4769</v>
      </c>
      <c r="I528" s="28" t="s">
        <v>941</v>
      </c>
    </row>
    <row r="529" customFormat="false" ht="15" hidden="false" customHeight="false" outlineLevel="0" collapsed="false">
      <c r="A529" s="28" t="s">
        <v>207</v>
      </c>
      <c r="B529" s="28" t="s">
        <v>952</v>
      </c>
      <c r="C529" s="28" t="s">
        <v>447</v>
      </c>
      <c r="D529" s="23" t="n">
        <v>200000</v>
      </c>
      <c r="E529" s="23" t="n">
        <v>159415.035598231</v>
      </c>
      <c r="F529" s="31" t="n">
        <v>6.981</v>
      </c>
      <c r="G529" s="28" t="s">
        <v>943</v>
      </c>
      <c r="H529" s="31" t="n">
        <v>57.7637</v>
      </c>
      <c r="I529" s="28" t="s">
        <v>941</v>
      </c>
    </row>
    <row r="530" customFormat="false" ht="15" hidden="false" customHeight="false" outlineLevel="0" collapsed="false">
      <c r="A530" s="28" t="s">
        <v>207</v>
      </c>
      <c r="B530" s="28" t="s">
        <v>953</v>
      </c>
      <c r="C530" s="28" t="s">
        <v>447</v>
      </c>
      <c r="D530" s="23" t="n">
        <v>148403.71</v>
      </c>
      <c r="E530" s="23" t="n">
        <v>146792.155295483</v>
      </c>
      <c r="F530" s="31" t="n">
        <v>2.7445</v>
      </c>
      <c r="G530" s="28" t="s">
        <v>943</v>
      </c>
      <c r="H530" s="31" t="n">
        <v>9.2013</v>
      </c>
      <c r="I530" s="28" t="s">
        <v>941</v>
      </c>
    </row>
    <row r="531" customFormat="false" ht="15" hidden="false" customHeight="false" outlineLevel="0" collapsed="false">
      <c r="A531" s="28" t="s">
        <v>207</v>
      </c>
      <c r="B531" s="28" t="s">
        <v>954</v>
      </c>
      <c r="C531" s="28" t="s">
        <v>447</v>
      </c>
      <c r="D531" s="23" t="n">
        <v>24721.732</v>
      </c>
      <c r="E531" s="23" t="n">
        <v>24721.732</v>
      </c>
      <c r="F531" s="31" t="n">
        <v>0</v>
      </c>
      <c r="G531" s="28" t="s">
        <v>943</v>
      </c>
      <c r="H531" s="31" t="n">
        <v>0</v>
      </c>
      <c r="I531" s="28" t="s">
        <v>941</v>
      </c>
    </row>
    <row r="532" customFormat="false" ht="15" hidden="false" customHeight="false" outlineLevel="0" collapsed="false">
      <c r="A532" s="28" t="s">
        <v>207</v>
      </c>
      <c r="B532" s="28" t="s">
        <v>457</v>
      </c>
      <c r="C532" s="28" t="s">
        <v>447</v>
      </c>
      <c r="D532" s="23" t="n">
        <v>17250</v>
      </c>
      <c r="E532" s="23" t="n">
        <v>17250</v>
      </c>
      <c r="F532" s="31" t="n">
        <v>0</v>
      </c>
      <c r="G532" s="28" t="s">
        <v>955</v>
      </c>
      <c r="H532" s="31" t="n">
        <v>0</v>
      </c>
      <c r="I532" s="28" t="s">
        <v>941</v>
      </c>
    </row>
    <row r="533" customFormat="false" ht="15" hidden="false" customHeight="false" outlineLevel="0" collapsed="false">
      <c r="A533" s="28" t="s">
        <v>207</v>
      </c>
      <c r="B533" s="28" t="s">
        <v>956</v>
      </c>
      <c r="C533" s="28" t="s">
        <v>447</v>
      </c>
      <c r="D533" s="23" t="n">
        <v>1515773.50272</v>
      </c>
      <c r="E533" s="23" t="n">
        <v>1490620.98082247</v>
      </c>
      <c r="F533" s="31" t="n">
        <v>-0.0953</v>
      </c>
      <c r="G533" s="28" t="s">
        <v>957</v>
      </c>
      <c r="H533" s="31" t="n">
        <v>0.998</v>
      </c>
      <c r="I533" s="28" t="s">
        <v>941</v>
      </c>
    </row>
    <row r="534" customFormat="false" ht="15" hidden="false" customHeight="false" outlineLevel="0" collapsed="false">
      <c r="A534" s="28" t="s">
        <v>207</v>
      </c>
      <c r="B534" s="28" t="s">
        <v>958</v>
      </c>
      <c r="C534" s="28" t="s">
        <v>447</v>
      </c>
      <c r="D534" s="23" t="n">
        <v>589467.47328</v>
      </c>
      <c r="E534" s="23" t="n">
        <v>554335.148264351</v>
      </c>
      <c r="F534" s="31" t="n">
        <v>4.4058</v>
      </c>
      <c r="G534" s="28" t="s">
        <v>957</v>
      </c>
      <c r="H534" s="31" t="n">
        <v>-15.2387</v>
      </c>
      <c r="I534" s="28" t="s">
        <v>941</v>
      </c>
    </row>
    <row r="535" customFormat="false" ht="15" hidden="false" customHeight="false" outlineLevel="0" collapsed="false">
      <c r="A535" s="28" t="s">
        <v>207</v>
      </c>
      <c r="B535" s="28" t="s">
        <v>959</v>
      </c>
      <c r="C535" s="28" t="s">
        <v>447</v>
      </c>
      <c r="D535" s="23" t="n">
        <v>1104190.947</v>
      </c>
      <c r="E535" s="23" t="n">
        <v>1079617.15304992</v>
      </c>
      <c r="F535" s="31" t="n">
        <v>1.7873</v>
      </c>
      <c r="G535" s="28" t="s">
        <v>957</v>
      </c>
      <c r="H535" s="31" t="n">
        <v>-5.2422</v>
      </c>
      <c r="I535" s="28" t="s">
        <v>941</v>
      </c>
    </row>
    <row r="536" customFormat="false" ht="15" hidden="false" customHeight="false" outlineLevel="0" collapsed="false">
      <c r="A536" s="28" t="s">
        <v>207</v>
      </c>
      <c r="B536" s="28" t="s">
        <v>960</v>
      </c>
      <c r="C536" s="28" t="s">
        <v>447</v>
      </c>
      <c r="D536" s="23" t="n">
        <v>476328.947</v>
      </c>
      <c r="E536" s="23" t="n">
        <v>463222.505830107</v>
      </c>
      <c r="F536" s="31" t="n">
        <v>1.9204</v>
      </c>
      <c r="G536" s="28" t="s">
        <v>957</v>
      </c>
      <c r="H536" s="31" t="n">
        <v>-5.6599</v>
      </c>
      <c r="I536" s="28" t="s">
        <v>941</v>
      </c>
    </row>
    <row r="537" customFormat="false" ht="15" hidden="false" customHeight="false" outlineLevel="0" collapsed="false">
      <c r="A537" s="28" t="s">
        <v>207</v>
      </c>
      <c r="B537" s="28" t="s">
        <v>961</v>
      </c>
      <c r="C537" s="28" t="s">
        <v>447</v>
      </c>
      <c r="D537" s="23" t="n">
        <v>374430.3036</v>
      </c>
      <c r="E537" s="23" t="n">
        <v>301879.462618418</v>
      </c>
      <c r="F537" s="31" t="n">
        <v>6.8314</v>
      </c>
      <c r="G537" s="28" t="s">
        <v>957</v>
      </c>
      <c r="H537" s="31" t="n">
        <v>81.4169</v>
      </c>
      <c r="I537" s="28" t="s">
        <v>941</v>
      </c>
    </row>
    <row r="538" customFormat="false" ht="15" hidden="false" customHeight="false" outlineLevel="0" collapsed="false">
      <c r="A538" s="28" t="s">
        <v>207</v>
      </c>
      <c r="B538" s="28" t="s">
        <v>962</v>
      </c>
      <c r="C538" s="28" t="s">
        <v>447</v>
      </c>
      <c r="D538" s="23" t="n">
        <v>249620.2024</v>
      </c>
      <c r="E538" s="23" t="n">
        <v>249127.991075185</v>
      </c>
      <c r="F538" s="31" t="n">
        <v>1.8985</v>
      </c>
      <c r="G538" s="28" t="s">
        <v>957</v>
      </c>
      <c r="H538" s="31" t="n">
        <v>4.5999</v>
      </c>
      <c r="I538" s="28" t="s">
        <v>941</v>
      </c>
    </row>
    <row r="539" customFormat="false" ht="15" hidden="false" customHeight="false" outlineLevel="0" collapsed="false">
      <c r="A539" s="28" t="s">
        <v>207</v>
      </c>
      <c r="B539" s="28" t="s">
        <v>963</v>
      </c>
      <c r="C539" s="28" t="s">
        <v>447</v>
      </c>
      <c r="D539" s="23" t="n">
        <v>720674.90295</v>
      </c>
      <c r="E539" s="23" t="n">
        <v>709349.109123588</v>
      </c>
      <c r="F539" s="31" t="n">
        <v>1.946</v>
      </c>
      <c r="G539" s="28" t="s">
        <v>957</v>
      </c>
      <c r="H539" s="31" t="n">
        <v>1.6566</v>
      </c>
      <c r="I539" s="28" t="s">
        <v>941</v>
      </c>
    </row>
    <row r="540" customFormat="false" ht="15" hidden="false" customHeight="false" outlineLevel="0" collapsed="false">
      <c r="A540" s="28" t="s">
        <v>207</v>
      </c>
      <c r="B540" s="28" t="s">
        <v>964</v>
      </c>
      <c r="C540" s="28" t="s">
        <v>447</v>
      </c>
      <c r="D540" s="23" t="n">
        <v>127177.92405</v>
      </c>
      <c r="E540" s="23" t="n">
        <v>124327.097598108</v>
      </c>
      <c r="F540" s="31" t="n">
        <v>-0.1407</v>
      </c>
      <c r="G540" s="28" t="s">
        <v>957</v>
      </c>
      <c r="H540" s="31" t="n">
        <v>1.1999</v>
      </c>
      <c r="I540" s="28" t="s">
        <v>941</v>
      </c>
    </row>
    <row r="541" customFormat="false" ht="15" hidden="false" customHeight="false" outlineLevel="0" collapsed="false">
      <c r="A541" s="28" t="s">
        <v>207</v>
      </c>
      <c r="B541" s="28" t="s">
        <v>965</v>
      </c>
      <c r="C541" s="28" t="s">
        <v>447</v>
      </c>
      <c r="D541" s="23" t="n">
        <v>20543.822</v>
      </c>
      <c r="E541" s="23" t="n">
        <v>20369.6201907969</v>
      </c>
      <c r="F541" s="31" t="n">
        <v>-0.0355</v>
      </c>
      <c r="G541" s="28" t="s">
        <v>957</v>
      </c>
      <c r="H541" s="31" t="n">
        <v>0.6297</v>
      </c>
      <c r="I541" s="28" t="s">
        <v>941</v>
      </c>
    </row>
    <row r="542" customFormat="false" ht="15" hidden="false" customHeight="false" outlineLevel="0" collapsed="false">
      <c r="A542" s="28" t="s">
        <v>207</v>
      </c>
      <c r="B542" s="28" t="s">
        <v>966</v>
      </c>
      <c r="C542" s="28" t="s">
        <v>447</v>
      </c>
      <c r="D542" s="23" t="n">
        <v>62649.693</v>
      </c>
      <c r="E542" s="23" t="n">
        <v>61673.9351186066</v>
      </c>
      <c r="F542" s="31" t="n">
        <v>1.1071</v>
      </c>
      <c r="G542" s="28" t="s">
        <v>957</v>
      </c>
      <c r="H542" s="31" t="n">
        <v>2.3651</v>
      </c>
      <c r="I542" s="28" t="s">
        <v>941</v>
      </c>
    </row>
    <row r="543" customFormat="false" ht="15" hidden="false" customHeight="false" outlineLevel="0" collapsed="false">
      <c r="A543" s="28" t="s">
        <v>207</v>
      </c>
      <c r="B543" s="28" t="s">
        <v>967</v>
      </c>
      <c r="C543" s="28" t="s">
        <v>447</v>
      </c>
      <c r="D543" s="23" t="n">
        <v>41766.462</v>
      </c>
      <c r="E543" s="23" t="n">
        <v>41491.7640648252</v>
      </c>
      <c r="F543" s="31" t="n">
        <v>-0.0225</v>
      </c>
      <c r="G543" s="28" t="s">
        <v>957</v>
      </c>
      <c r="H543" s="31" t="n">
        <v>0.5259</v>
      </c>
      <c r="I543" s="28" t="s">
        <v>941</v>
      </c>
    </row>
    <row r="544" customFormat="false" ht="15" hidden="false" customHeight="false" outlineLevel="0" collapsed="false">
      <c r="A544" s="28" t="s">
        <v>207</v>
      </c>
      <c r="B544" s="28" t="s">
        <v>968</v>
      </c>
      <c r="C544" s="28" t="s">
        <v>447</v>
      </c>
      <c r="D544" s="23" t="n">
        <v>21376.155</v>
      </c>
      <c r="E544" s="23" t="n">
        <v>20805.6263578755</v>
      </c>
      <c r="F544" s="31" t="n">
        <v>1.9929</v>
      </c>
      <c r="G544" s="28" t="s">
        <v>957</v>
      </c>
      <c r="H544" s="31" t="n">
        <v>7.1288</v>
      </c>
      <c r="I544" s="28" t="s">
        <v>941</v>
      </c>
    </row>
    <row r="545" customFormat="false" ht="15" hidden="false" customHeight="false" outlineLevel="0" collapsed="false">
      <c r="A545" s="28" t="s">
        <v>207</v>
      </c>
      <c r="B545" s="28" t="s">
        <v>969</v>
      </c>
      <c r="C545" s="28" t="s">
        <v>447</v>
      </c>
      <c r="D545" s="23" t="n">
        <v>1397.217</v>
      </c>
      <c r="E545" s="23" t="n">
        <v>1304.42147550827</v>
      </c>
      <c r="F545" s="31" t="n">
        <v>2.867</v>
      </c>
      <c r="G545" s="28" t="s">
        <v>957</v>
      </c>
      <c r="H545" s="31" t="n">
        <v>14.1606</v>
      </c>
      <c r="I545" s="28" t="s">
        <v>941</v>
      </c>
    </row>
    <row r="546" customFormat="false" ht="15" hidden="false" customHeight="false" outlineLevel="0" collapsed="false">
      <c r="A546" s="28" t="s">
        <v>207</v>
      </c>
      <c r="B546" s="28" t="s">
        <v>970</v>
      </c>
      <c r="C546" s="28" t="s">
        <v>447</v>
      </c>
      <c r="D546" s="23" t="n">
        <v>42.972</v>
      </c>
      <c r="E546" s="23" t="n">
        <v>40.0497361976197</v>
      </c>
      <c r="F546" s="31" t="n">
        <v>4.5559</v>
      </c>
      <c r="G546" s="28" t="s">
        <v>957</v>
      </c>
      <c r="H546" s="31" t="n">
        <v>37.1466</v>
      </c>
      <c r="I546" s="28" t="s">
        <v>941</v>
      </c>
    </row>
    <row r="547" customFormat="false" ht="15" hidden="false" customHeight="false" outlineLevel="0" collapsed="false">
      <c r="A547" s="28" t="s">
        <v>207</v>
      </c>
      <c r="B547" s="28" t="s">
        <v>459</v>
      </c>
      <c r="C547" s="28" t="s">
        <v>447</v>
      </c>
      <c r="D547" s="23" t="n">
        <v>1976.718</v>
      </c>
      <c r="E547" s="23" t="n">
        <v>1979.32658568406</v>
      </c>
      <c r="F547" s="31" t="n">
        <v>0.1651</v>
      </c>
      <c r="G547" s="28" t="s">
        <v>957</v>
      </c>
      <c r="H547" s="31" t="n">
        <v>0.0542</v>
      </c>
      <c r="I547" s="28" t="s">
        <v>941</v>
      </c>
    </row>
    <row r="548" customFormat="false" ht="15" hidden="false" customHeight="false" outlineLevel="0" collapsed="false">
      <c r="A548" s="28" t="s">
        <v>207</v>
      </c>
      <c r="B548" s="28" t="s">
        <v>489</v>
      </c>
      <c r="C548" s="28" t="s">
        <v>447</v>
      </c>
      <c r="D548" s="23" t="n">
        <v>-47552</v>
      </c>
      <c r="E548" s="23" t="n">
        <v>-47552</v>
      </c>
      <c r="F548" s="31" t="n">
        <v>0</v>
      </c>
      <c r="G548" s="28" t="s">
        <v>957</v>
      </c>
      <c r="H548" s="31" t="n">
        <v>0</v>
      </c>
      <c r="I548" s="28" t="s">
        <v>941</v>
      </c>
    </row>
    <row r="549" customFormat="false" ht="15" hidden="false" customHeight="false" outlineLevel="0" collapsed="false">
      <c r="A549" s="28" t="s">
        <v>207</v>
      </c>
      <c r="B549" s="28" t="s">
        <v>466</v>
      </c>
      <c r="C549" s="28" t="s">
        <v>447</v>
      </c>
      <c r="D549" s="23" t="n">
        <v>6200</v>
      </c>
      <c r="E549" s="23" t="n">
        <v>6505.04</v>
      </c>
      <c r="F549" s="31" t="n">
        <v>-5.7186</v>
      </c>
      <c r="G549" s="28" t="s">
        <v>955</v>
      </c>
      <c r="H549" s="31" t="n">
        <v>0</v>
      </c>
      <c r="I549" s="28" t="s">
        <v>941</v>
      </c>
    </row>
    <row r="550" customFormat="false" ht="15" hidden="false" customHeight="false" outlineLevel="0" collapsed="false">
      <c r="A550" s="28" t="s">
        <v>207</v>
      </c>
      <c r="B550" s="28" t="s">
        <v>971</v>
      </c>
      <c r="C550" s="28" t="s">
        <v>447</v>
      </c>
      <c r="D550" s="23" t="n">
        <v>577875.54</v>
      </c>
      <c r="E550" s="23" t="n">
        <v>577875.54</v>
      </c>
      <c r="F550" s="31" t="n">
        <v>0</v>
      </c>
      <c r="G550" s="28" t="s">
        <v>955</v>
      </c>
      <c r="H550" s="31" t="n">
        <v>0</v>
      </c>
      <c r="I550" s="28" t="s">
        <v>941</v>
      </c>
    </row>
    <row r="551" customFormat="false" ht="15" hidden="false" customHeight="false" outlineLevel="0" collapsed="false">
      <c r="A551" s="28" t="s">
        <v>207</v>
      </c>
      <c r="B551" s="28" t="s">
        <v>972</v>
      </c>
      <c r="C551" s="28" t="s">
        <v>469</v>
      </c>
      <c r="D551" s="23" t="n">
        <v>1551679.623</v>
      </c>
      <c r="E551" s="23" t="n">
        <v>1194746.92832028</v>
      </c>
      <c r="F551" s="31" t="n">
        <v>4.6176</v>
      </c>
      <c r="G551" s="28" t="s">
        <v>973</v>
      </c>
      <c r="H551" s="31" t="n">
        <v>45.2912</v>
      </c>
      <c r="I551" s="28" t="s">
        <v>941</v>
      </c>
    </row>
    <row r="552" customFormat="false" ht="15" hidden="false" customHeight="false" outlineLevel="0" collapsed="false">
      <c r="A552" s="28" t="s">
        <v>207</v>
      </c>
      <c r="B552" s="28" t="s">
        <v>974</v>
      </c>
      <c r="C552" s="28" t="s">
        <v>469</v>
      </c>
      <c r="D552" s="23" t="n">
        <v>330000</v>
      </c>
      <c r="E552" s="23" t="n">
        <v>274106.213661306</v>
      </c>
      <c r="F552" s="31" t="n">
        <v>3.1236</v>
      </c>
      <c r="G552" s="28" t="s">
        <v>973</v>
      </c>
      <c r="H552" s="31" t="n">
        <v>32.1499</v>
      </c>
      <c r="I552" s="28" t="s">
        <v>941</v>
      </c>
    </row>
    <row r="553" customFormat="false" ht="15" hidden="false" customHeight="false" outlineLevel="0" collapsed="false">
      <c r="A553" s="28" t="s">
        <v>207</v>
      </c>
      <c r="B553" s="28" t="s">
        <v>975</v>
      </c>
      <c r="C553" s="28" t="s">
        <v>469</v>
      </c>
      <c r="D553" s="23" t="n">
        <v>1462571.75</v>
      </c>
      <c r="E553" s="23" t="n">
        <v>1111710.16855123</v>
      </c>
      <c r="F553" s="31" t="n">
        <v>4.4357</v>
      </c>
      <c r="G553" s="28" t="s">
        <v>973</v>
      </c>
      <c r="H553" s="31" t="n">
        <v>43.5084</v>
      </c>
      <c r="I553" s="28" t="s">
        <v>941</v>
      </c>
    </row>
    <row r="554" customFormat="false" ht="15" hidden="false" customHeight="false" outlineLevel="0" collapsed="false">
      <c r="A554" s="28" t="s">
        <v>207</v>
      </c>
      <c r="B554" s="28" t="s">
        <v>976</v>
      </c>
      <c r="C554" s="28" t="s">
        <v>469</v>
      </c>
      <c r="D554" s="23" t="n">
        <v>50000</v>
      </c>
      <c r="E554" s="23" t="n">
        <v>41067.7241911426</v>
      </c>
      <c r="F554" s="31" t="n">
        <v>3.215</v>
      </c>
      <c r="G554" s="28" t="s">
        <v>973</v>
      </c>
      <c r="H554" s="31" t="n">
        <v>32.6417</v>
      </c>
      <c r="I554" s="28" t="s">
        <v>941</v>
      </c>
    </row>
    <row r="555" customFormat="false" ht="15" hidden="false" customHeight="false" outlineLevel="0" collapsed="false">
      <c r="A555" s="28" t="s">
        <v>207</v>
      </c>
      <c r="B555" s="28" t="s">
        <v>601</v>
      </c>
      <c r="C555" s="28" t="s">
        <v>469</v>
      </c>
      <c r="D555" s="23" t="n">
        <v>1000000</v>
      </c>
      <c r="E555" s="23" t="n">
        <v>832831.393940053</v>
      </c>
      <c r="F555" s="31" t="n">
        <v>2.9674</v>
      </c>
      <c r="G555" s="28" t="s">
        <v>973</v>
      </c>
      <c r="H555" s="31" t="n">
        <v>42.9248</v>
      </c>
      <c r="I555" s="28" t="s">
        <v>941</v>
      </c>
    </row>
    <row r="556" customFormat="false" ht="15" hidden="false" customHeight="false" outlineLevel="0" collapsed="false">
      <c r="A556" s="28" t="s">
        <v>207</v>
      </c>
      <c r="B556" s="28" t="s">
        <v>603</v>
      </c>
      <c r="C556" s="28" t="s">
        <v>469</v>
      </c>
      <c r="D556" s="23" t="n">
        <v>1100000</v>
      </c>
      <c r="E556" s="23" t="n">
        <v>983611.0632773</v>
      </c>
      <c r="F556" s="31" t="n">
        <v>1.6827</v>
      </c>
      <c r="G556" s="28" t="s">
        <v>973</v>
      </c>
      <c r="H556" s="31" t="n">
        <v>42.7838</v>
      </c>
      <c r="I556" s="28" t="s">
        <v>941</v>
      </c>
    </row>
    <row r="557" customFormat="false" ht="15" hidden="false" customHeight="false" outlineLevel="0" collapsed="false">
      <c r="A557" s="28" t="s">
        <v>207</v>
      </c>
      <c r="B557" s="28" t="s">
        <v>605</v>
      </c>
      <c r="C557" s="28" t="s">
        <v>469</v>
      </c>
      <c r="D557" s="23" t="n">
        <v>800000</v>
      </c>
      <c r="E557" s="23" t="n">
        <v>746036.215156879</v>
      </c>
      <c r="F557" s="31" t="n">
        <v>1.0235</v>
      </c>
      <c r="G557" s="28" t="s">
        <v>973</v>
      </c>
      <c r="H557" s="31" t="n">
        <v>32.3837</v>
      </c>
      <c r="I557" s="28" t="s">
        <v>941</v>
      </c>
    </row>
    <row r="558" customFormat="false" ht="15" hidden="false" customHeight="false" outlineLevel="0" collapsed="false">
      <c r="A558" s="28" t="s">
        <v>207</v>
      </c>
      <c r="B558" s="28" t="s">
        <v>977</v>
      </c>
      <c r="C558" s="28" t="s">
        <v>469</v>
      </c>
      <c r="D558" s="23" t="n">
        <v>765287.677</v>
      </c>
      <c r="E558" s="23" t="n">
        <v>736908.613478737</v>
      </c>
      <c r="F558" s="31" t="n">
        <v>0.502</v>
      </c>
      <c r="G558" s="28" t="s">
        <v>973</v>
      </c>
      <c r="H558" s="31" t="n">
        <v>21.2747</v>
      </c>
      <c r="I558" s="28" t="s">
        <v>941</v>
      </c>
    </row>
    <row r="559" customFormat="false" ht="15" hidden="false" customHeight="false" outlineLevel="0" collapsed="false">
      <c r="A559" s="28" t="s">
        <v>207</v>
      </c>
      <c r="B559" s="28" t="s">
        <v>978</v>
      </c>
      <c r="C559" s="28" t="s">
        <v>469</v>
      </c>
      <c r="D559" s="23" t="n">
        <v>74688.3604</v>
      </c>
      <c r="E559" s="23" t="n">
        <v>55904.4131170857</v>
      </c>
      <c r="F559" s="31" t="n">
        <v>4.5263</v>
      </c>
      <c r="G559" s="28" t="s">
        <v>973</v>
      </c>
      <c r="H559" s="31" t="n">
        <v>96.4439</v>
      </c>
      <c r="I559" s="28" t="s">
        <v>941</v>
      </c>
    </row>
    <row r="560" customFormat="false" ht="15" hidden="false" customHeight="false" outlineLevel="0" collapsed="false">
      <c r="A560" s="28" t="s">
        <v>207</v>
      </c>
      <c r="B560" s="28" t="s">
        <v>979</v>
      </c>
      <c r="C560" s="28" t="s">
        <v>469</v>
      </c>
      <c r="D560" s="23" t="n">
        <v>14494.065</v>
      </c>
      <c r="E560" s="23" t="n">
        <v>12585.8767892514</v>
      </c>
      <c r="F560" s="31" t="n">
        <v>2.5656</v>
      </c>
      <c r="G560" s="28" t="s">
        <v>973</v>
      </c>
      <c r="H560" s="31" t="n">
        <v>15.8138</v>
      </c>
      <c r="I560" s="28" t="s">
        <v>941</v>
      </c>
    </row>
    <row r="561" customFormat="false" ht="15" hidden="false" customHeight="false" outlineLevel="0" collapsed="false">
      <c r="A561" s="28" t="s">
        <v>207</v>
      </c>
      <c r="B561" s="28" t="s">
        <v>980</v>
      </c>
      <c r="C561" s="28" t="s">
        <v>469</v>
      </c>
      <c r="D561" s="23" t="n">
        <v>734544.639</v>
      </c>
      <c r="E561" s="23" t="n">
        <v>730137.021989903</v>
      </c>
      <c r="F561" s="31" t="n">
        <v>0.7272</v>
      </c>
      <c r="G561" s="28" t="s">
        <v>981</v>
      </c>
      <c r="H561" s="31" t="n">
        <v>1.4229</v>
      </c>
      <c r="I561" s="28" t="s">
        <v>941</v>
      </c>
    </row>
    <row r="562" customFormat="false" ht="15" hidden="false" customHeight="false" outlineLevel="0" collapsed="false">
      <c r="A562" s="28" t="s">
        <v>207</v>
      </c>
      <c r="B562" s="28" t="s">
        <v>982</v>
      </c>
      <c r="C562" s="28" t="s">
        <v>469</v>
      </c>
      <c r="D562" s="23" t="n">
        <v>860301.67</v>
      </c>
      <c r="E562" s="23" t="n">
        <v>855842.234990644</v>
      </c>
      <c r="F562" s="31" t="n">
        <v>0.7272</v>
      </c>
      <c r="G562" s="28" t="s">
        <v>981</v>
      </c>
      <c r="H562" s="31" t="n">
        <v>1.4231</v>
      </c>
      <c r="I562" s="28" t="s">
        <v>941</v>
      </c>
    </row>
    <row r="563" customFormat="false" ht="15" hidden="false" customHeight="false" outlineLevel="0" collapsed="false">
      <c r="A563" s="28" t="s">
        <v>207</v>
      </c>
      <c r="B563" s="28" t="s">
        <v>983</v>
      </c>
      <c r="C563" s="28" t="s">
        <v>469</v>
      </c>
      <c r="D563" s="23" t="n">
        <v>112032.5406</v>
      </c>
      <c r="E563" s="23" t="n">
        <v>110687.630180959</v>
      </c>
      <c r="F563" s="31" t="n">
        <v>1.3829</v>
      </c>
      <c r="G563" s="28" t="s">
        <v>981</v>
      </c>
      <c r="H563" s="31" t="n">
        <v>3.7578</v>
      </c>
      <c r="I563" s="28" t="s">
        <v>941</v>
      </c>
    </row>
    <row r="564" customFormat="false" ht="15" hidden="false" customHeight="false" outlineLevel="0" collapsed="false">
      <c r="A564" s="28" t="s">
        <v>207</v>
      </c>
      <c r="B564" s="28" t="s">
        <v>984</v>
      </c>
      <c r="C564" s="28" t="s">
        <v>469</v>
      </c>
      <c r="D564" s="23" t="n">
        <v>124418.196</v>
      </c>
      <c r="E564" s="23" t="n">
        <v>124418.196</v>
      </c>
      <c r="F564" s="31" t="n">
        <v>0</v>
      </c>
      <c r="G564" s="28" t="s">
        <v>984</v>
      </c>
      <c r="H564" s="31" t="n">
        <v>0</v>
      </c>
      <c r="I564" s="28" t="s">
        <v>941</v>
      </c>
    </row>
    <row r="565" customFormat="false" ht="15" hidden="false" customHeight="false" outlineLevel="0" collapsed="false">
      <c r="A565" s="28" t="s">
        <v>207</v>
      </c>
      <c r="B565" s="28" t="s">
        <v>985</v>
      </c>
      <c r="C565" s="28" t="s">
        <v>874</v>
      </c>
      <c r="D565" s="23" t="n">
        <v>0</v>
      </c>
      <c r="E565" s="23" t="n">
        <v>-1252.8</v>
      </c>
      <c r="G565" s="28" t="s">
        <v>986</v>
      </c>
      <c r="I565" s="28" t="s">
        <v>941</v>
      </c>
    </row>
    <row r="566" customFormat="false" ht="15" hidden="false" customHeight="false" outlineLevel="0" collapsed="false">
      <c r="A566" s="28" t="s">
        <v>216</v>
      </c>
      <c r="B566" s="28" t="s">
        <v>449</v>
      </c>
      <c r="C566" s="28" t="s">
        <v>447</v>
      </c>
      <c r="D566" s="23" t="n">
        <v>695254.49</v>
      </c>
      <c r="E566" s="23" t="n">
        <v>695254.49</v>
      </c>
      <c r="F566" s="31" t="n">
        <v>0</v>
      </c>
      <c r="G566" s="28" t="s">
        <v>940</v>
      </c>
      <c r="H566" s="31" t="n">
        <v>0</v>
      </c>
      <c r="I566" s="28" t="s">
        <v>987</v>
      </c>
    </row>
    <row r="567" customFormat="false" ht="15" hidden="false" customHeight="false" outlineLevel="0" collapsed="false">
      <c r="A567" s="28" t="s">
        <v>216</v>
      </c>
      <c r="B567" s="28" t="s">
        <v>942</v>
      </c>
      <c r="C567" s="28" t="s">
        <v>447</v>
      </c>
      <c r="D567" s="23" t="n">
        <v>150051.434903246</v>
      </c>
      <c r="E567" s="23" t="n">
        <v>141709.972894691</v>
      </c>
      <c r="F567" s="31" t="n">
        <v>1.8751</v>
      </c>
      <c r="G567" s="28" t="s">
        <v>943</v>
      </c>
      <c r="H567" s="31" t="n">
        <v>5.589</v>
      </c>
      <c r="I567" s="28" t="s">
        <v>987</v>
      </c>
    </row>
    <row r="568" customFormat="false" ht="15" hidden="false" customHeight="false" outlineLevel="0" collapsed="false">
      <c r="A568" s="28" t="s">
        <v>216</v>
      </c>
      <c r="B568" s="28" t="s">
        <v>944</v>
      </c>
      <c r="C568" s="28" t="s">
        <v>447</v>
      </c>
      <c r="D568" s="23" t="n">
        <v>367549.241673984</v>
      </c>
      <c r="E568" s="23" t="n">
        <v>338286.916085903</v>
      </c>
      <c r="F568" s="31" t="n">
        <v>2.7155</v>
      </c>
      <c r="G568" s="28" t="s">
        <v>943</v>
      </c>
      <c r="H568" s="31" t="n">
        <v>10.6628</v>
      </c>
      <c r="I568" s="28" t="s">
        <v>987</v>
      </c>
    </row>
    <row r="569" customFormat="false" ht="15" hidden="false" customHeight="false" outlineLevel="0" collapsed="false">
      <c r="A569" s="28" t="s">
        <v>216</v>
      </c>
      <c r="B569" s="28" t="s">
        <v>945</v>
      </c>
      <c r="C569" s="28" t="s">
        <v>447</v>
      </c>
      <c r="D569" s="23" t="n">
        <v>548633.753403125</v>
      </c>
      <c r="E569" s="23" t="n">
        <v>447590.718440845</v>
      </c>
      <c r="F569" s="31" t="n">
        <v>6.2885</v>
      </c>
      <c r="G569" s="28" t="s">
        <v>943</v>
      </c>
      <c r="H569" s="31" t="n">
        <v>70.8346</v>
      </c>
      <c r="I569" s="28" t="s">
        <v>987</v>
      </c>
    </row>
    <row r="570" customFormat="false" ht="15" hidden="false" customHeight="false" outlineLevel="0" collapsed="false">
      <c r="A570" s="28" t="s">
        <v>216</v>
      </c>
      <c r="B570" s="28" t="s">
        <v>946</v>
      </c>
      <c r="C570" s="28" t="s">
        <v>447</v>
      </c>
      <c r="D570" s="23" t="n">
        <v>305274.71975975</v>
      </c>
      <c r="E570" s="23" t="n">
        <v>249154.032393839</v>
      </c>
      <c r="F570" s="31" t="n">
        <v>6.1794</v>
      </c>
      <c r="G570" s="28" t="s">
        <v>943</v>
      </c>
      <c r="H570" s="31" t="n">
        <v>70.862</v>
      </c>
      <c r="I570" s="28" t="s">
        <v>987</v>
      </c>
    </row>
    <row r="571" customFormat="false" ht="15" hidden="false" customHeight="false" outlineLevel="0" collapsed="false">
      <c r="A571" s="28" t="s">
        <v>216</v>
      </c>
      <c r="B571" s="28" t="s">
        <v>947</v>
      </c>
      <c r="C571" s="28" t="s">
        <v>447</v>
      </c>
      <c r="D571" s="23" t="n">
        <v>352414.480607701</v>
      </c>
      <c r="E571" s="23" t="n">
        <v>305668.855061411</v>
      </c>
      <c r="F571" s="31" t="n">
        <v>4.5109</v>
      </c>
      <c r="G571" s="28" t="s">
        <v>943</v>
      </c>
      <c r="H571" s="31" t="n">
        <v>35.3479</v>
      </c>
      <c r="I571" s="28" t="s">
        <v>987</v>
      </c>
    </row>
    <row r="572" customFormat="false" ht="15" hidden="false" customHeight="false" outlineLevel="0" collapsed="false">
      <c r="A572" s="28" t="s">
        <v>216</v>
      </c>
      <c r="B572" s="28" t="s">
        <v>948</v>
      </c>
      <c r="C572" s="28" t="s">
        <v>447</v>
      </c>
      <c r="D572" s="23" t="n">
        <v>136497.166545512</v>
      </c>
      <c r="E572" s="23" t="n">
        <v>112972.92168945</v>
      </c>
      <c r="F572" s="31" t="n">
        <v>6.1999</v>
      </c>
      <c r="G572" s="28" t="s">
        <v>943</v>
      </c>
      <c r="H572" s="31" t="n">
        <v>45.5299</v>
      </c>
      <c r="I572" s="28" t="s">
        <v>987</v>
      </c>
    </row>
    <row r="573" customFormat="false" ht="15" hidden="false" customHeight="false" outlineLevel="0" collapsed="false">
      <c r="A573" s="28" t="s">
        <v>216</v>
      </c>
      <c r="B573" s="28" t="s">
        <v>949</v>
      </c>
      <c r="C573" s="28" t="s">
        <v>447</v>
      </c>
      <c r="D573" s="23" t="n">
        <v>97853.5160956092</v>
      </c>
      <c r="E573" s="23" t="n">
        <v>98229.5994471397</v>
      </c>
      <c r="F573" s="31" t="n">
        <v>-0.1442</v>
      </c>
      <c r="G573" s="28" t="s">
        <v>943</v>
      </c>
      <c r="H573" s="31" t="n">
        <v>1.0047</v>
      </c>
      <c r="I573" s="28" t="s">
        <v>987</v>
      </c>
    </row>
    <row r="574" customFormat="false" ht="15" hidden="false" customHeight="false" outlineLevel="0" collapsed="false">
      <c r="A574" s="28" t="s">
        <v>216</v>
      </c>
      <c r="B574" s="28" t="s">
        <v>950</v>
      </c>
      <c r="C574" s="28" t="s">
        <v>447</v>
      </c>
      <c r="D574" s="23" t="n">
        <v>700000</v>
      </c>
      <c r="E574" s="23" t="n">
        <v>500273.901930295</v>
      </c>
      <c r="F574" s="31" t="n">
        <v>5.0108</v>
      </c>
      <c r="G574" s="28" t="s">
        <v>943</v>
      </c>
      <c r="H574" s="31" t="n">
        <v>43.4083</v>
      </c>
      <c r="I574" s="28" t="s">
        <v>987</v>
      </c>
    </row>
    <row r="575" customFormat="false" ht="15" hidden="false" customHeight="false" outlineLevel="0" collapsed="false">
      <c r="A575" s="28" t="s">
        <v>216</v>
      </c>
      <c r="B575" s="28" t="s">
        <v>951</v>
      </c>
      <c r="C575" s="28" t="s">
        <v>447</v>
      </c>
      <c r="D575" s="23" t="n">
        <v>300000</v>
      </c>
      <c r="E575" s="23" t="n">
        <v>247836.2947138</v>
      </c>
      <c r="F575" s="31" t="n">
        <v>3.6294</v>
      </c>
      <c r="G575" s="28" t="s">
        <v>943</v>
      </c>
      <c r="H575" s="31" t="n">
        <v>15.9453</v>
      </c>
      <c r="I575" s="28" t="s">
        <v>987</v>
      </c>
    </row>
    <row r="576" customFormat="false" ht="15" hidden="false" customHeight="false" outlineLevel="0" collapsed="false">
      <c r="A576" s="28" t="s">
        <v>216</v>
      </c>
      <c r="B576" s="28" t="s">
        <v>952</v>
      </c>
      <c r="C576" s="28" t="s">
        <v>447</v>
      </c>
      <c r="D576" s="23" t="n">
        <v>200000</v>
      </c>
      <c r="E576" s="23" t="n">
        <v>137408.721389001</v>
      </c>
      <c r="F576" s="31" t="n">
        <v>6.7838</v>
      </c>
      <c r="G576" s="28" t="s">
        <v>943</v>
      </c>
      <c r="H576" s="31" t="n">
        <v>55.0665</v>
      </c>
      <c r="I576" s="28" t="s">
        <v>987</v>
      </c>
    </row>
    <row r="577" customFormat="false" ht="15" hidden="false" customHeight="false" outlineLevel="0" collapsed="false">
      <c r="A577" s="28" t="s">
        <v>216</v>
      </c>
      <c r="B577" s="28" t="s">
        <v>953</v>
      </c>
      <c r="C577" s="28" t="s">
        <v>447</v>
      </c>
      <c r="D577" s="23" t="n">
        <v>148403.71</v>
      </c>
      <c r="E577" s="23" t="n">
        <v>138372.844046531</v>
      </c>
      <c r="F577" s="31" t="n">
        <v>2.7044</v>
      </c>
      <c r="G577" s="28" t="s">
        <v>943</v>
      </c>
      <c r="H577" s="31" t="n">
        <v>8.9559</v>
      </c>
      <c r="I577" s="28" t="s">
        <v>987</v>
      </c>
    </row>
    <row r="578" customFormat="false" ht="15" hidden="false" customHeight="false" outlineLevel="0" collapsed="false">
      <c r="A578" s="28" t="s">
        <v>216</v>
      </c>
      <c r="B578" s="28" t="s">
        <v>954</v>
      </c>
      <c r="C578" s="28" t="s">
        <v>447</v>
      </c>
      <c r="D578" s="23" t="n">
        <v>24721.732</v>
      </c>
      <c r="E578" s="23" t="n">
        <v>24721.732</v>
      </c>
      <c r="F578" s="31" t="n">
        <v>0</v>
      </c>
      <c r="G578" s="28" t="s">
        <v>943</v>
      </c>
      <c r="H578" s="31" t="n">
        <v>0</v>
      </c>
      <c r="I578" s="28" t="s">
        <v>987</v>
      </c>
    </row>
    <row r="579" customFormat="false" ht="15" hidden="false" customHeight="false" outlineLevel="0" collapsed="false">
      <c r="A579" s="28" t="s">
        <v>216</v>
      </c>
      <c r="B579" s="28" t="s">
        <v>457</v>
      </c>
      <c r="C579" s="28" t="s">
        <v>447</v>
      </c>
      <c r="D579" s="23" t="n">
        <v>17250</v>
      </c>
      <c r="E579" s="23" t="n">
        <v>17250</v>
      </c>
      <c r="F579" s="31" t="n">
        <v>0</v>
      </c>
      <c r="G579" s="28" t="s">
        <v>955</v>
      </c>
      <c r="H579" s="31" t="n">
        <v>0</v>
      </c>
      <c r="I579" s="28" t="s">
        <v>987</v>
      </c>
    </row>
    <row r="580" customFormat="false" ht="15" hidden="false" customHeight="false" outlineLevel="0" collapsed="false">
      <c r="A580" s="28" t="s">
        <v>216</v>
      </c>
      <c r="B580" s="28" t="s">
        <v>956</v>
      </c>
      <c r="C580" s="28" t="s">
        <v>447</v>
      </c>
      <c r="D580" s="23" t="n">
        <v>1515773.50272</v>
      </c>
      <c r="E580" s="23" t="n">
        <v>1518763.17661619</v>
      </c>
      <c r="F580" s="31" t="n">
        <v>-0.0791</v>
      </c>
      <c r="G580" s="28" t="s">
        <v>957</v>
      </c>
      <c r="H580" s="31" t="n">
        <v>0.8189</v>
      </c>
      <c r="I580" s="28" t="s">
        <v>987</v>
      </c>
    </row>
    <row r="581" customFormat="false" ht="15" hidden="false" customHeight="false" outlineLevel="0" collapsed="false">
      <c r="A581" s="28" t="s">
        <v>216</v>
      </c>
      <c r="B581" s="28" t="s">
        <v>958</v>
      </c>
      <c r="C581" s="28" t="s">
        <v>447</v>
      </c>
      <c r="D581" s="23" t="n">
        <v>589467.47328</v>
      </c>
      <c r="E581" s="23" t="n">
        <v>503451.934620729</v>
      </c>
      <c r="F581" s="31" t="n">
        <v>4.0576</v>
      </c>
      <c r="G581" s="28" t="s">
        <v>957</v>
      </c>
      <c r="H581" s="31" t="n">
        <v>28.0446</v>
      </c>
      <c r="I581" s="28" t="s">
        <v>987</v>
      </c>
    </row>
    <row r="582" customFormat="false" ht="15" hidden="false" customHeight="false" outlineLevel="0" collapsed="false">
      <c r="A582" s="28" t="s">
        <v>216</v>
      </c>
      <c r="B582" s="28" t="s">
        <v>959</v>
      </c>
      <c r="C582" s="28" t="s">
        <v>447</v>
      </c>
      <c r="D582" s="23" t="n">
        <v>1104190.947</v>
      </c>
      <c r="E582" s="23" t="n">
        <v>1037279.8158157</v>
      </c>
      <c r="F582" s="31" t="n">
        <v>1.7185</v>
      </c>
      <c r="G582" s="28" t="s">
        <v>957</v>
      </c>
      <c r="H582" s="31" t="n">
        <v>5.2527</v>
      </c>
      <c r="I582" s="28" t="s">
        <v>987</v>
      </c>
    </row>
    <row r="583" customFormat="false" ht="15" hidden="false" customHeight="false" outlineLevel="0" collapsed="false">
      <c r="A583" s="28" t="s">
        <v>216</v>
      </c>
      <c r="B583" s="28" t="s">
        <v>960</v>
      </c>
      <c r="C583" s="28" t="s">
        <v>447</v>
      </c>
      <c r="D583" s="23" t="n">
        <v>476328.947</v>
      </c>
      <c r="E583" s="23" t="n">
        <v>444016.675889919</v>
      </c>
      <c r="F583" s="31" t="n">
        <v>1.825</v>
      </c>
      <c r="G583" s="28" t="s">
        <v>957</v>
      </c>
      <c r="H583" s="31" t="n">
        <v>5.8236</v>
      </c>
      <c r="I583" s="28" t="s">
        <v>987</v>
      </c>
    </row>
    <row r="584" customFormat="false" ht="15" hidden="false" customHeight="false" outlineLevel="0" collapsed="false">
      <c r="A584" s="28" t="s">
        <v>216</v>
      </c>
      <c r="B584" s="28" t="s">
        <v>961</v>
      </c>
      <c r="C584" s="28" t="s">
        <v>447</v>
      </c>
      <c r="D584" s="23" t="n">
        <v>374430.3036</v>
      </c>
      <c r="E584" s="23" t="n">
        <v>261458.690655884</v>
      </c>
      <c r="F584" s="31" t="n">
        <v>6.109</v>
      </c>
      <c r="G584" s="28" t="s">
        <v>957</v>
      </c>
      <c r="H584" s="31" t="n">
        <v>67.4662</v>
      </c>
      <c r="I584" s="28" t="s">
        <v>987</v>
      </c>
    </row>
    <row r="585" customFormat="false" ht="15" hidden="false" customHeight="false" outlineLevel="0" collapsed="false">
      <c r="A585" s="28" t="s">
        <v>216</v>
      </c>
      <c r="B585" s="28" t="s">
        <v>962</v>
      </c>
      <c r="C585" s="28" t="s">
        <v>447</v>
      </c>
      <c r="D585" s="23" t="n">
        <v>249620.2024</v>
      </c>
      <c r="E585" s="23" t="n">
        <v>240654.924736624</v>
      </c>
      <c r="F585" s="31" t="n">
        <v>1.8542</v>
      </c>
      <c r="G585" s="28" t="s">
        <v>957</v>
      </c>
      <c r="H585" s="31" t="n">
        <v>7.1926</v>
      </c>
      <c r="I585" s="28" t="s">
        <v>987</v>
      </c>
    </row>
    <row r="586" customFormat="false" ht="15" hidden="false" customHeight="false" outlineLevel="0" collapsed="false">
      <c r="A586" s="28" t="s">
        <v>216</v>
      </c>
      <c r="B586" s="28" t="s">
        <v>963</v>
      </c>
      <c r="C586" s="28" t="s">
        <v>447</v>
      </c>
      <c r="D586" s="23" t="n">
        <v>720674.90295</v>
      </c>
      <c r="E586" s="23" t="n">
        <v>677594.165017454</v>
      </c>
      <c r="F586" s="31" t="n">
        <v>1.8131</v>
      </c>
      <c r="G586" s="28" t="s">
        <v>957</v>
      </c>
      <c r="H586" s="31" t="n">
        <v>7.615</v>
      </c>
      <c r="I586" s="28" t="s">
        <v>987</v>
      </c>
    </row>
    <row r="587" customFormat="false" ht="15" hidden="false" customHeight="false" outlineLevel="0" collapsed="false">
      <c r="A587" s="28" t="s">
        <v>216</v>
      </c>
      <c r="B587" s="28" t="s">
        <v>964</v>
      </c>
      <c r="C587" s="28" t="s">
        <v>447</v>
      </c>
      <c r="D587" s="23" t="n">
        <v>127177.92405</v>
      </c>
      <c r="E587" s="23" t="n">
        <v>127506.518263153</v>
      </c>
      <c r="F587" s="31" t="n">
        <v>-0.1025</v>
      </c>
      <c r="G587" s="28" t="s">
        <v>957</v>
      </c>
      <c r="H587" s="31" t="n">
        <v>0.985</v>
      </c>
      <c r="I587" s="28" t="s">
        <v>987</v>
      </c>
    </row>
    <row r="588" customFormat="false" ht="15" hidden="false" customHeight="false" outlineLevel="0" collapsed="false">
      <c r="A588" s="28" t="s">
        <v>216</v>
      </c>
      <c r="B588" s="28" t="s">
        <v>965</v>
      </c>
      <c r="C588" s="28" t="s">
        <v>447</v>
      </c>
      <c r="D588" s="23" t="n">
        <v>20543.822</v>
      </c>
      <c r="E588" s="23" t="n">
        <v>20564.336282423</v>
      </c>
      <c r="F588" s="31" t="n">
        <v>-0.0423</v>
      </c>
      <c r="G588" s="28" t="s">
        <v>957</v>
      </c>
      <c r="H588" s="31" t="n">
        <v>0.5831</v>
      </c>
      <c r="I588" s="28" t="s">
        <v>987</v>
      </c>
    </row>
    <row r="589" customFormat="false" ht="15" hidden="false" customHeight="false" outlineLevel="0" collapsed="false">
      <c r="A589" s="28" t="s">
        <v>216</v>
      </c>
      <c r="B589" s="28" t="s">
        <v>966</v>
      </c>
      <c r="C589" s="28" t="s">
        <v>447</v>
      </c>
      <c r="D589" s="23" t="n">
        <v>62649.693</v>
      </c>
      <c r="E589" s="23" t="n">
        <v>60123.255947949</v>
      </c>
      <c r="F589" s="31" t="n">
        <v>1.0812</v>
      </c>
      <c r="G589" s="28" t="s">
        <v>957</v>
      </c>
      <c r="H589" s="31" t="n">
        <v>2.2697</v>
      </c>
      <c r="I589" s="28" t="s">
        <v>987</v>
      </c>
    </row>
    <row r="590" customFormat="false" ht="15" hidden="false" customHeight="false" outlineLevel="0" collapsed="false">
      <c r="A590" s="28" t="s">
        <v>216</v>
      </c>
      <c r="B590" s="28" t="s">
        <v>967</v>
      </c>
      <c r="C590" s="28" t="s">
        <v>447</v>
      </c>
      <c r="D590" s="23" t="n">
        <v>41766.462</v>
      </c>
      <c r="E590" s="23" t="n">
        <v>41793.1902286541</v>
      </c>
      <c r="F590" s="31" t="n">
        <v>-0.0289</v>
      </c>
      <c r="G590" s="28" t="s">
        <v>957</v>
      </c>
      <c r="H590" s="31" t="n">
        <v>0.489</v>
      </c>
      <c r="I590" s="28" t="s">
        <v>987</v>
      </c>
    </row>
    <row r="591" customFormat="false" ht="15" hidden="false" customHeight="false" outlineLevel="0" collapsed="false">
      <c r="A591" s="28" t="s">
        <v>216</v>
      </c>
      <c r="B591" s="28" t="s">
        <v>968</v>
      </c>
      <c r="C591" s="28" t="s">
        <v>447</v>
      </c>
      <c r="D591" s="23" t="n">
        <v>21376.155</v>
      </c>
      <c r="E591" s="23" t="n">
        <v>19921.9049292819</v>
      </c>
      <c r="F591" s="31" t="n">
        <v>1.9249</v>
      </c>
      <c r="G591" s="28" t="s">
        <v>957</v>
      </c>
      <c r="H591" s="31" t="n">
        <v>6.724</v>
      </c>
      <c r="I591" s="28" t="s">
        <v>987</v>
      </c>
    </row>
    <row r="592" customFormat="false" ht="15" hidden="false" customHeight="false" outlineLevel="0" collapsed="false">
      <c r="A592" s="28" t="s">
        <v>216</v>
      </c>
      <c r="B592" s="28" t="s">
        <v>969</v>
      </c>
      <c r="C592" s="28" t="s">
        <v>447</v>
      </c>
      <c r="D592" s="23" t="n">
        <v>1397.217</v>
      </c>
      <c r="E592" s="23" t="n">
        <v>1227.08280487377</v>
      </c>
      <c r="F592" s="31" t="n">
        <v>2.7413</v>
      </c>
      <c r="G592" s="28" t="s">
        <v>957</v>
      </c>
      <c r="H592" s="31" t="n">
        <v>13.1464</v>
      </c>
      <c r="I592" s="28" t="s">
        <v>987</v>
      </c>
    </row>
    <row r="593" customFormat="false" ht="15" hidden="false" customHeight="false" outlineLevel="0" collapsed="false">
      <c r="A593" s="28" t="s">
        <v>216</v>
      </c>
      <c r="B593" s="28" t="s">
        <v>970</v>
      </c>
      <c r="C593" s="28" t="s">
        <v>447</v>
      </c>
      <c r="D593" s="23" t="n">
        <v>42.972</v>
      </c>
      <c r="E593" s="23" t="n">
        <v>36.3864808685951</v>
      </c>
      <c r="F593" s="31" t="n">
        <v>4.2153</v>
      </c>
      <c r="G593" s="28" t="s">
        <v>957</v>
      </c>
      <c r="H593" s="31" t="n">
        <v>32.5618</v>
      </c>
      <c r="I593" s="28" t="s">
        <v>987</v>
      </c>
    </row>
    <row r="594" customFormat="false" ht="15" hidden="false" customHeight="false" outlineLevel="0" collapsed="false">
      <c r="A594" s="28" t="s">
        <v>216</v>
      </c>
      <c r="B594" s="28" t="s">
        <v>459</v>
      </c>
      <c r="C594" s="28" t="s">
        <v>447</v>
      </c>
      <c r="D594" s="23" t="n">
        <v>1976.718</v>
      </c>
      <c r="E594" s="23" t="n">
        <v>1970.67997305542</v>
      </c>
      <c r="F594" s="31" t="n">
        <v>0.1644</v>
      </c>
      <c r="G594" s="28" t="s">
        <v>957</v>
      </c>
      <c r="H594" s="31" t="n">
        <v>0.0535</v>
      </c>
      <c r="I594" s="28" t="s">
        <v>987</v>
      </c>
    </row>
    <row r="595" customFormat="false" ht="15" hidden="false" customHeight="false" outlineLevel="0" collapsed="false">
      <c r="A595" s="28" t="s">
        <v>216</v>
      </c>
      <c r="B595" s="28" t="s">
        <v>489</v>
      </c>
      <c r="C595" s="28" t="s">
        <v>447</v>
      </c>
      <c r="D595" s="23" t="n">
        <v>-47552</v>
      </c>
      <c r="E595" s="23" t="n">
        <v>-47552</v>
      </c>
      <c r="F595" s="31" t="n">
        <v>0</v>
      </c>
      <c r="G595" s="28" t="s">
        <v>957</v>
      </c>
      <c r="H595" s="31" t="n">
        <v>0</v>
      </c>
      <c r="I595" s="28" t="s">
        <v>987</v>
      </c>
    </row>
    <row r="596" customFormat="false" ht="15" hidden="false" customHeight="false" outlineLevel="0" collapsed="false">
      <c r="A596" s="28" t="s">
        <v>216</v>
      </c>
      <c r="B596" s="28" t="s">
        <v>466</v>
      </c>
      <c r="C596" s="28" t="s">
        <v>447</v>
      </c>
      <c r="D596" s="23" t="n">
        <v>6200</v>
      </c>
      <c r="E596" s="23" t="n">
        <v>7316</v>
      </c>
      <c r="F596" s="31" t="n">
        <v>-4.2373</v>
      </c>
      <c r="G596" s="28" t="s">
        <v>955</v>
      </c>
      <c r="H596" s="31" t="n">
        <v>-338.9831</v>
      </c>
      <c r="I596" s="28" t="s">
        <v>987</v>
      </c>
    </row>
    <row r="597" customFormat="false" ht="15" hidden="false" customHeight="false" outlineLevel="0" collapsed="false">
      <c r="A597" s="28" t="s">
        <v>216</v>
      </c>
      <c r="B597" s="28" t="s">
        <v>971</v>
      </c>
      <c r="C597" s="28" t="s">
        <v>447</v>
      </c>
      <c r="D597" s="23" t="n">
        <v>577875.54</v>
      </c>
      <c r="E597" s="23" t="n">
        <v>577875.54</v>
      </c>
      <c r="F597" s="31" t="n">
        <v>0</v>
      </c>
      <c r="G597" s="28" t="s">
        <v>955</v>
      </c>
      <c r="H597" s="31" t="n">
        <v>0</v>
      </c>
      <c r="I597" s="28" t="s">
        <v>987</v>
      </c>
    </row>
    <row r="598" customFormat="false" ht="15" hidden="false" customHeight="false" outlineLevel="0" collapsed="false">
      <c r="A598" s="28" t="s">
        <v>216</v>
      </c>
      <c r="B598" s="28" t="s">
        <v>972</v>
      </c>
      <c r="C598" s="28" t="s">
        <v>469</v>
      </c>
      <c r="D598" s="23" t="n">
        <v>1551679.623</v>
      </c>
      <c r="E598" s="23" t="n">
        <v>1474095.64185</v>
      </c>
      <c r="F598" s="31" t="n">
        <v>1.3468</v>
      </c>
      <c r="G598" s="28" t="s">
        <v>973</v>
      </c>
      <c r="H598" s="31" t="n">
        <v>0</v>
      </c>
      <c r="I598" s="28" t="s">
        <v>987</v>
      </c>
    </row>
    <row r="599" customFormat="false" ht="15" hidden="false" customHeight="false" outlineLevel="0" collapsed="false">
      <c r="A599" s="28" t="s">
        <v>216</v>
      </c>
      <c r="B599" s="28" t="s">
        <v>974</v>
      </c>
      <c r="C599" s="28" t="s">
        <v>469</v>
      </c>
      <c r="D599" s="23" t="n">
        <v>330000</v>
      </c>
      <c r="E599" s="23" t="n">
        <v>313500</v>
      </c>
      <c r="F599" s="31" t="n">
        <v>1.3468</v>
      </c>
      <c r="G599" s="28" t="s">
        <v>973</v>
      </c>
      <c r="H599" s="31" t="n">
        <v>0</v>
      </c>
      <c r="I599" s="28" t="s">
        <v>987</v>
      </c>
    </row>
    <row r="600" customFormat="false" ht="15" hidden="false" customHeight="false" outlineLevel="0" collapsed="false">
      <c r="A600" s="28" t="s">
        <v>216</v>
      </c>
      <c r="B600" s="28" t="s">
        <v>975</v>
      </c>
      <c r="C600" s="28" t="s">
        <v>469</v>
      </c>
      <c r="D600" s="23" t="n">
        <v>1462571.75</v>
      </c>
      <c r="E600" s="23" t="n">
        <v>1389443.1625</v>
      </c>
      <c r="F600" s="31" t="n">
        <v>1.3468</v>
      </c>
      <c r="G600" s="28" t="s">
        <v>973</v>
      </c>
      <c r="H600" s="31" t="n">
        <v>0</v>
      </c>
      <c r="I600" s="28" t="s">
        <v>987</v>
      </c>
    </row>
    <row r="601" customFormat="false" ht="15" hidden="false" customHeight="false" outlineLevel="0" collapsed="false">
      <c r="A601" s="28" t="s">
        <v>216</v>
      </c>
      <c r="B601" s="28" t="s">
        <v>976</v>
      </c>
      <c r="C601" s="28" t="s">
        <v>469</v>
      </c>
      <c r="D601" s="23" t="n">
        <v>50000</v>
      </c>
      <c r="E601" s="23" t="n">
        <v>47500</v>
      </c>
      <c r="F601" s="31" t="n">
        <v>1.3468</v>
      </c>
      <c r="G601" s="28" t="s">
        <v>973</v>
      </c>
      <c r="H601" s="31" t="n">
        <v>0</v>
      </c>
      <c r="I601" s="28" t="s">
        <v>987</v>
      </c>
    </row>
    <row r="602" customFormat="false" ht="15" hidden="false" customHeight="false" outlineLevel="0" collapsed="false">
      <c r="A602" s="28" t="s">
        <v>216</v>
      </c>
      <c r="B602" s="28" t="s">
        <v>601</v>
      </c>
      <c r="C602" s="28" t="s">
        <v>469</v>
      </c>
      <c r="D602" s="23" t="n">
        <v>1000000</v>
      </c>
      <c r="E602" s="23" t="n">
        <v>950000</v>
      </c>
      <c r="F602" s="31" t="n">
        <v>1.3468</v>
      </c>
      <c r="G602" s="28" t="s">
        <v>973</v>
      </c>
      <c r="H602" s="31" t="n">
        <v>0</v>
      </c>
      <c r="I602" s="28" t="s">
        <v>987</v>
      </c>
    </row>
    <row r="603" customFormat="false" ht="15" hidden="false" customHeight="false" outlineLevel="0" collapsed="false">
      <c r="A603" s="28" t="s">
        <v>216</v>
      </c>
      <c r="B603" s="28" t="s">
        <v>603</v>
      </c>
      <c r="C603" s="28" t="s">
        <v>469</v>
      </c>
      <c r="D603" s="23" t="n">
        <v>1100000</v>
      </c>
      <c r="E603" s="23" t="n">
        <v>1045000</v>
      </c>
      <c r="F603" s="31" t="n">
        <v>1.3468</v>
      </c>
      <c r="G603" s="28" t="s">
        <v>973</v>
      </c>
      <c r="H603" s="31" t="n">
        <v>0</v>
      </c>
      <c r="I603" s="28" t="s">
        <v>987</v>
      </c>
    </row>
    <row r="604" customFormat="false" ht="15" hidden="false" customHeight="false" outlineLevel="0" collapsed="false">
      <c r="A604" s="28" t="s">
        <v>216</v>
      </c>
      <c r="B604" s="28" t="s">
        <v>605</v>
      </c>
      <c r="C604" s="28" t="s">
        <v>469</v>
      </c>
      <c r="D604" s="23" t="n">
        <v>800000</v>
      </c>
      <c r="E604" s="23" t="n">
        <v>760000</v>
      </c>
      <c r="F604" s="31" t="n">
        <v>1.3468</v>
      </c>
      <c r="G604" s="28" t="s">
        <v>973</v>
      </c>
      <c r="H604" s="31" t="n">
        <v>0</v>
      </c>
      <c r="I604" s="28" t="s">
        <v>987</v>
      </c>
    </row>
    <row r="605" customFormat="false" ht="15" hidden="false" customHeight="false" outlineLevel="0" collapsed="false">
      <c r="A605" s="28" t="s">
        <v>216</v>
      </c>
      <c r="B605" s="28" t="s">
        <v>977</v>
      </c>
      <c r="C605" s="28" t="s">
        <v>469</v>
      </c>
      <c r="D605" s="23" t="n">
        <v>765287.677</v>
      </c>
      <c r="E605" s="23" t="n">
        <v>727023.29315</v>
      </c>
      <c r="F605" s="31" t="n">
        <v>1.3468</v>
      </c>
      <c r="G605" s="28" t="s">
        <v>973</v>
      </c>
      <c r="H605" s="31" t="n">
        <v>0</v>
      </c>
      <c r="I605" s="28" t="s">
        <v>987</v>
      </c>
    </row>
    <row r="606" customFormat="false" ht="15" hidden="false" customHeight="false" outlineLevel="0" collapsed="false">
      <c r="A606" s="28" t="s">
        <v>216</v>
      </c>
      <c r="B606" s="28" t="s">
        <v>978</v>
      </c>
      <c r="C606" s="28" t="s">
        <v>469</v>
      </c>
      <c r="D606" s="23" t="n">
        <v>74688.3604</v>
      </c>
      <c r="E606" s="23" t="n">
        <v>70953.94238</v>
      </c>
      <c r="F606" s="31" t="n">
        <v>1.3468</v>
      </c>
      <c r="G606" s="28" t="s">
        <v>973</v>
      </c>
      <c r="H606" s="31" t="n">
        <v>0</v>
      </c>
      <c r="I606" s="28" t="s">
        <v>987</v>
      </c>
    </row>
    <row r="607" customFormat="false" ht="15" hidden="false" customHeight="false" outlineLevel="0" collapsed="false">
      <c r="A607" s="28" t="s">
        <v>216</v>
      </c>
      <c r="B607" s="28" t="s">
        <v>979</v>
      </c>
      <c r="C607" s="28" t="s">
        <v>469</v>
      </c>
      <c r="D607" s="23" t="n">
        <v>14494.065</v>
      </c>
      <c r="E607" s="23" t="n">
        <v>13769.36175</v>
      </c>
      <c r="F607" s="31" t="n">
        <v>1.3468</v>
      </c>
      <c r="G607" s="28" t="s">
        <v>973</v>
      </c>
      <c r="H607" s="31" t="n">
        <v>0</v>
      </c>
      <c r="I607" s="28" t="s">
        <v>987</v>
      </c>
    </row>
    <row r="608" customFormat="false" ht="15" hidden="false" customHeight="false" outlineLevel="0" collapsed="false">
      <c r="A608" s="28" t="s">
        <v>216</v>
      </c>
      <c r="B608" s="28" t="s">
        <v>980</v>
      </c>
      <c r="C608" s="28" t="s">
        <v>469</v>
      </c>
      <c r="D608" s="23" t="n">
        <v>734544.639</v>
      </c>
      <c r="E608" s="23" t="n">
        <v>717658.140298962</v>
      </c>
      <c r="F608" s="31" t="n">
        <v>0.7073</v>
      </c>
      <c r="G608" s="28" t="s">
        <v>981</v>
      </c>
      <c r="H608" s="31" t="n">
        <v>1.3463</v>
      </c>
      <c r="I608" s="28" t="s">
        <v>987</v>
      </c>
    </row>
    <row r="609" customFormat="false" ht="15" hidden="false" customHeight="false" outlineLevel="0" collapsed="false">
      <c r="A609" s="28" t="s">
        <v>216</v>
      </c>
      <c r="B609" s="28" t="s">
        <v>982</v>
      </c>
      <c r="C609" s="28" t="s">
        <v>469</v>
      </c>
      <c r="D609" s="23" t="n">
        <v>860301.67</v>
      </c>
      <c r="E609" s="23" t="n">
        <v>841214.004640978</v>
      </c>
      <c r="F609" s="31" t="n">
        <v>0.7074</v>
      </c>
      <c r="G609" s="28" t="s">
        <v>981</v>
      </c>
      <c r="H609" s="31" t="n">
        <v>1.3464</v>
      </c>
      <c r="I609" s="28" t="s">
        <v>987</v>
      </c>
    </row>
    <row r="610" customFormat="false" ht="15" hidden="false" customHeight="false" outlineLevel="0" collapsed="false">
      <c r="A610" s="28" t="s">
        <v>216</v>
      </c>
      <c r="B610" s="28" t="s">
        <v>983</v>
      </c>
      <c r="C610" s="28" t="s">
        <v>469</v>
      </c>
      <c r="D610" s="23" t="n">
        <v>112032.5406</v>
      </c>
      <c r="E610" s="23" t="n">
        <v>107300.764538416</v>
      </c>
      <c r="F610" s="31" t="n">
        <v>1.3425</v>
      </c>
      <c r="G610" s="28" t="s">
        <v>981</v>
      </c>
      <c r="H610" s="31" t="n">
        <v>3.5642</v>
      </c>
      <c r="I610" s="28" t="s">
        <v>987</v>
      </c>
    </row>
    <row r="611" customFormat="false" ht="15" hidden="false" customHeight="false" outlineLevel="0" collapsed="false">
      <c r="A611" s="28" t="s">
        <v>216</v>
      </c>
      <c r="B611" s="28" t="s">
        <v>984</v>
      </c>
      <c r="C611" s="28" t="s">
        <v>469</v>
      </c>
      <c r="D611" s="23" t="n">
        <v>124418.196</v>
      </c>
      <c r="E611" s="23" t="n">
        <v>124418.196</v>
      </c>
      <c r="F611" s="31" t="n">
        <v>0</v>
      </c>
      <c r="G611" s="28" t="s">
        <v>984</v>
      </c>
      <c r="H611" s="31" t="n">
        <v>0</v>
      </c>
      <c r="I611" s="28" t="s">
        <v>987</v>
      </c>
    </row>
    <row r="612" customFormat="false" ht="15" hidden="false" customHeight="false" outlineLevel="0" collapsed="false">
      <c r="A612" s="28" t="s">
        <v>216</v>
      </c>
      <c r="B612" s="28" t="s">
        <v>985</v>
      </c>
      <c r="C612" s="28" t="s">
        <v>874</v>
      </c>
      <c r="D612" s="23" t="n">
        <v>0</v>
      </c>
      <c r="E612" s="23" t="n">
        <v>-4320</v>
      </c>
      <c r="G612" s="28" t="s">
        <v>986</v>
      </c>
      <c r="I612" s="28" t="s">
        <v>987</v>
      </c>
    </row>
  </sheetData>
  <autoFilter ref="A1:I6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 collapsed="false" customWidth="true" hidden="false" outlineLevel="0" max="3" min="3" style="0" width="20"/>
    <col collapsed="false" customWidth="true" hidden="false" outlineLevel="0" max="4" min="4" style="0" width="22"/>
    <col collapsed="false" customWidth="true" hidden="false" outlineLevel="0" max="5" min="5" style="0" width="20"/>
    <col collapsed="false" customWidth="true" hidden="false" outlineLevel="0" max="6" min="6" style="0" width="23"/>
    <col collapsed="false" customWidth="true" hidden="false" outlineLevel="0" max="7" min="7" style="0" width="22"/>
    <col collapsed="false" customWidth="true" hidden="false" outlineLevel="0" max="8" min="8" style="0" width="12"/>
    <col collapsed="false" customWidth="true" hidden="false" outlineLevel="0" max="9" min="9" style="0" width="90"/>
    <col collapsed="false" customWidth="true" hidden="false" outlineLevel="0" max="10" min="10" style="0" width="14"/>
    <col collapsed="false" customWidth="true" hidden="false" outlineLevel="0" max="11" min="11" style="0" width="16"/>
    <col collapsed="false" customWidth="true" hidden="false" outlineLevel="0" max="12" min="12" style="0" width="14"/>
  </cols>
  <sheetData>
    <row r="1" customFormat="false" ht="30" hidden="false" customHeight="true" outlineLevel="0" collapsed="false">
      <c r="A1" s="27" t="s">
        <v>430</v>
      </c>
      <c r="B1" s="27" t="s">
        <v>939</v>
      </c>
      <c r="C1" s="27" t="s">
        <v>988</v>
      </c>
      <c r="D1" s="27" t="s">
        <v>989</v>
      </c>
      <c r="E1" s="27" t="s">
        <v>990</v>
      </c>
      <c r="F1" s="27" t="s">
        <v>991</v>
      </c>
      <c r="G1" s="27" t="s">
        <v>992</v>
      </c>
      <c r="H1" s="27" t="s">
        <v>442</v>
      </c>
      <c r="I1" s="27" t="s">
        <v>443</v>
      </c>
      <c r="J1" s="27" t="s">
        <v>993</v>
      </c>
      <c r="K1" s="27" t="s">
        <v>844</v>
      </c>
      <c r="L1" s="27" t="s">
        <v>994</v>
      </c>
    </row>
    <row r="2" customFormat="false" ht="15" hidden="false" customHeight="false" outlineLevel="0" collapsed="false">
      <c r="A2" s="28" t="s">
        <v>995</v>
      </c>
      <c r="B2" s="28" t="s">
        <v>941</v>
      </c>
      <c r="C2" s="23" t="n">
        <v>1172337.25529626</v>
      </c>
      <c r="D2" s="19" t="n">
        <v>0.138172696961522</v>
      </c>
      <c r="E2" s="23" t="n">
        <v>970524.181363154</v>
      </c>
      <c r="F2" s="19" t="n">
        <v>0.124415071493884</v>
      </c>
      <c r="G2" s="23" t="n">
        <v>2145301.5040314</v>
      </c>
      <c r="H2" s="28" t="s">
        <v>493</v>
      </c>
      <c r="I2" s="28" t="s">
        <v>996</v>
      </c>
      <c r="J2" s="14" t="n">
        <f aca="false">E2/C2-1</f>
        <v>-0.17214591878009</v>
      </c>
      <c r="K2" s="7" t="str">
        <f aca="false">IF(OR(F2&lt;meta!$B$19,J2&lt;-meta!$B$21),"High",IF(OR(F2&lt;meta!$B$18,J2&lt;-meta!$B$20),"Moderate","Low"))</f>
        <v>Low</v>
      </c>
      <c r="L2" s="6" t="str">
        <f aca="false">A2&amp;"|"&amp;B2</f>
        <v>2024-09-30|internal</v>
      </c>
    </row>
    <row r="3" customFormat="false" ht="15" hidden="false" customHeight="false" outlineLevel="0" collapsed="false">
      <c r="A3" s="28" t="s">
        <v>995</v>
      </c>
      <c r="B3" s="28" t="s">
        <v>987</v>
      </c>
      <c r="C3" s="23" t="n">
        <v>554927.147371259</v>
      </c>
      <c r="D3" s="19" t="n">
        <v>0.0654042002188819</v>
      </c>
      <c r="E3" s="23" t="n">
        <v>153493.196436344</v>
      </c>
      <c r="F3" s="19" t="n">
        <v>0.0196768585215774</v>
      </c>
      <c r="G3" s="23" t="n">
        <v>2145301.5040314</v>
      </c>
      <c r="H3" s="28" t="s">
        <v>493</v>
      </c>
      <c r="I3" s="28" t="s">
        <v>996</v>
      </c>
      <c r="J3" s="14" t="n">
        <f aca="false">E3/C3-1</f>
        <v>-0.723399373839512</v>
      </c>
      <c r="K3" s="7" t="str">
        <f aca="false">IF(OR(F3&lt;meta!$B$19,J3&lt;-meta!$B$21),"High",IF(OR(F3&lt;meta!$B$18,J3&lt;-meta!$B$20),"Moderate","Low"))</f>
        <v>High</v>
      </c>
      <c r="L3" s="6" t="str">
        <f aca="false">A3&amp;"|"&amp;B3</f>
        <v>2024-09-30|ncua_test</v>
      </c>
    </row>
    <row r="4" customFormat="false" ht="15" hidden="false" customHeight="false" outlineLevel="0" collapsed="false">
      <c r="A4" s="28" t="s">
        <v>319</v>
      </c>
      <c r="B4" s="28" t="s">
        <v>941</v>
      </c>
      <c r="C4" s="23" t="n">
        <v>1175027.48652247</v>
      </c>
      <c r="D4" s="19" t="n">
        <v>0.139965848025497</v>
      </c>
      <c r="E4" s="23" t="n">
        <v>985730.138693286</v>
      </c>
      <c r="F4" s="19" t="n">
        <v>0.127273617930137</v>
      </c>
      <c r="G4" s="23" t="n">
        <v>2051268.46897403</v>
      </c>
      <c r="H4" s="28" t="s">
        <v>493</v>
      </c>
      <c r="I4" s="28" t="s">
        <v>997</v>
      </c>
      <c r="J4" s="14" t="n">
        <f aca="false">E4/C4-1</f>
        <v>-0.161100357226041</v>
      </c>
      <c r="K4" s="7" t="str">
        <f aca="false">IF(OR(F4&lt;meta!$B$19,J4&lt;-meta!$B$21),"High",IF(OR(F4&lt;meta!$B$18,J4&lt;-meta!$B$20),"Moderate","Low"))</f>
        <v>Low</v>
      </c>
      <c r="L4" s="6" t="str">
        <f aca="false">A4&amp;"|"&amp;B4</f>
        <v>2024-12-31|internal</v>
      </c>
    </row>
    <row r="5" customFormat="false" ht="15" hidden="false" customHeight="false" outlineLevel="0" collapsed="false">
      <c r="A5" s="28" t="s">
        <v>319</v>
      </c>
      <c r="B5" s="28" t="s">
        <v>987</v>
      </c>
      <c r="C5" s="23" t="n">
        <v>385681.651984314</v>
      </c>
      <c r="D5" s="19" t="n">
        <v>0.0459412738059609</v>
      </c>
      <c r="E5" s="23" t="n">
        <v>23021.4674753503</v>
      </c>
      <c r="F5" s="19" t="n">
        <v>0.00297244178770159</v>
      </c>
      <c r="G5" s="23" t="n">
        <v>2051268.46897403</v>
      </c>
      <c r="H5" s="28" t="s">
        <v>493</v>
      </c>
      <c r="I5" s="28" t="s">
        <v>997</v>
      </c>
      <c r="J5" s="14" t="n">
        <f aca="false">E5/C5-1</f>
        <v>-0.940309663794204</v>
      </c>
      <c r="K5" s="7" t="str">
        <f aca="false">IF(OR(F5&lt;meta!$B$19,J5&lt;-meta!$B$21),"High",IF(OR(F5&lt;meta!$B$18,J5&lt;-meta!$B$20),"Moderate","Low"))</f>
        <v>High</v>
      </c>
      <c r="L5" s="6" t="str">
        <f aca="false">A5&amp;"|"&amp;B5</f>
        <v>2024-12-31|ncua_test</v>
      </c>
    </row>
    <row r="6" customFormat="false" ht="15" hidden="false" customHeight="false" outlineLevel="0" collapsed="false">
      <c r="A6" s="28" t="s">
        <v>694</v>
      </c>
      <c r="B6" s="28" t="s">
        <v>941</v>
      </c>
      <c r="C6" s="23" t="n">
        <v>1222833.70491806</v>
      </c>
      <c r="D6" s="19" t="n">
        <v>0.139437066938139</v>
      </c>
      <c r="E6" s="23" t="n">
        <v>1041212.50325508</v>
      </c>
      <c r="F6" s="19" t="n">
        <v>0.12858937195567</v>
      </c>
      <c r="G6" s="23" t="n">
        <v>2073145.28243135</v>
      </c>
      <c r="H6" s="28" t="s">
        <v>493</v>
      </c>
      <c r="I6" s="28" t="s">
        <v>996</v>
      </c>
      <c r="J6" s="14" t="n">
        <f aca="false">E6/C6-1</f>
        <v>-0.148524857413175</v>
      </c>
      <c r="K6" s="7" t="str">
        <f aca="false">IF(OR(F6&lt;meta!$B$19,J6&lt;-meta!$B$21),"High",IF(OR(F6&lt;meta!$B$18,J6&lt;-meta!$B$20),"Moderate","Low"))</f>
        <v>Low</v>
      </c>
      <c r="L6" s="6" t="str">
        <f aca="false">A6&amp;"|"&amp;B6</f>
        <v>2025-03-31|internal</v>
      </c>
    </row>
    <row r="7" customFormat="false" ht="15" hidden="false" customHeight="false" outlineLevel="0" collapsed="false">
      <c r="A7" s="28" t="s">
        <v>694</v>
      </c>
      <c r="B7" s="28" t="s">
        <v>987</v>
      </c>
      <c r="C7" s="23" t="n">
        <v>470408.479410384</v>
      </c>
      <c r="D7" s="19" t="n">
        <v>0.0536396554723762</v>
      </c>
      <c r="E7" s="23" t="n">
        <v>95959.1174494578</v>
      </c>
      <c r="F7" s="19" t="n">
        <v>0.0118509167030462</v>
      </c>
      <c r="G7" s="23" t="n">
        <v>2073145.28243135</v>
      </c>
      <c r="H7" s="28" t="s">
        <v>493</v>
      </c>
      <c r="I7" s="28" t="s">
        <v>996</v>
      </c>
      <c r="J7" s="14" t="n">
        <f aca="false">E7/C7-1</f>
        <v>-0.796008954664818</v>
      </c>
      <c r="K7" s="7" t="str">
        <f aca="false">IF(OR(F7&lt;meta!$B$19,J7&lt;-meta!$B$21),"High",IF(OR(F7&lt;meta!$B$18,J7&lt;-meta!$B$20),"Moderate","Low"))</f>
        <v>High</v>
      </c>
      <c r="L7" s="6" t="str">
        <f aca="false">A7&amp;"|"&amp;B7</f>
        <v>2025-03-31|ncua_test</v>
      </c>
    </row>
    <row r="8" customFormat="false" ht="15" hidden="false" customHeight="false" outlineLevel="0" collapsed="false">
      <c r="A8" s="28" t="s">
        <v>702</v>
      </c>
      <c r="B8" s="28" t="s">
        <v>941</v>
      </c>
      <c r="C8" s="23" t="n">
        <v>1243200.12220505</v>
      </c>
      <c r="D8" s="19" t="n">
        <v>0.141881169684018</v>
      </c>
      <c r="E8" s="23" t="n">
        <v>1049661.80793996</v>
      </c>
      <c r="F8" s="19" t="n">
        <v>0.129911332158442</v>
      </c>
      <c r="G8" s="23" t="n">
        <v>2062597.49188328</v>
      </c>
      <c r="H8" s="28" t="s">
        <v>493</v>
      </c>
      <c r="I8" s="28" t="s">
        <v>996</v>
      </c>
      <c r="J8" s="14" t="n">
        <f aca="false">E8/C8-1</f>
        <v>-0.155677521911606</v>
      </c>
      <c r="K8" s="7" t="str">
        <f aca="false">IF(OR(F8&lt;meta!$B$19,J8&lt;-meta!$B$21),"High",IF(OR(F8&lt;meta!$B$18,J8&lt;-meta!$B$20),"Moderate","Low"))</f>
        <v>Low</v>
      </c>
      <c r="L8" s="6" t="str">
        <f aca="false">A8&amp;"|"&amp;B8</f>
        <v>2025-06-30|internal</v>
      </c>
    </row>
    <row r="9" customFormat="false" ht="15" hidden="false" customHeight="false" outlineLevel="0" collapsed="false">
      <c r="A9" s="28" t="s">
        <v>702</v>
      </c>
      <c r="B9" s="28" t="s">
        <v>987</v>
      </c>
      <c r="C9" s="23" t="n">
        <v>502354.139753312</v>
      </c>
      <c r="D9" s="19" t="n">
        <v>0.0573315523951123</v>
      </c>
      <c r="E9" s="23" t="n">
        <v>116684.952903951</v>
      </c>
      <c r="F9" s="19" t="n">
        <v>0.0144415063594125</v>
      </c>
      <c r="G9" s="23" t="n">
        <v>2062597.49188328</v>
      </c>
      <c r="H9" s="28" t="s">
        <v>493</v>
      </c>
      <c r="I9" s="28" t="s">
        <v>996</v>
      </c>
      <c r="J9" s="14" t="n">
        <f aca="false">E9/C9-1</f>
        <v>-0.767723715860587</v>
      </c>
      <c r="K9" s="7" t="str">
        <f aca="false">IF(OR(F9&lt;meta!$B$19,J9&lt;-meta!$B$21),"High",IF(OR(F9&lt;meta!$B$18,J9&lt;-meta!$B$20),"Moderate","Low"))</f>
        <v>High</v>
      </c>
      <c r="L9" s="6" t="str">
        <f aca="false">A9&amp;"|"&amp;B9</f>
        <v>2025-06-30|ncua_test</v>
      </c>
    </row>
    <row r="10" customFormat="false" ht="15" hidden="false" customHeight="false" outlineLevel="0" collapsed="false">
      <c r="A10" s="28" t="s">
        <v>704</v>
      </c>
      <c r="B10" s="28" t="s">
        <v>941</v>
      </c>
      <c r="C10" s="23" t="n">
        <v>1308763.32779904</v>
      </c>
      <c r="D10" s="19" t="n">
        <v>0.146188621750124</v>
      </c>
      <c r="E10" s="23" t="n">
        <v>1112497.70255626</v>
      </c>
      <c r="F10" s="19" t="n">
        <v>0.134725467560563</v>
      </c>
      <c r="G10" s="23" t="n">
        <v>2061291.95648267</v>
      </c>
      <c r="H10" s="28" t="s">
        <v>493</v>
      </c>
      <c r="I10" s="28" t="s">
        <v>996</v>
      </c>
      <c r="J10" s="14" t="n">
        <f aca="false">E10/C10-1</f>
        <v>-0.149962656405453</v>
      </c>
      <c r="K10" s="7" t="str">
        <f aca="false">IF(OR(F10&lt;meta!$B$19,J10&lt;-meta!$B$21),"High",IF(OR(F10&lt;meta!$B$18,J10&lt;-meta!$B$20),"Moderate","Low"))</f>
        <v>Low</v>
      </c>
      <c r="L10" s="6" t="str">
        <f aca="false">A10&amp;"|"&amp;B10</f>
        <v>2025-09-30|internal</v>
      </c>
    </row>
    <row r="11" customFormat="false" ht="15" hidden="false" customHeight="false" outlineLevel="0" collapsed="false">
      <c r="A11" s="28" t="s">
        <v>704</v>
      </c>
      <c r="B11" s="28" t="s">
        <v>987</v>
      </c>
      <c r="C11" s="23" t="n">
        <v>568238.04298719</v>
      </c>
      <c r="D11" s="19" t="n">
        <v>0.0634720843454442</v>
      </c>
      <c r="E11" s="23" t="n">
        <v>174504.5576026</v>
      </c>
      <c r="F11" s="19" t="n">
        <v>0.0211328149805961</v>
      </c>
      <c r="G11" s="23" t="n">
        <v>2061291.95648267</v>
      </c>
      <c r="H11" s="28" t="s">
        <v>493</v>
      </c>
      <c r="I11" s="28" t="s">
        <v>996</v>
      </c>
      <c r="J11" s="14" t="n">
        <f aca="false">E11/C11-1</f>
        <v>-0.692902367667534</v>
      </c>
      <c r="K11" s="7" t="str">
        <f aca="false">IF(OR(F11&lt;meta!$B$19,J11&lt;-meta!$B$21),"High",IF(OR(F11&lt;meta!$B$18,J11&lt;-meta!$B$20),"Moderate","Low"))</f>
        <v>High</v>
      </c>
      <c r="L11" s="6" t="str">
        <f aca="false">A11&amp;"|"&amp;B11</f>
        <v>2025-09-30|ncua_test</v>
      </c>
    </row>
    <row r="12" customFormat="false" ht="15" hidden="false" customHeight="false" outlineLevel="0" collapsed="false">
      <c r="A12" s="28" t="s">
        <v>320</v>
      </c>
      <c r="B12" s="28" t="s">
        <v>941</v>
      </c>
      <c r="C12" s="23" t="n">
        <v>1516258.80159993</v>
      </c>
      <c r="D12" s="19" t="n">
        <v>0.162595216218718</v>
      </c>
      <c r="E12" s="23" t="n">
        <v>1318903.53534715</v>
      </c>
      <c r="F12" s="19" t="n">
        <v>0.15301318435936</v>
      </c>
      <c r="G12" s="23" t="n">
        <v>2052971.67398609</v>
      </c>
      <c r="H12" s="28" t="s">
        <v>493</v>
      </c>
      <c r="I12" s="28" t="s">
        <v>997</v>
      </c>
      <c r="J12" s="14" t="n">
        <f aca="false">E12/C12-1</f>
        <v>-0.130159354092145</v>
      </c>
      <c r="K12" s="7" t="str">
        <f aca="false">IF(OR(F12&lt;meta!$B$19,J12&lt;-meta!$B$21),"High",IF(OR(F12&lt;meta!$B$18,J12&lt;-meta!$B$20),"Moderate","Low"))</f>
        <v>Low</v>
      </c>
      <c r="L12" s="6" t="str">
        <f aca="false">A12&amp;"|"&amp;B12</f>
        <v>2025-12-31|internal</v>
      </c>
    </row>
    <row r="13" customFormat="false" ht="15" hidden="false" customHeight="false" outlineLevel="0" collapsed="false">
      <c r="A13" s="28" t="s">
        <v>320</v>
      </c>
      <c r="B13" s="28" t="s">
        <v>987</v>
      </c>
      <c r="C13" s="23" t="n">
        <v>729889.155791592</v>
      </c>
      <c r="D13" s="19" t="n">
        <v>0.0782692802682537</v>
      </c>
      <c r="E13" s="23" t="n">
        <v>333068.146096359</v>
      </c>
      <c r="F13" s="19" t="n">
        <v>0.0386410501428053</v>
      </c>
      <c r="G13" s="23" t="n">
        <v>2052971.67398609</v>
      </c>
      <c r="H13" s="28" t="s">
        <v>493</v>
      </c>
      <c r="I13" s="28" t="s">
        <v>997</v>
      </c>
      <c r="J13" s="14" t="n">
        <f aca="false">E13/C13-1</f>
        <v>-0.543672976295786</v>
      </c>
      <c r="K13" s="7" t="str">
        <f aca="false">IF(OR(F13&lt;meta!$B$19,J13&lt;-meta!$B$21),"High",IF(OR(F13&lt;meta!$B$18,J13&lt;-meta!$B$20),"Moderate","Low"))</f>
        <v>High</v>
      </c>
      <c r="L13" s="6" t="str">
        <f aca="false">A13&amp;"|"&amp;B13</f>
        <v>2025-12-31|ncua_test</v>
      </c>
    </row>
    <row r="14" customFormat="false" ht="15" hidden="false" customHeight="false" outlineLevel="0" collapsed="false">
      <c r="A14" s="28" t="s">
        <v>321</v>
      </c>
      <c r="B14" s="28" t="s">
        <v>941</v>
      </c>
      <c r="C14" s="23" t="n">
        <v>1576685.93357313</v>
      </c>
      <c r="D14" s="19" t="n">
        <v>0.1648195131944</v>
      </c>
      <c r="E14" s="23" t="n">
        <v>1393792.2051692</v>
      </c>
      <c r="F14" s="19" t="n">
        <v>0.157184014764981</v>
      </c>
      <c r="G14" s="23" t="n">
        <v>2007273.39532567</v>
      </c>
      <c r="H14" s="28" t="s">
        <v>493</v>
      </c>
      <c r="I14" s="28" t="s">
        <v>996</v>
      </c>
      <c r="J14" s="14" t="n">
        <f aca="false">E14/C14-1</f>
        <v>-0.115998833064651</v>
      </c>
      <c r="K14" s="7" t="str">
        <f aca="false">IF(OR(F14&lt;meta!$B$19,J14&lt;-meta!$B$21),"High",IF(OR(F14&lt;meta!$B$18,J14&lt;-meta!$B$20),"Moderate","Low"))</f>
        <v>Low</v>
      </c>
      <c r="L14" s="6" t="str">
        <f aca="false">A14&amp;"|"&amp;B14</f>
        <v>2026-03-31|internal</v>
      </c>
    </row>
    <row r="15" customFormat="false" ht="15" hidden="false" customHeight="false" outlineLevel="0" collapsed="false">
      <c r="A15" s="28" t="s">
        <v>321</v>
      </c>
      <c r="B15" s="28" t="s">
        <v>987</v>
      </c>
      <c r="C15" s="23" t="n">
        <v>709872.644901374</v>
      </c>
      <c r="D15" s="19" t="n">
        <v>0.0742068291923649</v>
      </c>
      <c r="E15" s="23" t="n">
        <v>329467.468530532</v>
      </c>
      <c r="F15" s="19" t="n">
        <v>0.0371554807424092</v>
      </c>
      <c r="G15" s="23" t="n">
        <v>2007273.39532567</v>
      </c>
      <c r="H15" s="28" t="s">
        <v>493</v>
      </c>
      <c r="I15" s="28" t="s">
        <v>996</v>
      </c>
      <c r="J15" s="14" t="n">
        <f aca="false">E15/C15-1</f>
        <v>-0.53587806080863</v>
      </c>
      <c r="K15" s="7" t="str">
        <f aca="false">IF(OR(F15&lt;meta!$B$19,J15&lt;-meta!$B$21),"High",IF(OR(F15&lt;meta!$B$18,J15&lt;-meta!$B$20),"Moderate","Low"))</f>
        <v>High</v>
      </c>
      <c r="L15" s="6" t="str">
        <f aca="false">A15&amp;"|"&amp;B15</f>
        <v>2026-03-31|ncua_test</v>
      </c>
    </row>
    <row r="16" customFormat="false" ht="15" hidden="false" customHeight="false" outlineLevel="0" collapsed="false">
      <c r="A16" s="28" t="s">
        <v>322</v>
      </c>
      <c r="B16" s="28" t="s">
        <v>941</v>
      </c>
      <c r="C16" s="23" t="n">
        <v>1655155.31428272</v>
      </c>
      <c r="D16" s="19" t="n">
        <v>0.171761101764702</v>
      </c>
      <c r="E16" s="23" t="n">
        <v>1478380.20679949</v>
      </c>
      <c r="F16" s="19" t="n">
        <v>0.165205528069012</v>
      </c>
      <c r="H16" s="28" t="s">
        <v>493</v>
      </c>
      <c r="I16" s="28" t="s">
        <v>867</v>
      </c>
      <c r="J16" s="14" t="n">
        <f aca="false">E16/C16-1</f>
        <v>-0.106802730811908</v>
      </c>
      <c r="K16" s="7" t="str">
        <f aca="false">IF(OR(F16&lt;meta!$B$19,J16&lt;-meta!$B$21),"High",IF(OR(F16&lt;meta!$B$18,J16&lt;-meta!$B$20),"Moderate","Low"))</f>
        <v>Low</v>
      </c>
      <c r="L16" s="6" t="str">
        <f aca="false">A16&amp;"|"&amp;B16</f>
        <v>2026-06-30|internal</v>
      </c>
    </row>
    <row r="17" customFormat="false" ht="15" hidden="false" customHeight="false" outlineLevel="0" collapsed="false">
      <c r="A17" s="28" t="s">
        <v>322</v>
      </c>
      <c r="B17" s="28" t="s">
        <v>987</v>
      </c>
      <c r="C17" s="23" t="n">
        <v>730000.634138061</v>
      </c>
      <c r="D17" s="19" t="n">
        <v>0.075754651014622</v>
      </c>
      <c r="E17" s="23" t="n">
        <v>362536.771247309</v>
      </c>
      <c r="F17" s="19" t="n">
        <v>0.0405126356960686</v>
      </c>
      <c r="H17" s="28" t="s">
        <v>493</v>
      </c>
      <c r="I17" s="28" t="s">
        <v>998</v>
      </c>
      <c r="J17" s="14" t="n">
        <f aca="false">E17/C17-1</f>
        <v>-0.503374717372172</v>
      </c>
      <c r="K17" s="7" t="str">
        <f aca="false">IF(OR(F17&lt;meta!$B$19,J17&lt;-meta!$B$21),"High",IF(OR(F17&lt;meta!$B$18,J17&lt;-meta!$B$20),"Moderate","Low"))</f>
        <v>Moderate</v>
      </c>
      <c r="L17" s="6" t="str">
        <f aca="false">A17&amp;"|"&amp;B17</f>
        <v>2026-06-30|ncua_test</v>
      </c>
    </row>
  </sheetData>
  <autoFilter ref="A1:L17"/>
  <conditionalFormatting sqref="K2:K17">
    <cfRule type="expression" priority="2" aboveAverage="0" equalAverage="0" bottom="0" percent="0" rank="0" text="" dxfId="0">
      <formula>K2="Low"</formula>
    </cfRule>
    <cfRule type="expression" priority="3" aboveAverage="0" equalAverage="0" bottom="0" percent="0" rank="0" text="" dxfId="2">
      <formula>K2="Moderate"</formula>
    </cfRule>
    <cfRule type="expression" priority="4" aboveAverage="0" equalAverage="0" bottom="0" percent="0" rank="0" text="" dxfId="1">
      <formula>K2="High"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7"/>
    <col collapsed="false" customWidth="true" hidden="false" outlineLevel="0" max="3" min="3" style="0" width="60"/>
    <col collapsed="false" customWidth="true" hidden="false" outlineLevel="0" max="4" min="4" style="0" width="11"/>
    <col collapsed="false" customWidth="true" hidden="false" outlineLevel="0" max="5" min="5" style="0" width="33"/>
    <col collapsed="false" customWidth="true" hidden="false" outlineLevel="0" max="6" min="6" style="0" width="90"/>
    <col collapsed="false" customWidth="true" hidden="false" outlineLevel="0" max="7" min="7" style="0" width="15"/>
    <col collapsed="false" customWidth="true" hidden="false" outlineLevel="0" max="8" min="8" style="0" width="26"/>
    <col collapsed="false" customWidth="true" hidden="false" outlineLevel="0" max="10" min="9" style="0" width="11"/>
    <col collapsed="false" customWidth="true" hidden="false" outlineLevel="0" max="11" min="11" style="0" width="8"/>
    <col collapsed="false" customWidth="true" hidden="false" outlineLevel="0" max="12" min="12" style="0" width="9"/>
    <col collapsed="false" customWidth="true" hidden="false" outlineLevel="0" max="13" min="13" style="0" width="12"/>
  </cols>
  <sheetData>
    <row r="1" customFormat="false" ht="30" hidden="false" customHeight="true" outlineLevel="0" collapsed="false">
      <c r="A1" s="27" t="s">
        <v>432</v>
      </c>
      <c r="B1" s="27" t="s">
        <v>999</v>
      </c>
      <c r="C1" s="27" t="s">
        <v>237</v>
      </c>
      <c r="D1" s="27" t="s">
        <v>238</v>
      </c>
      <c r="E1" s="27" t="s">
        <v>1000</v>
      </c>
      <c r="F1" s="27" t="s">
        <v>626</v>
      </c>
      <c r="G1" s="27" t="s">
        <v>1001</v>
      </c>
      <c r="H1" s="27" t="s">
        <v>1002</v>
      </c>
      <c r="I1" s="27" t="s">
        <v>1003</v>
      </c>
      <c r="J1" s="27" t="s">
        <v>1004</v>
      </c>
      <c r="K1" s="27" t="s">
        <v>1005</v>
      </c>
      <c r="L1" s="27" t="s">
        <v>1006</v>
      </c>
      <c r="M1" s="27" t="s">
        <v>442</v>
      </c>
    </row>
    <row r="2" customFormat="false" ht="15" hidden="false" customHeight="false" outlineLevel="0" collapsed="false">
      <c r="A2" s="28" t="s">
        <v>70</v>
      </c>
      <c r="B2" s="28" t="s">
        <v>1007</v>
      </c>
      <c r="C2" s="28" t="s">
        <v>1008</v>
      </c>
      <c r="D2" s="32" t="n">
        <v>0.4272</v>
      </c>
      <c r="E2" s="28" t="s">
        <v>1009</v>
      </c>
      <c r="F2" s="28" t="s">
        <v>1010</v>
      </c>
      <c r="G2" s="28" t="s">
        <v>1011</v>
      </c>
      <c r="H2" s="28" t="s">
        <v>1012</v>
      </c>
      <c r="I2" s="28" t="s">
        <v>1013</v>
      </c>
      <c r="J2" s="28" t="s">
        <v>1014</v>
      </c>
      <c r="K2" s="32" t="n">
        <v>0.3204</v>
      </c>
      <c r="L2" s="32" t="n">
        <v>0.534</v>
      </c>
      <c r="M2" s="28" t="s">
        <v>493</v>
      </c>
    </row>
    <row r="3" customFormat="false" ht="15" hidden="false" customHeight="false" outlineLevel="0" collapsed="false">
      <c r="A3" s="28" t="s">
        <v>70</v>
      </c>
      <c r="B3" s="28" t="s">
        <v>1015</v>
      </c>
      <c r="C3" s="28" t="s">
        <v>1016</v>
      </c>
      <c r="D3" s="32" t="n">
        <v>0.3408</v>
      </c>
      <c r="E3" s="28" t="s">
        <v>1009</v>
      </c>
      <c r="F3" s="28" t="s">
        <v>1017</v>
      </c>
      <c r="G3" s="28" t="s">
        <v>1011</v>
      </c>
      <c r="H3" s="28" t="s">
        <v>1012</v>
      </c>
      <c r="I3" s="28" t="s">
        <v>1014</v>
      </c>
      <c r="J3" s="28" t="s">
        <v>1018</v>
      </c>
      <c r="K3" s="32" t="n">
        <v>0.2556</v>
      </c>
      <c r="L3" s="32" t="n">
        <v>0.426</v>
      </c>
      <c r="M3" s="28" t="s">
        <v>493</v>
      </c>
    </row>
    <row r="4" customFormat="false" ht="15" hidden="false" customHeight="false" outlineLevel="0" collapsed="false">
      <c r="A4" s="28" t="s">
        <v>70</v>
      </c>
      <c r="B4" s="28" t="s">
        <v>1019</v>
      </c>
      <c r="C4" s="28" t="s">
        <v>1020</v>
      </c>
      <c r="D4" s="31" t="n">
        <v>1.85</v>
      </c>
      <c r="E4" s="28" t="s">
        <v>1021</v>
      </c>
      <c r="F4" s="28" t="s">
        <v>1022</v>
      </c>
      <c r="G4" s="28" t="s">
        <v>1011</v>
      </c>
      <c r="H4" s="28" t="s">
        <v>1012</v>
      </c>
      <c r="I4" s="28" t="s">
        <v>1018</v>
      </c>
      <c r="J4" s="28" t="s">
        <v>1013</v>
      </c>
      <c r="K4" s="31" t="n">
        <v>0</v>
      </c>
      <c r="L4" s="31" t="n">
        <v>4</v>
      </c>
      <c r="M4" s="28" t="s">
        <v>493</v>
      </c>
    </row>
    <row r="5" customFormat="false" ht="15" hidden="false" customHeight="false" outlineLevel="0" collapsed="false">
      <c r="A5" s="28" t="s">
        <v>70</v>
      </c>
      <c r="B5" s="28" t="s">
        <v>1023</v>
      </c>
      <c r="C5" s="28" t="s">
        <v>1024</v>
      </c>
      <c r="D5" s="32" t="n">
        <v>0.02</v>
      </c>
      <c r="E5" s="28" t="s">
        <v>1009</v>
      </c>
      <c r="F5" s="28" t="s">
        <v>1025</v>
      </c>
      <c r="G5" s="28" t="s">
        <v>1011</v>
      </c>
      <c r="H5" s="28" t="s">
        <v>1012</v>
      </c>
      <c r="I5" s="28" t="s">
        <v>1018</v>
      </c>
      <c r="J5" s="28" t="s">
        <v>1014</v>
      </c>
      <c r="K5" s="32" t="n">
        <v>0</v>
      </c>
      <c r="L5" s="32" t="n">
        <v>0.1</v>
      </c>
      <c r="M5" s="28" t="s">
        <v>493</v>
      </c>
    </row>
    <row r="6" customFormat="false" ht="15" hidden="false" customHeight="false" outlineLevel="0" collapsed="false">
      <c r="A6" s="28" t="s">
        <v>70</v>
      </c>
      <c r="B6" s="28" t="s">
        <v>1026</v>
      </c>
      <c r="C6" s="28" t="s">
        <v>1027</v>
      </c>
      <c r="D6" s="32" t="n">
        <v>0.05</v>
      </c>
      <c r="E6" s="28" t="s">
        <v>1009</v>
      </c>
      <c r="F6" s="28" t="s">
        <v>1028</v>
      </c>
      <c r="G6" s="28" t="s">
        <v>1011</v>
      </c>
      <c r="H6" s="28" t="s">
        <v>1012</v>
      </c>
      <c r="I6" s="28" t="s">
        <v>1018</v>
      </c>
      <c r="J6" s="28" t="s">
        <v>1014</v>
      </c>
      <c r="K6" s="32" t="n">
        <v>0</v>
      </c>
      <c r="L6" s="32" t="n">
        <v>0.15</v>
      </c>
      <c r="M6" s="28" t="s">
        <v>493</v>
      </c>
    </row>
    <row r="7" customFormat="false" ht="15" hidden="false" customHeight="false" outlineLevel="0" collapsed="false">
      <c r="A7" s="28" t="s">
        <v>70</v>
      </c>
      <c r="B7" s="28" t="s">
        <v>1029</v>
      </c>
      <c r="C7" s="28" t="s">
        <v>1030</v>
      </c>
      <c r="D7" s="19" t="n">
        <v>0.2141</v>
      </c>
      <c r="E7" s="28" t="s">
        <v>1031</v>
      </c>
      <c r="F7" s="28" t="s">
        <v>1032</v>
      </c>
      <c r="G7" s="28" t="s">
        <v>1011</v>
      </c>
      <c r="H7" s="28" t="s">
        <v>1033</v>
      </c>
      <c r="I7" s="28" t="s">
        <v>1018</v>
      </c>
      <c r="J7" s="28" t="s">
        <v>1013</v>
      </c>
      <c r="M7" s="28" t="s">
        <v>493</v>
      </c>
    </row>
    <row r="8" customFormat="false" ht="15" hidden="false" customHeight="false" outlineLevel="0" collapsed="false">
      <c r="A8" s="28" t="s">
        <v>70</v>
      </c>
      <c r="B8" s="28" t="s">
        <v>1034</v>
      </c>
      <c r="C8" s="28" t="s">
        <v>1035</v>
      </c>
      <c r="D8" s="19" t="n">
        <v>0.0248</v>
      </c>
      <c r="E8" s="28" t="s">
        <v>1036</v>
      </c>
      <c r="F8" s="28" t="s">
        <v>1037</v>
      </c>
      <c r="G8" s="28" t="s">
        <v>1011</v>
      </c>
      <c r="H8" s="28" t="s">
        <v>1012</v>
      </c>
      <c r="I8" s="28" t="s">
        <v>1013</v>
      </c>
      <c r="J8" s="28" t="s">
        <v>1014</v>
      </c>
      <c r="K8" s="19" t="n">
        <v>0</v>
      </c>
      <c r="M8" s="28" t="s">
        <v>493</v>
      </c>
    </row>
    <row r="9" customFormat="false" ht="15" hidden="false" customHeight="false" outlineLevel="0" collapsed="false">
      <c r="A9" s="28" t="s">
        <v>70</v>
      </c>
      <c r="B9" s="28" t="s">
        <v>1038</v>
      </c>
      <c r="C9" s="28" t="s">
        <v>1039</v>
      </c>
      <c r="D9" s="19" t="n">
        <v>-0.0005</v>
      </c>
      <c r="E9" s="28" t="s">
        <v>1040</v>
      </c>
      <c r="F9" s="28" t="s">
        <v>1041</v>
      </c>
      <c r="G9" s="28" t="s">
        <v>1011</v>
      </c>
      <c r="H9" s="28" t="s">
        <v>1012</v>
      </c>
      <c r="I9" s="28" t="s">
        <v>1014</v>
      </c>
      <c r="J9" s="28" t="s">
        <v>1014</v>
      </c>
      <c r="K9" s="19" t="n">
        <v>-0.003</v>
      </c>
      <c r="L9" s="19" t="n">
        <v>0.002</v>
      </c>
      <c r="M9" s="28" t="s">
        <v>493</v>
      </c>
    </row>
    <row r="10" customFormat="false" ht="15" hidden="false" customHeight="false" outlineLevel="0" collapsed="false">
      <c r="A10" s="28" t="s">
        <v>70</v>
      </c>
      <c r="B10" s="28" t="s">
        <v>753</v>
      </c>
      <c r="C10" s="28" t="s">
        <v>1042</v>
      </c>
      <c r="D10" s="19" t="n">
        <v>0.85</v>
      </c>
      <c r="E10" s="28" t="s">
        <v>1043</v>
      </c>
      <c r="F10" s="28" t="s">
        <v>1044</v>
      </c>
      <c r="G10" s="28" t="s">
        <v>1011</v>
      </c>
      <c r="H10" s="28" t="s">
        <v>1012</v>
      </c>
      <c r="I10" s="28" t="s">
        <v>1014</v>
      </c>
      <c r="J10" s="28" t="s">
        <v>1014</v>
      </c>
      <c r="K10" s="19" t="n">
        <v>0.65</v>
      </c>
      <c r="L10" s="19" t="n">
        <v>0.95</v>
      </c>
      <c r="M10" s="28" t="s">
        <v>493</v>
      </c>
    </row>
    <row r="11" customFormat="false" ht="15" hidden="false" customHeight="false" outlineLevel="0" collapsed="false">
      <c r="A11" s="28" t="s">
        <v>70</v>
      </c>
      <c r="B11" s="28" t="s">
        <v>1045</v>
      </c>
      <c r="C11" s="28" t="s">
        <v>1046</v>
      </c>
      <c r="D11" s="19" t="n">
        <v>0.01477</v>
      </c>
      <c r="E11" s="28" t="s">
        <v>436</v>
      </c>
      <c r="F11" s="28" t="s">
        <v>1047</v>
      </c>
      <c r="G11" s="28" t="s">
        <v>1011</v>
      </c>
      <c r="H11" s="28" t="s">
        <v>1048</v>
      </c>
      <c r="I11" s="28" t="s">
        <v>1014</v>
      </c>
      <c r="J11" s="28" t="s">
        <v>1014</v>
      </c>
      <c r="M11" s="28" t="s">
        <v>493</v>
      </c>
    </row>
    <row r="12" customFormat="false" ht="15" hidden="false" customHeight="false" outlineLevel="0" collapsed="false">
      <c r="A12" s="28" t="s">
        <v>1049</v>
      </c>
      <c r="B12" s="28" t="s">
        <v>1050</v>
      </c>
      <c r="C12" s="28" t="s">
        <v>1051</v>
      </c>
      <c r="D12" s="19" t="n">
        <v>0.0035</v>
      </c>
      <c r="E12" s="28" t="s">
        <v>1040</v>
      </c>
      <c r="F12" s="28" t="s">
        <v>1052</v>
      </c>
      <c r="G12" s="28" t="s">
        <v>1011</v>
      </c>
      <c r="H12" s="28" t="s">
        <v>1033</v>
      </c>
      <c r="I12" s="28" t="s">
        <v>1018</v>
      </c>
      <c r="J12" s="28" t="s">
        <v>1013</v>
      </c>
      <c r="K12" s="19" t="n">
        <v>0.0015</v>
      </c>
      <c r="L12" s="19" t="n">
        <v>0.0075</v>
      </c>
      <c r="M12" s="28" t="s">
        <v>493</v>
      </c>
    </row>
    <row r="13" customFormat="false" ht="15" hidden="false" customHeight="false" outlineLevel="0" collapsed="false">
      <c r="A13" s="28" t="s">
        <v>1049</v>
      </c>
      <c r="B13" s="28" t="s">
        <v>1053</v>
      </c>
      <c r="C13" s="28" t="s">
        <v>1054</v>
      </c>
      <c r="D13" s="19" t="n">
        <v>-0.001</v>
      </c>
      <c r="E13" s="28" t="s">
        <v>1040</v>
      </c>
      <c r="F13" s="28" t="s">
        <v>1055</v>
      </c>
      <c r="G13" s="28" t="s">
        <v>1011</v>
      </c>
      <c r="H13" s="28" t="s">
        <v>1033</v>
      </c>
      <c r="I13" s="28" t="s">
        <v>1014</v>
      </c>
      <c r="J13" s="28" t="s">
        <v>1014</v>
      </c>
      <c r="K13" s="19" t="n">
        <v>-0.003</v>
      </c>
      <c r="L13" s="19" t="n">
        <v>0.001</v>
      </c>
      <c r="M13" s="28" t="s">
        <v>493</v>
      </c>
    </row>
    <row r="14" customFormat="false" ht="15" hidden="false" customHeight="false" outlineLevel="0" collapsed="false">
      <c r="A14" s="28" t="s">
        <v>1049</v>
      </c>
      <c r="B14" s="28" t="s">
        <v>1056</v>
      </c>
      <c r="C14" s="28" t="s">
        <v>1057</v>
      </c>
      <c r="E14" s="28" t="s">
        <v>939</v>
      </c>
      <c r="F14" s="28" t="s">
        <v>1058</v>
      </c>
      <c r="G14" s="28" t="s">
        <v>1011</v>
      </c>
      <c r="H14" s="28" t="s">
        <v>1033</v>
      </c>
      <c r="I14" s="28" t="s">
        <v>1014</v>
      </c>
      <c r="J14" s="28" t="s">
        <v>1014</v>
      </c>
      <c r="M14" s="28" t="s">
        <v>493</v>
      </c>
    </row>
    <row r="15" customFormat="false" ht="15" hidden="false" customHeight="false" outlineLevel="0" collapsed="false">
      <c r="A15" s="28" t="s">
        <v>1049</v>
      </c>
      <c r="B15" s="28" t="s">
        <v>1059</v>
      </c>
      <c r="C15" s="28" t="s">
        <v>1060</v>
      </c>
      <c r="D15" s="19" t="n">
        <v>-0.000889</v>
      </c>
      <c r="E15" s="28" t="s">
        <v>1040</v>
      </c>
      <c r="F15" s="28" t="s">
        <v>1061</v>
      </c>
      <c r="G15" s="28" t="s">
        <v>1011</v>
      </c>
      <c r="H15" s="28" t="s">
        <v>1033</v>
      </c>
      <c r="I15" s="28" t="s">
        <v>1014</v>
      </c>
      <c r="J15" s="28" t="s">
        <v>1014</v>
      </c>
      <c r="M15" s="28" t="s">
        <v>493</v>
      </c>
    </row>
    <row r="16" customFormat="false" ht="15" hidden="false" customHeight="false" outlineLevel="0" collapsed="false">
      <c r="A16" s="28" t="s">
        <v>218</v>
      </c>
      <c r="B16" s="28" t="s">
        <v>1062</v>
      </c>
      <c r="C16" s="28" t="s">
        <v>1063</v>
      </c>
      <c r="D16" s="19" t="n">
        <v>0.01</v>
      </c>
      <c r="E16" s="28" t="s">
        <v>1064</v>
      </c>
      <c r="F16" s="28" t="s">
        <v>1065</v>
      </c>
      <c r="G16" s="28" t="s">
        <v>1011</v>
      </c>
      <c r="H16" s="28" t="s">
        <v>1033</v>
      </c>
      <c r="I16" s="28" t="s">
        <v>1013</v>
      </c>
      <c r="J16" s="28" t="s">
        <v>1014</v>
      </c>
      <c r="M16" s="28" t="s">
        <v>493</v>
      </c>
    </row>
    <row r="17" customFormat="false" ht="15" hidden="false" customHeight="false" outlineLevel="0" collapsed="false">
      <c r="A17" s="28" t="s">
        <v>218</v>
      </c>
      <c r="B17" s="28" t="s">
        <v>1066</v>
      </c>
      <c r="C17" s="28" t="s">
        <v>1067</v>
      </c>
      <c r="D17" s="19" t="n">
        <v>0.05</v>
      </c>
      <c r="E17" s="28" t="s">
        <v>1064</v>
      </c>
      <c r="F17" s="28" t="s">
        <v>1068</v>
      </c>
      <c r="G17" s="28" t="s">
        <v>1011</v>
      </c>
      <c r="H17" s="28" t="s">
        <v>1033</v>
      </c>
      <c r="I17" s="28" t="s">
        <v>1013</v>
      </c>
      <c r="J17" s="28" t="s">
        <v>1014</v>
      </c>
      <c r="K17" s="19" t="n">
        <v>0.03</v>
      </c>
      <c r="L17" s="19" t="n">
        <v>0.07</v>
      </c>
      <c r="M17" s="28" t="s">
        <v>493</v>
      </c>
    </row>
    <row r="18" customFormat="false" ht="15" hidden="false" customHeight="false" outlineLevel="0" collapsed="false">
      <c r="A18" s="28" t="s">
        <v>68</v>
      </c>
      <c r="B18" s="28" t="s">
        <v>1069</v>
      </c>
      <c r="C18" s="28" t="s">
        <v>1070</v>
      </c>
      <c r="D18" s="19" t="n">
        <v>-0.0004</v>
      </c>
      <c r="E18" s="28" t="s">
        <v>1040</v>
      </c>
      <c r="F18" s="28" t="s">
        <v>1071</v>
      </c>
      <c r="G18" s="28" t="s">
        <v>1011</v>
      </c>
      <c r="H18" s="28" t="s">
        <v>1072</v>
      </c>
      <c r="I18" s="28" t="s">
        <v>1014</v>
      </c>
      <c r="J18" s="28" t="s">
        <v>1014</v>
      </c>
      <c r="M18" s="28" t="s">
        <v>493</v>
      </c>
    </row>
    <row r="19" customFormat="false" ht="15" hidden="false" customHeight="false" outlineLevel="0" collapsed="false">
      <c r="A19" s="28" t="s">
        <v>68</v>
      </c>
      <c r="B19" s="28" t="s">
        <v>1073</v>
      </c>
      <c r="C19" s="28" t="s">
        <v>1074</v>
      </c>
      <c r="D19" s="19" t="n">
        <v>0.0375</v>
      </c>
      <c r="E19" s="28" t="s">
        <v>436</v>
      </c>
      <c r="F19" s="28" t="s">
        <v>1075</v>
      </c>
      <c r="G19" s="28" t="s">
        <v>1011</v>
      </c>
      <c r="H19" s="28" t="s">
        <v>1072</v>
      </c>
      <c r="I19" s="28" t="s">
        <v>1014</v>
      </c>
      <c r="J19" s="28" t="s">
        <v>1018</v>
      </c>
      <c r="K19" s="19" t="n">
        <v>0.0325</v>
      </c>
      <c r="L19" s="19" t="n">
        <v>0.045</v>
      </c>
      <c r="M19" s="28" t="s">
        <v>493</v>
      </c>
    </row>
    <row r="20" customFormat="false" ht="15" hidden="false" customHeight="false" outlineLevel="0" collapsed="false">
      <c r="A20" s="28" t="s">
        <v>68</v>
      </c>
      <c r="B20" s="28" t="s">
        <v>1076</v>
      </c>
      <c r="C20" s="28" t="s">
        <v>1077</v>
      </c>
      <c r="D20" s="19" t="n">
        <v>0.2</v>
      </c>
      <c r="E20" s="28" t="s">
        <v>1078</v>
      </c>
      <c r="F20" s="28" t="s">
        <v>1079</v>
      </c>
      <c r="G20" s="28" t="s">
        <v>1011</v>
      </c>
      <c r="H20" s="28" t="s">
        <v>1072</v>
      </c>
      <c r="I20" s="28" t="s">
        <v>1014</v>
      </c>
      <c r="J20" s="28" t="s">
        <v>1014</v>
      </c>
      <c r="K20" s="19" t="n">
        <v>0.15</v>
      </c>
      <c r="L20" s="19" t="n">
        <v>0.25</v>
      </c>
      <c r="M20" s="28" t="s">
        <v>493</v>
      </c>
    </row>
    <row r="21" customFormat="false" ht="15" hidden="false" customHeight="false" outlineLevel="0" collapsed="false">
      <c r="A21" s="28" t="s">
        <v>68</v>
      </c>
      <c r="B21" s="28" t="s">
        <v>1080</v>
      </c>
      <c r="C21" s="28" t="s">
        <v>1081</v>
      </c>
      <c r="D21" s="19" t="n">
        <v>0.55</v>
      </c>
      <c r="E21" s="28" t="s">
        <v>1043</v>
      </c>
      <c r="F21" s="28" t="s">
        <v>1082</v>
      </c>
      <c r="G21" s="28" t="s">
        <v>1011</v>
      </c>
      <c r="H21" s="28" t="s">
        <v>1072</v>
      </c>
      <c r="I21" s="28" t="s">
        <v>1014</v>
      </c>
      <c r="J21" s="28" t="s">
        <v>1014</v>
      </c>
      <c r="K21" s="19" t="n">
        <v>0.45</v>
      </c>
      <c r="L21" s="19" t="n">
        <v>0.65</v>
      </c>
      <c r="M21" s="28" t="s">
        <v>493</v>
      </c>
    </row>
    <row r="22" customFormat="false" ht="15" hidden="false" customHeight="false" outlineLevel="0" collapsed="false">
      <c r="A22" s="28" t="s">
        <v>68</v>
      </c>
      <c r="B22" s="28" t="s">
        <v>1083</v>
      </c>
      <c r="C22" s="28" t="s">
        <v>1084</v>
      </c>
      <c r="D22" s="19" t="n">
        <v>0.2</v>
      </c>
      <c r="E22" s="28" t="s">
        <v>1078</v>
      </c>
      <c r="F22" s="28" t="s">
        <v>1085</v>
      </c>
      <c r="G22" s="28" t="s">
        <v>1011</v>
      </c>
      <c r="H22" s="28" t="s">
        <v>1072</v>
      </c>
      <c r="I22" s="28" t="s">
        <v>1014</v>
      </c>
      <c r="J22" s="28" t="s">
        <v>1014</v>
      </c>
      <c r="K22" s="19" t="n">
        <v>0.15</v>
      </c>
      <c r="L22" s="19" t="n">
        <v>0.25</v>
      </c>
      <c r="M22" s="28" t="s">
        <v>493</v>
      </c>
    </row>
    <row r="23" customFormat="false" ht="15" hidden="false" customHeight="false" outlineLevel="0" collapsed="false">
      <c r="A23" s="28" t="s">
        <v>68</v>
      </c>
      <c r="B23" s="28" t="s">
        <v>1086</v>
      </c>
      <c r="C23" s="28" t="s">
        <v>1087</v>
      </c>
      <c r="D23" s="19" t="n">
        <v>0.05</v>
      </c>
      <c r="E23" s="28" t="s">
        <v>1078</v>
      </c>
      <c r="F23" s="28" t="s">
        <v>1088</v>
      </c>
      <c r="G23" s="28" t="s">
        <v>1011</v>
      </c>
      <c r="H23" s="28" t="s">
        <v>1072</v>
      </c>
      <c r="I23" s="28" t="s">
        <v>1018</v>
      </c>
      <c r="J23" s="28" t="s">
        <v>1013</v>
      </c>
      <c r="K23" s="19" t="n">
        <v>0.035</v>
      </c>
      <c r="L23" s="19" t="n">
        <v>0.08</v>
      </c>
      <c r="M23" s="28" t="s">
        <v>493</v>
      </c>
    </row>
    <row r="24" customFormat="false" ht="15" hidden="false" customHeight="false" outlineLevel="0" collapsed="false">
      <c r="A24" s="28" t="s">
        <v>68</v>
      </c>
      <c r="B24" s="28" t="s">
        <v>1089</v>
      </c>
      <c r="C24" s="28" t="s">
        <v>1090</v>
      </c>
      <c r="D24" s="19" t="n">
        <v>0.12</v>
      </c>
      <c r="E24" s="28" t="s">
        <v>1091</v>
      </c>
      <c r="F24" s="28" t="s">
        <v>1092</v>
      </c>
      <c r="G24" s="28" t="s">
        <v>1011</v>
      </c>
      <c r="H24" s="28" t="s">
        <v>1072</v>
      </c>
      <c r="I24" s="28" t="s">
        <v>1014</v>
      </c>
      <c r="J24" s="28" t="s">
        <v>1013</v>
      </c>
      <c r="K24" s="19" t="n">
        <v>0.06</v>
      </c>
      <c r="L24" s="19" t="n">
        <v>0.18</v>
      </c>
      <c r="M24" s="28" t="s">
        <v>493</v>
      </c>
    </row>
    <row r="25" customFormat="false" ht="15" hidden="false" customHeight="false" outlineLevel="0" collapsed="false">
      <c r="A25" s="28" t="s">
        <v>68</v>
      </c>
      <c r="B25" s="28" t="s">
        <v>1093</v>
      </c>
      <c r="C25" s="28" t="s">
        <v>1094</v>
      </c>
      <c r="D25" s="19" t="n">
        <v>0.07</v>
      </c>
      <c r="E25" s="28" t="s">
        <v>1078</v>
      </c>
      <c r="F25" s="28" t="s">
        <v>1095</v>
      </c>
      <c r="G25" s="28" t="s">
        <v>1011</v>
      </c>
      <c r="H25" s="28" t="s">
        <v>1072</v>
      </c>
      <c r="I25" s="28" t="s">
        <v>1014</v>
      </c>
      <c r="J25" s="28" t="s">
        <v>1014</v>
      </c>
      <c r="K25" s="19" t="n">
        <v>0.035</v>
      </c>
      <c r="L25" s="19" t="n">
        <v>0.105</v>
      </c>
      <c r="M25" s="28" t="s">
        <v>493</v>
      </c>
    </row>
    <row r="26" customFormat="false" ht="15" hidden="false" customHeight="false" outlineLevel="0" collapsed="false">
      <c r="A26" s="28" t="s">
        <v>68</v>
      </c>
      <c r="B26" s="28" t="s">
        <v>1096</v>
      </c>
      <c r="C26" s="28" t="s">
        <v>1097</v>
      </c>
      <c r="D26" s="19" t="n">
        <v>0.0225</v>
      </c>
      <c r="E26" s="28" t="s">
        <v>1040</v>
      </c>
      <c r="F26" s="28" t="s">
        <v>1098</v>
      </c>
      <c r="G26" s="28" t="s">
        <v>1011</v>
      </c>
      <c r="H26" s="28" t="s">
        <v>1072</v>
      </c>
      <c r="I26" s="28" t="s">
        <v>1014</v>
      </c>
      <c r="J26" s="28" t="s">
        <v>1014</v>
      </c>
      <c r="K26" s="19" t="n">
        <v>0.02</v>
      </c>
      <c r="L26" s="19" t="n">
        <v>0.0275</v>
      </c>
      <c r="M26" s="28" t="s">
        <v>493</v>
      </c>
    </row>
    <row r="27" customFormat="false" ht="15" hidden="false" customHeight="false" outlineLevel="0" collapsed="false">
      <c r="A27" s="28" t="s">
        <v>1099</v>
      </c>
      <c r="B27" s="28" t="s">
        <v>1100</v>
      </c>
      <c r="C27" s="28" t="s">
        <v>1101</v>
      </c>
      <c r="D27" s="19" t="n">
        <v>0.05</v>
      </c>
      <c r="E27" s="28" t="s">
        <v>1078</v>
      </c>
      <c r="F27" s="28" t="s">
        <v>1102</v>
      </c>
      <c r="G27" s="28" t="s">
        <v>1011</v>
      </c>
      <c r="H27" s="28" t="s">
        <v>1033</v>
      </c>
      <c r="I27" s="28" t="s">
        <v>1018</v>
      </c>
      <c r="J27" s="28" t="s">
        <v>1013</v>
      </c>
      <c r="K27" s="19" t="n">
        <v>0.035</v>
      </c>
      <c r="L27" s="19" t="n">
        <v>0.08</v>
      </c>
      <c r="M27" s="28" t="s">
        <v>493</v>
      </c>
    </row>
    <row r="28" customFormat="false" ht="15" hidden="false" customHeight="false" outlineLevel="0" collapsed="false">
      <c r="A28" s="28" t="s">
        <v>1099</v>
      </c>
      <c r="B28" s="28" t="s">
        <v>1103</v>
      </c>
      <c r="C28" s="28" t="s">
        <v>1104</v>
      </c>
      <c r="E28" s="28" t="s">
        <v>939</v>
      </c>
      <c r="F28" s="28" t="s">
        <v>1105</v>
      </c>
      <c r="G28" s="28" t="s">
        <v>1011</v>
      </c>
      <c r="H28" s="28" t="s">
        <v>1033</v>
      </c>
      <c r="I28" s="28" t="s">
        <v>1014</v>
      </c>
      <c r="J28" s="28" t="s">
        <v>1014</v>
      </c>
      <c r="M28" s="28" t="s">
        <v>493</v>
      </c>
    </row>
    <row r="29" customFormat="false" ht="15" hidden="false" customHeight="false" outlineLevel="0" collapsed="false">
      <c r="A29" s="28" t="s">
        <v>137</v>
      </c>
      <c r="B29" s="28" t="s">
        <v>1106</v>
      </c>
      <c r="C29" s="28" t="s">
        <v>1107</v>
      </c>
      <c r="D29" s="19" t="n">
        <v>0.0312</v>
      </c>
      <c r="E29" s="28" t="s">
        <v>1040</v>
      </c>
      <c r="F29" s="28" t="s">
        <v>1108</v>
      </c>
      <c r="G29" s="28" t="s">
        <v>1011</v>
      </c>
      <c r="H29" s="28" t="s">
        <v>1033</v>
      </c>
      <c r="I29" s="28" t="s">
        <v>1014</v>
      </c>
      <c r="J29" s="28" t="s">
        <v>1014</v>
      </c>
      <c r="M29" s="28" t="s">
        <v>493</v>
      </c>
    </row>
    <row r="30" customFormat="false" ht="15" hidden="false" customHeight="false" outlineLevel="0" collapsed="false">
      <c r="A30" s="28" t="s">
        <v>137</v>
      </c>
      <c r="B30" s="28" t="s">
        <v>1109</v>
      </c>
      <c r="C30" s="28" t="s">
        <v>1110</v>
      </c>
      <c r="D30" s="19" t="n">
        <v>0.0205</v>
      </c>
      <c r="E30" s="28" t="s">
        <v>1040</v>
      </c>
      <c r="F30" s="28" t="s">
        <v>1111</v>
      </c>
      <c r="G30" s="28" t="s">
        <v>1011</v>
      </c>
      <c r="H30" s="28" t="s">
        <v>1033</v>
      </c>
      <c r="I30" s="28" t="s">
        <v>1014</v>
      </c>
      <c r="J30" s="28" t="s">
        <v>1014</v>
      </c>
      <c r="K30" s="19" t="n">
        <v>0.0175</v>
      </c>
      <c r="L30" s="19" t="n">
        <v>0.025</v>
      </c>
      <c r="M30" s="28" t="s">
        <v>493</v>
      </c>
    </row>
    <row r="31" customFormat="false" ht="15" hidden="false" customHeight="false" outlineLevel="0" collapsed="false">
      <c r="A31" s="28" t="s">
        <v>137</v>
      </c>
      <c r="B31" s="28" t="s">
        <v>1112</v>
      </c>
      <c r="C31" s="28" t="s">
        <v>1113</v>
      </c>
      <c r="D31" s="19" t="n">
        <v>0.0363</v>
      </c>
      <c r="E31" s="28" t="s">
        <v>436</v>
      </c>
      <c r="F31" s="28" t="s">
        <v>1114</v>
      </c>
      <c r="G31" s="28" t="s">
        <v>1011</v>
      </c>
      <c r="H31" s="28" t="s">
        <v>1033</v>
      </c>
      <c r="I31" s="28" t="s">
        <v>1014</v>
      </c>
      <c r="J31" s="28" t="s">
        <v>1014</v>
      </c>
      <c r="M31" s="28" t="s">
        <v>493</v>
      </c>
    </row>
    <row r="32" customFormat="false" ht="15" hidden="false" customHeight="false" outlineLevel="0" collapsed="false">
      <c r="A32" s="28" t="s">
        <v>1115</v>
      </c>
      <c r="B32" s="28" t="s">
        <v>1116</v>
      </c>
      <c r="C32" s="28" t="s">
        <v>1117</v>
      </c>
      <c r="D32" s="19" t="n">
        <v>0.003627</v>
      </c>
      <c r="E32" s="28" t="s">
        <v>436</v>
      </c>
      <c r="F32" s="28" t="s">
        <v>1118</v>
      </c>
      <c r="G32" s="28" t="s">
        <v>1011</v>
      </c>
      <c r="H32" s="28" t="s">
        <v>1048</v>
      </c>
      <c r="I32" s="28" t="s">
        <v>1014</v>
      </c>
      <c r="J32" s="28" t="s">
        <v>1014</v>
      </c>
      <c r="K32" s="19" t="n">
        <v>0.0025</v>
      </c>
      <c r="L32" s="19" t="n">
        <v>0.006</v>
      </c>
      <c r="M32" s="28" t="s">
        <v>493</v>
      </c>
    </row>
    <row r="33" customFormat="false" ht="15" hidden="false" customHeight="false" outlineLevel="0" collapsed="false">
      <c r="A33" s="28" t="s">
        <v>1115</v>
      </c>
      <c r="B33" s="28" t="s">
        <v>1119</v>
      </c>
      <c r="C33" s="28" t="s">
        <v>1120</v>
      </c>
      <c r="D33" s="19" t="n">
        <v>0.03</v>
      </c>
      <c r="E33" s="28" t="s">
        <v>436</v>
      </c>
      <c r="F33" s="28" t="s">
        <v>1121</v>
      </c>
      <c r="G33" s="28" t="s">
        <v>1011</v>
      </c>
      <c r="H33" s="28" t="s">
        <v>1048</v>
      </c>
      <c r="I33" s="28" t="s">
        <v>1014</v>
      </c>
      <c r="J33" s="28" t="s">
        <v>1014</v>
      </c>
      <c r="K33" s="19" t="n">
        <v>0.02</v>
      </c>
      <c r="L33" s="19" t="n">
        <v>0.05</v>
      </c>
      <c r="M33" s="28" t="s">
        <v>493</v>
      </c>
    </row>
    <row r="34" customFormat="false" ht="15" hidden="false" customHeight="false" outlineLevel="0" collapsed="false">
      <c r="A34" s="28" t="s">
        <v>1115</v>
      </c>
      <c r="B34" s="28" t="s">
        <v>1122</v>
      </c>
      <c r="C34" s="28" t="s">
        <v>1123</v>
      </c>
      <c r="D34" s="23" t="n">
        <v>16000</v>
      </c>
      <c r="E34" s="28" t="s">
        <v>1124</v>
      </c>
      <c r="F34" s="28" t="s">
        <v>1125</v>
      </c>
      <c r="G34" s="28" t="s">
        <v>1011</v>
      </c>
      <c r="H34" s="28" t="s">
        <v>1048</v>
      </c>
      <c r="I34" s="28" t="s">
        <v>1014</v>
      </c>
      <c r="J34" s="28" t="s">
        <v>1014</v>
      </c>
      <c r="K34" s="23" t="n">
        <v>0</v>
      </c>
      <c r="L34" s="23" t="n">
        <v>20000</v>
      </c>
      <c r="M34" s="28" t="s">
        <v>493</v>
      </c>
    </row>
    <row r="35" customFormat="false" ht="15" hidden="false" customHeight="false" outlineLevel="0" collapsed="false">
      <c r="A35" s="28" t="s">
        <v>1115</v>
      </c>
      <c r="B35" s="28" t="s">
        <v>1126</v>
      </c>
      <c r="C35" s="28" t="s">
        <v>1127</v>
      </c>
      <c r="D35" s="23" t="n">
        <v>450</v>
      </c>
      <c r="E35" s="28" t="s">
        <v>1124</v>
      </c>
      <c r="F35" s="28" t="s">
        <v>1128</v>
      </c>
      <c r="G35" s="28" t="s">
        <v>1011</v>
      </c>
      <c r="H35" s="28" t="s">
        <v>1048</v>
      </c>
      <c r="I35" s="28" t="s">
        <v>1014</v>
      </c>
      <c r="J35" s="28" t="s">
        <v>1014</v>
      </c>
      <c r="M35" s="28" t="s">
        <v>493</v>
      </c>
    </row>
    <row r="36" customFormat="false" ht="15" hidden="false" customHeight="false" outlineLevel="0" collapsed="false">
      <c r="A36" s="28" t="s">
        <v>113</v>
      </c>
      <c r="B36" s="28" t="s">
        <v>381</v>
      </c>
      <c r="C36" s="28" t="s">
        <v>1129</v>
      </c>
      <c r="D36" s="19" t="n">
        <v>0.11</v>
      </c>
      <c r="E36" s="28" t="s">
        <v>1130</v>
      </c>
      <c r="F36" s="28" t="s">
        <v>1131</v>
      </c>
      <c r="G36" s="28" t="s">
        <v>1011</v>
      </c>
      <c r="H36" s="28" t="s">
        <v>1048</v>
      </c>
      <c r="I36" s="28" t="s">
        <v>1014</v>
      </c>
      <c r="J36" s="28" t="s">
        <v>1014</v>
      </c>
      <c r="K36" s="19" t="n">
        <v>0.1</v>
      </c>
      <c r="L36" s="19" t="n">
        <v>0.12</v>
      </c>
      <c r="M36" s="28" t="s">
        <v>493</v>
      </c>
    </row>
  </sheetData>
  <autoFilter ref="A1:M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11"/>
    <col collapsed="false" customWidth="true" hidden="false" outlineLevel="0" max="3" min="3" style="0" width="12"/>
    <col collapsed="false" customWidth="true" hidden="false" outlineLevel="0" max="4" min="4" style="0" width="22"/>
    <col collapsed="false" customWidth="true" hidden="false" outlineLevel="0" max="5" min="5" style="0" width="24"/>
    <col collapsed="false" customWidth="true" hidden="false" outlineLevel="0" max="7" min="6" style="0" width="22"/>
    <col collapsed="false" customWidth="true" hidden="false" outlineLevel="0" max="8" min="8" style="0" width="70"/>
    <col collapsed="false" customWidth="true" hidden="false" outlineLevel="0" max="9" min="9" style="0" width="16"/>
    <col collapsed="false" customWidth="true" hidden="false" outlineLevel="0" max="10" min="10" style="0" width="12"/>
    <col collapsed="false" customWidth="true" hidden="false" outlineLevel="0" max="11" min="11" style="0" width="21"/>
    <col collapsed="false" customWidth="true" hidden="false" outlineLevel="0" max="15" min="12" style="0" width="22"/>
    <col collapsed="false" customWidth="true" hidden="false" outlineLevel="0" max="17" min="16" style="0" width="20"/>
    <col collapsed="false" customWidth="true" hidden="false" outlineLevel="0" max="18" min="18" style="0" width="12"/>
    <col collapsed="false" customWidth="true" hidden="false" outlineLevel="0" max="19" min="19" style="0" width="56"/>
    <col collapsed="false" customWidth="true" hidden="false" outlineLevel="0" max="21" min="20" style="0" width="14"/>
  </cols>
  <sheetData>
    <row r="1" customFormat="false" ht="30" hidden="false" customHeight="true" outlineLevel="0" collapsed="false">
      <c r="A1" s="27" t="s">
        <v>999</v>
      </c>
      <c r="B1" s="27" t="s">
        <v>1132</v>
      </c>
      <c r="C1" s="27" t="s">
        <v>1133</v>
      </c>
      <c r="D1" s="27" t="s">
        <v>1134</v>
      </c>
      <c r="E1" s="27" t="s">
        <v>1135</v>
      </c>
      <c r="F1" s="27" t="s">
        <v>1136</v>
      </c>
      <c r="G1" s="27" t="s">
        <v>1137</v>
      </c>
      <c r="H1" s="27" t="s">
        <v>237</v>
      </c>
      <c r="I1" s="27" t="s">
        <v>1000</v>
      </c>
      <c r="J1" s="27" t="s">
        <v>1138</v>
      </c>
      <c r="K1" s="27" t="s">
        <v>1139</v>
      </c>
      <c r="L1" s="27" t="s">
        <v>1140</v>
      </c>
      <c r="M1" s="27" t="s">
        <v>1141</v>
      </c>
      <c r="N1" s="27" t="s">
        <v>1142</v>
      </c>
      <c r="O1" s="27" t="s">
        <v>1143</v>
      </c>
      <c r="P1" s="27" t="s">
        <v>1144</v>
      </c>
      <c r="Q1" s="27" t="s">
        <v>1145</v>
      </c>
      <c r="R1" s="27" t="s">
        <v>442</v>
      </c>
      <c r="S1" s="27" t="s">
        <v>443</v>
      </c>
      <c r="T1" s="27" t="s">
        <v>1146</v>
      </c>
      <c r="U1" s="27" t="s">
        <v>1147</v>
      </c>
    </row>
    <row r="2" customFormat="false" ht="15" hidden="false" customHeight="false" outlineLevel="0" collapsed="false">
      <c r="A2" s="28" t="s">
        <v>1148</v>
      </c>
      <c r="B2" s="33" t="n">
        <v>0</v>
      </c>
      <c r="C2" s="33" t="n">
        <v>2</v>
      </c>
      <c r="D2" s="19" t="n">
        <v>0.0673294144814223</v>
      </c>
      <c r="E2" s="19" t="n">
        <v>-0.0115527145868466</v>
      </c>
      <c r="F2" s="19" t="n">
        <v>-0.106802730811908</v>
      </c>
      <c r="G2" s="19" t="n">
        <v>-0.106802730811908</v>
      </c>
      <c r="H2" s="28" t="s">
        <v>1149</v>
      </c>
      <c r="I2" s="28" t="s">
        <v>1150</v>
      </c>
      <c r="J2" s="33" t="n">
        <v>1</v>
      </c>
      <c r="K2" s="19" t="n">
        <v>0.027888349947288</v>
      </c>
      <c r="L2" s="19" t="n">
        <v>-0.106802730811908</v>
      </c>
      <c r="M2" s="19" t="n">
        <v>0.0405126356960686</v>
      </c>
      <c r="N2" s="19" t="n">
        <v>0.0405126356960686</v>
      </c>
      <c r="O2" s="19" t="n">
        <v>0.0405126356960686</v>
      </c>
      <c r="P2" s="23" t="n">
        <v>1655155.31428272</v>
      </c>
      <c r="Q2" s="23" t="n">
        <v>1655155.31428272</v>
      </c>
      <c r="R2" s="28" t="s">
        <v>493</v>
      </c>
      <c r="S2" s="28" t="s">
        <v>867</v>
      </c>
      <c r="T2" s="14" t="n">
        <f aca="false">ABS(E2-D2)</f>
        <v>0.0788821290682689</v>
      </c>
      <c r="U2" s="14" t="n">
        <f aca="false">ABS(G2-F2)</f>
        <v>0</v>
      </c>
    </row>
    <row r="3" customFormat="false" ht="15" hidden="false" customHeight="false" outlineLevel="0" collapsed="false">
      <c r="A3" s="28" t="s">
        <v>1151</v>
      </c>
      <c r="B3" s="33" t="n">
        <v>0.75</v>
      </c>
      <c r="C3" s="33" t="n">
        <v>1.25</v>
      </c>
      <c r="D3" s="19" t="n">
        <v>0.0571345354450159</v>
      </c>
      <c r="E3" s="19" t="n">
        <v>-0.00135783555044022</v>
      </c>
      <c r="F3" s="19" t="n">
        <v>-0.090334918687168</v>
      </c>
      <c r="G3" s="19" t="n">
        <v>-0.123270542936646</v>
      </c>
      <c r="H3" s="28" t="s">
        <v>1152</v>
      </c>
      <c r="I3" s="28" t="s">
        <v>1150</v>
      </c>
      <c r="J3" s="33" t="n">
        <v>1</v>
      </c>
      <c r="K3" s="19" t="n">
        <v>0.027888349947288</v>
      </c>
      <c r="L3" s="19" t="n">
        <v>-0.106802730811908</v>
      </c>
      <c r="M3" s="19" t="n">
        <v>0.0405126356960686</v>
      </c>
      <c r="N3" s="19" t="n">
        <v>0.0405126356960686</v>
      </c>
      <c r="O3" s="19" t="n">
        <v>0.0405126356960686</v>
      </c>
      <c r="P3" s="23" t="n">
        <v>1655155.31428272</v>
      </c>
      <c r="Q3" s="23" t="n">
        <v>1655155.31428272</v>
      </c>
      <c r="R3" s="28" t="s">
        <v>493</v>
      </c>
      <c r="S3" s="28" t="s">
        <v>867</v>
      </c>
      <c r="T3" s="14" t="n">
        <f aca="false">ABS(E3-D3)</f>
        <v>0.0584923709954561</v>
      </c>
      <c r="U3" s="14" t="n">
        <f aca="false">ABS(G3-F3)</f>
        <v>0.0329356242494783</v>
      </c>
    </row>
    <row r="4" customFormat="false" ht="15" hidden="false" customHeight="false" outlineLevel="0" collapsed="false">
      <c r="A4" s="28" t="s">
        <v>1153</v>
      </c>
      <c r="B4" s="31" t="n">
        <v>-1</v>
      </c>
      <c r="C4" s="31" t="n">
        <v>3</v>
      </c>
      <c r="D4" s="19" t="n">
        <v>0.0160900794428283</v>
      </c>
      <c r="E4" s="19" t="n">
        <v>0.0625895208323239</v>
      </c>
      <c r="F4" s="19" t="n">
        <v>-0.107683222726525</v>
      </c>
      <c r="G4" s="19" t="n">
        <v>-0.100093295051765</v>
      </c>
      <c r="H4" s="28" t="s">
        <v>1154</v>
      </c>
      <c r="I4" s="28" t="s">
        <v>1021</v>
      </c>
      <c r="J4" s="31" t="n">
        <v>0</v>
      </c>
      <c r="K4" s="19" t="n">
        <v>0.027888349947288</v>
      </c>
      <c r="L4" s="19" t="n">
        <v>-0.106802730811908</v>
      </c>
      <c r="M4" s="19" t="n">
        <v>0.0405126356960686</v>
      </c>
      <c r="N4" s="19" t="n">
        <v>0.0405126356960686</v>
      </c>
      <c r="O4" s="19" t="n">
        <v>0.0405126356960686</v>
      </c>
      <c r="P4" s="23" t="n">
        <v>1655155.31428272</v>
      </c>
      <c r="Q4" s="23" t="n">
        <v>1655155.31428272</v>
      </c>
      <c r="R4" s="28" t="s">
        <v>493</v>
      </c>
      <c r="S4" s="28" t="s">
        <v>867</v>
      </c>
      <c r="T4" s="14" t="n">
        <f aca="false">ABS(E4-D4)</f>
        <v>0.0464994413894957</v>
      </c>
      <c r="U4" s="14" t="n">
        <f aca="false">ABS(G4-F4)</f>
        <v>0.00758992767476019</v>
      </c>
    </row>
    <row r="5" customFormat="false" ht="15" hidden="false" customHeight="false" outlineLevel="0" collapsed="false">
      <c r="A5" s="28" t="s">
        <v>1155</v>
      </c>
      <c r="B5" s="32" t="n">
        <v>0</v>
      </c>
      <c r="C5" s="32" t="n">
        <v>0.15</v>
      </c>
      <c r="D5" s="19" t="n">
        <v>0.0384747205218909</v>
      </c>
      <c r="E5" s="19" t="n">
        <v>-0.00152637673438694</v>
      </c>
      <c r="F5" s="19" t="n">
        <v>-0.0964483804420382</v>
      </c>
      <c r="G5" s="19" t="n">
        <v>-0.13537467441727</v>
      </c>
      <c r="H5" s="28" t="s">
        <v>1156</v>
      </c>
      <c r="I5" s="28" t="s">
        <v>1009</v>
      </c>
      <c r="J5" s="32" t="n">
        <v>0.0416</v>
      </c>
      <c r="K5" s="19" t="n">
        <v>0.027888349947288</v>
      </c>
      <c r="L5" s="19" t="n">
        <v>-0.106802730811908</v>
      </c>
      <c r="M5" s="19" t="n">
        <v>0.0405126356960686</v>
      </c>
      <c r="N5" s="19" t="n">
        <v>0.0405126356960686</v>
      </c>
      <c r="O5" s="19" t="n">
        <v>0.0405126356960686</v>
      </c>
      <c r="P5" s="23" t="n">
        <v>1655155.31428272</v>
      </c>
      <c r="Q5" s="23" t="n">
        <v>1655155.31428272</v>
      </c>
      <c r="R5" s="28" t="s">
        <v>493</v>
      </c>
      <c r="S5" s="28" t="s">
        <v>867</v>
      </c>
      <c r="T5" s="14" t="n">
        <f aca="false">ABS(E5-D5)</f>
        <v>0.0400010972562779</v>
      </c>
      <c r="U5" s="14" t="n">
        <f aca="false">ABS(G5-F5)</f>
        <v>0.038926293975232</v>
      </c>
    </row>
    <row r="6" customFormat="false" ht="15" hidden="false" customHeight="false" outlineLevel="0" collapsed="false">
      <c r="A6" s="28" t="s">
        <v>1157</v>
      </c>
      <c r="B6" s="33" t="n">
        <v>0.5</v>
      </c>
      <c r="C6" s="33" t="n">
        <v>1.5</v>
      </c>
      <c r="D6" s="19" t="n">
        <v>0.0246333013696831</v>
      </c>
      <c r="E6" s="19" t="n">
        <v>0.0323953262107519</v>
      </c>
      <c r="F6" s="19" t="n">
        <v>-0.136768755899706</v>
      </c>
      <c r="G6" s="19" t="n">
        <v>-0.0742075865184063</v>
      </c>
      <c r="H6" s="28" t="s">
        <v>1158</v>
      </c>
      <c r="I6" s="28" t="s">
        <v>1150</v>
      </c>
      <c r="J6" s="33" t="n">
        <v>1</v>
      </c>
      <c r="K6" s="19" t="n">
        <v>0.027888349947288</v>
      </c>
      <c r="L6" s="19" t="n">
        <v>-0.106802730811908</v>
      </c>
      <c r="M6" s="19" t="n">
        <v>0.0299336603826083</v>
      </c>
      <c r="N6" s="19" t="n">
        <v>0.0518456216049255</v>
      </c>
      <c r="O6" s="19" t="n">
        <v>0.0405126356960686</v>
      </c>
      <c r="P6" s="23" t="n">
        <v>1599560.45676856</v>
      </c>
      <c r="Q6" s="23" t="n">
        <v>1712415.79571104</v>
      </c>
      <c r="R6" s="28" t="s">
        <v>493</v>
      </c>
      <c r="S6" s="28" t="s">
        <v>867</v>
      </c>
      <c r="T6" s="14" t="n">
        <f aca="false">ABS(E6-D6)</f>
        <v>0.00776202484106881</v>
      </c>
      <c r="U6" s="14" t="n">
        <f aca="false">ABS(G6-F6)</f>
        <v>0.0625611693812992</v>
      </c>
    </row>
    <row r="7" customFormat="false" ht="15" hidden="false" customHeight="false" outlineLevel="0" collapsed="false">
      <c r="A7" s="28" t="s">
        <v>1159</v>
      </c>
      <c r="B7" s="19" t="n">
        <v>-0.05</v>
      </c>
      <c r="C7" s="19" t="n">
        <v>0.05</v>
      </c>
      <c r="D7" s="19" t="n">
        <v>0.0248583324401968</v>
      </c>
      <c r="E7" s="19" t="n">
        <v>0.0309807379407781</v>
      </c>
      <c r="F7" s="19" t="n">
        <v>-0.110751549650718</v>
      </c>
      <c r="G7" s="19" t="n">
        <v>-0.103108297633312</v>
      </c>
      <c r="H7" s="28" t="s">
        <v>1160</v>
      </c>
      <c r="I7" s="28" t="s">
        <v>1078</v>
      </c>
      <c r="J7" s="19" t="n">
        <v>0</v>
      </c>
      <c r="K7" s="19" t="n">
        <v>0.027888349947288</v>
      </c>
      <c r="L7" s="19" t="n">
        <v>-0.106802730811908</v>
      </c>
      <c r="M7" s="19" t="n">
        <v>0.0396671045808646</v>
      </c>
      <c r="N7" s="19" t="n">
        <v>0.0413028900862257</v>
      </c>
      <c r="O7" s="19" t="n">
        <v>0.0405126356960686</v>
      </c>
      <c r="P7" s="23" t="n">
        <v>1653644.98294524</v>
      </c>
      <c r="Q7" s="23" t="n">
        <v>1656561.93172879</v>
      </c>
      <c r="R7" s="28" t="s">
        <v>493</v>
      </c>
      <c r="S7" s="28" t="s">
        <v>867</v>
      </c>
      <c r="T7" s="14" t="n">
        <f aca="false">ABS(E7-D7)</f>
        <v>0.0061224055005813</v>
      </c>
      <c r="U7" s="14" t="n">
        <f aca="false">ABS(G7-F7)</f>
        <v>0.00764325201740621</v>
      </c>
    </row>
    <row r="8" customFormat="false" ht="15" hidden="false" customHeight="false" outlineLevel="0" collapsed="false">
      <c r="A8" s="28" t="s">
        <v>1161</v>
      </c>
      <c r="B8" s="31" t="n">
        <v>-0.25</v>
      </c>
      <c r="C8" s="31" t="n">
        <v>0.25</v>
      </c>
      <c r="D8" s="19" t="n">
        <v>0.0299218530132095</v>
      </c>
      <c r="E8" s="19" t="n">
        <v>0.025832513100607</v>
      </c>
      <c r="F8" s="19" t="n">
        <v>-0.106802730811908</v>
      </c>
      <c r="G8" s="19" t="n">
        <v>-0.106802730811908</v>
      </c>
      <c r="H8" s="28" t="s">
        <v>1162</v>
      </c>
      <c r="I8" s="28" t="s">
        <v>1163</v>
      </c>
      <c r="J8" s="31" t="n">
        <v>0</v>
      </c>
      <c r="K8" s="19" t="n">
        <v>0.027888349947288</v>
      </c>
      <c r="L8" s="19" t="n">
        <v>-0.106802730811908</v>
      </c>
      <c r="M8" s="19" t="n">
        <v>0.0405126356960686</v>
      </c>
      <c r="N8" s="19" t="n">
        <v>0.0405126356960686</v>
      </c>
      <c r="O8" s="19" t="n">
        <v>0.0405126356960686</v>
      </c>
      <c r="P8" s="23" t="n">
        <v>1655155.31428272</v>
      </c>
      <c r="Q8" s="23" t="n">
        <v>1655155.31428272</v>
      </c>
      <c r="R8" s="28" t="s">
        <v>493</v>
      </c>
      <c r="S8" s="28" t="s">
        <v>867</v>
      </c>
      <c r="T8" s="14" t="n">
        <f aca="false">ABS(E8-D8)</f>
        <v>0.00408933991260252</v>
      </c>
      <c r="U8" s="14" t="n">
        <f aca="false">ABS(G8-F8)</f>
        <v>0</v>
      </c>
    </row>
    <row r="9" customFormat="false" ht="15" hidden="false" customHeight="false" outlineLevel="0" collapsed="false">
      <c r="A9" s="28" t="s">
        <v>1164</v>
      </c>
      <c r="B9" s="33" t="n">
        <v>0.5</v>
      </c>
      <c r="C9" s="33" t="n">
        <v>1.5</v>
      </c>
      <c r="D9" s="19" t="n">
        <v>0.0274253820998489</v>
      </c>
      <c r="E9" s="19" t="n">
        <v>0.0287947639816402</v>
      </c>
      <c r="F9" s="19" t="n">
        <v>-0.106984846083</v>
      </c>
      <c r="G9" s="19" t="n">
        <v>-0.105328825904158</v>
      </c>
      <c r="H9" s="28" t="s">
        <v>1165</v>
      </c>
      <c r="I9" s="28" t="s">
        <v>1150</v>
      </c>
      <c r="J9" s="33" t="n">
        <v>1</v>
      </c>
      <c r="K9" s="19" t="n">
        <v>0.027888349947288</v>
      </c>
      <c r="L9" s="19" t="n">
        <v>-0.106802730811908</v>
      </c>
      <c r="M9" s="19" t="n">
        <v>0.0401443024535658</v>
      </c>
      <c r="N9" s="19" t="n">
        <v>0.0409675347180455</v>
      </c>
      <c r="O9" s="19" t="n">
        <v>0.0405126356960686</v>
      </c>
      <c r="P9" s="23" t="n">
        <v>1651647.48889588</v>
      </c>
      <c r="Q9" s="23" t="n">
        <v>1657172.9515146</v>
      </c>
      <c r="R9" s="28" t="s">
        <v>493</v>
      </c>
      <c r="S9" s="28" t="s">
        <v>867</v>
      </c>
      <c r="T9" s="14" t="n">
        <f aca="false">ABS(E9-D9)</f>
        <v>0.00136938188179125</v>
      </c>
      <c r="U9" s="14" t="n">
        <f aca="false">ABS(G9-F9)</f>
        <v>0.00165602017884141</v>
      </c>
    </row>
    <row r="10" customFormat="false" ht="15" hidden="false" customHeight="false" outlineLevel="0" collapsed="false">
      <c r="A10" s="28" t="s">
        <v>1166</v>
      </c>
      <c r="B10" s="33" t="n">
        <v>0.75</v>
      </c>
      <c r="C10" s="33" t="n">
        <v>1.33</v>
      </c>
      <c r="D10" s="19" t="n">
        <v>0.027888349947288</v>
      </c>
      <c r="E10" s="19" t="n">
        <v>0.027888349947288</v>
      </c>
      <c r="F10" s="19" t="n">
        <v>-0.0555921067705053</v>
      </c>
      <c r="G10" s="19" t="n">
        <v>-0.178486891865117</v>
      </c>
      <c r="H10" s="28" t="s">
        <v>1167</v>
      </c>
      <c r="I10" s="28" t="s">
        <v>1150</v>
      </c>
      <c r="J10" s="33" t="n">
        <v>1</v>
      </c>
      <c r="K10" s="19" t="n">
        <v>0.027888349947288</v>
      </c>
      <c r="L10" s="19" t="n">
        <v>-0.106802730811908</v>
      </c>
      <c r="M10" s="19" t="n">
        <v>0.0405126356960686</v>
      </c>
      <c r="N10" s="19" t="n">
        <v>0.0405126356960686</v>
      </c>
      <c r="O10" s="19" t="n">
        <v>0.0405126356960686</v>
      </c>
      <c r="P10" s="23" t="n">
        <v>1943133.61909381</v>
      </c>
      <c r="Q10" s="23" t="n">
        <v>1412675.42322574</v>
      </c>
      <c r="R10" s="28" t="s">
        <v>493</v>
      </c>
      <c r="S10" s="28" t="s">
        <v>867</v>
      </c>
      <c r="T10" s="14" t="n">
        <f aca="false">ABS(E10-D10)</f>
        <v>0</v>
      </c>
      <c r="U10" s="14" t="n">
        <f aca="false">ABS(G10-F10)</f>
        <v>0.122894785094611</v>
      </c>
    </row>
    <row r="11" customFormat="false" ht="15" hidden="false" customHeight="false" outlineLevel="0" collapsed="false">
      <c r="A11" s="28" t="s">
        <v>1050</v>
      </c>
      <c r="B11" s="31" t="n">
        <v>0.15</v>
      </c>
      <c r="C11" s="31" t="n">
        <v>0.75</v>
      </c>
      <c r="D11" s="19" t="n">
        <v>0.027888349947288</v>
      </c>
      <c r="E11" s="19" t="n">
        <v>0.027888349947288</v>
      </c>
      <c r="F11" s="19" t="n">
        <v>-0.104561432343833</v>
      </c>
      <c r="G11" s="19" t="n">
        <v>-0.110710648743963</v>
      </c>
      <c r="H11" s="28" t="s">
        <v>1168</v>
      </c>
      <c r="I11" s="28" t="s">
        <v>1163</v>
      </c>
      <c r="J11" s="31" t="n">
        <v>0.35</v>
      </c>
      <c r="K11" s="19" t="n">
        <v>0.027888349947288</v>
      </c>
      <c r="L11" s="19" t="n">
        <v>-0.106802730811908</v>
      </c>
      <c r="M11" s="19" t="n">
        <v>0.0405126356960686</v>
      </c>
      <c r="N11" s="19" t="n">
        <v>0.0405126356960686</v>
      </c>
      <c r="O11" s="19" t="n">
        <v>0.0405126356960686</v>
      </c>
      <c r="P11" s="23" t="n">
        <v>1608775.83477349</v>
      </c>
      <c r="Q11" s="23" t="n">
        <v>1745724.03887451</v>
      </c>
      <c r="R11" s="28" t="s">
        <v>493</v>
      </c>
      <c r="S11" s="28" t="s">
        <v>867</v>
      </c>
      <c r="T11" s="14" t="n">
        <f aca="false">ABS(E11-D11)</f>
        <v>0</v>
      </c>
      <c r="U11" s="14" t="n">
        <f aca="false">ABS(G11-F11)</f>
        <v>0.0061492164001301</v>
      </c>
    </row>
    <row r="12" customFormat="false" ht="15" hidden="false" customHeight="false" outlineLevel="0" collapsed="false">
      <c r="A12" s="28" t="s">
        <v>1066</v>
      </c>
      <c r="B12" s="19" t="n">
        <v>0.03</v>
      </c>
      <c r="C12" s="19" t="n">
        <v>0.07</v>
      </c>
      <c r="D12" s="19" t="n">
        <v>0.027888349947288</v>
      </c>
      <c r="E12" s="19" t="n">
        <v>0.027888349947288</v>
      </c>
      <c r="F12" s="19" t="n">
        <v>-0.106802730811908</v>
      </c>
      <c r="G12" s="19" t="n">
        <v>-0.106802730811908</v>
      </c>
      <c r="H12" s="28" t="s">
        <v>1169</v>
      </c>
      <c r="I12" s="28" t="s">
        <v>1043</v>
      </c>
      <c r="J12" s="19" t="n">
        <v>0.05</v>
      </c>
      <c r="K12" s="19" t="n">
        <v>0.027888349947288</v>
      </c>
      <c r="L12" s="19" t="n">
        <v>-0.106802730811908</v>
      </c>
      <c r="M12" s="19" t="n">
        <v>0.024535577819753</v>
      </c>
      <c r="N12" s="19" t="n">
        <v>0.0564896935723842</v>
      </c>
      <c r="O12" s="19" t="n">
        <v>0.0405126356960686</v>
      </c>
      <c r="P12" s="23" t="n">
        <v>1655155.31428272</v>
      </c>
      <c r="Q12" s="23" t="n">
        <v>1655155.31428272</v>
      </c>
      <c r="R12" s="28" t="s">
        <v>493</v>
      </c>
      <c r="S12" s="28" t="s">
        <v>867</v>
      </c>
      <c r="T12" s="14" t="n">
        <f aca="false">ABS(E12-D12)</f>
        <v>0</v>
      </c>
      <c r="U12" s="14" t="n">
        <f aca="false">ABS(G12-F12)</f>
        <v>0</v>
      </c>
    </row>
  </sheetData>
  <autoFilter ref="A1:U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9"/>
    <col collapsed="false" customWidth="true" hidden="false" outlineLevel="0" max="3" min="3" style="0" width="32"/>
    <col collapsed="false" customWidth="true" hidden="false" outlineLevel="0" max="4" min="4" style="0" width="50"/>
    <col collapsed="false" customWidth="true" hidden="false" outlineLevel="0" max="5" min="5" style="0" width="11"/>
    <col collapsed="false" customWidth="true" hidden="false" outlineLevel="0" max="6" min="6" style="0" width="12"/>
    <col collapsed="false" customWidth="true" hidden="false" outlineLevel="0" max="7" min="7" style="0" width="14"/>
    <col collapsed="false" customWidth="true" hidden="false" outlineLevel="0" max="8" min="8" style="0" width="22"/>
    <col collapsed="false" customWidth="true" hidden="false" outlineLevel="0" max="9" min="9" style="0" width="25"/>
    <col collapsed="false" customWidth="true" hidden="false" outlineLevel="0" max="10" min="10" style="0" width="30"/>
    <col collapsed="false" customWidth="true" hidden="false" outlineLevel="0" max="11" min="11" style="0" width="12"/>
    <col collapsed="false" customWidth="true" hidden="false" outlineLevel="0" max="12" min="12" style="0" width="56"/>
  </cols>
  <sheetData>
    <row r="1" customFormat="false" ht="30" hidden="false" customHeight="true" outlineLevel="0" collapsed="false">
      <c r="A1" s="27" t="s">
        <v>712</v>
      </c>
      <c r="B1" s="27" t="s">
        <v>1170</v>
      </c>
      <c r="C1" s="27" t="s">
        <v>1171</v>
      </c>
      <c r="D1" s="27" t="s">
        <v>237</v>
      </c>
      <c r="E1" s="27" t="s">
        <v>873</v>
      </c>
      <c r="F1" s="27" t="s">
        <v>733</v>
      </c>
      <c r="G1" s="27" t="s">
        <v>440</v>
      </c>
      <c r="H1" s="27" t="s">
        <v>1172</v>
      </c>
      <c r="I1" s="27" t="s">
        <v>1173</v>
      </c>
      <c r="J1" s="27" t="s">
        <v>1174</v>
      </c>
      <c r="K1" s="27" t="s">
        <v>442</v>
      </c>
      <c r="L1" s="27" t="s">
        <v>443</v>
      </c>
    </row>
    <row r="2" customFormat="false" ht="15" hidden="false" customHeight="false" outlineLevel="0" collapsed="false">
      <c r="A2" s="28" t="s">
        <v>562</v>
      </c>
      <c r="B2" s="23" t="n">
        <v>197.237508824813</v>
      </c>
      <c r="C2" s="23" t="n">
        <v>-1.33226762955019E-012</v>
      </c>
      <c r="D2" s="28" t="s">
        <v>1175</v>
      </c>
      <c r="E2" s="28" t="s">
        <v>447</v>
      </c>
      <c r="F2" s="19" t="n">
        <v>0.0671</v>
      </c>
      <c r="G2" s="31" t="n">
        <v>-0.051</v>
      </c>
      <c r="H2" s="23" t="n">
        <v>2800</v>
      </c>
      <c r="I2" s="23" t="n">
        <v>7.105427357601E-011</v>
      </c>
      <c r="J2" s="28" t="s">
        <v>1176</v>
      </c>
      <c r="K2" s="28" t="s">
        <v>493</v>
      </c>
      <c r="L2" s="28" t="s">
        <v>867</v>
      </c>
    </row>
    <row r="3" customFormat="false" ht="15" hidden="false" customHeight="false" outlineLevel="0" collapsed="false">
      <c r="A3" s="28" t="s">
        <v>576</v>
      </c>
      <c r="B3" s="23" t="n">
        <v>258.373648926934</v>
      </c>
      <c r="C3" s="23" t="n">
        <v>4.44089209850063E-013</v>
      </c>
      <c r="D3" s="28" t="s">
        <v>1177</v>
      </c>
      <c r="E3" s="28" t="s">
        <v>447</v>
      </c>
      <c r="F3" s="19" t="n">
        <v>0.071</v>
      </c>
      <c r="G3" s="31" t="n">
        <v>-0.0674</v>
      </c>
      <c r="H3" s="23" t="n">
        <v>3350</v>
      </c>
      <c r="I3" s="23" t="n">
        <v>2.8421709430404E-011</v>
      </c>
      <c r="J3" s="28" t="s">
        <v>1176</v>
      </c>
      <c r="K3" s="28" t="s">
        <v>493</v>
      </c>
      <c r="L3" s="28" t="s">
        <v>867</v>
      </c>
    </row>
    <row r="4" customFormat="false" ht="15" hidden="false" customHeight="false" outlineLevel="0" collapsed="false">
      <c r="A4" s="28" t="s">
        <v>578</v>
      </c>
      <c r="B4" s="23" t="n">
        <v>99.8562119690547</v>
      </c>
      <c r="C4" s="23" t="n">
        <v>-2.22044604925031E-012</v>
      </c>
      <c r="D4" s="28" t="s">
        <v>1178</v>
      </c>
      <c r="E4" s="28" t="s">
        <v>447</v>
      </c>
      <c r="F4" s="19" t="n">
        <v>0.0775</v>
      </c>
      <c r="G4" s="31" t="n">
        <v>-0.0239</v>
      </c>
      <c r="H4" s="23" t="n">
        <v>3950</v>
      </c>
      <c r="I4" s="23" t="n">
        <v>-9.69038183029625E-008</v>
      </c>
      <c r="J4" s="28" t="s">
        <v>1176</v>
      </c>
      <c r="K4" s="28" t="s">
        <v>493</v>
      </c>
      <c r="L4" s="28" t="s">
        <v>867</v>
      </c>
    </row>
    <row r="5" customFormat="false" ht="15" hidden="false" customHeight="false" outlineLevel="0" collapsed="false">
      <c r="A5" s="28" t="s">
        <v>564</v>
      </c>
      <c r="B5" s="23" t="n">
        <v>-13458.8967229559</v>
      </c>
      <c r="C5" s="23" t="n">
        <v>-2868.59762886323</v>
      </c>
      <c r="D5" s="28" t="s">
        <v>1179</v>
      </c>
      <c r="E5" s="28" t="s">
        <v>447</v>
      </c>
      <c r="F5" s="19" t="n">
        <v>0.0614</v>
      </c>
      <c r="G5" s="31" t="n">
        <v>4.277</v>
      </c>
      <c r="H5" s="23" t="n">
        <v>2490</v>
      </c>
      <c r="I5" s="23" t="n">
        <v>1.17381659947569E-008</v>
      </c>
      <c r="J5" s="28" t="s">
        <v>1176</v>
      </c>
      <c r="K5" s="28" t="s">
        <v>493</v>
      </c>
      <c r="L5" s="28" t="s">
        <v>867</v>
      </c>
    </row>
    <row r="6" customFormat="false" ht="15" hidden="false" customHeight="false" outlineLevel="0" collapsed="false">
      <c r="A6" s="28" t="s">
        <v>566</v>
      </c>
      <c r="B6" s="23" t="n">
        <v>-5748.72668945659</v>
      </c>
      <c r="C6" s="23" t="n">
        <v>-2614.93109176417</v>
      </c>
      <c r="D6" s="28" t="s">
        <v>1180</v>
      </c>
      <c r="E6" s="28" t="s">
        <v>447</v>
      </c>
      <c r="F6" s="19" t="n">
        <v>0.0765</v>
      </c>
      <c r="G6" s="31" t="n">
        <v>1.8455</v>
      </c>
      <c r="H6" s="23" t="n">
        <v>4000</v>
      </c>
      <c r="I6" s="23" t="n">
        <v>-2.50736320595024E-007</v>
      </c>
      <c r="J6" s="28" t="s">
        <v>1176</v>
      </c>
      <c r="K6" s="28" t="s">
        <v>493</v>
      </c>
      <c r="L6" s="28" t="s">
        <v>867</v>
      </c>
    </row>
    <row r="7" customFormat="false" ht="15" hidden="false" customHeight="false" outlineLevel="0" collapsed="false">
      <c r="A7" s="28" t="s">
        <v>568</v>
      </c>
      <c r="B7" s="23" t="n">
        <v>-6223.67120086625</v>
      </c>
      <c r="C7" s="23" t="n">
        <v>-2651.16985386815</v>
      </c>
      <c r="D7" s="28" t="s">
        <v>1181</v>
      </c>
      <c r="E7" s="28" t="s">
        <v>447</v>
      </c>
      <c r="F7" s="19" t="n">
        <v>0.07</v>
      </c>
      <c r="G7" s="31" t="n">
        <v>1.993</v>
      </c>
      <c r="H7" s="23" t="n">
        <v>3350</v>
      </c>
      <c r="I7" s="23" t="n">
        <v>-4.39541736341198E-007</v>
      </c>
      <c r="J7" s="28" t="s">
        <v>1176</v>
      </c>
      <c r="K7" s="28" t="s">
        <v>493</v>
      </c>
      <c r="L7" s="28" t="s">
        <v>867</v>
      </c>
    </row>
    <row r="8" customFormat="false" ht="15" hidden="false" customHeight="false" outlineLevel="0" collapsed="false">
      <c r="A8" s="28" t="s">
        <v>570</v>
      </c>
      <c r="B8" s="23" t="n">
        <v>-19892.0979331331</v>
      </c>
      <c r="C8" s="23" t="n">
        <v>-2936.54733763339</v>
      </c>
      <c r="D8" s="28" t="s">
        <v>1182</v>
      </c>
      <c r="E8" s="28" t="s">
        <v>447</v>
      </c>
      <c r="F8" s="19" t="n">
        <v>0.0644</v>
      </c>
      <c r="G8" s="31" t="n">
        <v>7.3741</v>
      </c>
      <c r="H8" s="23" t="n">
        <v>2790</v>
      </c>
      <c r="I8" s="23" t="n">
        <v>9.71738245425513E-007</v>
      </c>
      <c r="J8" s="28" t="s">
        <v>1176</v>
      </c>
      <c r="K8" s="28" t="s">
        <v>493</v>
      </c>
      <c r="L8" s="28" t="s">
        <v>867</v>
      </c>
    </row>
    <row r="9" customFormat="false" ht="15" hidden="false" customHeight="false" outlineLevel="0" collapsed="false">
      <c r="A9" s="28" t="s">
        <v>580</v>
      </c>
      <c r="B9" s="23" t="n">
        <v>-3884.10998205669</v>
      </c>
      <c r="C9" s="23" t="n">
        <v>-2408.97107437537</v>
      </c>
      <c r="D9" s="28" t="s">
        <v>1183</v>
      </c>
      <c r="E9" s="28" t="s">
        <v>447</v>
      </c>
      <c r="F9" s="19" t="n">
        <v>0.1265</v>
      </c>
      <c r="G9" s="31" t="n">
        <v>1.345</v>
      </c>
      <c r="H9" s="23" t="n">
        <v>9000</v>
      </c>
      <c r="I9" s="23" t="n">
        <v>0</v>
      </c>
      <c r="J9" s="28" t="s">
        <v>1176</v>
      </c>
      <c r="K9" s="28" t="s">
        <v>493</v>
      </c>
      <c r="L9" s="28" t="s">
        <v>867</v>
      </c>
    </row>
    <row r="10" customFormat="false" ht="15" hidden="false" customHeight="false" outlineLevel="0" collapsed="false">
      <c r="A10" s="28" t="s">
        <v>584</v>
      </c>
      <c r="B10" s="23" t="n">
        <v>-6872.04833610888</v>
      </c>
      <c r="C10" s="23" t="n">
        <v>-2682.13285425631</v>
      </c>
      <c r="D10" s="28" t="s">
        <v>1184</v>
      </c>
      <c r="E10" s="28" t="s">
        <v>447</v>
      </c>
      <c r="F10" s="19" t="n">
        <v>0.0979</v>
      </c>
      <c r="G10" s="31" t="n">
        <v>2.4449</v>
      </c>
      <c r="H10" s="23" t="n">
        <v>6140</v>
      </c>
      <c r="I10" s="23" t="n">
        <v>5.28942223354534E-007</v>
      </c>
      <c r="J10" s="28" t="s">
        <v>1176</v>
      </c>
      <c r="K10" s="28" t="s">
        <v>493</v>
      </c>
      <c r="L10" s="28" t="s">
        <v>867</v>
      </c>
    </row>
    <row r="11" customFormat="false" ht="15" hidden="false" customHeight="false" outlineLevel="0" collapsed="false">
      <c r="A11" s="28" t="s">
        <v>572</v>
      </c>
      <c r="B11" s="23" t="n">
        <v>-10081.3597344714</v>
      </c>
      <c r="C11" s="23" t="n">
        <v>-2892.58187499091</v>
      </c>
      <c r="D11" s="28" t="s">
        <v>1185</v>
      </c>
      <c r="E11" s="28" t="s">
        <v>447</v>
      </c>
      <c r="F11" s="19" t="n">
        <v>0.0569</v>
      </c>
      <c r="G11" s="31" t="n">
        <v>3.5309</v>
      </c>
      <c r="H11" s="23" t="n">
        <v>2040</v>
      </c>
      <c r="I11" s="23" t="n">
        <v>5.6843418860808E-011</v>
      </c>
      <c r="J11" s="28" t="s">
        <v>1176</v>
      </c>
      <c r="K11" s="28" t="s">
        <v>493</v>
      </c>
      <c r="L11" s="28" t="s">
        <v>867</v>
      </c>
    </row>
    <row r="12" customFormat="false" ht="15" hidden="false" customHeight="false" outlineLevel="0" collapsed="false">
      <c r="A12" s="28" t="s">
        <v>574</v>
      </c>
      <c r="B12" s="23" t="n">
        <v>-10629.9004103116</v>
      </c>
      <c r="C12" s="23" t="n">
        <v>-2922.19426498296</v>
      </c>
      <c r="D12" s="28" t="s">
        <v>1186</v>
      </c>
      <c r="E12" s="28" t="s">
        <v>447</v>
      </c>
      <c r="F12" s="19" t="n">
        <v>0.0634</v>
      </c>
      <c r="G12" s="31" t="n">
        <v>3.5308</v>
      </c>
      <c r="H12" s="23" t="n">
        <v>2690</v>
      </c>
      <c r="I12" s="23" t="n">
        <v>2.17301021621097E-006</v>
      </c>
      <c r="J12" s="28" t="s">
        <v>1176</v>
      </c>
      <c r="K12" s="28" t="s">
        <v>493</v>
      </c>
      <c r="L12" s="28" t="s">
        <v>867</v>
      </c>
    </row>
    <row r="13" customFormat="false" ht="15" hidden="false" customHeight="false" outlineLevel="0" collapsed="false">
      <c r="A13" s="28" t="s">
        <v>1187</v>
      </c>
      <c r="B13" s="23" t="n">
        <v>-5456.64553486577</v>
      </c>
      <c r="C13" s="23" t="n">
        <v>-3000</v>
      </c>
      <c r="D13" s="28" t="s">
        <v>1188</v>
      </c>
      <c r="E13" s="28" t="s">
        <v>447</v>
      </c>
      <c r="F13" s="19" t="n">
        <v>0.0414</v>
      </c>
      <c r="G13" s="31" t="n">
        <v>1.8855</v>
      </c>
      <c r="H13" s="23" t="n">
        <v>489.999999999999</v>
      </c>
      <c r="I13" s="23" t="n">
        <v>-7.105427357601E-011</v>
      </c>
      <c r="J13" s="28" t="s">
        <v>1176</v>
      </c>
      <c r="K13" s="28" t="s">
        <v>493</v>
      </c>
      <c r="L13" s="28" t="s">
        <v>867</v>
      </c>
    </row>
    <row r="14" customFormat="false" ht="15" hidden="false" customHeight="false" outlineLevel="0" collapsed="false">
      <c r="A14" s="28" t="s">
        <v>1189</v>
      </c>
      <c r="B14" s="23" t="n">
        <v>-7884.46117799988</v>
      </c>
      <c r="C14" s="23" t="n">
        <v>-3000</v>
      </c>
      <c r="D14" s="28" t="s">
        <v>1190</v>
      </c>
      <c r="E14" s="28" t="s">
        <v>447</v>
      </c>
      <c r="F14" s="19" t="n">
        <v>0.0435</v>
      </c>
      <c r="G14" s="31" t="n">
        <v>2.7626</v>
      </c>
      <c r="H14" s="23" t="n">
        <v>700</v>
      </c>
      <c r="I14" s="23" t="n">
        <v>-3.28270743921166E-008</v>
      </c>
      <c r="J14" s="28" t="s">
        <v>1176</v>
      </c>
      <c r="K14" s="28" t="s">
        <v>493</v>
      </c>
      <c r="L14" s="28" t="s">
        <v>867</v>
      </c>
    </row>
    <row r="15" customFormat="false" ht="15" hidden="false" customHeight="false" outlineLevel="0" collapsed="false">
      <c r="A15" s="28" t="s">
        <v>1191</v>
      </c>
      <c r="B15" s="23" t="n">
        <v>-18998.6651078406</v>
      </c>
      <c r="C15" s="23" t="n">
        <v>-2911.64890646008</v>
      </c>
      <c r="D15" s="28" t="s">
        <v>1192</v>
      </c>
      <c r="E15" s="28" t="s">
        <v>447</v>
      </c>
      <c r="F15" s="19" t="n">
        <v>0.0514</v>
      </c>
      <c r="G15" s="31" t="n">
        <v>6.5829</v>
      </c>
      <c r="H15" s="23" t="n">
        <v>1490</v>
      </c>
      <c r="I15" s="23" t="n">
        <v>1.39692701850436E-008</v>
      </c>
      <c r="J15" s="28" t="s">
        <v>1176</v>
      </c>
      <c r="K15" s="28" t="s">
        <v>493</v>
      </c>
      <c r="L15" s="28" t="s">
        <v>867</v>
      </c>
    </row>
    <row r="16" customFormat="false" ht="15" hidden="false" customHeight="false" outlineLevel="0" collapsed="false">
      <c r="A16" s="28" t="s">
        <v>1193</v>
      </c>
      <c r="B16" s="23" t="n">
        <v>-20529.479989804</v>
      </c>
      <c r="C16" s="23" t="n">
        <v>-3000</v>
      </c>
      <c r="D16" s="28" t="s">
        <v>1194</v>
      </c>
      <c r="E16" s="28" t="s">
        <v>447</v>
      </c>
      <c r="F16" s="19" t="n">
        <v>0.0474</v>
      </c>
      <c r="G16" s="31" t="n">
        <v>7.864</v>
      </c>
      <c r="H16" s="23" t="n">
        <v>1090</v>
      </c>
      <c r="I16" s="23" t="n">
        <v>9.9544195109047E-006</v>
      </c>
      <c r="J16" s="28" t="s">
        <v>1176</v>
      </c>
      <c r="K16" s="28" t="s">
        <v>493</v>
      </c>
      <c r="L16" s="28" t="s">
        <v>867</v>
      </c>
    </row>
    <row r="17" customFormat="false" ht="15" hidden="false" customHeight="false" outlineLevel="0" collapsed="false">
      <c r="A17" s="28" t="s">
        <v>608</v>
      </c>
      <c r="B17" s="23" t="n">
        <v>1305.27506399828</v>
      </c>
      <c r="C17" s="23" t="n">
        <v>911.937500000002</v>
      </c>
      <c r="D17" s="28" t="s">
        <v>1195</v>
      </c>
      <c r="E17" s="28" t="s">
        <v>469</v>
      </c>
      <c r="F17" s="19" t="n">
        <v>0.0285</v>
      </c>
      <c r="G17" s="31" t="n">
        <v>0.5771</v>
      </c>
      <c r="H17" s="23" t="n">
        <v>800.000000000001</v>
      </c>
      <c r="I17" s="23" t="n">
        <v>2707.58620696077</v>
      </c>
      <c r="J17" s="28" t="s">
        <v>1196</v>
      </c>
      <c r="K17" s="28" t="s">
        <v>493</v>
      </c>
      <c r="L17" s="28" t="s">
        <v>867</v>
      </c>
    </row>
    <row r="18" customFormat="false" ht="15" hidden="false" customHeight="false" outlineLevel="0" collapsed="false">
      <c r="A18" s="28" t="s">
        <v>604</v>
      </c>
      <c r="B18" s="23" t="n">
        <v>4175.56356773504</v>
      </c>
      <c r="C18" s="23" t="n">
        <v>1789.1</v>
      </c>
      <c r="D18" s="28" t="s">
        <v>1197</v>
      </c>
      <c r="E18" s="28" t="s">
        <v>469</v>
      </c>
      <c r="F18" s="19" t="n">
        <v>0.0145</v>
      </c>
      <c r="G18" s="31" t="n">
        <v>1.8385</v>
      </c>
      <c r="H18" s="23" t="n">
        <v>2200</v>
      </c>
      <c r="I18" s="23" t="n">
        <v>8758.25832111133</v>
      </c>
      <c r="J18" s="28" t="s">
        <v>1196</v>
      </c>
      <c r="K18" s="28" t="s">
        <v>493</v>
      </c>
      <c r="L18" s="28" t="s">
        <v>867</v>
      </c>
    </row>
    <row r="19" customFormat="false" ht="15" hidden="false" customHeight="false" outlineLevel="0" collapsed="false">
      <c r="A19" s="28" t="s">
        <v>1198</v>
      </c>
      <c r="B19" s="23" t="n">
        <v>2829.42451499018</v>
      </c>
      <c r="C19" s="23" t="n">
        <v>3000</v>
      </c>
      <c r="D19" s="28" t="s">
        <v>1199</v>
      </c>
      <c r="E19" s="28" t="s">
        <v>469</v>
      </c>
      <c r="F19" s="19" t="n">
        <v>0.0393</v>
      </c>
      <c r="G19" s="31" t="n">
        <v>0.9631</v>
      </c>
      <c r="H19" s="23" t="n">
        <v>-280.000000000001</v>
      </c>
      <c r="I19" s="23" t="n">
        <v>-81.4206423973616</v>
      </c>
      <c r="J19" s="28" t="s">
        <v>1196</v>
      </c>
      <c r="K19" s="28" t="s">
        <v>493</v>
      </c>
      <c r="L19" s="28" t="s">
        <v>867</v>
      </c>
    </row>
    <row r="20" customFormat="false" ht="15" hidden="false" customHeight="false" outlineLevel="0" collapsed="false">
      <c r="A20" s="28" t="s">
        <v>1200</v>
      </c>
      <c r="B20" s="23" t="n">
        <v>7901.80031047991</v>
      </c>
      <c r="C20" s="23" t="n">
        <v>3000</v>
      </c>
      <c r="D20" s="28" t="s">
        <v>1201</v>
      </c>
      <c r="E20" s="28" t="s">
        <v>469</v>
      </c>
      <c r="F20" s="19" t="n">
        <v>0.0385</v>
      </c>
      <c r="G20" s="31" t="n">
        <v>2.7818</v>
      </c>
      <c r="H20" s="23" t="n">
        <v>-200</v>
      </c>
      <c r="I20" s="23" t="n">
        <v>463.225973023</v>
      </c>
      <c r="J20" s="28" t="s">
        <v>1196</v>
      </c>
      <c r="K20" s="28" t="s">
        <v>493</v>
      </c>
      <c r="L20" s="28" t="s">
        <v>867</v>
      </c>
    </row>
    <row r="21" customFormat="false" ht="15" hidden="false" customHeight="false" outlineLevel="0" collapsed="false">
      <c r="A21" s="28" t="s">
        <v>1202</v>
      </c>
      <c r="B21" s="23" t="n">
        <v>2824.17593911401</v>
      </c>
      <c r="C21" s="23" t="n">
        <v>3000</v>
      </c>
      <c r="D21" s="28" t="s">
        <v>1203</v>
      </c>
      <c r="E21" s="28" t="s">
        <v>469</v>
      </c>
      <c r="F21" s="19" t="n">
        <v>0.0423</v>
      </c>
      <c r="G21" s="31" t="n">
        <v>0.9618</v>
      </c>
      <c r="H21" s="23" t="n">
        <v>-580.000000000001</v>
      </c>
      <c r="I21" s="23" t="n">
        <v>-31.2543476861578</v>
      </c>
      <c r="J21" s="28" t="s">
        <v>1196</v>
      </c>
      <c r="K21" s="28" t="s">
        <v>493</v>
      </c>
      <c r="L21" s="28" t="s">
        <v>867</v>
      </c>
    </row>
    <row r="22" customFormat="false" ht="15" hidden="false" customHeight="false" outlineLevel="0" collapsed="false">
      <c r="A22" s="28" t="s">
        <v>1204</v>
      </c>
      <c r="B22" s="23" t="n">
        <v>12203.981689905</v>
      </c>
      <c r="C22" s="23" t="n">
        <v>3000</v>
      </c>
      <c r="D22" s="28" t="s">
        <v>1205</v>
      </c>
      <c r="E22" s="28" t="s">
        <v>469</v>
      </c>
      <c r="F22" s="19" t="n">
        <v>0.0464</v>
      </c>
      <c r="G22" s="31" t="n">
        <v>4.3855</v>
      </c>
      <c r="H22" s="23" t="n">
        <v>-990.000000000001</v>
      </c>
      <c r="I22" s="23" t="n">
        <v>-156.978253161014</v>
      </c>
      <c r="J22" s="28" t="s">
        <v>1196</v>
      </c>
      <c r="K22" s="28" t="s">
        <v>493</v>
      </c>
      <c r="L22" s="28" t="s">
        <v>867</v>
      </c>
    </row>
    <row r="23" customFormat="false" ht="15" hidden="false" customHeight="false" outlineLevel="0" collapsed="false">
      <c r="A23" s="28" t="s">
        <v>1206</v>
      </c>
      <c r="B23" s="23" t="n">
        <v>5442.60079573896</v>
      </c>
      <c r="C23" s="23" t="n">
        <v>3000</v>
      </c>
      <c r="D23" s="28" t="s">
        <v>1207</v>
      </c>
      <c r="E23" s="28" t="s">
        <v>469</v>
      </c>
      <c r="F23" s="19" t="n">
        <v>0.0449</v>
      </c>
      <c r="G23" s="31" t="n">
        <v>1.8794</v>
      </c>
      <c r="H23" s="23" t="n">
        <v>-839.999999999999</v>
      </c>
      <c r="I23" s="23" t="n">
        <v>-66.4176708289688</v>
      </c>
      <c r="J23" s="28" t="s">
        <v>1196</v>
      </c>
      <c r="K23" s="28" t="s">
        <v>493</v>
      </c>
      <c r="L23" s="28" t="s">
        <v>867</v>
      </c>
    </row>
  </sheetData>
  <autoFilter ref="A1:L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21"/>
    <col collapsed="false" customWidth="true" hidden="false" outlineLevel="0" max="4" min="3" style="0" width="13"/>
    <col collapsed="false" customWidth="true" hidden="false" outlineLevel="0" max="5" min="5" style="0" width="11"/>
    <col collapsed="false" customWidth="true" hidden="false" outlineLevel="0" max="6" min="6" style="0" width="15"/>
    <col collapsed="false" customWidth="true" hidden="false" outlineLevel="0" max="7" min="7" style="0" width="44"/>
    <col collapsed="false" customWidth="true" hidden="false" outlineLevel="0" max="8" min="8" style="0" width="9"/>
    <col collapsed="false" customWidth="true" hidden="false" outlineLevel="0" max="9" min="9" style="0" width="60"/>
    <col collapsed="false" customWidth="true" hidden="false" outlineLevel="0" max="10" min="10" style="0" width="14"/>
    <col collapsed="false" customWidth="true" hidden="false" outlineLevel="0" max="11" min="11" style="0" width="15"/>
    <col collapsed="false" customWidth="true" hidden="false" outlineLevel="0" max="12" min="12" style="0" width="17"/>
    <col collapsed="false" customWidth="true" hidden="false" outlineLevel="0" max="13" min="13" style="0" width="15"/>
    <col collapsed="false" customWidth="true" hidden="false" outlineLevel="0" max="15" min="14" style="0" width="14"/>
  </cols>
  <sheetData>
    <row r="1" customFormat="false" ht="30" hidden="false" customHeight="true" outlineLevel="0" collapsed="false">
      <c r="A1" s="27" t="s">
        <v>236</v>
      </c>
      <c r="B1" s="27" t="s">
        <v>157</v>
      </c>
      <c r="C1" s="27" t="s">
        <v>1208</v>
      </c>
      <c r="D1" s="27" t="s">
        <v>1209</v>
      </c>
      <c r="E1" s="27" t="s">
        <v>1210</v>
      </c>
      <c r="F1" s="27" t="s">
        <v>1211</v>
      </c>
      <c r="G1" s="27" t="s">
        <v>237</v>
      </c>
      <c r="H1" s="27" t="s">
        <v>1000</v>
      </c>
      <c r="I1" s="27" t="s">
        <v>145</v>
      </c>
      <c r="J1" s="27" t="s">
        <v>442</v>
      </c>
      <c r="K1" s="27" t="s">
        <v>1212</v>
      </c>
      <c r="L1" s="27" t="s">
        <v>1213</v>
      </c>
      <c r="M1" s="27" t="s">
        <v>1214</v>
      </c>
      <c r="N1" s="27" t="s">
        <v>1215</v>
      </c>
      <c r="O1" s="27" t="s">
        <v>1216</v>
      </c>
    </row>
    <row r="2" customFormat="false" ht="15" hidden="false" customHeight="false" outlineLevel="0" collapsed="false">
      <c r="A2" s="28" t="s">
        <v>164</v>
      </c>
      <c r="B2" s="28" t="s">
        <v>172</v>
      </c>
      <c r="C2" s="19" t="n">
        <v>-0.2</v>
      </c>
      <c r="D2" s="28" t="s">
        <v>1217</v>
      </c>
      <c r="E2" s="19" t="n">
        <v>0.75</v>
      </c>
      <c r="F2" s="28" t="s">
        <v>1218</v>
      </c>
      <c r="G2" s="28" t="s">
        <v>1219</v>
      </c>
      <c r="H2" s="28" t="s">
        <v>1220</v>
      </c>
      <c r="I2" s="28"/>
      <c r="J2" s="28" t="s">
        <v>1221</v>
      </c>
      <c r="K2" s="7" t="str">
        <f aca="false">IF(COUNTIF(metric_registry!$A$2:$A$200,A2)&gt;0,"y","n")</f>
        <v>y</v>
      </c>
      <c r="L2" s="7" t="str">
        <f aca="false">IF(COUNTIF(scenarios!$A$2:$A$100,B2)+COUNTIF(liquidity_stress!$A$2:$A$400,B2)&gt;0,"y","n")</f>
        <v>y</v>
      </c>
      <c r="M2" s="9" t="n">
        <f aca="false">IF(COUNTIFS(metric_values!$A$2:$A$300,A2,metric_values!$B$2:$B$300,B2)=0,"",SUMIFS(metric_values!$C$2:$C$300,metric_values!$A$2:$A$300,A2,metric_values!$B$2:$B$300,B2))</f>
        <v>-0.110325742925539</v>
      </c>
      <c r="N2" s="14" t="n">
        <f aca="false">IF(M2="","",IF(D2="min",C2/M2,IF(D2="max_decline",IF(M2&gt;=0,0,ABS(M2)/ABS(C2)),ABS(M2)/ABS(C2))))</f>
        <v>0.551628714627697</v>
      </c>
      <c r="O2" s="7" t="str">
        <f aca="false">IF(M2="","No data",IF(D2="min",IF(M2&lt;C2,"Breach",IF(M2&lt;C2*(1+meta!$B$8),"Watch","Within limit")),IF(N2&gt;=1,"Breach",IF(N2&gt;=E2,"Watch","Within limit"))))</f>
        <v>Within limit</v>
      </c>
    </row>
    <row r="3" customFormat="false" ht="15" hidden="false" customHeight="false" outlineLevel="0" collapsed="false">
      <c r="A3" s="28" t="s">
        <v>164</v>
      </c>
      <c r="B3" s="28" t="s">
        <v>176</v>
      </c>
      <c r="C3" s="19" t="n">
        <v>-0.15</v>
      </c>
      <c r="D3" s="28" t="s">
        <v>1217</v>
      </c>
      <c r="E3" s="19" t="n">
        <v>0.75</v>
      </c>
      <c r="F3" s="28" t="s">
        <v>1218</v>
      </c>
      <c r="G3" s="28" t="s">
        <v>1219</v>
      </c>
      <c r="H3" s="28" t="s">
        <v>1220</v>
      </c>
      <c r="I3" s="28"/>
      <c r="J3" s="28" t="s">
        <v>1221</v>
      </c>
      <c r="K3" s="7" t="str">
        <f aca="false">IF(COUNTIF(metric_registry!$A$2:$A$200,A3)&gt;0,"y","n")</f>
        <v>y</v>
      </c>
      <c r="L3" s="7" t="str">
        <f aca="false">IF(COUNTIF(scenarios!$A$2:$A$100,B3)+COUNTIF(liquidity_stress!$A$2:$A$400,B3)&gt;0,"y","n")</f>
        <v>y</v>
      </c>
      <c r="M3" s="9" t="n">
        <f aca="false">IF(COUNTIFS(metric_values!$A$2:$A$300,A3,metric_values!$B$2:$B$300,B3)=0,"",SUMIFS(metric_values!$C$2:$C$300,metric_values!$A$2:$A$300,A3,metric_values!$B$2:$B$300,B3))</f>
        <v>-0.0717628919155806</v>
      </c>
      <c r="N3" s="14" t="n">
        <f aca="false">IF(M3="","",IF(D3="min",C3/M3,IF(D3="max_decline",IF(M3&gt;=0,0,ABS(M3)/ABS(C3)),ABS(M3)/ABS(C3))))</f>
        <v>0.478419279437204</v>
      </c>
      <c r="O3" s="7" t="str">
        <f aca="false">IF(M3="","No data",IF(D3="min",IF(M3&lt;C3,"Breach",IF(M3&lt;C3*(1+meta!$B$8),"Watch","Within limit")),IF(N3&gt;=1,"Breach",IF(N3&gt;=E3,"Watch","Within limit"))))</f>
        <v>Within limit</v>
      </c>
    </row>
    <row r="4" customFormat="false" ht="15" hidden="false" customHeight="false" outlineLevel="0" collapsed="false">
      <c r="A4" s="28" t="s">
        <v>164</v>
      </c>
      <c r="B4" s="28" t="s">
        <v>178</v>
      </c>
      <c r="C4" s="19" t="n">
        <v>-0.1</v>
      </c>
      <c r="D4" s="28" t="s">
        <v>1217</v>
      </c>
      <c r="E4" s="19" t="n">
        <v>0.75</v>
      </c>
      <c r="F4" s="28" t="s">
        <v>1218</v>
      </c>
      <c r="G4" s="28" t="s">
        <v>1219</v>
      </c>
      <c r="H4" s="28" t="s">
        <v>1220</v>
      </c>
      <c r="I4" s="28"/>
      <c r="J4" s="28" t="s">
        <v>1221</v>
      </c>
      <c r="K4" s="7" t="str">
        <f aca="false">IF(COUNTIF(metric_registry!$A$2:$A$200,A4)&gt;0,"y","n")</f>
        <v>y</v>
      </c>
      <c r="L4" s="7" t="str">
        <f aca="false">IF(COUNTIF(scenarios!$A$2:$A$100,B4)+COUNTIF(liquidity_stress!$A$2:$A$400,B4)&gt;0,"y","n")</f>
        <v>y</v>
      </c>
      <c r="M4" s="9" t="n">
        <f aca="false">IF(COUNTIFS(metric_values!$A$2:$A$300,A4,metric_values!$B$2:$B$300,B4)=0,"",SUMIFS(metric_values!$C$2:$C$300,metric_values!$A$2:$A$300,A4,metric_values!$B$2:$B$300,B4))</f>
        <v>-0.0329544269891778</v>
      </c>
      <c r="N4" s="14" t="n">
        <f aca="false">IF(M4="","",IF(D4="min",C4/M4,IF(D4="max_decline",IF(M4&gt;=0,0,ABS(M4)/ABS(C4)),ABS(M4)/ABS(C4))))</f>
        <v>0.329544269891778</v>
      </c>
      <c r="O4" s="7" t="str">
        <f aca="false">IF(M4="","No data",IF(D4="min",IF(M4&lt;C4,"Breach",IF(M4&lt;C4*(1+meta!$B$8),"Watch","Within limit")),IF(N4&gt;=1,"Breach",IF(N4&gt;=E4,"Watch","Within limit"))))</f>
        <v>Within limit</v>
      </c>
    </row>
    <row r="5" customFormat="false" ht="15" hidden="false" customHeight="false" outlineLevel="0" collapsed="false">
      <c r="A5" s="28" t="s">
        <v>164</v>
      </c>
      <c r="B5" s="28" t="s">
        <v>182</v>
      </c>
      <c r="C5" s="19" t="n">
        <v>-0.1</v>
      </c>
      <c r="D5" s="28" t="s">
        <v>1217</v>
      </c>
      <c r="E5" s="19" t="n">
        <v>0.75</v>
      </c>
      <c r="F5" s="28" t="s">
        <v>1218</v>
      </c>
      <c r="G5" s="28" t="s">
        <v>1219</v>
      </c>
      <c r="H5" s="28" t="s">
        <v>1220</v>
      </c>
      <c r="I5" s="28"/>
      <c r="J5" s="28" t="s">
        <v>1221</v>
      </c>
      <c r="K5" s="7" t="str">
        <f aca="false">IF(COUNTIF(metric_registry!$A$2:$A$200,A5)&gt;0,"y","n")</f>
        <v>y</v>
      </c>
      <c r="L5" s="7" t="str">
        <f aca="false">IF(COUNTIF(scenarios!$A$2:$A$100,B5)+COUNTIF(liquidity_stress!$A$2:$A$400,B5)&gt;0,"y","n")</f>
        <v>y</v>
      </c>
      <c r="M5" s="9" t="n">
        <f aca="false">IF(COUNTIFS(metric_values!$A$2:$A$300,A5,metric_values!$B$2:$B$300,B5)=0,"",SUMIFS(metric_values!$C$2:$C$300,metric_values!$A$2:$A$300,A5,metric_values!$B$2:$B$300,B5))</f>
        <v>0.0137634099490989</v>
      </c>
      <c r="N5" s="14" t="n">
        <f aca="false">IF(M5="","",IF(D5="min",C5/M5,IF(D5="max_decline",IF(M5&gt;=0,0,ABS(M5)/ABS(C5)),ABS(M5)/ABS(C5))))</f>
        <v>0</v>
      </c>
      <c r="O5" s="7" t="str">
        <f aca="false">IF(M5="","No data",IF(D5="min",IF(M5&lt;C5,"Breach",IF(M5&lt;C5*(1+meta!$B$8),"Watch","Within limit")),IF(N5&gt;=1,"Breach",IF(N5&gt;=E5,"Watch","Within limit"))))</f>
        <v>Within limit</v>
      </c>
    </row>
    <row r="6" customFormat="false" ht="15" hidden="false" customHeight="false" outlineLevel="0" collapsed="false">
      <c r="A6" s="28" t="s">
        <v>164</v>
      </c>
      <c r="B6" s="28" t="s">
        <v>184</v>
      </c>
      <c r="C6" s="19" t="n">
        <v>-0.15</v>
      </c>
      <c r="D6" s="28" t="s">
        <v>1217</v>
      </c>
      <c r="E6" s="19" t="n">
        <v>0.75</v>
      </c>
      <c r="F6" s="28" t="s">
        <v>1218</v>
      </c>
      <c r="G6" s="28" t="s">
        <v>1219</v>
      </c>
      <c r="H6" s="28" t="s">
        <v>1220</v>
      </c>
      <c r="I6" s="28"/>
      <c r="J6" s="28" t="s">
        <v>1221</v>
      </c>
      <c r="K6" s="7" t="str">
        <f aca="false">IF(COUNTIF(metric_registry!$A$2:$A$200,A6)&gt;0,"y","n")</f>
        <v>y</v>
      </c>
      <c r="L6" s="7" t="str">
        <f aca="false">IF(COUNTIF(scenarios!$A$2:$A$100,B6)+COUNTIF(liquidity_stress!$A$2:$A$400,B6)&gt;0,"y","n")</f>
        <v>y</v>
      </c>
      <c r="M6" s="9" t="n">
        <f aca="false">IF(COUNTIFS(metric_values!$A$2:$A$300,A6,metric_values!$B$2:$B$300,B6)=0,"",SUMIFS(metric_values!$C$2:$C$300,metric_values!$A$2:$A$300,A6,metric_values!$B$2:$B$300,B6))</f>
        <v>0.0223940684251116</v>
      </c>
      <c r="N6" s="14" t="n">
        <f aca="false">IF(M6="","",IF(D6="min",C6/M6,IF(D6="max_decline",IF(M6&gt;=0,0,ABS(M6)/ABS(C6)),ABS(M6)/ABS(C6))))</f>
        <v>0</v>
      </c>
      <c r="O6" s="7" t="str">
        <f aca="false">IF(M6="","No data",IF(D6="min",IF(M6&lt;C6,"Breach",IF(M6&lt;C6*(1+meta!$B$8),"Watch","Within limit")),IF(N6&gt;=1,"Breach",IF(N6&gt;=E6,"Watch","Within limit"))))</f>
        <v>Within limit</v>
      </c>
    </row>
    <row r="7" customFormat="false" ht="15" hidden="false" customHeight="false" outlineLevel="0" collapsed="false">
      <c r="A7" s="28" t="s">
        <v>164</v>
      </c>
      <c r="B7" s="28" t="s">
        <v>186</v>
      </c>
      <c r="C7" s="19" t="n">
        <v>-0.2</v>
      </c>
      <c r="D7" s="28" t="s">
        <v>1217</v>
      </c>
      <c r="E7" s="19" t="n">
        <v>0.75</v>
      </c>
      <c r="F7" s="28" t="s">
        <v>1218</v>
      </c>
      <c r="G7" s="28" t="s">
        <v>1219</v>
      </c>
      <c r="H7" s="28" t="s">
        <v>1220</v>
      </c>
      <c r="I7" s="28"/>
      <c r="J7" s="28" t="s">
        <v>1221</v>
      </c>
      <c r="K7" s="7" t="str">
        <f aca="false">IF(COUNTIF(metric_registry!$A$2:$A$200,A7)&gt;0,"y","n")</f>
        <v>y</v>
      </c>
      <c r="L7" s="7" t="str">
        <f aca="false">IF(COUNTIF(scenarios!$A$2:$A$100,B7)+COUNTIF(liquidity_stress!$A$2:$A$400,B7)&gt;0,"y","n")</f>
        <v>y</v>
      </c>
      <c r="M7" s="9" t="n">
        <f aca="false">IF(COUNTIFS(metric_values!$A$2:$A$300,A7,metric_values!$B$2:$B$300,B7)=0,"",SUMIFS(metric_values!$C$2:$C$300,metric_values!$A$2:$A$300,A7,metric_values!$B$2:$B$300,B7))</f>
        <v>0.027888349947288</v>
      </c>
      <c r="N7" s="14" t="n">
        <f aca="false">IF(M7="","",IF(D7="min",C7/M7,IF(D7="max_decline",IF(M7&gt;=0,0,ABS(M7)/ABS(C7)),ABS(M7)/ABS(C7))))</f>
        <v>0</v>
      </c>
      <c r="O7" s="7" t="str">
        <f aca="false">IF(M7="","No data",IF(D7="min",IF(M7&lt;C7,"Breach",IF(M7&lt;C7*(1+meta!$B$8),"Watch","Within limit")),IF(N7&gt;=1,"Breach",IF(N7&gt;=E7,"Watch","Within limit"))))</f>
        <v>Within limit</v>
      </c>
    </row>
    <row r="8" customFormat="false" ht="15" hidden="false" customHeight="false" outlineLevel="0" collapsed="false">
      <c r="A8" s="28" t="s">
        <v>164</v>
      </c>
      <c r="B8" s="28" t="s">
        <v>188</v>
      </c>
      <c r="C8" s="19" t="n">
        <v>-0.25</v>
      </c>
      <c r="D8" s="28" t="s">
        <v>1217</v>
      </c>
      <c r="E8" s="19" t="n">
        <v>0.75</v>
      </c>
      <c r="F8" s="28" t="s">
        <v>1218</v>
      </c>
      <c r="G8" s="28" t="s">
        <v>1219</v>
      </c>
      <c r="H8" s="28" t="s">
        <v>1220</v>
      </c>
      <c r="I8" s="28"/>
      <c r="J8" s="28" t="s">
        <v>1221</v>
      </c>
      <c r="K8" s="7" t="str">
        <f aca="false">IF(COUNTIF(metric_registry!$A$2:$A$200,A8)&gt;0,"y","n")</f>
        <v>y</v>
      </c>
      <c r="L8" s="7" t="str">
        <f aca="false">IF(COUNTIF(scenarios!$A$2:$A$100,B8)+COUNTIF(liquidity_stress!$A$2:$A$400,B8)&gt;0,"y","n")</f>
        <v>y</v>
      </c>
      <c r="M8" s="9" t="n">
        <f aca="false">IF(COUNTIFS(metric_values!$A$2:$A$300,A8,metric_values!$B$2:$B$300,B8)=0,"",SUMIFS(metric_values!$C$2:$C$300,metric_values!$A$2:$A$300,A8,metric_values!$B$2:$B$300,B8))</f>
        <v>0.0294418213153276</v>
      </c>
      <c r="N8" s="14" t="n">
        <f aca="false">IF(M8="","",IF(D8="min",C8/M8,IF(D8="max_decline",IF(M8&gt;=0,0,ABS(M8)/ABS(C8)),ABS(M8)/ABS(C8))))</f>
        <v>0</v>
      </c>
      <c r="O8" s="7" t="str">
        <f aca="false">IF(M8="","No data",IF(D8="min",IF(M8&lt;C8,"Breach",IF(M8&lt;C8*(1+meta!$B$8),"Watch","Within limit")),IF(N8&gt;=1,"Breach",IF(N8&gt;=E8,"Watch","Within limit"))))</f>
        <v>Within limit</v>
      </c>
    </row>
    <row r="9" customFormat="false" ht="15" hidden="false" customHeight="false" outlineLevel="0" collapsed="false">
      <c r="A9" s="28" t="s">
        <v>165</v>
      </c>
      <c r="B9" s="28" t="s">
        <v>172</v>
      </c>
      <c r="C9" s="19" t="n">
        <v>-0.25</v>
      </c>
      <c r="D9" s="28" t="s">
        <v>1217</v>
      </c>
      <c r="E9" s="19" t="n">
        <v>0.75</v>
      </c>
      <c r="F9" s="28" t="s">
        <v>1218</v>
      </c>
      <c r="G9" s="28" t="s">
        <v>1222</v>
      </c>
      <c r="H9" s="28" t="s">
        <v>1220</v>
      </c>
      <c r="I9" s="28"/>
      <c r="J9" s="28" t="s">
        <v>1221</v>
      </c>
      <c r="K9" s="7" t="str">
        <f aca="false">IF(COUNTIF(metric_registry!$A$2:$A$200,A9)&gt;0,"y","n")</f>
        <v>y</v>
      </c>
      <c r="L9" s="7" t="str">
        <f aca="false">IF(COUNTIF(scenarios!$A$2:$A$100,B9)+COUNTIF(liquidity_stress!$A$2:$A$400,B9)&gt;0,"y","n")</f>
        <v>y</v>
      </c>
      <c r="M9" s="9" t="n">
        <f aca="false">IF(COUNTIFS(metric_values!$A$2:$A$300,A9,metric_values!$B$2:$B$300,B9)=0,"",SUMIFS(metric_values!$C$2:$C$300,metric_values!$A$2:$A$300,A9,metric_values!$B$2:$B$300,B9))</f>
        <v>-0.142896236233592</v>
      </c>
      <c r="N9" s="14" t="n">
        <f aca="false">IF(M9="","",IF(D9="min",C9/M9,IF(D9="max_decline",IF(M9&gt;=0,0,ABS(M9)/ABS(C9)),ABS(M9)/ABS(C9))))</f>
        <v>0.571584944934368</v>
      </c>
      <c r="O9" s="7" t="str">
        <f aca="false">IF(M9="","No data",IF(D9="min",IF(M9&lt;C9,"Breach",IF(M9&lt;C9*(1+meta!$B$8),"Watch","Within limit")),IF(N9&gt;=1,"Breach",IF(N9&gt;=E9,"Watch","Within limit"))))</f>
        <v>Within limit</v>
      </c>
    </row>
    <row r="10" customFormat="false" ht="15" hidden="false" customHeight="false" outlineLevel="0" collapsed="false">
      <c r="A10" s="28" t="s">
        <v>165</v>
      </c>
      <c r="B10" s="28" t="s">
        <v>176</v>
      </c>
      <c r="C10" s="19" t="n">
        <v>-0.2</v>
      </c>
      <c r="D10" s="28" t="s">
        <v>1217</v>
      </c>
      <c r="E10" s="19" t="n">
        <v>0.75</v>
      </c>
      <c r="F10" s="28" t="s">
        <v>1218</v>
      </c>
      <c r="G10" s="28" t="s">
        <v>1222</v>
      </c>
      <c r="H10" s="28" t="s">
        <v>1220</v>
      </c>
      <c r="I10" s="28"/>
      <c r="J10" s="28" t="s">
        <v>1221</v>
      </c>
      <c r="K10" s="7" t="str">
        <f aca="false">IF(COUNTIF(metric_registry!$A$2:$A$200,A10)&gt;0,"y","n")</f>
        <v>y</v>
      </c>
      <c r="L10" s="7" t="str">
        <f aca="false">IF(COUNTIF(scenarios!$A$2:$A$100,B10)+COUNTIF(liquidity_stress!$A$2:$A$400,B10)&gt;0,"y","n")</f>
        <v>y</v>
      </c>
      <c r="M10" s="9" t="n">
        <f aca="false">IF(COUNTIFS(metric_values!$A$2:$A$300,A10,metric_values!$B$2:$B$300,B10)=0,"",SUMIFS(metric_values!$C$2:$C$300,metric_values!$A$2:$A$300,A10,metric_values!$B$2:$B$300,B10))</f>
        <v>-0.088105172860859</v>
      </c>
      <c r="N10" s="14" t="n">
        <f aca="false">IF(M10="","",IF(D10="min",C10/M10,IF(D10="max_decline",IF(M10&gt;=0,0,ABS(M10)/ABS(C10)),ABS(M10)/ABS(C10))))</f>
        <v>0.440525864304295</v>
      </c>
      <c r="O10" s="7" t="str">
        <f aca="false">IF(M10="","No data",IF(D10="min",IF(M10&lt;C10,"Breach",IF(M10&lt;C10*(1+meta!$B$8),"Watch","Within limit")),IF(N10&gt;=1,"Breach",IF(N10&gt;=E10,"Watch","Within limit"))))</f>
        <v>Within limit</v>
      </c>
    </row>
    <row r="11" customFormat="false" ht="15" hidden="false" customHeight="false" outlineLevel="0" collapsed="false">
      <c r="A11" s="28" t="s">
        <v>165</v>
      </c>
      <c r="B11" s="28" t="s">
        <v>184</v>
      </c>
      <c r="C11" s="19" t="n">
        <v>-0.2</v>
      </c>
      <c r="D11" s="28" t="s">
        <v>1217</v>
      </c>
      <c r="E11" s="19" t="n">
        <v>0.75</v>
      </c>
      <c r="F11" s="28" t="s">
        <v>1218</v>
      </c>
      <c r="G11" s="28" t="s">
        <v>1222</v>
      </c>
      <c r="H11" s="28" t="s">
        <v>1220</v>
      </c>
      <c r="I11" s="28"/>
      <c r="J11" s="28" t="s">
        <v>1221</v>
      </c>
      <c r="K11" s="7" t="str">
        <f aca="false">IF(COUNTIF(metric_registry!$A$2:$A$200,A11)&gt;0,"y","n")</f>
        <v>y</v>
      </c>
      <c r="L11" s="7" t="str">
        <f aca="false">IF(COUNTIF(scenarios!$A$2:$A$100,B11)+COUNTIF(liquidity_stress!$A$2:$A$400,B11)&gt;0,"y","n")</f>
        <v>y</v>
      </c>
      <c r="M11" s="9" t="n">
        <f aca="false">IF(COUNTIFS(metric_values!$A$2:$A$300,A11,metric_values!$B$2:$B$300,B11)=0,"",SUMIFS(metric_values!$C$2:$C$300,metric_values!$A$2:$A$300,A11,metric_values!$B$2:$B$300,B11))</f>
        <v>0.00880764962342773</v>
      </c>
      <c r="N11" s="14" t="n">
        <f aca="false">IF(M11="","",IF(D11="min",C11/M11,IF(D11="max_decline",IF(M11&gt;=0,0,ABS(M11)/ABS(C11)),ABS(M11)/ABS(C11))))</f>
        <v>0</v>
      </c>
      <c r="O11" s="7" t="str">
        <f aca="false">IF(M11="","No data",IF(D11="min",IF(M11&lt;C11,"Breach",IF(M11&lt;C11*(1+meta!$B$8),"Watch","Within limit")),IF(N11&gt;=1,"Breach",IF(N11&gt;=E11,"Watch","Within limit"))))</f>
        <v>Within limit</v>
      </c>
    </row>
    <row r="12" customFormat="false" ht="15" hidden="false" customHeight="false" outlineLevel="0" collapsed="false">
      <c r="A12" s="28" t="s">
        <v>165</v>
      </c>
      <c r="B12" s="28" t="s">
        <v>186</v>
      </c>
      <c r="C12" s="19" t="n">
        <v>-0.25</v>
      </c>
      <c r="D12" s="28" t="s">
        <v>1217</v>
      </c>
      <c r="E12" s="19" t="n">
        <v>0.75</v>
      </c>
      <c r="F12" s="28" t="s">
        <v>1218</v>
      </c>
      <c r="G12" s="28" t="s">
        <v>1222</v>
      </c>
      <c r="H12" s="28" t="s">
        <v>1220</v>
      </c>
      <c r="I12" s="28"/>
      <c r="J12" s="28" t="s">
        <v>1221</v>
      </c>
      <c r="K12" s="7" t="str">
        <f aca="false">IF(COUNTIF(metric_registry!$A$2:$A$200,A12)&gt;0,"y","n")</f>
        <v>y</v>
      </c>
      <c r="L12" s="7" t="str">
        <f aca="false">IF(COUNTIF(scenarios!$A$2:$A$100,B12)+COUNTIF(liquidity_stress!$A$2:$A$400,B12)&gt;0,"y","n")</f>
        <v>y</v>
      </c>
      <c r="M12" s="9" t="n">
        <f aca="false">IF(COUNTIFS(metric_values!$A$2:$A$300,A12,metric_values!$B$2:$B$300,B12)=0,"",SUMIFS(metric_values!$C$2:$C$300,metric_values!$A$2:$A$300,A12,metric_values!$B$2:$B$300,B12))</f>
        <v>0.00309635513824613</v>
      </c>
      <c r="N12" s="14" t="n">
        <f aca="false">IF(M12="","",IF(D12="min",C12/M12,IF(D12="max_decline",IF(M12&gt;=0,0,ABS(M12)/ABS(C12)),ABS(M12)/ABS(C12))))</f>
        <v>0</v>
      </c>
      <c r="O12" s="7" t="str">
        <f aca="false">IF(M12="","No data",IF(D12="min",IF(M12&lt;C12,"Breach",IF(M12&lt;C12*(1+meta!$B$8),"Watch","Within limit")),IF(N12&gt;=1,"Breach",IF(N12&gt;=E12,"Watch","Within limit"))))</f>
        <v>Within limit</v>
      </c>
    </row>
    <row r="13" customFormat="false" ht="15" hidden="false" customHeight="false" outlineLevel="0" collapsed="false">
      <c r="A13" s="28" t="s">
        <v>164</v>
      </c>
      <c r="B13" s="28" t="s">
        <v>190</v>
      </c>
      <c r="C13" s="19" t="n">
        <v>-0.1</v>
      </c>
      <c r="D13" s="28" t="s">
        <v>1217</v>
      </c>
      <c r="E13" s="19" t="n">
        <v>0.75</v>
      </c>
      <c r="F13" s="28" t="s">
        <v>1218</v>
      </c>
      <c r="G13" s="28" t="s">
        <v>1223</v>
      </c>
      <c r="H13" s="28" t="s">
        <v>1220</v>
      </c>
      <c r="I13" s="28"/>
      <c r="J13" s="28" t="s">
        <v>1221</v>
      </c>
      <c r="K13" s="7" t="str">
        <f aca="false">IF(COUNTIF(metric_registry!$A$2:$A$200,A13)&gt;0,"y","n")</f>
        <v>y</v>
      </c>
      <c r="L13" s="7" t="str">
        <f aca="false">IF(COUNTIF(scenarios!$A$2:$A$100,B13)+COUNTIF(liquidity_stress!$A$2:$A$400,B13)&gt;0,"y","n")</f>
        <v>y</v>
      </c>
      <c r="M13" s="9" t="n">
        <f aca="false">IF(COUNTIFS(metric_values!$A$2:$A$300,A13,metric_values!$B$2:$B$300,B13)=0,"",SUMIFS(metric_values!$C$2:$C$300,metric_values!$A$2:$A$300,A13,metric_values!$B$2:$B$300,B13))</f>
        <v>-0.0391185131087563</v>
      </c>
      <c r="N13" s="14" t="n">
        <f aca="false">IF(M13="","",IF(D13="min",C13/M13,IF(D13="max_decline",IF(M13&gt;=0,0,ABS(M13)/ABS(C13)),ABS(M13)/ABS(C13))))</f>
        <v>0.391185131087563</v>
      </c>
      <c r="O13" s="7" t="str">
        <f aca="false">IF(M13="","No data",IF(D13="min",IF(M13&lt;C13,"Breach",IF(M13&lt;C13*(1+meta!$B$8),"Watch","Within limit")),IF(N13&gt;=1,"Breach",IF(N13&gt;=E13,"Watch","Within limit"))))</f>
        <v>Within limit</v>
      </c>
    </row>
    <row r="14" customFormat="false" ht="15" hidden="false" customHeight="false" outlineLevel="0" collapsed="false">
      <c r="A14" s="28" t="s">
        <v>164</v>
      </c>
      <c r="B14" s="28" t="s">
        <v>194</v>
      </c>
      <c r="C14" s="19" t="n">
        <v>-0.05</v>
      </c>
      <c r="D14" s="28" t="s">
        <v>1217</v>
      </c>
      <c r="E14" s="19" t="n">
        <v>0.75</v>
      </c>
      <c r="F14" s="28" t="s">
        <v>1218</v>
      </c>
      <c r="G14" s="28" t="s">
        <v>1223</v>
      </c>
      <c r="H14" s="28" t="s">
        <v>1220</v>
      </c>
      <c r="I14" s="28"/>
      <c r="J14" s="28" t="s">
        <v>1221</v>
      </c>
      <c r="K14" s="7" t="str">
        <f aca="false">IF(COUNTIF(metric_registry!$A$2:$A$200,A14)&gt;0,"y","n")</f>
        <v>y</v>
      </c>
      <c r="L14" s="7" t="str">
        <f aca="false">IF(COUNTIF(scenarios!$A$2:$A$100,B14)+COUNTIF(liquidity_stress!$A$2:$A$400,B14)&gt;0,"y","n")</f>
        <v>y</v>
      </c>
      <c r="M14" s="9" t="n">
        <f aca="false">IF(COUNTIFS(metric_values!$A$2:$A$300,A14,metric_values!$B$2:$B$300,B14)=0,"",SUMIFS(metric_values!$C$2:$C$300,metric_values!$A$2:$A$300,A14,metric_values!$B$2:$B$300,B14))</f>
        <v>-0.0193835291598071</v>
      </c>
      <c r="N14" s="14" t="n">
        <f aca="false">IF(M14="","",IF(D14="min",C14/M14,IF(D14="max_decline",IF(M14&gt;=0,0,ABS(M14)/ABS(C14)),ABS(M14)/ABS(C14))))</f>
        <v>0.387670583196142</v>
      </c>
      <c r="O14" s="7" t="str">
        <f aca="false">IF(M14="","No data",IF(D14="min",IF(M14&lt;C14,"Breach",IF(M14&lt;C14*(1+meta!$B$8),"Watch","Within limit")),IF(N14&gt;=1,"Breach",IF(N14&gt;=E14,"Watch","Within limit"))))</f>
        <v>Within limit</v>
      </c>
    </row>
    <row r="15" customFormat="false" ht="15" hidden="false" customHeight="false" outlineLevel="0" collapsed="false">
      <c r="A15" s="28" t="s">
        <v>164</v>
      </c>
      <c r="B15" s="28" t="s">
        <v>196</v>
      </c>
      <c r="C15" s="19" t="n">
        <v>-0.05</v>
      </c>
      <c r="D15" s="28" t="s">
        <v>1217</v>
      </c>
      <c r="E15" s="19" t="n">
        <v>0.75</v>
      </c>
      <c r="F15" s="28" t="s">
        <v>1218</v>
      </c>
      <c r="G15" s="28" t="s">
        <v>1223</v>
      </c>
      <c r="H15" s="28" t="s">
        <v>1220</v>
      </c>
      <c r="I15" s="28"/>
      <c r="J15" s="28" t="s">
        <v>1221</v>
      </c>
      <c r="K15" s="7" t="str">
        <f aca="false">IF(COUNTIF(metric_registry!$A$2:$A$200,A15)&gt;0,"y","n")</f>
        <v>y</v>
      </c>
      <c r="L15" s="7" t="str">
        <f aca="false">IF(COUNTIF(scenarios!$A$2:$A$100,B15)+COUNTIF(liquidity_stress!$A$2:$A$400,B15)&gt;0,"y","n")</f>
        <v>y</v>
      </c>
      <c r="M15" s="9" t="n">
        <f aca="false">IF(COUNTIFS(metric_values!$A$2:$A$300,A15,metric_values!$B$2:$B$300,B15)=0,"",SUMIFS(metric_values!$C$2:$C$300,metric_values!$A$2:$A$300,A15,metric_values!$B$2:$B$300,B15))</f>
        <v>0.0104067960965659</v>
      </c>
      <c r="N15" s="14" t="n">
        <f aca="false">IF(M15="","",IF(D15="min",C15/M15,IF(D15="max_decline",IF(M15&gt;=0,0,ABS(M15)/ABS(C15)),ABS(M15)/ABS(C15))))</f>
        <v>0</v>
      </c>
      <c r="O15" s="7" t="str">
        <f aca="false">IF(M15="","No data",IF(D15="min",IF(M15&lt;C15,"Breach",IF(M15&lt;C15*(1+meta!$B$8),"Watch","Within limit")),IF(N15&gt;=1,"Breach",IF(N15&gt;=E15,"Watch","Within limit"))))</f>
        <v>Within limit</v>
      </c>
    </row>
    <row r="16" customFormat="false" ht="15" hidden="false" customHeight="false" outlineLevel="0" collapsed="false">
      <c r="A16" s="28" t="s">
        <v>164</v>
      </c>
      <c r="B16" s="28" t="s">
        <v>198</v>
      </c>
      <c r="C16" s="19" t="n">
        <v>-0.1</v>
      </c>
      <c r="D16" s="28" t="s">
        <v>1217</v>
      </c>
      <c r="E16" s="19" t="n">
        <v>0.75</v>
      </c>
      <c r="F16" s="28" t="s">
        <v>1218</v>
      </c>
      <c r="G16" s="28" t="s">
        <v>1223</v>
      </c>
      <c r="H16" s="28" t="s">
        <v>1220</v>
      </c>
      <c r="I16" s="28"/>
      <c r="J16" s="28" t="s">
        <v>1221</v>
      </c>
      <c r="K16" s="7" t="str">
        <f aca="false">IF(COUNTIF(metric_registry!$A$2:$A$200,A16)&gt;0,"y","n")</f>
        <v>y</v>
      </c>
      <c r="L16" s="7" t="str">
        <f aca="false">IF(COUNTIF(scenarios!$A$2:$A$100,B16)+COUNTIF(liquidity_stress!$A$2:$A$400,B16)&gt;0,"y","n")</f>
        <v>y</v>
      </c>
      <c r="M16" s="9" t="n">
        <f aca="false">IF(COUNTIFS(metric_values!$A$2:$A$300,A16,metric_values!$B$2:$B$300,B16)=0,"",SUMIFS(metric_values!$C$2:$C$300,metric_values!$A$2:$A$300,A16,metric_values!$B$2:$B$300,B16))</f>
        <v>0.0188594322074591</v>
      </c>
      <c r="N16" s="14" t="n">
        <f aca="false">IF(M16="","",IF(D16="min",C16/M16,IF(D16="max_decline",IF(M16&gt;=0,0,ABS(M16)/ABS(C16)),ABS(M16)/ABS(C16))))</f>
        <v>0</v>
      </c>
      <c r="O16" s="7" t="str">
        <f aca="false">IF(M16="","No data",IF(D16="min",IF(M16&lt;C16,"Breach",IF(M16&lt;C16*(1+meta!$B$8),"Watch","Within limit")),IF(N16&gt;=1,"Breach",IF(N16&gt;=E16,"Watch","Within limit"))))</f>
        <v>Within limit</v>
      </c>
    </row>
    <row r="17" customFormat="false" ht="15" hidden="false" customHeight="false" outlineLevel="0" collapsed="false">
      <c r="A17" s="28" t="s">
        <v>171</v>
      </c>
      <c r="B17" s="28" t="s">
        <v>172</v>
      </c>
      <c r="C17" s="19" t="n">
        <v>-0.35</v>
      </c>
      <c r="D17" s="28" t="s">
        <v>1217</v>
      </c>
      <c r="E17" s="19" t="n">
        <v>0.75</v>
      </c>
      <c r="F17" s="28" t="s">
        <v>1218</v>
      </c>
      <c r="G17" s="28" t="s">
        <v>1224</v>
      </c>
      <c r="H17" s="28" t="s">
        <v>1220</v>
      </c>
      <c r="I17" s="28"/>
      <c r="J17" s="28" t="s">
        <v>1221</v>
      </c>
      <c r="K17" s="7" t="str">
        <f aca="false">IF(COUNTIF(metric_registry!$A$2:$A$200,A17)&gt;0,"y","n")</f>
        <v>y</v>
      </c>
      <c r="L17" s="7" t="str">
        <f aca="false">IF(COUNTIF(scenarios!$A$2:$A$100,B17)+COUNTIF(liquidity_stress!$A$2:$A$400,B17)&gt;0,"y","n")</f>
        <v>y</v>
      </c>
      <c r="M17" s="9" t="n">
        <f aca="false">IF(COUNTIFS(metric_values!$A$2:$A$300,A17,metric_values!$B$2:$B$300,B17)=0,"",SUMIFS(metric_values!$C$2:$C$300,metric_values!$A$2:$A$300,A17,metric_values!$B$2:$B$300,B17))</f>
        <v>0.0441380663407842</v>
      </c>
      <c r="N17" s="14" t="n">
        <f aca="false">IF(M17="","",IF(D17="min",C17/M17,IF(D17="max_decline",IF(M17&gt;=0,0,ABS(M17)/ABS(C17)),ABS(M17)/ABS(C17))))</f>
        <v>0</v>
      </c>
      <c r="O17" s="7" t="str">
        <f aca="false">IF(M17="","No data",IF(D17="min",IF(M17&lt;C17,"Breach",IF(M17&lt;C17*(1+meta!$B$8),"Watch","Within limit")),IF(N17&gt;=1,"Breach",IF(N17&gt;=E17,"Watch","Within limit"))))</f>
        <v>Within limit</v>
      </c>
    </row>
    <row r="18" customFormat="false" ht="15" hidden="false" customHeight="false" outlineLevel="0" collapsed="false">
      <c r="A18" s="28" t="s">
        <v>171</v>
      </c>
      <c r="B18" s="28" t="s">
        <v>176</v>
      </c>
      <c r="C18" s="19" t="n">
        <v>-0.25</v>
      </c>
      <c r="D18" s="28" t="s">
        <v>1217</v>
      </c>
      <c r="E18" s="19" t="n">
        <v>0.75</v>
      </c>
      <c r="F18" s="28" t="s">
        <v>1218</v>
      </c>
      <c r="G18" s="28" t="s">
        <v>1224</v>
      </c>
      <c r="H18" s="28" t="s">
        <v>1220</v>
      </c>
      <c r="I18" s="28"/>
      <c r="J18" s="28" t="s">
        <v>1221</v>
      </c>
      <c r="K18" s="7" t="str">
        <f aca="false">IF(COUNTIF(metric_registry!$A$2:$A$200,A18)&gt;0,"y","n")</f>
        <v>y</v>
      </c>
      <c r="L18" s="7" t="str">
        <f aca="false">IF(COUNTIF(scenarios!$A$2:$A$100,B18)+COUNTIF(liquidity_stress!$A$2:$A$400,B18)&gt;0,"y","n")</f>
        <v>y</v>
      </c>
      <c r="M18" s="9" t="n">
        <f aca="false">IF(COUNTIFS(metric_values!$A$2:$A$300,A18,metric_values!$B$2:$B$300,B18)=0,"",SUMIFS(metric_values!$C$2:$C$300,metric_values!$A$2:$A$300,A18,metric_values!$B$2:$B$300,B18))</f>
        <v>0.0417426248049169</v>
      </c>
      <c r="N18" s="14" t="n">
        <f aca="false">IF(M18="","",IF(D18="min",C18/M18,IF(D18="max_decline",IF(M18&gt;=0,0,ABS(M18)/ABS(C18)),ABS(M18)/ABS(C18))))</f>
        <v>0</v>
      </c>
      <c r="O18" s="7" t="str">
        <f aca="false">IF(M18="","No data",IF(D18="min",IF(M18&lt;C18,"Breach",IF(M18&lt;C18*(1+meta!$B$8),"Watch","Within limit")),IF(N18&gt;=1,"Breach",IF(N18&gt;=E18,"Watch","Within limit"))))</f>
        <v>Within limit</v>
      </c>
    </row>
    <row r="19" customFormat="false" ht="15" hidden="false" customHeight="false" outlineLevel="0" collapsed="false">
      <c r="A19" s="28" t="s">
        <v>171</v>
      </c>
      <c r="B19" s="28" t="s">
        <v>178</v>
      </c>
      <c r="C19" s="19" t="n">
        <v>-0.15</v>
      </c>
      <c r="D19" s="28" t="s">
        <v>1217</v>
      </c>
      <c r="E19" s="19" t="n">
        <v>0.75</v>
      </c>
      <c r="F19" s="28" t="s">
        <v>1218</v>
      </c>
      <c r="G19" s="28" t="s">
        <v>1224</v>
      </c>
      <c r="H19" s="28" t="s">
        <v>1220</v>
      </c>
      <c r="I19" s="28"/>
      <c r="J19" s="28" t="s">
        <v>1221</v>
      </c>
      <c r="K19" s="7" t="str">
        <f aca="false">IF(COUNTIF(metric_registry!$A$2:$A$200,A19)&gt;0,"y","n")</f>
        <v>y</v>
      </c>
      <c r="L19" s="7" t="str">
        <f aca="false">IF(COUNTIF(scenarios!$A$2:$A$100,B19)+COUNTIF(liquidity_stress!$A$2:$A$400,B19)&gt;0,"y","n")</f>
        <v>y</v>
      </c>
      <c r="M19" s="9" t="n">
        <f aca="false">IF(COUNTIFS(metric_values!$A$2:$A$300,A19,metric_values!$B$2:$B$300,B19)=0,"",SUMIFS(metric_values!$C$2:$C$300,metric_values!$A$2:$A$300,A19,metric_values!$B$2:$B$300,B19))</f>
        <v>0.0299412765267868</v>
      </c>
      <c r="N19" s="14" t="n">
        <f aca="false">IF(M19="","",IF(D19="min",C19/M19,IF(D19="max_decline",IF(M19&gt;=0,0,ABS(M19)/ABS(C19)),ABS(M19)/ABS(C19))))</f>
        <v>0</v>
      </c>
      <c r="O19" s="7" t="str">
        <f aca="false">IF(M19="","No data",IF(D19="min",IF(M19&lt;C19,"Breach",IF(M19&lt;C19*(1+meta!$B$8),"Watch","Within limit")),IF(N19&gt;=1,"Breach",IF(N19&gt;=E19,"Watch","Within limit"))))</f>
        <v>Within limit</v>
      </c>
    </row>
    <row r="20" customFormat="false" ht="15" hidden="false" customHeight="false" outlineLevel="0" collapsed="false">
      <c r="A20" s="28" t="s">
        <v>171</v>
      </c>
      <c r="B20" s="28" t="s">
        <v>182</v>
      </c>
      <c r="C20" s="19" t="n">
        <v>-0.15</v>
      </c>
      <c r="D20" s="28" t="s">
        <v>1217</v>
      </c>
      <c r="E20" s="19" t="n">
        <v>0.75</v>
      </c>
      <c r="F20" s="28" t="s">
        <v>1218</v>
      </c>
      <c r="G20" s="28" t="s">
        <v>1224</v>
      </c>
      <c r="H20" s="28" t="s">
        <v>1220</v>
      </c>
      <c r="I20" s="28"/>
      <c r="J20" s="28" t="s">
        <v>1221</v>
      </c>
      <c r="K20" s="7" t="str">
        <f aca="false">IF(COUNTIF(metric_registry!$A$2:$A$200,A20)&gt;0,"y","n")</f>
        <v>y</v>
      </c>
      <c r="L20" s="7" t="str">
        <f aca="false">IF(COUNTIF(scenarios!$A$2:$A$100,B20)+COUNTIF(liquidity_stress!$A$2:$A$400,B20)&gt;0,"y","n")</f>
        <v>y</v>
      </c>
      <c r="M20" s="9" t="n">
        <f aca="false">IF(COUNTIFS(metric_values!$A$2:$A$300,A20,metric_values!$B$2:$B$300,B20)=0,"",SUMIFS(metric_values!$C$2:$C$300,metric_values!$A$2:$A$300,A20,metric_values!$B$2:$B$300,B20))</f>
        <v>-0.0360059473279319</v>
      </c>
      <c r="N20" s="14" t="n">
        <f aca="false">IF(M20="","",IF(D20="min",C20/M20,IF(D20="max_decline",IF(M20&gt;=0,0,ABS(M20)/ABS(C20)),ABS(M20)/ABS(C20))))</f>
        <v>0.24003964885288</v>
      </c>
      <c r="O20" s="7" t="str">
        <f aca="false">IF(M20="","No data",IF(D20="min",IF(M20&lt;C20,"Breach",IF(M20&lt;C20*(1+meta!$B$8),"Watch","Within limit")),IF(N20&gt;=1,"Breach",IF(N20&gt;=E20,"Watch","Within limit"))))</f>
        <v>Within limit</v>
      </c>
    </row>
    <row r="21" customFormat="false" ht="15" hidden="false" customHeight="false" outlineLevel="0" collapsed="false">
      <c r="A21" s="28" t="s">
        <v>171</v>
      </c>
      <c r="B21" s="28" t="s">
        <v>184</v>
      </c>
      <c r="C21" s="19" t="n">
        <v>-0.25</v>
      </c>
      <c r="D21" s="28" t="s">
        <v>1217</v>
      </c>
      <c r="E21" s="19" t="n">
        <v>0.75</v>
      </c>
      <c r="F21" s="28" t="s">
        <v>1218</v>
      </c>
      <c r="G21" s="28" t="s">
        <v>1224</v>
      </c>
      <c r="H21" s="28" t="s">
        <v>1220</v>
      </c>
      <c r="I21" s="28"/>
      <c r="J21" s="28" t="s">
        <v>1221</v>
      </c>
      <c r="K21" s="7" t="str">
        <f aca="false">IF(COUNTIF(metric_registry!$A$2:$A$200,A21)&gt;0,"y","n")</f>
        <v>y</v>
      </c>
      <c r="L21" s="7" t="str">
        <f aca="false">IF(COUNTIF(scenarios!$A$2:$A$100,B21)+COUNTIF(liquidity_stress!$A$2:$A$400,B21)&gt;0,"y","n")</f>
        <v>y</v>
      </c>
      <c r="M21" s="9" t="n">
        <f aca="false">IF(COUNTIFS(metric_values!$A$2:$A$300,A21,metric_values!$B$2:$B$300,B21)=0,"",SUMIFS(metric_values!$C$2:$C$300,metric_values!$A$2:$A$300,A21,metric_values!$B$2:$B$300,B21))</f>
        <v>-0.0735681056225783</v>
      </c>
      <c r="N21" s="14" t="n">
        <f aca="false">IF(M21="","",IF(D21="min",C21/M21,IF(D21="max_decline",IF(M21&gt;=0,0,ABS(M21)/ABS(C21)),ABS(M21)/ABS(C21))))</f>
        <v>0.294272422490313</v>
      </c>
      <c r="O21" s="7" t="str">
        <f aca="false">IF(M21="","No data",IF(D21="min",IF(M21&lt;C21,"Breach",IF(M21&lt;C21*(1+meta!$B$8),"Watch","Within limit")),IF(N21&gt;=1,"Breach",IF(N21&gt;=E21,"Watch","Within limit"))))</f>
        <v>Within limit</v>
      </c>
    </row>
    <row r="22" customFormat="false" ht="15" hidden="false" customHeight="false" outlineLevel="0" collapsed="false">
      <c r="A22" s="28" t="s">
        <v>171</v>
      </c>
      <c r="B22" s="28" t="s">
        <v>186</v>
      </c>
      <c r="C22" s="19" t="n">
        <v>-0.35</v>
      </c>
      <c r="D22" s="28" t="s">
        <v>1217</v>
      </c>
      <c r="E22" s="19" t="n">
        <v>0.75</v>
      </c>
      <c r="F22" s="28" t="s">
        <v>1218</v>
      </c>
      <c r="G22" s="28" t="s">
        <v>1224</v>
      </c>
      <c r="H22" s="28" t="s">
        <v>1220</v>
      </c>
      <c r="I22" s="28"/>
      <c r="J22" s="28" t="s">
        <v>1221</v>
      </c>
      <c r="K22" s="7" t="str">
        <f aca="false">IF(COUNTIF(metric_registry!$A$2:$A$200,A22)&gt;0,"y","n")</f>
        <v>y</v>
      </c>
      <c r="L22" s="7" t="str">
        <f aca="false">IF(COUNTIF(scenarios!$A$2:$A$100,B22)+COUNTIF(liquidity_stress!$A$2:$A$400,B22)&gt;0,"y","n")</f>
        <v>y</v>
      </c>
      <c r="M22" s="9" t="n">
        <f aca="false">IF(COUNTIFS(metric_values!$A$2:$A$300,A22,metric_values!$B$2:$B$300,B22)=0,"",SUMIFS(metric_values!$C$2:$C$300,metric_values!$A$2:$A$300,A22,metric_values!$B$2:$B$300,B22))</f>
        <v>-0.106802730811907</v>
      </c>
      <c r="N22" s="14" t="n">
        <f aca="false">IF(M22="","",IF(D22="min",C22/M22,IF(D22="max_decline",IF(M22&gt;=0,0,ABS(M22)/ABS(C22)),ABS(M22)/ABS(C22))))</f>
        <v>0.305150659462592</v>
      </c>
      <c r="O22" s="7" t="str">
        <f aca="false">IF(M22="","No data",IF(D22="min",IF(M22&lt;C22,"Breach",IF(M22&lt;C22*(1+meta!$B$8),"Watch","Within limit")),IF(N22&gt;=1,"Breach",IF(N22&gt;=E22,"Watch","Within limit"))))</f>
        <v>Within limit</v>
      </c>
    </row>
    <row r="23" customFormat="false" ht="15" hidden="false" customHeight="false" outlineLevel="0" collapsed="false">
      <c r="A23" s="28" t="s">
        <v>171</v>
      </c>
      <c r="B23" s="28" t="s">
        <v>188</v>
      </c>
      <c r="C23" s="19" t="n">
        <v>-0.45</v>
      </c>
      <c r="D23" s="28" t="s">
        <v>1217</v>
      </c>
      <c r="E23" s="19" t="n">
        <v>0.75</v>
      </c>
      <c r="F23" s="28" t="s">
        <v>1218</v>
      </c>
      <c r="G23" s="28" t="s">
        <v>1224</v>
      </c>
      <c r="H23" s="28" t="s">
        <v>1220</v>
      </c>
      <c r="I23" s="28"/>
      <c r="J23" s="28" t="s">
        <v>1221</v>
      </c>
      <c r="K23" s="7" t="str">
        <f aca="false">IF(COUNTIF(metric_registry!$A$2:$A$200,A23)&gt;0,"y","n")</f>
        <v>y</v>
      </c>
      <c r="L23" s="7" t="str">
        <f aca="false">IF(COUNTIF(scenarios!$A$2:$A$100,B23)+COUNTIF(liquidity_stress!$A$2:$A$400,B23)&gt;0,"y","n")</f>
        <v>y</v>
      </c>
      <c r="M23" s="9" t="n">
        <f aca="false">IF(COUNTIFS(metric_values!$A$2:$A$300,A23,metric_values!$B$2:$B$300,B23)=0,"",SUMIFS(metric_values!$C$2:$C$300,metric_values!$A$2:$A$300,A23,metric_values!$B$2:$B$300,B23))</f>
        <v>-0.137692514228693</v>
      </c>
      <c r="N23" s="14" t="n">
        <f aca="false">IF(M23="","",IF(D23="min",C23/M23,IF(D23="max_decline",IF(M23&gt;=0,0,ABS(M23)/ABS(C23)),ABS(M23)/ABS(C23))))</f>
        <v>0.305983364952651</v>
      </c>
      <c r="O23" s="7" t="str">
        <f aca="false">IF(M23="","No data",IF(D23="min",IF(M23&lt;C23,"Breach",IF(M23&lt;C23*(1+meta!$B$8),"Watch","Within limit")),IF(N23&gt;=1,"Breach",IF(N23&gt;=E23,"Watch","Within limit"))))</f>
        <v>Within limit</v>
      </c>
    </row>
    <row r="24" customFormat="false" ht="15" hidden="false" customHeight="false" outlineLevel="0" collapsed="false">
      <c r="A24" s="28" t="s">
        <v>170</v>
      </c>
      <c r="B24" s="28" t="s">
        <v>180</v>
      </c>
      <c r="C24" s="19" t="n">
        <v>0.08</v>
      </c>
      <c r="D24" s="28" t="s">
        <v>1225</v>
      </c>
      <c r="E24" s="19" t="n">
        <v>0.75</v>
      </c>
      <c r="F24" s="28" t="s">
        <v>1218</v>
      </c>
      <c r="G24" s="28" t="s">
        <v>1226</v>
      </c>
      <c r="H24" s="28" t="s">
        <v>1220</v>
      </c>
      <c r="I24" s="28"/>
      <c r="J24" s="28" t="s">
        <v>1221</v>
      </c>
      <c r="K24" s="7" t="str">
        <f aca="false">IF(COUNTIF(metric_registry!$A$2:$A$200,A24)&gt;0,"y","n")</f>
        <v>y</v>
      </c>
      <c r="L24" s="7" t="str">
        <f aca="false">IF(COUNTIF(scenarios!$A$2:$A$100,B24)+COUNTIF(liquidity_stress!$A$2:$A$400,B24)&gt;0,"y","n")</f>
        <v>y</v>
      </c>
      <c r="M24" s="9" t="n">
        <f aca="false">IF(COUNTIFS(metric_values!$A$2:$A$300,A24,metric_values!$B$2:$B$300,B24)=0,"",SUMIFS(metric_values!$C$2:$C$300,metric_values!$A$2:$A$300,A24,metric_values!$B$2:$B$300,B24))</f>
        <v>0.171761101764702</v>
      </c>
      <c r="N24" s="14" t="n">
        <f aca="false">IF(M24="","",IF(D24="min",C24/M24,IF(D24="max_decline",IF(M24&gt;=0,0,ABS(M24)/ABS(C24)),ABS(M24)/ABS(C24))))</f>
        <v>0.4657631977093</v>
      </c>
      <c r="O24" s="7" t="str">
        <f aca="false">IF(M24="","No data",IF(D24="min",IF(M24&lt;C24,"Breach",IF(M24&lt;C24*(1+meta!$B$8),"Watch","Within limit")),IF(N24&gt;=1,"Breach",IF(N24&gt;=E24,"Watch","Within limit"))))</f>
        <v>Within limit</v>
      </c>
    </row>
    <row r="25" customFormat="false" ht="15" hidden="false" customHeight="false" outlineLevel="0" collapsed="false">
      <c r="A25" s="28" t="s">
        <v>170</v>
      </c>
      <c r="B25" s="28" t="s">
        <v>186</v>
      </c>
      <c r="C25" s="19" t="n">
        <v>0.06</v>
      </c>
      <c r="D25" s="28" t="s">
        <v>1225</v>
      </c>
      <c r="E25" s="19" t="n">
        <v>0.75</v>
      </c>
      <c r="F25" s="28" t="s">
        <v>1218</v>
      </c>
      <c r="G25" s="28" t="s">
        <v>1226</v>
      </c>
      <c r="H25" s="28" t="s">
        <v>1220</v>
      </c>
      <c r="I25" s="28"/>
      <c r="J25" s="28" t="s">
        <v>1221</v>
      </c>
      <c r="K25" s="7" t="str">
        <f aca="false">IF(COUNTIF(metric_registry!$A$2:$A$200,A25)&gt;0,"y","n")</f>
        <v>y</v>
      </c>
      <c r="L25" s="7" t="str">
        <f aca="false">IF(COUNTIF(scenarios!$A$2:$A$100,B25)+COUNTIF(liquidity_stress!$A$2:$A$400,B25)&gt;0,"y","n")</f>
        <v>y</v>
      </c>
      <c r="M25" s="9" t="n">
        <f aca="false">IF(COUNTIFS(metric_values!$A$2:$A$300,A25,metric_values!$B$2:$B$300,B25)=0,"",SUMIFS(metric_values!$C$2:$C$300,metric_values!$A$2:$A$300,A25,metric_values!$B$2:$B$300,B25))</f>
        <v>0.165205528069012</v>
      </c>
      <c r="N25" s="14" t="n">
        <f aca="false">IF(M25="","",IF(D25="min",C25/M25,IF(D25="max_decline",IF(M25&gt;=0,0,ABS(M25)/ABS(C25)),ABS(M25)/ABS(C25))))</f>
        <v>0.363183972723576</v>
      </c>
      <c r="O25" s="7" t="str">
        <f aca="false">IF(M25="","No data",IF(D25="min",IF(M25&lt;C25,"Breach",IF(M25&lt;C25*(1+meta!$B$8),"Watch","Within limit")),IF(N25&gt;=1,"Breach",IF(N25&gt;=E25,"Watch","Within limit"))))</f>
        <v>Within limit</v>
      </c>
    </row>
    <row r="26" customFormat="false" ht="15" hidden="false" customHeight="false" outlineLevel="0" collapsed="false">
      <c r="A26" s="28" t="s">
        <v>170</v>
      </c>
      <c r="B26" s="28" t="s">
        <v>188</v>
      </c>
      <c r="C26" s="19" t="n">
        <v>0.05</v>
      </c>
      <c r="D26" s="28" t="s">
        <v>1225</v>
      </c>
      <c r="E26" s="19" t="n">
        <v>0.75</v>
      </c>
      <c r="F26" s="28" t="s">
        <v>1218</v>
      </c>
      <c r="G26" s="28" t="s">
        <v>1226</v>
      </c>
      <c r="H26" s="28" t="s">
        <v>1220</v>
      </c>
      <c r="I26" s="28"/>
      <c r="J26" s="28" t="s">
        <v>1221</v>
      </c>
      <c r="K26" s="7" t="str">
        <f aca="false">IF(COUNTIF(metric_registry!$A$2:$A$200,A26)&gt;0,"y","n")</f>
        <v>y</v>
      </c>
      <c r="L26" s="7" t="str">
        <f aca="false">IF(COUNTIF(scenarios!$A$2:$A$100,B26)+COUNTIF(liquidity_stress!$A$2:$A$400,B26)&gt;0,"y","n")</f>
        <v>y</v>
      </c>
      <c r="M26" s="9" t="n">
        <f aca="false">IF(COUNTIFS(metric_values!$A$2:$A$300,A26,metric_values!$B$2:$B$300,B26)=0,"",SUMIFS(metric_values!$C$2:$C$300,metric_values!$A$2:$A$300,A26,metric_values!$B$2:$B$300,B26))</f>
        <v>0.163074380053901</v>
      </c>
      <c r="N26" s="14" t="n">
        <f aca="false">IF(M26="","",IF(D26="min",C26/M26,IF(D26="max_decline",IF(M26&gt;=0,0,ABS(M26)/ABS(C26)),ABS(M26)/ABS(C26))))</f>
        <v>0.3066085548415</v>
      </c>
      <c r="O26" s="7" t="str">
        <f aca="false">IF(M26="","No data",IF(D26="min",IF(M26&lt;C26,"Breach",IF(M26&lt;C26*(1+meta!$B$8),"Watch","Within limit")),IF(N26&gt;=1,"Breach",IF(N26&gt;=E26,"Watch","Within limit"))))</f>
        <v>Within limit</v>
      </c>
    </row>
    <row r="27" customFormat="false" ht="15" hidden="false" customHeight="false" outlineLevel="0" collapsed="false">
      <c r="A27" s="28" t="s">
        <v>170</v>
      </c>
      <c r="B27" s="28" t="s">
        <v>216</v>
      </c>
      <c r="C27" s="19" t="n">
        <v>0.04</v>
      </c>
      <c r="D27" s="28" t="s">
        <v>1225</v>
      </c>
      <c r="E27" s="19" t="n">
        <v>0.75</v>
      </c>
      <c r="F27" s="28" t="s">
        <v>1218</v>
      </c>
      <c r="G27" s="28" t="s">
        <v>1227</v>
      </c>
      <c r="H27" s="28" t="s">
        <v>1220</v>
      </c>
      <c r="I27" s="28" t="s">
        <v>1228</v>
      </c>
      <c r="J27" s="28" t="s">
        <v>1221</v>
      </c>
      <c r="K27" s="7" t="str">
        <f aca="false">IF(COUNTIF(metric_registry!$A$2:$A$200,A27)&gt;0,"y","n")</f>
        <v>y</v>
      </c>
      <c r="L27" s="7" t="str">
        <f aca="false">IF(COUNTIF(scenarios!$A$2:$A$100,B27)+COUNTIF(liquidity_stress!$A$2:$A$400,B27)&gt;0,"y","n")</f>
        <v>y</v>
      </c>
      <c r="M27" s="9" t="n">
        <f aca="false">IF(COUNTIFS(metric_values!$A$2:$A$300,A27,metric_values!$B$2:$B$300,B27)=0,"",SUMIFS(metric_values!$C$2:$C$300,metric_values!$A$2:$A$300,A27,metric_values!$B$2:$B$300,B27))</f>
        <v>0.0405126356960686</v>
      </c>
      <c r="N27" s="14" t="n">
        <f aca="false">IF(M27="","",IF(D27="min",C27/M27,IF(D27="max_decline",IF(M27&gt;=0,0,ABS(M27)/ABS(C27)),ABS(M27)/ABS(C27))))</f>
        <v>0.98734627635895</v>
      </c>
      <c r="O27" s="7" t="str">
        <f aca="false">IF(M27="","No data",IF(D27="min",IF(M27&lt;C27,"Breach",IF(M27&lt;C27*(1+meta!$B$8),"Watch","Within limit")),IF(N27&gt;=1,"Breach",IF(N27&gt;=E27,"Watch","Within limit"))))</f>
        <v>Watch</v>
      </c>
    </row>
    <row r="28" customFormat="false" ht="15" hidden="false" customHeight="false" outlineLevel="0" collapsed="false">
      <c r="A28" s="28" t="s">
        <v>171</v>
      </c>
      <c r="B28" s="28" t="s">
        <v>216</v>
      </c>
      <c r="C28" s="19" t="n">
        <v>-0.65</v>
      </c>
      <c r="D28" s="28" t="s">
        <v>1217</v>
      </c>
      <c r="E28" s="19" t="n">
        <v>0.75</v>
      </c>
      <c r="F28" s="28" t="s">
        <v>1218</v>
      </c>
      <c r="G28" s="28" t="s">
        <v>1229</v>
      </c>
      <c r="H28" s="28" t="s">
        <v>1220</v>
      </c>
      <c r="I28" s="28" t="s">
        <v>1230</v>
      </c>
      <c r="J28" s="28" t="s">
        <v>1221</v>
      </c>
      <c r="K28" s="7" t="str">
        <f aca="false">IF(COUNTIF(metric_registry!$A$2:$A$200,A28)&gt;0,"y","n")</f>
        <v>y</v>
      </c>
      <c r="L28" s="7" t="str">
        <f aca="false">IF(COUNTIF(scenarios!$A$2:$A$100,B28)+COUNTIF(liquidity_stress!$A$2:$A$400,B28)&gt;0,"y","n")</f>
        <v>y</v>
      </c>
      <c r="M28" s="9" t="n">
        <f aca="false">IF(COUNTIFS(metric_values!$A$2:$A$300,A28,metric_values!$B$2:$B$300,B28)=0,"",SUMIFS(metric_values!$C$2:$C$300,metric_values!$A$2:$A$300,A28,metric_values!$B$2:$B$300,B28))</f>
        <v>-0.503374717372172</v>
      </c>
      <c r="N28" s="14" t="n">
        <f aca="false">IF(M28="","",IF(D28="min",C28/M28,IF(D28="max_decline",IF(M28&gt;=0,0,ABS(M28)/ABS(C28)),ABS(M28)/ABS(C28))))</f>
        <v>0.774422642111033</v>
      </c>
      <c r="O28" s="7" t="str">
        <f aca="false">IF(M28="","No data",IF(D28="min",IF(M28&lt;C28,"Breach",IF(M28&lt;C28*(1+meta!$B$8),"Watch","Within limit")),IF(N28&gt;=1,"Breach",IF(N28&gt;=E28,"Watch","Within limit"))))</f>
        <v>Watch</v>
      </c>
    </row>
    <row r="29" customFormat="false" ht="15" hidden="false" customHeight="false" outlineLevel="0" collapsed="false">
      <c r="A29" s="28" t="s">
        <v>245</v>
      </c>
      <c r="B29" s="28" t="s">
        <v>180</v>
      </c>
      <c r="C29" s="19" t="n">
        <v>0.1</v>
      </c>
      <c r="D29" s="28" t="s">
        <v>1225</v>
      </c>
      <c r="E29" s="19" t="n">
        <v>0.75</v>
      </c>
      <c r="F29" s="28" t="s">
        <v>1218</v>
      </c>
      <c r="G29" s="28" t="s">
        <v>1231</v>
      </c>
      <c r="H29" s="28" t="s">
        <v>1220</v>
      </c>
      <c r="I29" s="28" t="s">
        <v>1232</v>
      </c>
      <c r="J29" s="28" t="s">
        <v>1221</v>
      </c>
      <c r="K29" s="7" t="str">
        <f aca="false">IF(COUNTIF(metric_registry!$A$2:$A$200,A29)&gt;0,"y","n")</f>
        <v>y</v>
      </c>
      <c r="L29" s="7" t="str">
        <f aca="false">IF(COUNTIF(scenarios!$A$2:$A$100,B29)+COUNTIF(liquidity_stress!$A$2:$A$400,B29)&gt;0,"y","n")</f>
        <v>y</v>
      </c>
      <c r="M29" s="9" t="n">
        <f aca="false">IF(COUNTIFS(metric_values!$A$2:$A$300,A29,metric_values!$B$2:$B$300,B29)=0,"",SUMIFS(metric_values!$C$2:$C$300,metric_values!$A$2:$A$300,A29,metric_values!$B$2:$B$300,B29))</f>
        <v>0.120958211693501</v>
      </c>
      <c r="N29" s="14" t="n">
        <f aca="false">IF(M29="","",IF(D29="min",C29/M29,IF(D29="max_decline",IF(M29&gt;=0,0,ABS(M29)/ABS(C29)),ABS(M29)/ABS(C29))))</f>
        <v>0.826731799353918</v>
      </c>
      <c r="O29" s="7" t="str">
        <f aca="false">IF(M29="","No data",IF(D29="min",IF(M29&lt;C29,"Breach",IF(M29&lt;C29*(1+meta!$B$8),"Watch","Within limit")),IF(N29&gt;=1,"Breach",IF(N29&gt;=E29,"Watch","Within limit"))))</f>
        <v>Within limit</v>
      </c>
    </row>
    <row r="30" customFormat="false" ht="15" hidden="false" customHeight="false" outlineLevel="0" collapsed="false">
      <c r="A30" s="28" t="s">
        <v>265</v>
      </c>
      <c r="B30" s="28" t="s">
        <v>180</v>
      </c>
      <c r="C30" s="19" t="n">
        <v>0.2</v>
      </c>
      <c r="D30" s="28" t="s">
        <v>1225</v>
      </c>
      <c r="E30" s="19" t="n">
        <v>0.75</v>
      </c>
      <c r="F30" s="28" t="s">
        <v>1218</v>
      </c>
      <c r="G30" s="28" t="s">
        <v>1233</v>
      </c>
      <c r="H30" s="28" t="s">
        <v>1220</v>
      </c>
      <c r="I30" s="28"/>
      <c r="J30" s="28" t="s">
        <v>1221</v>
      </c>
      <c r="K30" s="7" t="str">
        <f aca="false">IF(COUNTIF(metric_registry!$A$2:$A$200,A30)&gt;0,"y","n")</f>
        <v>y</v>
      </c>
      <c r="L30" s="7" t="str">
        <f aca="false">IF(COUNTIF(scenarios!$A$2:$A$100,B30)+COUNTIF(liquidity_stress!$A$2:$A$400,B30)&gt;0,"y","n")</f>
        <v>y</v>
      </c>
      <c r="M30" s="9" t="n">
        <f aca="false">IF(COUNTIFS(metric_values!$A$2:$A$300,A30,metric_values!$B$2:$B$300,B30)=0,"",SUMIFS(metric_values!$C$2:$C$300,metric_values!$A$2:$A$300,A30,metric_values!$B$2:$B$300,B30))</f>
        <v>0.435879103072801</v>
      </c>
      <c r="N30" s="14" t="n">
        <f aca="false">IF(M30="","",IF(D30="min",C30/M30,IF(D30="max_decline",IF(M30&gt;=0,0,ABS(M30)/ABS(C30)),ABS(M30)/ABS(C30))))</f>
        <v>0.458842827265788</v>
      </c>
      <c r="O30" s="7" t="str">
        <f aca="false">IF(M30="","No data",IF(D30="min",IF(M30&lt;C30,"Breach",IF(M30&lt;C30*(1+meta!$B$8),"Watch","Within limit")),IF(N30&gt;=1,"Breach",IF(N30&gt;=E30,"Watch","Within limit"))))</f>
        <v>Within limit</v>
      </c>
    </row>
    <row r="31" customFormat="false" ht="15" hidden="false" customHeight="false" outlineLevel="0" collapsed="false">
      <c r="A31" s="28" t="s">
        <v>300</v>
      </c>
      <c r="B31" s="28" t="s">
        <v>302</v>
      </c>
      <c r="C31" s="23" t="n">
        <v>90</v>
      </c>
      <c r="D31" s="28" t="s">
        <v>1225</v>
      </c>
      <c r="E31" s="19" t="n">
        <v>0.75</v>
      </c>
      <c r="F31" s="28" t="s">
        <v>1218</v>
      </c>
      <c r="G31" s="28" t="s">
        <v>1234</v>
      </c>
      <c r="H31" s="28" t="s">
        <v>1235</v>
      </c>
      <c r="I31" s="28"/>
      <c r="J31" s="28" t="s">
        <v>1221</v>
      </c>
      <c r="K31" s="7" t="str">
        <f aca="false">IF(COUNTIF(metric_registry!$A$2:$A$200,A31)&gt;0,"y","n")</f>
        <v>y</v>
      </c>
      <c r="L31" s="7" t="str">
        <f aca="false">IF(COUNTIF(scenarios!$A$2:$A$100,B31)+COUNTIF(liquidity_stress!$A$2:$A$400,B31)&gt;0,"y","n")</f>
        <v>y</v>
      </c>
      <c r="M31" s="8" t="n">
        <f aca="false">IF(COUNTIFS(metric_values!$A$2:$A$300,A31,metric_values!$B$2:$B$300,B31)=0,"",SUMIFS(metric_values!$C$2:$C$300,metric_values!$A$2:$A$300,A31,metric_values!$B$2:$B$300,B31))</f>
        <v>365</v>
      </c>
      <c r="N31" s="14" t="n">
        <f aca="false">IF(M31="","",IF(D31="min",C31/M31,IF(D31="max_decline",IF(M31&gt;=0,0,ABS(M31)/ABS(C31)),ABS(M31)/ABS(C31))))</f>
        <v>0.246575342465753</v>
      </c>
      <c r="O31" s="7" t="str">
        <f aca="false">IF(M31="","No data",IF(D31="min",IF(M31&lt;C31,"Breach",IF(M31&lt;C31*(1+meta!$B$8),"Watch","Within limit")),IF(N31&gt;=1,"Breach",IF(N31&gt;=E31,"Watch","Within limit"))))</f>
        <v>Within limit</v>
      </c>
    </row>
    <row r="32" customFormat="false" ht="15" hidden="false" customHeight="false" outlineLevel="0" collapsed="false">
      <c r="A32" s="28" t="s">
        <v>244</v>
      </c>
      <c r="B32" s="28" t="s">
        <v>180</v>
      </c>
      <c r="C32" s="19" t="n">
        <v>0.85</v>
      </c>
      <c r="D32" s="28" t="s">
        <v>1236</v>
      </c>
      <c r="E32" s="19" t="n">
        <v>0.75</v>
      </c>
      <c r="F32" s="28" t="s">
        <v>1218</v>
      </c>
      <c r="G32" s="28" t="s">
        <v>1237</v>
      </c>
      <c r="H32" s="28" t="s">
        <v>1220</v>
      </c>
      <c r="I32" s="28"/>
      <c r="J32" s="28" t="s">
        <v>1221</v>
      </c>
      <c r="K32" s="7" t="str">
        <f aca="false">IF(COUNTIF(metric_registry!$A$2:$A$200,A32)&gt;0,"y","n")</f>
        <v>y</v>
      </c>
      <c r="L32" s="7" t="str">
        <f aca="false">IF(COUNTIF(scenarios!$A$2:$A$100,B32)+COUNTIF(liquidity_stress!$A$2:$A$400,B32)&gt;0,"y","n")</f>
        <v>y</v>
      </c>
      <c r="M32" s="9" t="n">
        <f aca="false">IF(COUNTIFS(metric_values!$A$2:$A$300,A32,metric_values!$B$2:$B$300,B32)=0,"",SUMIFS(metric_values!$C$2:$C$300,metric_values!$A$2:$A$300,A32,metric_values!$B$2:$B$300,B32))</f>
        <v>0.599105687846182</v>
      </c>
      <c r="N32" s="14" t="n">
        <f aca="false">IF(M32="","",IF(D32="min",C32/M32,IF(D32="max_decline",IF(M32&gt;=0,0,ABS(M32)/ABS(C32)),ABS(M32)/ABS(C32))))</f>
        <v>0.704830220995509</v>
      </c>
      <c r="O32" s="7" t="str">
        <f aca="false">IF(M32="","No data",IF(D32="min",IF(M32&lt;C32,"Breach",IF(M32&lt;C32*(1+meta!$B$8),"Watch","Within limit")),IF(N32&gt;=1,"Breach",IF(N32&gt;=E32,"Watch","Within limit"))))</f>
        <v>Within limit</v>
      </c>
    </row>
    <row r="33" customFormat="false" ht="15" hidden="false" customHeight="false" outlineLevel="0" collapsed="false">
      <c r="A33" s="28" t="s">
        <v>249</v>
      </c>
      <c r="B33" s="28" t="s">
        <v>180</v>
      </c>
      <c r="C33" s="19" t="n">
        <v>0.3</v>
      </c>
      <c r="D33" s="28" t="s">
        <v>1236</v>
      </c>
      <c r="E33" s="19" t="n">
        <v>0.75</v>
      </c>
      <c r="F33" s="28" t="s">
        <v>1218</v>
      </c>
      <c r="G33" s="28" t="s">
        <v>250</v>
      </c>
      <c r="H33" s="28" t="s">
        <v>1220</v>
      </c>
      <c r="I33" s="28"/>
      <c r="J33" s="28" t="s">
        <v>1221</v>
      </c>
      <c r="K33" s="7" t="str">
        <f aca="false">IF(COUNTIF(metric_registry!$A$2:$A$200,A33)&gt;0,"y","n")</f>
        <v>y</v>
      </c>
      <c r="L33" s="7" t="str">
        <f aca="false">IF(COUNTIF(scenarios!$A$2:$A$100,B33)+COUNTIF(liquidity_stress!$A$2:$A$400,B33)&gt;0,"y","n")</f>
        <v>y</v>
      </c>
      <c r="M33" s="9" t="n">
        <f aca="false">IF(COUNTIFS(metric_values!$A$2:$A$300,A33,metric_values!$B$2:$B$300,B33)=0,"",SUMIFS(metric_values!$C$2:$C$300,metric_values!$A$2:$A$300,A33,metric_values!$B$2:$B$300,B33))</f>
        <v>0.218487825084507</v>
      </c>
      <c r="N33" s="14" t="n">
        <f aca="false">IF(M33="","",IF(D33="min",C33/M33,IF(D33="max_decline",IF(M33&gt;=0,0,ABS(M33)/ABS(C33)),ABS(M33)/ABS(C33))))</f>
        <v>0.728292750281692</v>
      </c>
      <c r="O33" s="7" t="str">
        <f aca="false">IF(M33="","No data",IF(D33="min",IF(M33&lt;C33,"Breach",IF(M33&lt;C33*(1+meta!$B$8),"Watch","Within limit")),IF(N33&gt;=1,"Breach",IF(N33&gt;=E33,"Watch","Within limit"))))</f>
        <v>Within limit</v>
      </c>
    </row>
    <row r="34" customFormat="false" ht="15" hidden="false" customHeight="false" outlineLevel="0" collapsed="false">
      <c r="A34" s="28" t="s">
        <v>268</v>
      </c>
      <c r="B34" s="28" t="s">
        <v>180</v>
      </c>
      <c r="C34" s="19" t="n">
        <v>0.45</v>
      </c>
      <c r="D34" s="28" t="s">
        <v>1236</v>
      </c>
      <c r="E34" s="19" t="n">
        <v>0.75</v>
      </c>
      <c r="F34" s="28" t="s">
        <v>1218</v>
      </c>
      <c r="G34" s="28" t="s">
        <v>1238</v>
      </c>
      <c r="H34" s="28" t="s">
        <v>1220</v>
      </c>
      <c r="I34" s="28"/>
      <c r="J34" s="28" t="s">
        <v>1221</v>
      </c>
      <c r="K34" s="7" t="str">
        <f aca="false">IF(COUNTIF(metric_registry!$A$2:$A$200,A34)&gt;0,"y","n")</f>
        <v>y</v>
      </c>
      <c r="L34" s="7" t="str">
        <f aca="false">IF(COUNTIF(scenarios!$A$2:$A$100,B34)+COUNTIF(liquidity_stress!$A$2:$A$400,B34)&gt;0,"y","n")</f>
        <v>y</v>
      </c>
      <c r="M34" s="9" t="n">
        <f aca="false">IF(COUNTIFS(metric_values!$A$2:$A$300,A34,metric_values!$B$2:$B$300,B34)=0,"",SUMIFS(metric_values!$C$2:$C$300,metric_values!$A$2:$A$300,A34,metric_values!$B$2:$B$300,B34))</f>
        <v>0.396807949589974</v>
      </c>
      <c r="N34" s="14" t="n">
        <f aca="false">IF(M34="","",IF(D34="min",C34/M34,IF(D34="max_decline",IF(M34&gt;=0,0,ABS(M34)/ABS(C34)),ABS(M34)/ABS(C34))))</f>
        <v>0.881795443533277</v>
      </c>
      <c r="O34" s="7" t="str">
        <f aca="false">IF(M34="","No data",IF(D34="min",IF(M34&lt;C34,"Breach",IF(M34&lt;C34*(1+meta!$B$8),"Watch","Within limit")),IF(N34&gt;=1,"Breach",IF(N34&gt;=E34,"Watch","Within limit"))))</f>
        <v>Watch</v>
      </c>
    </row>
    <row r="35" customFormat="false" ht="15" hidden="false" customHeight="false" outlineLevel="0" collapsed="false">
      <c r="A35" s="28" t="s">
        <v>269</v>
      </c>
      <c r="B35" s="28" t="s">
        <v>180</v>
      </c>
      <c r="C35" s="19" t="n">
        <v>0.85</v>
      </c>
      <c r="D35" s="28" t="s">
        <v>1236</v>
      </c>
      <c r="E35" s="19" t="n">
        <v>0.75</v>
      </c>
      <c r="F35" s="28" t="s">
        <v>1218</v>
      </c>
      <c r="G35" s="28" t="s">
        <v>1239</v>
      </c>
      <c r="H35" s="28" t="s">
        <v>1220</v>
      </c>
      <c r="I35" s="28"/>
      <c r="J35" s="28" t="s">
        <v>1221</v>
      </c>
      <c r="K35" s="7" t="str">
        <f aca="false">IF(COUNTIF(metric_registry!$A$2:$A$200,A35)&gt;0,"y","n")</f>
        <v>y</v>
      </c>
      <c r="L35" s="7" t="str">
        <f aca="false">IF(COUNTIF(scenarios!$A$2:$A$100,B35)+COUNTIF(liquidity_stress!$A$2:$A$400,B35)&gt;0,"y","n")</f>
        <v>y</v>
      </c>
      <c r="M35" s="9" t="n">
        <f aca="false">IF(COUNTIFS(metric_values!$A$2:$A$300,A35,metric_values!$B$2:$B$300,B35)=0,"",SUMIFS(metric_values!$C$2:$C$300,metric_values!$A$2:$A$300,A35,metric_values!$B$2:$B$300,B35))</f>
        <v>0.716936017643624</v>
      </c>
      <c r="N35" s="14" t="n">
        <f aca="false">IF(M35="","",IF(D35="min",C35/M35,IF(D35="max_decline",IF(M35&gt;=0,0,ABS(M35)/ABS(C35)),ABS(M35)/ABS(C35))))</f>
        <v>0.843454138404264</v>
      </c>
      <c r="O35" s="7" t="str">
        <f aca="false">IF(M35="","No data",IF(D35="min",IF(M35&lt;C35,"Breach",IF(M35&lt;C35*(1+meta!$B$8),"Watch","Within limit")),IF(N35&gt;=1,"Breach",IF(N35&gt;=E35,"Watch","Within limit"))))</f>
        <v>Watch</v>
      </c>
    </row>
    <row r="36" customFormat="false" ht="15" hidden="false" customHeight="false" outlineLevel="0" collapsed="false">
      <c r="A36" s="28" t="s">
        <v>259</v>
      </c>
      <c r="B36" s="28" t="s">
        <v>180</v>
      </c>
      <c r="C36" s="19" t="n">
        <v>0.0075</v>
      </c>
      <c r="D36" s="28" t="s">
        <v>1236</v>
      </c>
      <c r="E36" s="19" t="n">
        <v>0.75</v>
      </c>
      <c r="F36" s="28" t="s">
        <v>1218</v>
      </c>
      <c r="G36" s="28" t="s">
        <v>1240</v>
      </c>
      <c r="H36" s="28" t="s">
        <v>1220</v>
      </c>
      <c r="I36" s="28"/>
      <c r="J36" s="28" t="s">
        <v>1221</v>
      </c>
      <c r="K36" s="7" t="str">
        <f aca="false">IF(COUNTIF(metric_registry!$A$2:$A$200,A36)&gt;0,"y","n")</f>
        <v>y</v>
      </c>
      <c r="L36" s="7" t="str">
        <f aca="false">IF(COUNTIF(scenarios!$A$2:$A$100,B36)+COUNTIF(liquidity_stress!$A$2:$A$400,B36)&gt;0,"y","n")</f>
        <v>y</v>
      </c>
      <c r="M36" s="9" t="n">
        <f aca="false">IF(COUNTIFS(metric_values!$A$2:$A$300,A36,metric_values!$B$2:$B$300,B36)=0,"",SUMIFS(metric_values!$C$2:$C$300,metric_values!$A$2:$A$300,A36,metric_values!$B$2:$B$300,B36))</f>
        <v>0.00465889154504449</v>
      </c>
      <c r="N36" s="14" t="n">
        <f aca="false">IF(M36="","",IF(D36="min",C36/M36,IF(D36="max_decline",IF(M36&gt;=0,0,ABS(M36)/ABS(C36)),ABS(M36)/ABS(C36))))</f>
        <v>0.621185539339265</v>
      </c>
      <c r="O36" s="7" t="str">
        <f aca="false">IF(M36="","No data",IF(D36="min",IF(M36&lt;C36,"Breach",IF(M36&lt;C36*(1+meta!$B$8),"Watch","Within limit")),IF(N36&gt;=1,"Breach",IF(N36&gt;=E36,"Watch","Within limit"))))</f>
        <v>Within limit</v>
      </c>
    </row>
    <row r="37" customFormat="false" ht="15" hidden="false" customHeight="false" outlineLevel="0" collapsed="false">
      <c r="A37" s="28" t="s">
        <v>261</v>
      </c>
      <c r="B37" s="28" t="s">
        <v>180</v>
      </c>
      <c r="C37" s="19" t="n">
        <v>0.006</v>
      </c>
      <c r="D37" s="28" t="s">
        <v>1236</v>
      </c>
      <c r="E37" s="19" t="n">
        <v>0.75</v>
      </c>
      <c r="F37" s="28" t="s">
        <v>1218</v>
      </c>
      <c r="G37" s="28" t="s">
        <v>1241</v>
      </c>
      <c r="H37" s="28" t="s">
        <v>1220</v>
      </c>
      <c r="I37" s="28"/>
      <c r="J37" s="28" t="s">
        <v>1221</v>
      </c>
      <c r="K37" s="7" t="str">
        <f aca="false">IF(COUNTIF(metric_registry!$A$2:$A$200,A37)&gt;0,"y","n")</f>
        <v>y</v>
      </c>
      <c r="L37" s="7" t="str">
        <f aca="false">IF(COUNTIF(scenarios!$A$2:$A$100,B37)+COUNTIF(liquidity_stress!$A$2:$A$400,B37)&gt;0,"y","n")</f>
        <v>y</v>
      </c>
      <c r="M37" s="9" t="n">
        <f aca="false">IF(COUNTIFS(metric_values!$A$2:$A$300,A37,metric_values!$B$2:$B$300,B37)=0,"",SUMIFS(metric_values!$C$2:$C$300,metric_values!$A$2:$A$300,A37,metric_values!$B$2:$B$300,B37))</f>
        <v>0.00362698514780713</v>
      </c>
      <c r="N37" s="14" t="n">
        <f aca="false">IF(M37="","",IF(D37="min",C37/M37,IF(D37="max_decline",IF(M37&gt;=0,0,ABS(M37)/ABS(C37)),ABS(M37)/ABS(C37))))</f>
        <v>0.604497524634522</v>
      </c>
      <c r="O37" s="7" t="str">
        <f aca="false">IF(M37="","No data",IF(D37="min",IF(M37&lt;C37,"Breach",IF(M37&lt;C37*(1+meta!$B$8),"Watch","Within limit")),IF(N37&gt;=1,"Breach",IF(N37&gt;=E37,"Watch","Within limit"))))</f>
        <v>Within limit</v>
      </c>
    </row>
    <row r="38" customFormat="false" ht="15" hidden="false" customHeight="false" outlineLevel="0" collapsed="false">
      <c r="A38" s="28" t="s">
        <v>270</v>
      </c>
      <c r="B38" s="28" t="s">
        <v>180</v>
      </c>
      <c r="C38" s="19" t="n">
        <v>0.2</v>
      </c>
      <c r="D38" s="28" t="s">
        <v>1236</v>
      </c>
      <c r="E38" s="19" t="n">
        <v>0.75</v>
      </c>
      <c r="F38" s="28" t="s">
        <v>1218</v>
      </c>
      <c r="G38" s="28" t="s">
        <v>1242</v>
      </c>
      <c r="H38" s="28" t="s">
        <v>1220</v>
      </c>
      <c r="I38" s="28"/>
      <c r="J38" s="28" t="s">
        <v>1221</v>
      </c>
      <c r="K38" s="7" t="str">
        <f aca="false">IF(COUNTIF(metric_registry!$A$2:$A$200,A38)&gt;0,"y","n")</f>
        <v>y</v>
      </c>
      <c r="L38" s="7" t="str">
        <f aca="false">IF(COUNTIF(scenarios!$A$2:$A$100,B38)+COUNTIF(liquidity_stress!$A$2:$A$400,B38)&gt;0,"y","n")</f>
        <v>y</v>
      </c>
      <c r="M38" s="9" t="n">
        <f aca="false">IF(COUNTIFS(metric_values!$A$2:$A$300,A38,metric_values!$B$2:$B$300,B38)=0,"",SUMIFS(metric_values!$C$2:$C$300,metric_values!$A$2:$A$300,A38,metric_values!$B$2:$B$300,B38))</f>
        <v>0</v>
      </c>
      <c r="N38" s="14" t="n">
        <f aca="false">IF(M38="","",IF(D38="min",C38/M38,IF(D38="max_decline",IF(M38&gt;=0,0,ABS(M38)/ABS(C38)),ABS(M38)/ABS(C38))))</f>
        <v>0</v>
      </c>
      <c r="O38" s="7" t="str">
        <f aca="false">IF(M38="","No data",IF(D38="min",IF(M38&lt;C38,"Breach",IF(M38&lt;C38*(1+meta!$B$8),"Watch","Within limit")),IF(N38&gt;=1,"Breach",IF(N38&gt;=E38,"Watch","Within limit"))))</f>
        <v>Within limit</v>
      </c>
    </row>
    <row r="39" customFormat="false" ht="15" hidden="false" customHeight="false" outlineLevel="0" collapsed="false">
      <c r="A39" s="28" t="s">
        <v>272</v>
      </c>
      <c r="B39" s="28" t="s">
        <v>180</v>
      </c>
      <c r="C39" s="19" t="n">
        <v>0.05</v>
      </c>
      <c r="D39" s="28" t="s">
        <v>1236</v>
      </c>
      <c r="E39" s="19" t="n">
        <v>0.75</v>
      </c>
      <c r="F39" s="28" t="s">
        <v>1218</v>
      </c>
      <c r="G39" s="28" t="s">
        <v>1243</v>
      </c>
      <c r="H39" s="28" t="s">
        <v>1220</v>
      </c>
      <c r="I39" s="28"/>
      <c r="J39" s="28" t="s">
        <v>1221</v>
      </c>
      <c r="K39" s="7" t="str">
        <f aca="false">IF(COUNTIF(metric_registry!$A$2:$A$200,A39)&gt;0,"y","n")</f>
        <v>y</v>
      </c>
      <c r="L39" s="7" t="str">
        <f aca="false">IF(COUNTIF(scenarios!$A$2:$A$100,B39)+COUNTIF(liquidity_stress!$A$2:$A$400,B39)&gt;0,"y","n")</f>
        <v>y</v>
      </c>
      <c r="M39" s="9" t="n">
        <f aca="false">IF(COUNTIFS(metric_values!$A$2:$A$300,A39,metric_values!$B$2:$B$300,B39)=0,"",SUMIFS(metric_values!$C$2:$C$300,metric_values!$A$2:$A$300,A39,metric_values!$B$2:$B$300,B39))</f>
        <v>0</v>
      </c>
      <c r="N39" s="14" t="n">
        <f aca="false">IF(M39="","",IF(D39="min",C39/M39,IF(D39="max_decline",IF(M39&gt;=0,0,ABS(M39)/ABS(C39)),ABS(M39)/ABS(C39))))</f>
        <v>0</v>
      </c>
      <c r="O39" s="7" t="str">
        <f aca="false">IF(M39="","No data",IF(D39="min",IF(M39&lt;C39,"Breach",IF(M39&lt;C39*(1+meta!$B$8),"Watch","Within limit")),IF(N39&gt;=1,"Breach",IF(N39&gt;=E39,"Watch","Within limit"))))</f>
        <v>Within limit</v>
      </c>
    </row>
    <row r="40" customFormat="false" ht="15" hidden="false" customHeight="false" outlineLevel="0" collapsed="false">
      <c r="A40" s="28" t="s">
        <v>275</v>
      </c>
      <c r="B40" s="28" t="s">
        <v>180</v>
      </c>
      <c r="C40" s="19" t="n">
        <v>0.2</v>
      </c>
      <c r="D40" s="28" t="s">
        <v>1236</v>
      </c>
      <c r="E40" s="19" t="n">
        <v>0.75</v>
      </c>
      <c r="F40" s="28" t="s">
        <v>1218</v>
      </c>
      <c r="G40" s="28" t="s">
        <v>1244</v>
      </c>
      <c r="H40" s="28" t="s">
        <v>1220</v>
      </c>
      <c r="I40" s="28"/>
      <c r="J40" s="28" t="s">
        <v>1221</v>
      </c>
      <c r="K40" s="7" t="str">
        <f aca="false">IF(COUNTIF(metric_registry!$A$2:$A$200,A40)&gt;0,"y","n")</f>
        <v>y</v>
      </c>
      <c r="L40" s="7" t="str">
        <f aca="false">IF(COUNTIF(scenarios!$A$2:$A$100,B40)+COUNTIF(liquidity_stress!$A$2:$A$400,B40)&gt;0,"y","n")</f>
        <v>y</v>
      </c>
      <c r="M40" s="9" t="n">
        <f aca="false">IF(COUNTIFS(metric_values!$A$2:$A$300,A40,metric_values!$B$2:$B$300,B40)=0,"",SUMIFS(metric_values!$C$2:$C$300,metric_values!$A$2:$A$300,A40,metric_values!$B$2:$B$300,B40))</f>
        <v>0.0862031088434425</v>
      </c>
      <c r="N40" s="14" t="n">
        <f aca="false">IF(M40="","",IF(D40="min",C40/M40,IF(D40="max_decline",IF(M40&gt;=0,0,ABS(M40)/ABS(C40)),ABS(M40)/ABS(C40))))</f>
        <v>0.431015544217213</v>
      </c>
      <c r="O40" s="7" t="str">
        <f aca="false">IF(M40="","No data",IF(D40="min",IF(M40&lt;C40,"Breach",IF(M40&lt;C40*(1+meta!$B$8),"Watch","Within limit")),IF(N40&gt;=1,"Breach",IF(N40&gt;=E40,"Watch","Within limit"))))</f>
        <v>Within limit</v>
      </c>
    </row>
  </sheetData>
  <autoFilter ref="A1:O40"/>
  <conditionalFormatting sqref="O2:O40">
    <cfRule type="expression" priority="2" aboveAverage="0" equalAverage="0" bottom="0" percent="0" rank="0" text="" dxfId="0">
      <formula>O2="Within limit"</formula>
    </cfRule>
    <cfRule type="expression" priority="3" aboveAverage="0" equalAverage="0" bottom="0" percent="0" rank="0" text="" dxfId="2">
      <formula>O2="Watch"</formula>
    </cfRule>
    <cfRule type="expression" priority="4" aboveAverage="0" equalAverage="0" bottom="0" percent="0" rank="0" text="" dxfId="1">
      <formula>O2="Breach"</formula>
    </cfRule>
    <cfRule type="expression" priority="5" aboveAverage="0" equalAverage="0" bottom="0" percent="0" rank="0" text="" dxfId="13">
      <formula>O2="No data"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D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14"/>
    <col collapsed="false" customWidth="true" hidden="false" outlineLevel="0" max="4" min="4" style="0" width="40"/>
  </cols>
  <sheetData>
    <row r="1" customFormat="false" ht="15" hidden="false" customHeight="false" outlineLevel="0" collapsed="false">
      <c r="A1" s="10" t="s">
        <v>236</v>
      </c>
      <c r="B1" s="10" t="s">
        <v>157</v>
      </c>
      <c r="C1" s="10" t="s">
        <v>238</v>
      </c>
      <c r="D1" s="10" t="s">
        <v>1245</v>
      </c>
    </row>
    <row r="2" customFormat="false" ht="15" hidden="false" customHeight="false" outlineLevel="0" collapsed="false">
      <c r="A2" s="6" t="s">
        <v>164</v>
      </c>
      <c r="B2" s="6" t="s">
        <v>172</v>
      </c>
      <c r="C2" s="9" t="n">
        <f aca="false">summary!$H$5</f>
        <v>-0.110325742925539</v>
      </c>
      <c r="D2" s="6" t="s">
        <v>1246</v>
      </c>
    </row>
    <row r="3" customFormat="false" ht="15" hidden="false" customHeight="false" outlineLevel="0" collapsed="false">
      <c r="A3" s="6" t="s">
        <v>164</v>
      </c>
      <c r="B3" s="6" t="s">
        <v>176</v>
      </c>
      <c r="C3" s="9" t="n">
        <f aca="false">summary!$H$6</f>
        <v>-0.0717628919155806</v>
      </c>
      <c r="D3" s="6" t="s">
        <v>1247</v>
      </c>
    </row>
    <row r="4" customFormat="false" ht="15" hidden="false" customHeight="false" outlineLevel="0" collapsed="false">
      <c r="A4" s="6" t="s">
        <v>164</v>
      </c>
      <c r="B4" s="6" t="s">
        <v>178</v>
      </c>
      <c r="C4" s="9" t="n">
        <f aca="false">summary!$H$7</f>
        <v>-0.0329544269891778</v>
      </c>
      <c r="D4" s="6" t="s">
        <v>1248</v>
      </c>
    </row>
    <row r="5" customFormat="false" ht="15" hidden="false" customHeight="false" outlineLevel="0" collapsed="false">
      <c r="A5" s="6" t="s">
        <v>164</v>
      </c>
      <c r="B5" s="6" t="s">
        <v>182</v>
      </c>
      <c r="C5" s="9" t="n">
        <f aca="false">summary!$H$9</f>
        <v>0.0137634099490989</v>
      </c>
      <c r="D5" s="6" t="s">
        <v>1249</v>
      </c>
    </row>
    <row r="6" customFormat="false" ht="15" hidden="false" customHeight="false" outlineLevel="0" collapsed="false">
      <c r="A6" s="6" t="s">
        <v>164</v>
      </c>
      <c r="B6" s="6" t="s">
        <v>184</v>
      </c>
      <c r="C6" s="9" t="n">
        <f aca="false">summary!$H$10</f>
        <v>0.0223940684251116</v>
      </c>
      <c r="D6" s="6" t="s">
        <v>1250</v>
      </c>
    </row>
    <row r="7" customFormat="false" ht="15" hidden="false" customHeight="false" outlineLevel="0" collapsed="false">
      <c r="A7" s="6" t="s">
        <v>164</v>
      </c>
      <c r="B7" s="6" t="s">
        <v>186</v>
      </c>
      <c r="C7" s="9" t="n">
        <f aca="false">summary!$H$11</f>
        <v>0.027888349947288</v>
      </c>
      <c r="D7" s="6" t="s">
        <v>1251</v>
      </c>
    </row>
    <row r="8" customFormat="false" ht="15" hidden="false" customHeight="false" outlineLevel="0" collapsed="false">
      <c r="A8" s="6" t="s">
        <v>164</v>
      </c>
      <c r="B8" s="6" t="s">
        <v>188</v>
      </c>
      <c r="C8" s="9" t="n">
        <f aca="false">summary!$H$12</f>
        <v>0.0294418213153276</v>
      </c>
      <c r="D8" s="6" t="s">
        <v>1252</v>
      </c>
    </row>
    <row r="9" customFormat="false" ht="15" hidden="false" customHeight="false" outlineLevel="0" collapsed="false">
      <c r="A9" s="6" t="s">
        <v>165</v>
      </c>
      <c r="B9" s="6" t="s">
        <v>172</v>
      </c>
      <c r="C9" s="9" t="n">
        <f aca="false">summary!$I$5</f>
        <v>-0.142896236233592</v>
      </c>
      <c r="D9" s="6" t="s">
        <v>1253</v>
      </c>
    </row>
    <row r="10" customFormat="false" ht="15" hidden="false" customHeight="false" outlineLevel="0" collapsed="false">
      <c r="A10" s="6" t="s">
        <v>165</v>
      </c>
      <c r="B10" s="6" t="s">
        <v>176</v>
      </c>
      <c r="C10" s="9" t="n">
        <f aca="false">summary!$I$6</f>
        <v>-0.088105172860859</v>
      </c>
      <c r="D10" s="6" t="s">
        <v>1254</v>
      </c>
    </row>
    <row r="11" customFormat="false" ht="15" hidden="false" customHeight="false" outlineLevel="0" collapsed="false">
      <c r="A11" s="6" t="s">
        <v>165</v>
      </c>
      <c r="B11" s="6" t="s">
        <v>184</v>
      </c>
      <c r="C11" s="9" t="n">
        <f aca="false">summary!$I$10</f>
        <v>0.00880764962342773</v>
      </c>
      <c r="D11" s="6" t="s">
        <v>1255</v>
      </c>
    </row>
    <row r="12" customFormat="false" ht="15" hidden="false" customHeight="false" outlineLevel="0" collapsed="false">
      <c r="A12" s="6" t="s">
        <v>165</v>
      </c>
      <c r="B12" s="6" t="s">
        <v>186</v>
      </c>
      <c r="C12" s="9" t="n">
        <f aca="false">summary!$I$11</f>
        <v>0.00309635513824613</v>
      </c>
      <c r="D12" s="6" t="s">
        <v>1256</v>
      </c>
    </row>
    <row r="13" customFormat="false" ht="15" hidden="false" customHeight="false" outlineLevel="0" collapsed="false">
      <c r="A13" s="6" t="s">
        <v>164</v>
      </c>
      <c r="B13" s="6" t="s">
        <v>190</v>
      </c>
      <c r="C13" s="9" t="n">
        <f aca="false">summary!$H$13</f>
        <v>-0.0391185131087563</v>
      </c>
      <c r="D13" s="6" t="s">
        <v>1257</v>
      </c>
    </row>
    <row r="14" customFormat="false" ht="15" hidden="false" customHeight="false" outlineLevel="0" collapsed="false">
      <c r="A14" s="6" t="s">
        <v>164</v>
      </c>
      <c r="B14" s="6" t="s">
        <v>194</v>
      </c>
      <c r="C14" s="9" t="n">
        <f aca="false">summary!$H$14</f>
        <v>-0.0193835291598071</v>
      </c>
      <c r="D14" s="6" t="s">
        <v>1258</v>
      </c>
    </row>
    <row r="15" customFormat="false" ht="15" hidden="false" customHeight="false" outlineLevel="0" collapsed="false">
      <c r="A15" s="6" t="s">
        <v>164</v>
      </c>
      <c r="B15" s="6" t="s">
        <v>196</v>
      </c>
      <c r="C15" s="9" t="n">
        <f aca="false">summary!$H$15</f>
        <v>0.0104067960965659</v>
      </c>
      <c r="D15" s="6" t="s">
        <v>1259</v>
      </c>
    </row>
    <row r="16" customFormat="false" ht="15" hidden="false" customHeight="false" outlineLevel="0" collapsed="false">
      <c r="A16" s="6" t="s">
        <v>164</v>
      </c>
      <c r="B16" s="6" t="s">
        <v>198</v>
      </c>
      <c r="C16" s="9" t="n">
        <f aca="false">summary!$H$16</f>
        <v>0.0188594322074591</v>
      </c>
      <c r="D16" s="6" t="s">
        <v>1260</v>
      </c>
    </row>
    <row r="17" customFormat="false" ht="15" hidden="false" customHeight="false" outlineLevel="0" collapsed="false">
      <c r="A17" s="6" t="s">
        <v>171</v>
      </c>
      <c r="B17" s="6" t="s">
        <v>172</v>
      </c>
      <c r="C17" s="9" t="n">
        <f aca="false">summary!$P$5</f>
        <v>0.0441380663407842</v>
      </c>
      <c r="D17" s="6" t="s">
        <v>1261</v>
      </c>
    </row>
    <row r="18" customFormat="false" ht="15" hidden="false" customHeight="false" outlineLevel="0" collapsed="false">
      <c r="A18" s="6" t="s">
        <v>171</v>
      </c>
      <c r="B18" s="6" t="s">
        <v>176</v>
      </c>
      <c r="C18" s="9" t="n">
        <f aca="false">summary!$P$6</f>
        <v>0.0417426248049169</v>
      </c>
      <c r="D18" s="6" t="s">
        <v>1262</v>
      </c>
    </row>
    <row r="19" customFormat="false" ht="15" hidden="false" customHeight="false" outlineLevel="0" collapsed="false">
      <c r="A19" s="6" t="s">
        <v>171</v>
      </c>
      <c r="B19" s="6" t="s">
        <v>178</v>
      </c>
      <c r="C19" s="9" t="n">
        <f aca="false">summary!$P$7</f>
        <v>0.0299412765267868</v>
      </c>
      <c r="D19" s="6" t="s">
        <v>1263</v>
      </c>
    </row>
    <row r="20" customFormat="false" ht="15" hidden="false" customHeight="false" outlineLevel="0" collapsed="false">
      <c r="A20" s="6" t="s">
        <v>171</v>
      </c>
      <c r="B20" s="6" t="s">
        <v>182</v>
      </c>
      <c r="C20" s="9" t="n">
        <f aca="false">summary!$P$9</f>
        <v>-0.0360059473279319</v>
      </c>
      <c r="D20" s="6" t="s">
        <v>1264</v>
      </c>
    </row>
    <row r="21" customFormat="false" ht="15" hidden="false" customHeight="false" outlineLevel="0" collapsed="false">
      <c r="A21" s="6" t="s">
        <v>171</v>
      </c>
      <c r="B21" s="6" t="s">
        <v>184</v>
      </c>
      <c r="C21" s="9" t="n">
        <f aca="false">summary!$P$10</f>
        <v>-0.0735681056225783</v>
      </c>
      <c r="D21" s="6" t="s">
        <v>1265</v>
      </c>
    </row>
    <row r="22" customFormat="false" ht="15" hidden="false" customHeight="false" outlineLevel="0" collapsed="false">
      <c r="A22" s="6" t="s">
        <v>171</v>
      </c>
      <c r="B22" s="6" t="s">
        <v>186</v>
      </c>
      <c r="C22" s="9" t="n">
        <f aca="false">summary!$P$11</f>
        <v>-0.106802730811907</v>
      </c>
      <c r="D22" s="6" t="s">
        <v>1266</v>
      </c>
    </row>
    <row r="23" customFormat="false" ht="15" hidden="false" customHeight="false" outlineLevel="0" collapsed="false">
      <c r="A23" s="6" t="s">
        <v>171</v>
      </c>
      <c r="B23" s="6" t="s">
        <v>188</v>
      </c>
      <c r="C23" s="9" t="n">
        <f aca="false">summary!$P$12</f>
        <v>-0.137692514228693</v>
      </c>
      <c r="D23" s="6" t="s">
        <v>1267</v>
      </c>
    </row>
    <row r="24" customFormat="false" ht="15" hidden="false" customHeight="false" outlineLevel="0" collapsed="false">
      <c r="A24" s="6" t="s">
        <v>170</v>
      </c>
      <c r="B24" s="6" t="s">
        <v>180</v>
      </c>
      <c r="C24" s="9" t="n">
        <f aca="false">summary!$O$8</f>
        <v>0.171761101764702</v>
      </c>
      <c r="D24" s="6" t="s">
        <v>1268</v>
      </c>
    </row>
    <row r="25" customFormat="false" ht="15" hidden="false" customHeight="false" outlineLevel="0" collapsed="false">
      <c r="A25" s="6" t="s">
        <v>170</v>
      </c>
      <c r="B25" s="6" t="s">
        <v>186</v>
      </c>
      <c r="C25" s="9" t="n">
        <f aca="false">summary!$O$11</f>
        <v>0.165205528069012</v>
      </c>
      <c r="D25" s="6" t="s">
        <v>1269</v>
      </c>
    </row>
    <row r="26" customFormat="false" ht="15" hidden="false" customHeight="false" outlineLevel="0" collapsed="false">
      <c r="A26" s="6" t="s">
        <v>170</v>
      </c>
      <c r="B26" s="6" t="s">
        <v>188</v>
      </c>
      <c r="C26" s="9" t="n">
        <f aca="false">summary!$O$12</f>
        <v>0.163074380053901</v>
      </c>
      <c r="D26" s="6" t="s">
        <v>1270</v>
      </c>
    </row>
    <row r="27" customFormat="false" ht="15" hidden="false" customHeight="false" outlineLevel="0" collapsed="false">
      <c r="A27" s="6" t="s">
        <v>170</v>
      </c>
      <c r="B27" s="6" t="s">
        <v>216</v>
      </c>
      <c r="C27" s="9" t="n">
        <f aca="false">summary!$O$24</f>
        <v>0.0405126356960686</v>
      </c>
      <c r="D27" s="6" t="s">
        <v>1271</v>
      </c>
    </row>
    <row r="28" customFormat="false" ht="15" hidden="false" customHeight="false" outlineLevel="0" collapsed="false">
      <c r="A28" s="6" t="s">
        <v>171</v>
      </c>
      <c r="B28" s="6" t="s">
        <v>216</v>
      </c>
      <c r="C28" s="9" t="n">
        <f aca="false">summary!$P$24</f>
        <v>-0.503374717372172</v>
      </c>
      <c r="D28" s="6" t="s">
        <v>1272</v>
      </c>
    </row>
    <row r="29" customFormat="false" ht="15" hidden="false" customHeight="false" outlineLevel="0" collapsed="false">
      <c r="A29" s="6" t="s">
        <v>245</v>
      </c>
      <c r="B29" s="6" t="s">
        <v>180</v>
      </c>
      <c r="C29" s="9" t="n">
        <f aca="false">summary!$C$43</f>
        <v>0.120958211693501</v>
      </c>
      <c r="D29" s="6" t="s">
        <v>1273</v>
      </c>
    </row>
    <row r="30" customFormat="false" ht="15" hidden="false" customHeight="false" outlineLevel="0" collapsed="false">
      <c r="A30" s="6" t="s">
        <v>265</v>
      </c>
      <c r="B30" s="6" t="s">
        <v>180</v>
      </c>
      <c r="C30" s="9" t="n">
        <f aca="false">summary!$C$53</f>
        <v>0.435879103072801</v>
      </c>
      <c r="D30" s="6" t="s">
        <v>1274</v>
      </c>
    </row>
    <row r="31" customFormat="false" ht="15" hidden="false" customHeight="false" outlineLevel="0" collapsed="false">
      <c r="A31" s="6" t="s">
        <v>300</v>
      </c>
      <c r="B31" s="6" t="s">
        <v>302</v>
      </c>
      <c r="C31" s="8" t="n">
        <f aca="false">summary!$C$85</f>
        <v>365</v>
      </c>
      <c r="D31" s="6" t="s">
        <v>1275</v>
      </c>
    </row>
    <row r="32" customFormat="false" ht="15" hidden="false" customHeight="false" outlineLevel="0" collapsed="false">
      <c r="A32" s="6" t="s">
        <v>244</v>
      </c>
      <c r="B32" s="6" t="s">
        <v>180</v>
      </c>
      <c r="C32" s="9" t="n">
        <f aca="false">summary!$C$42</f>
        <v>0.599105687846182</v>
      </c>
      <c r="D32" s="6" t="s">
        <v>1276</v>
      </c>
    </row>
    <row r="33" customFormat="false" ht="15" hidden="false" customHeight="false" outlineLevel="0" collapsed="false">
      <c r="A33" s="6" t="s">
        <v>249</v>
      </c>
      <c r="B33" s="6" t="s">
        <v>180</v>
      </c>
      <c r="C33" s="9" t="n">
        <f aca="false">summary!$C$45</f>
        <v>0.218487825084507</v>
      </c>
      <c r="D33" s="6" t="s">
        <v>1277</v>
      </c>
    </row>
    <row r="34" customFormat="false" ht="15" hidden="false" customHeight="false" outlineLevel="0" collapsed="false">
      <c r="A34" s="6" t="s">
        <v>268</v>
      </c>
      <c r="B34" s="6" t="s">
        <v>180</v>
      </c>
      <c r="C34" s="9" t="n">
        <f aca="false">summary!$C$54</f>
        <v>0.396807949589974</v>
      </c>
      <c r="D34" s="6" t="s">
        <v>1278</v>
      </c>
    </row>
    <row r="35" customFormat="false" ht="15" hidden="false" customHeight="false" outlineLevel="0" collapsed="false">
      <c r="A35" s="6" t="s">
        <v>269</v>
      </c>
      <c r="B35" s="6" t="s">
        <v>180</v>
      </c>
      <c r="C35" s="9" t="n">
        <f aca="false">summary!$C$55</f>
        <v>0.716936017643624</v>
      </c>
      <c r="D35" s="6" t="s">
        <v>1279</v>
      </c>
    </row>
    <row r="36" customFormat="false" ht="15" hidden="false" customHeight="false" outlineLevel="0" collapsed="false">
      <c r="A36" s="6" t="s">
        <v>259</v>
      </c>
      <c r="B36" s="6" t="s">
        <v>180</v>
      </c>
      <c r="C36" s="9" t="n">
        <f aca="false">summary!$C$50</f>
        <v>0.00465889154504449</v>
      </c>
      <c r="D36" s="6" t="s">
        <v>1280</v>
      </c>
    </row>
    <row r="37" customFormat="false" ht="15" hidden="false" customHeight="false" outlineLevel="0" collapsed="false">
      <c r="A37" s="6" t="s">
        <v>261</v>
      </c>
      <c r="B37" s="6" t="s">
        <v>180</v>
      </c>
      <c r="C37" s="9" t="n">
        <f aca="false">summary!$C$51</f>
        <v>0.00362698514780713</v>
      </c>
      <c r="D37" s="6" t="s">
        <v>1281</v>
      </c>
    </row>
    <row r="38" customFormat="false" ht="15" hidden="false" customHeight="false" outlineLevel="0" collapsed="false">
      <c r="A38" s="6" t="s">
        <v>270</v>
      </c>
      <c r="B38" s="6" t="s">
        <v>180</v>
      </c>
      <c r="C38" s="9" t="n">
        <f aca="false">summary!$C$56</f>
        <v>0</v>
      </c>
      <c r="D38" s="6" t="s">
        <v>1282</v>
      </c>
    </row>
    <row r="39" customFormat="false" ht="15" hidden="false" customHeight="false" outlineLevel="0" collapsed="false">
      <c r="A39" s="6" t="s">
        <v>272</v>
      </c>
      <c r="B39" s="6" t="s">
        <v>180</v>
      </c>
      <c r="C39" s="9" t="n">
        <f aca="false">summary!$C$57</f>
        <v>0</v>
      </c>
      <c r="D39" s="6" t="s">
        <v>1283</v>
      </c>
    </row>
    <row r="40" customFormat="false" ht="15" hidden="false" customHeight="false" outlineLevel="0" collapsed="false">
      <c r="A40" s="6" t="s">
        <v>275</v>
      </c>
      <c r="B40" s="6" t="s">
        <v>180</v>
      </c>
      <c r="C40" s="9" t="n">
        <f aca="false">summary!$C$58</f>
        <v>0.0862031088434425</v>
      </c>
      <c r="D40" s="6" t="s">
        <v>1284</v>
      </c>
    </row>
    <row r="41" customFormat="false" ht="15" hidden="false" customHeight="false" outlineLevel="0" collapsed="false">
      <c r="A41" s="6" t="s">
        <v>165</v>
      </c>
      <c r="B41" s="6" t="s">
        <v>178</v>
      </c>
      <c r="C41" s="9" t="n">
        <f aca="false">summary!$I$7</f>
        <v>-0.0383258502052798</v>
      </c>
      <c r="D41" s="6" t="s">
        <v>1285</v>
      </c>
    </row>
    <row r="42" customFormat="false" ht="15" hidden="false" customHeight="false" outlineLevel="0" collapsed="false">
      <c r="A42" s="6" t="s">
        <v>164</v>
      </c>
      <c r="B42" s="6" t="s">
        <v>180</v>
      </c>
      <c r="C42" s="9" t="n">
        <f aca="false">summary!$H$8</f>
        <v>0</v>
      </c>
      <c r="D42" s="6" t="s">
        <v>1286</v>
      </c>
    </row>
    <row r="43" customFormat="false" ht="15" hidden="false" customHeight="false" outlineLevel="0" collapsed="false">
      <c r="A43" s="6" t="s">
        <v>165</v>
      </c>
      <c r="B43" s="6" t="s">
        <v>180</v>
      </c>
      <c r="C43" s="9" t="n">
        <f aca="false">summary!$I$8</f>
        <v>0</v>
      </c>
      <c r="D43" s="6" t="s">
        <v>1287</v>
      </c>
    </row>
    <row r="44" customFormat="false" ht="15" hidden="false" customHeight="false" outlineLevel="0" collapsed="false">
      <c r="A44" s="6" t="s">
        <v>165</v>
      </c>
      <c r="B44" s="6" t="s">
        <v>182</v>
      </c>
      <c r="C44" s="9" t="n">
        <f aca="false">summary!$I$9</f>
        <v>0.0093136603950148</v>
      </c>
      <c r="D44" s="6" t="s">
        <v>1288</v>
      </c>
    </row>
    <row r="45" customFormat="false" ht="15" hidden="false" customHeight="false" outlineLevel="0" collapsed="false">
      <c r="A45" s="6" t="s">
        <v>165</v>
      </c>
      <c r="B45" s="6" t="s">
        <v>188</v>
      </c>
      <c r="C45" s="9" t="n">
        <f aca="false">summary!$I$12</f>
        <v>-0.00938652614242486</v>
      </c>
      <c r="D45" s="6" t="s">
        <v>1289</v>
      </c>
    </row>
    <row r="46" customFormat="false" ht="15" hidden="false" customHeight="false" outlineLevel="0" collapsed="false">
      <c r="A46" s="6" t="s">
        <v>165</v>
      </c>
      <c r="B46" s="6" t="s">
        <v>190</v>
      </c>
      <c r="C46" s="9" t="n">
        <f aca="false">summary!$I$13</f>
        <v>-0.0713362603209768</v>
      </c>
      <c r="D46" s="6" t="s">
        <v>1290</v>
      </c>
    </row>
    <row r="47" customFormat="false" ht="15" hidden="false" customHeight="false" outlineLevel="0" collapsed="false">
      <c r="A47" s="6" t="s">
        <v>165</v>
      </c>
      <c r="B47" s="6" t="s">
        <v>194</v>
      </c>
      <c r="C47" s="9" t="n">
        <f aca="false">summary!$I$14</f>
        <v>-0.0322245976737537</v>
      </c>
      <c r="D47" s="6" t="s">
        <v>1291</v>
      </c>
    </row>
    <row r="48" customFormat="false" ht="15" hidden="false" customHeight="false" outlineLevel="0" collapsed="false">
      <c r="A48" s="6" t="s">
        <v>165</v>
      </c>
      <c r="B48" s="6" t="s">
        <v>196</v>
      </c>
      <c r="C48" s="9" t="n">
        <f aca="false">summary!$I$15</f>
        <v>0.00444250968606808</v>
      </c>
      <c r="D48" s="6" t="s">
        <v>1292</v>
      </c>
    </row>
    <row r="49" customFormat="false" ht="15" hidden="false" customHeight="false" outlineLevel="0" collapsed="false">
      <c r="A49" s="6" t="s">
        <v>165</v>
      </c>
      <c r="B49" s="6" t="s">
        <v>198</v>
      </c>
      <c r="C49" s="9" t="n">
        <f aca="false">summary!$I$16</f>
        <v>0.000317633862425559</v>
      </c>
      <c r="D49" s="6" t="s">
        <v>1293</v>
      </c>
    </row>
    <row r="50" customFormat="false" ht="15" hidden="false" customHeight="false" outlineLevel="0" collapsed="false">
      <c r="A50" s="6" t="s">
        <v>164</v>
      </c>
      <c r="B50" s="6" t="s">
        <v>200</v>
      </c>
      <c r="C50" s="9" t="n">
        <f aca="false">summary!$H$17</f>
        <v>0.0114420891930331</v>
      </c>
      <c r="D50" s="6" t="s">
        <v>1294</v>
      </c>
    </row>
    <row r="51" customFormat="false" ht="15" hidden="false" customHeight="false" outlineLevel="0" collapsed="false">
      <c r="A51" s="6" t="s">
        <v>165</v>
      </c>
      <c r="B51" s="6" t="s">
        <v>200</v>
      </c>
      <c r="C51" s="9" t="n">
        <f aca="false">summary!$I$17</f>
        <v>0.0188986228356061</v>
      </c>
      <c r="D51" s="6" t="s">
        <v>1295</v>
      </c>
    </row>
    <row r="52" customFormat="false" ht="15" hidden="false" customHeight="false" outlineLevel="0" collapsed="false">
      <c r="A52" s="6" t="s">
        <v>164</v>
      </c>
      <c r="B52" s="6" t="s">
        <v>203</v>
      </c>
      <c r="C52" s="9" t="n">
        <f aca="false">summary!$H$18</f>
        <v>-0.00437845896453337</v>
      </c>
      <c r="D52" s="6" t="s">
        <v>1296</v>
      </c>
    </row>
    <row r="53" customFormat="false" ht="15" hidden="false" customHeight="false" outlineLevel="0" collapsed="false">
      <c r="A53" s="6" t="s">
        <v>165</v>
      </c>
      <c r="B53" s="6" t="s">
        <v>203</v>
      </c>
      <c r="C53" s="9" t="n">
        <f aca="false">summary!$I$18</f>
        <v>-0.0140097006547582</v>
      </c>
      <c r="D53" s="6" t="s">
        <v>1297</v>
      </c>
    </row>
    <row r="54" customFormat="false" ht="15" hidden="false" customHeight="false" outlineLevel="0" collapsed="false">
      <c r="A54" s="6" t="s">
        <v>164</v>
      </c>
      <c r="B54" s="6" t="s">
        <v>205</v>
      </c>
      <c r="C54" s="9" t="n">
        <f aca="false">summary!$H$19</f>
        <v>0.0157041519420369</v>
      </c>
      <c r="D54" s="6" t="s">
        <v>1298</v>
      </c>
    </row>
    <row r="55" customFormat="false" ht="15" hidden="false" customHeight="false" outlineLevel="0" collapsed="false">
      <c r="A55" s="6" t="s">
        <v>165</v>
      </c>
      <c r="B55" s="6" t="s">
        <v>205</v>
      </c>
      <c r="C55" s="9" t="n">
        <f aca="false">summary!$I$19</f>
        <v>-0.01067696075669</v>
      </c>
      <c r="D55" s="6" t="s">
        <v>1299</v>
      </c>
    </row>
    <row r="56" customFormat="false" ht="15" hidden="false" customHeight="false" outlineLevel="0" collapsed="false">
      <c r="A56" s="6" t="s">
        <v>164</v>
      </c>
      <c r="B56" s="6" t="s">
        <v>207</v>
      </c>
      <c r="C56" s="9" t="n">
        <f aca="false">summary!$H$20</f>
        <v>0.00521128708459062</v>
      </c>
      <c r="D56" s="6" t="s">
        <v>1300</v>
      </c>
    </row>
    <row r="57" customFormat="false" ht="15" hidden="false" customHeight="false" outlineLevel="0" collapsed="false">
      <c r="A57" s="6" t="s">
        <v>165</v>
      </c>
      <c r="B57" s="6" t="s">
        <v>207</v>
      </c>
      <c r="C57" s="9" t="n">
        <f aca="false">summary!$I$20</f>
        <v>0.0146523844961108</v>
      </c>
      <c r="D57" s="6" t="s">
        <v>1301</v>
      </c>
    </row>
    <row r="58" customFormat="false" ht="15" hidden="false" customHeight="false" outlineLevel="0" collapsed="false">
      <c r="A58" s="6" t="s">
        <v>164</v>
      </c>
      <c r="B58" s="6" t="s">
        <v>210</v>
      </c>
      <c r="C58" s="9" t="n">
        <f aca="false">summary!$H$21</f>
        <v>0.0106619995370705</v>
      </c>
      <c r="D58" s="6" t="s">
        <v>1302</v>
      </c>
    </row>
    <row r="59" customFormat="false" ht="15" hidden="false" customHeight="false" outlineLevel="0" collapsed="false">
      <c r="A59" s="6" t="s">
        <v>165</v>
      </c>
      <c r="B59" s="6" t="s">
        <v>210</v>
      </c>
      <c r="C59" s="9" t="n">
        <f aca="false">summary!$I$21</f>
        <v>0.011664886056963</v>
      </c>
      <c r="D59" s="6" t="s">
        <v>1303</v>
      </c>
    </row>
    <row r="60" customFormat="false" ht="15" hidden="false" customHeight="false" outlineLevel="0" collapsed="false">
      <c r="A60" s="6" t="s">
        <v>164</v>
      </c>
      <c r="B60" s="6" t="s">
        <v>212</v>
      </c>
      <c r="C60" s="9" t="n">
        <f aca="false">summary!$H$22</f>
        <v>0.0152216584498037</v>
      </c>
      <c r="D60" s="6" t="s">
        <v>1304</v>
      </c>
    </row>
    <row r="61" customFormat="false" ht="15" hidden="false" customHeight="false" outlineLevel="0" collapsed="false">
      <c r="A61" s="6" t="s">
        <v>165</v>
      </c>
      <c r="B61" s="6" t="s">
        <v>212</v>
      </c>
      <c r="C61" s="9" t="n">
        <f aca="false">summary!$I$22</f>
        <v>0.00566307653695075</v>
      </c>
      <c r="D61" s="6" t="s">
        <v>1305</v>
      </c>
    </row>
    <row r="62" customFormat="false" ht="15" hidden="false" customHeight="false" outlineLevel="0" collapsed="false">
      <c r="A62" s="6" t="s">
        <v>164</v>
      </c>
      <c r="B62" s="6" t="s">
        <v>214</v>
      </c>
      <c r="C62" s="9" t="n">
        <f aca="false">summary!$H$23</f>
        <v>-0.0375819275661228</v>
      </c>
      <c r="D62" s="6" t="s">
        <v>1306</v>
      </c>
    </row>
    <row r="63" customFormat="false" ht="15" hidden="false" customHeight="false" outlineLevel="0" collapsed="false">
      <c r="A63" s="6" t="s">
        <v>165</v>
      </c>
      <c r="B63" s="6" t="s">
        <v>214</v>
      </c>
      <c r="C63" s="9" t="n">
        <f aca="false">summary!$I$23</f>
        <v>-0.0586384831628618</v>
      </c>
      <c r="D63" s="6" t="s">
        <v>1307</v>
      </c>
    </row>
    <row r="64" customFormat="false" ht="15" hidden="false" customHeight="false" outlineLevel="0" collapsed="false">
      <c r="A64" s="6" t="s">
        <v>164</v>
      </c>
      <c r="B64" s="6" t="s">
        <v>216</v>
      </c>
      <c r="C64" s="9" t="n">
        <f aca="false">summary!$H$24</f>
        <v>0.027888349947288</v>
      </c>
      <c r="D64" s="6" t="s">
        <v>1308</v>
      </c>
    </row>
    <row r="65" customFormat="false" ht="15" hidden="false" customHeight="false" outlineLevel="0" collapsed="false">
      <c r="A65" s="6" t="s">
        <v>165</v>
      </c>
      <c r="B65" s="6" t="s">
        <v>216</v>
      </c>
      <c r="C65" s="9" t="n">
        <f aca="false">summary!$I$24</f>
        <v>0.00309635513824613</v>
      </c>
      <c r="D65" s="6" t="s">
        <v>1309</v>
      </c>
    </row>
    <row r="66" customFormat="false" ht="15" hidden="false" customHeight="false" outlineLevel="0" collapsed="false">
      <c r="A66" s="6" t="s">
        <v>170</v>
      </c>
      <c r="B66" s="6" t="s">
        <v>172</v>
      </c>
      <c r="C66" s="9" t="n">
        <f aca="false">summary!$O$5</f>
        <v>0.165911416404484</v>
      </c>
      <c r="D66" s="6" t="s">
        <v>1310</v>
      </c>
    </row>
    <row r="67" customFormat="false" ht="15" hidden="false" customHeight="false" outlineLevel="0" collapsed="false">
      <c r="A67" s="6" t="s">
        <v>170</v>
      </c>
      <c r="B67" s="6" t="s">
        <v>176</v>
      </c>
      <c r="C67" s="9" t="n">
        <f aca="false">summary!$O$6</f>
        <v>0.169848622900068</v>
      </c>
      <c r="D67" s="6" t="s">
        <v>1311</v>
      </c>
    </row>
    <row r="68" customFormat="false" ht="15" hidden="false" customHeight="false" outlineLevel="0" collapsed="false">
      <c r="A68" s="6" t="s">
        <v>170</v>
      </c>
      <c r="B68" s="6" t="s">
        <v>178</v>
      </c>
      <c r="C68" s="9" t="n">
        <f aca="false">summary!$O$7</f>
        <v>0.172250100599423</v>
      </c>
      <c r="D68" s="6" t="s">
        <v>1312</v>
      </c>
    </row>
    <row r="69" customFormat="false" ht="15" hidden="false" customHeight="false" outlineLevel="0" collapsed="false">
      <c r="A69" s="6" t="s">
        <v>171</v>
      </c>
      <c r="B69" s="6" t="s">
        <v>180</v>
      </c>
      <c r="C69" s="9" t="n">
        <f aca="false">summary!$P$8</f>
        <v>0</v>
      </c>
      <c r="D69" s="6" t="s">
        <v>1313</v>
      </c>
    </row>
    <row r="70" customFormat="false" ht="15" hidden="false" customHeight="false" outlineLevel="0" collapsed="false">
      <c r="A70" s="6" t="s">
        <v>170</v>
      </c>
      <c r="B70" s="6" t="s">
        <v>182</v>
      </c>
      <c r="C70" s="9" t="n">
        <f aca="false">summary!$O$9</f>
        <v>0.169876535178308</v>
      </c>
      <c r="D70" s="6" t="s">
        <v>1314</v>
      </c>
    </row>
    <row r="71" customFormat="false" ht="15" hidden="false" customHeight="false" outlineLevel="0" collapsed="false">
      <c r="A71" s="6" t="s">
        <v>170</v>
      </c>
      <c r="B71" s="6" t="s">
        <v>184</v>
      </c>
      <c r="C71" s="9" t="n">
        <f aca="false">summary!$O$10</f>
        <v>0.167389811870363</v>
      </c>
      <c r="D71" s="6" t="s">
        <v>1315</v>
      </c>
    </row>
    <row r="72" customFormat="false" ht="15" hidden="false" customHeight="false" outlineLevel="0" collapsed="false">
      <c r="A72" s="6" t="s">
        <v>171</v>
      </c>
      <c r="B72" s="6" t="s">
        <v>200</v>
      </c>
      <c r="C72" s="9" t="n">
        <f aca="false">summary!$P$17</f>
        <v>-0.0627804029158191</v>
      </c>
      <c r="D72" s="6" t="s">
        <v>1316</v>
      </c>
    </row>
    <row r="73" customFormat="false" ht="15" hidden="false" customHeight="false" outlineLevel="0" collapsed="false">
      <c r="A73" s="6" t="s">
        <v>170</v>
      </c>
      <c r="B73" s="6" t="s">
        <v>200</v>
      </c>
      <c r="C73" s="9" t="n">
        <f aca="false">summary!$O$17</f>
        <v>0.166832590485465</v>
      </c>
      <c r="D73" s="6" t="s">
        <v>1317</v>
      </c>
    </row>
    <row r="74" customFormat="false" ht="15" hidden="false" customHeight="false" outlineLevel="0" collapsed="false">
      <c r="A74" s="6" t="s">
        <v>171</v>
      </c>
      <c r="B74" s="6" t="s">
        <v>203</v>
      </c>
      <c r="C74" s="9" t="n">
        <f aca="false">summary!$P$18</f>
        <v>0.0443067815170295</v>
      </c>
      <c r="D74" s="6" t="s">
        <v>1318</v>
      </c>
    </row>
    <row r="75" customFormat="false" ht="15" hidden="false" customHeight="false" outlineLevel="0" collapsed="false">
      <c r="A75" s="6" t="s">
        <v>170</v>
      </c>
      <c r="B75" s="6" t="s">
        <v>203</v>
      </c>
      <c r="C75" s="9" t="n">
        <f aca="false">summary!$O$18</f>
        <v>0.175145443220623</v>
      </c>
      <c r="D75" s="6" t="s">
        <v>1319</v>
      </c>
    </row>
    <row r="76" customFormat="false" ht="15" hidden="false" customHeight="false" outlineLevel="0" collapsed="false">
      <c r="A76" s="6" t="s">
        <v>171</v>
      </c>
      <c r="B76" s="6" t="s">
        <v>205</v>
      </c>
      <c r="C76" s="9" t="n">
        <f aca="false">summary!$P$19</f>
        <v>-0.00348275407581999</v>
      </c>
      <c r="D76" s="6" t="s">
        <v>1320</v>
      </c>
    </row>
    <row r="77" customFormat="false" ht="15" hidden="false" customHeight="false" outlineLevel="0" collapsed="false">
      <c r="A77" s="6" t="s">
        <v>170</v>
      </c>
      <c r="B77" s="6" t="s">
        <v>205</v>
      </c>
      <c r="C77" s="9" t="n">
        <f aca="false">summary!$O$19</f>
        <v>0.174165610956716</v>
      </c>
      <c r="D77" s="6" t="s">
        <v>1321</v>
      </c>
    </row>
    <row r="78" customFormat="false" ht="15" hidden="false" customHeight="false" outlineLevel="0" collapsed="false">
      <c r="A78" s="6" t="s">
        <v>171</v>
      </c>
      <c r="B78" s="6" t="s">
        <v>207</v>
      </c>
      <c r="C78" s="9" t="n">
        <f aca="false">summary!$P$20</f>
        <v>-0.034791766884114</v>
      </c>
      <c r="D78" s="6" t="s">
        <v>1322</v>
      </c>
    </row>
    <row r="79" customFormat="false" ht="15" hidden="false" customHeight="false" outlineLevel="0" collapsed="false">
      <c r="A79" s="6" t="s">
        <v>170</v>
      </c>
      <c r="B79" s="6" t="s">
        <v>207</v>
      </c>
      <c r="C79" s="9" t="n">
        <f aca="false">summary!$O$20</f>
        <v>0.169784132333481</v>
      </c>
      <c r="D79" s="6" t="s">
        <v>1323</v>
      </c>
    </row>
  </sheetData>
  <autoFilter ref="A1:D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H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3"/>
    <col collapsed="false" customWidth="true" hidden="false" outlineLevel="0" max="2" min="2" style="0" width="44"/>
    <col collapsed="false" customWidth="true" hidden="false" outlineLevel="0" max="3" min="3" style="0" width="14"/>
    <col collapsed="false" customWidth="true" hidden="false" outlineLevel="0" max="4" min="4" style="0" width="8"/>
    <col collapsed="false" customWidth="true" hidden="false" outlineLevel="0" max="5" min="5" style="0" width="22"/>
    <col collapsed="false" customWidth="true" hidden="false" outlineLevel="0" max="6" min="6" style="0" width="90"/>
    <col collapsed="false" customWidth="true" hidden="false" outlineLevel="0" max="7" min="7" style="0" width="46"/>
    <col collapsed="false" customWidth="true" hidden="false" outlineLevel="0" max="8" min="8" style="0" width="90"/>
  </cols>
  <sheetData>
    <row r="1" customFormat="false" ht="30" hidden="false" customHeight="true" outlineLevel="0" collapsed="false">
      <c r="A1" s="27" t="s">
        <v>236</v>
      </c>
      <c r="B1" s="27" t="s">
        <v>237</v>
      </c>
      <c r="C1" s="27" t="s">
        <v>1000</v>
      </c>
      <c r="D1" s="27" t="s">
        <v>1324</v>
      </c>
      <c r="E1" s="27" t="s">
        <v>1325</v>
      </c>
      <c r="F1" s="27" t="s">
        <v>1326</v>
      </c>
      <c r="G1" s="27" t="s">
        <v>1327</v>
      </c>
      <c r="H1" s="27" t="s">
        <v>1328</v>
      </c>
    </row>
    <row r="2" customFormat="false" ht="15" hidden="false" customHeight="false" outlineLevel="0" collapsed="false">
      <c r="A2" s="28" t="s">
        <v>255</v>
      </c>
      <c r="B2" s="28" t="s">
        <v>1329</v>
      </c>
      <c r="C2" s="28" t="s">
        <v>1220</v>
      </c>
      <c r="D2" s="28" t="s">
        <v>1330</v>
      </c>
      <c r="E2" s="28" t="s">
        <v>1331</v>
      </c>
      <c r="F2" s="28" t="s">
        <v>1332</v>
      </c>
      <c r="G2" s="28" t="s">
        <v>1333</v>
      </c>
      <c r="H2" s="28" t="s">
        <v>1334</v>
      </c>
    </row>
    <row r="3" customFormat="false" ht="15" hidden="false" customHeight="false" outlineLevel="0" collapsed="false">
      <c r="A3" s="28" t="s">
        <v>251</v>
      </c>
      <c r="B3" s="28" t="s">
        <v>1335</v>
      </c>
      <c r="C3" s="28" t="s">
        <v>1220</v>
      </c>
      <c r="D3" s="28" t="s">
        <v>1330</v>
      </c>
      <c r="E3" s="28" t="s">
        <v>1331</v>
      </c>
      <c r="F3" s="28" t="s">
        <v>1336</v>
      </c>
      <c r="G3" s="28" t="s">
        <v>119</v>
      </c>
      <c r="H3" s="28" t="s">
        <v>1337</v>
      </c>
    </row>
    <row r="4" customFormat="false" ht="15" hidden="false" customHeight="false" outlineLevel="0" collapsed="false">
      <c r="A4" s="28" t="s">
        <v>253</v>
      </c>
      <c r="B4" s="28" t="s">
        <v>1338</v>
      </c>
      <c r="C4" s="28" t="s">
        <v>1220</v>
      </c>
      <c r="D4" s="28" t="s">
        <v>1330</v>
      </c>
      <c r="E4" s="28" t="s">
        <v>1331</v>
      </c>
      <c r="F4" s="28" t="s">
        <v>1339</v>
      </c>
      <c r="G4" s="28" t="s">
        <v>119</v>
      </c>
      <c r="H4" s="28" t="s">
        <v>1340</v>
      </c>
    </row>
    <row r="5" customFormat="false" ht="15" hidden="false" customHeight="false" outlineLevel="0" collapsed="false">
      <c r="A5" s="28" t="s">
        <v>257</v>
      </c>
      <c r="B5" s="28" t="s">
        <v>1341</v>
      </c>
      <c r="C5" s="28" t="s">
        <v>1220</v>
      </c>
      <c r="D5" s="28" t="s">
        <v>1342</v>
      </c>
      <c r="E5" s="28" t="s">
        <v>1343</v>
      </c>
      <c r="F5" s="28" t="s">
        <v>1344</v>
      </c>
      <c r="G5" s="28" t="s">
        <v>119</v>
      </c>
      <c r="H5" s="28" t="s">
        <v>1345</v>
      </c>
    </row>
    <row r="6" customFormat="false" ht="15" hidden="false" customHeight="false" outlineLevel="0" collapsed="false">
      <c r="A6" s="28" t="s">
        <v>263</v>
      </c>
      <c r="B6" s="28" t="s">
        <v>1346</v>
      </c>
      <c r="C6" s="28" t="s">
        <v>1220</v>
      </c>
      <c r="D6" s="28" t="s">
        <v>1330</v>
      </c>
      <c r="E6" s="28" t="s">
        <v>1343</v>
      </c>
      <c r="F6" s="28" t="s">
        <v>1347</v>
      </c>
      <c r="G6" s="28" t="s">
        <v>119</v>
      </c>
      <c r="H6" s="28"/>
    </row>
    <row r="7" customFormat="false" ht="15" hidden="false" customHeight="false" outlineLevel="0" collapsed="false">
      <c r="A7" s="28" t="s">
        <v>244</v>
      </c>
      <c r="B7" s="28" t="s">
        <v>1237</v>
      </c>
      <c r="C7" s="28" t="s">
        <v>1220</v>
      </c>
      <c r="D7" s="28" t="s">
        <v>1342</v>
      </c>
      <c r="E7" s="28" t="s">
        <v>1348</v>
      </c>
      <c r="F7" s="28" t="s">
        <v>1349</v>
      </c>
      <c r="G7" s="28" t="s">
        <v>119</v>
      </c>
      <c r="H7" s="28" t="s">
        <v>1350</v>
      </c>
    </row>
    <row r="8" customFormat="false" ht="15" hidden="false" customHeight="false" outlineLevel="0" collapsed="false">
      <c r="A8" s="28" t="s">
        <v>245</v>
      </c>
      <c r="B8" s="28" t="s">
        <v>21</v>
      </c>
      <c r="C8" s="28" t="s">
        <v>1220</v>
      </c>
      <c r="D8" s="28" t="s">
        <v>1330</v>
      </c>
      <c r="E8" s="28" t="s">
        <v>1331</v>
      </c>
      <c r="F8" s="28" t="s">
        <v>1351</v>
      </c>
      <c r="G8" s="28" t="s">
        <v>1352</v>
      </c>
      <c r="H8" s="28" t="s">
        <v>1353</v>
      </c>
    </row>
    <row r="9" customFormat="false" ht="15" hidden="false" customHeight="false" outlineLevel="0" collapsed="false">
      <c r="A9" s="28" t="s">
        <v>249</v>
      </c>
      <c r="B9" s="28" t="s">
        <v>250</v>
      </c>
      <c r="C9" s="28" t="s">
        <v>1220</v>
      </c>
      <c r="D9" s="28" t="s">
        <v>1342</v>
      </c>
      <c r="E9" s="28" t="s">
        <v>1343</v>
      </c>
      <c r="F9" s="28" t="s">
        <v>1354</v>
      </c>
      <c r="G9" s="28" t="s">
        <v>113</v>
      </c>
      <c r="H9" s="28" t="s">
        <v>1355</v>
      </c>
    </row>
    <row r="10" customFormat="false" ht="15" hidden="false" customHeight="false" outlineLevel="0" collapsed="false">
      <c r="A10" s="28" t="s">
        <v>259</v>
      </c>
      <c r="B10" s="28" t="s">
        <v>1356</v>
      </c>
      <c r="C10" s="28" t="s">
        <v>1220</v>
      </c>
      <c r="D10" s="28" t="s">
        <v>1330</v>
      </c>
      <c r="E10" s="28" t="s">
        <v>1343</v>
      </c>
      <c r="F10" s="28" t="s">
        <v>1357</v>
      </c>
      <c r="G10" s="28" t="s">
        <v>1358</v>
      </c>
      <c r="H10" s="28"/>
    </row>
    <row r="11" customFormat="false" ht="15" hidden="false" customHeight="false" outlineLevel="0" collapsed="false">
      <c r="A11" s="28" t="s">
        <v>261</v>
      </c>
      <c r="B11" s="28" t="s">
        <v>1241</v>
      </c>
      <c r="C11" s="28" t="s">
        <v>1220</v>
      </c>
      <c r="D11" s="28" t="s">
        <v>1330</v>
      </c>
      <c r="E11" s="28" t="s">
        <v>1343</v>
      </c>
      <c r="F11" s="28" t="s">
        <v>1359</v>
      </c>
      <c r="G11" s="28" t="s">
        <v>119</v>
      </c>
      <c r="H11" s="28"/>
    </row>
    <row r="12" customFormat="false" ht="15" hidden="false" customHeight="false" outlineLevel="0" collapsed="false">
      <c r="A12" s="28" t="s">
        <v>265</v>
      </c>
      <c r="B12" s="28" t="s">
        <v>1360</v>
      </c>
      <c r="C12" s="28" t="s">
        <v>1220</v>
      </c>
      <c r="D12" s="28" t="s">
        <v>1342</v>
      </c>
      <c r="E12" s="28" t="s">
        <v>1331</v>
      </c>
      <c r="F12" s="28" t="s">
        <v>1361</v>
      </c>
      <c r="G12" s="28" t="s">
        <v>54</v>
      </c>
      <c r="H12" s="28" t="s">
        <v>1362</v>
      </c>
    </row>
    <row r="13" customFormat="false" ht="15" hidden="false" customHeight="false" outlineLevel="0" collapsed="false">
      <c r="A13" s="28" t="s">
        <v>300</v>
      </c>
      <c r="B13" s="28" t="s">
        <v>1363</v>
      </c>
      <c r="C13" s="28" t="s">
        <v>1235</v>
      </c>
      <c r="D13" s="28" t="s">
        <v>1364</v>
      </c>
      <c r="E13" s="28" t="s">
        <v>1331</v>
      </c>
      <c r="F13" s="28" t="s">
        <v>1365</v>
      </c>
      <c r="G13" s="28" t="s">
        <v>1366</v>
      </c>
      <c r="H13" s="28"/>
    </row>
    <row r="14" customFormat="false" ht="15" hidden="false" customHeight="false" outlineLevel="0" collapsed="false">
      <c r="A14" s="28" t="s">
        <v>164</v>
      </c>
      <c r="B14" s="28" t="s">
        <v>1367</v>
      </c>
      <c r="C14" s="28" t="s">
        <v>1220</v>
      </c>
      <c r="D14" s="28" t="s">
        <v>1342</v>
      </c>
      <c r="E14" s="28" t="s">
        <v>1368</v>
      </c>
      <c r="F14" s="28" t="s">
        <v>1369</v>
      </c>
      <c r="G14" s="28" t="s">
        <v>1370</v>
      </c>
      <c r="H14" s="28"/>
    </row>
    <row r="15" customFormat="false" ht="15" hidden="false" customHeight="false" outlineLevel="0" collapsed="false">
      <c r="A15" s="28" t="s">
        <v>165</v>
      </c>
      <c r="B15" s="28" t="s">
        <v>1371</v>
      </c>
      <c r="C15" s="28" t="s">
        <v>1220</v>
      </c>
      <c r="D15" s="28" t="s">
        <v>1342</v>
      </c>
      <c r="E15" s="28" t="s">
        <v>1368</v>
      </c>
      <c r="F15" s="28" t="s">
        <v>1372</v>
      </c>
      <c r="G15" s="28" t="s">
        <v>1370</v>
      </c>
      <c r="H15" s="28"/>
    </row>
    <row r="16" customFormat="false" ht="15" hidden="false" customHeight="false" outlineLevel="0" collapsed="false">
      <c r="A16" s="28" t="s">
        <v>93</v>
      </c>
      <c r="B16" s="28" t="s">
        <v>1373</v>
      </c>
      <c r="C16" s="28" t="s">
        <v>1124</v>
      </c>
      <c r="D16" s="28" t="s">
        <v>1364</v>
      </c>
      <c r="E16" s="28" t="s">
        <v>1331</v>
      </c>
      <c r="F16" s="28" t="s">
        <v>1374</v>
      </c>
      <c r="G16" s="28" t="s">
        <v>93</v>
      </c>
      <c r="H16" s="28"/>
    </row>
    <row r="17" customFormat="false" ht="15" hidden="false" customHeight="false" outlineLevel="0" collapsed="false">
      <c r="A17" s="28" t="s">
        <v>170</v>
      </c>
      <c r="B17" s="28" t="s">
        <v>1375</v>
      </c>
      <c r="C17" s="28" t="s">
        <v>1220</v>
      </c>
      <c r="D17" s="28" t="s">
        <v>1330</v>
      </c>
      <c r="E17" s="28" t="s">
        <v>1331</v>
      </c>
      <c r="F17" s="28" t="s">
        <v>1376</v>
      </c>
      <c r="G17" s="28" t="s">
        <v>1377</v>
      </c>
      <c r="H17" s="28"/>
    </row>
    <row r="18" customFormat="false" ht="15" hidden="false" customHeight="false" outlineLevel="0" collapsed="false">
      <c r="A18" s="28" t="s">
        <v>171</v>
      </c>
      <c r="B18" s="28" t="s">
        <v>1378</v>
      </c>
      <c r="C18" s="28" t="s">
        <v>1220</v>
      </c>
      <c r="D18" s="28" t="s">
        <v>1342</v>
      </c>
      <c r="E18" s="28" t="s">
        <v>1368</v>
      </c>
      <c r="F18" s="28" t="s">
        <v>1379</v>
      </c>
      <c r="G18" s="28" t="s">
        <v>1377</v>
      </c>
      <c r="H18" s="28"/>
    </row>
    <row r="19" customFormat="false" ht="15" hidden="false" customHeight="false" outlineLevel="0" collapsed="false">
      <c r="A19" s="28" t="s">
        <v>1380</v>
      </c>
      <c r="B19" s="28" t="s">
        <v>38</v>
      </c>
      <c r="C19" s="28" t="s">
        <v>1381</v>
      </c>
      <c r="D19" s="28" t="s">
        <v>1382</v>
      </c>
      <c r="E19" s="28" t="s">
        <v>1383</v>
      </c>
      <c r="F19" s="28" t="s">
        <v>1384</v>
      </c>
      <c r="G19" s="28" t="s">
        <v>95</v>
      </c>
      <c r="H19" s="28" t="s">
        <v>1385</v>
      </c>
    </row>
    <row r="20" customFormat="false" ht="15" hidden="false" customHeight="false" outlineLevel="0" collapsed="false">
      <c r="A20" s="28" t="s">
        <v>290</v>
      </c>
      <c r="B20" s="28" t="s">
        <v>1386</v>
      </c>
      <c r="C20" s="28" t="s">
        <v>1387</v>
      </c>
      <c r="D20" s="28" t="s">
        <v>1388</v>
      </c>
      <c r="E20" s="28" t="s">
        <v>1389</v>
      </c>
      <c r="F20" s="28" t="s">
        <v>1390</v>
      </c>
      <c r="G20" s="28" t="s">
        <v>93</v>
      </c>
      <c r="H20" s="28"/>
    </row>
    <row r="21" customFormat="false" ht="15" hidden="false" customHeight="false" outlineLevel="0" collapsed="false">
      <c r="A21" s="28" t="s">
        <v>1391</v>
      </c>
      <c r="B21" s="28" t="s">
        <v>1392</v>
      </c>
      <c r="C21" s="28" t="s">
        <v>1009</v>
      </c>
      <c r="D21" s="28" t="s">
        <v>1393</v>
      </c>
      <c r="E21" s="28" t="s">
        <v>1389</v>
      </c>
      <c r="F21" s="28" t="s">
        <v>1394</v>
      </c>
      <c r="G21" s="28" t="s">
        <v>127</v>
      </c>
      <c r="H21" s="28"/>
    </row>
    <row r="22" customFormat="false" ht="15" hidden="false" customHeight="false" outlineLevel="0" collapsed="false">
      <c r="A22" s="28" t="s">
        <v>269</v>
      </c>
      <c r="B22" s="28" t="s">
        <v>46</v>
      </c>
      <c r="C22" s="28" t="s">
        <v>1220</v>
      </c>
      <c r="D22" s="28" t="s">
        <v>1342</v>
      </c>
      <c r="E22" s="28" t="s">
        <v>1343</v>
      </c>
      <c r="F22" s="28" t="s">
        <v>1395</v>
      </c>
      <c r="G22" s="28" t="s">
        <v>113</v>
      </c>
      <c r="H22" s="28" t="s">
        <v>1396</v>
      </c>
    </row>
    <row r="23" customFormat="false" ht="15" hidden="false" customHeight="false" outlineLevel="0" collapsed="false">
      <c r="A23" s="28" t="s">
        <v>268</v>
      </c>
      <c r="B23" s="28" t="s">
        <v>1397</v>
      </c>
      <c r="C23" s="28" t="s">
        <v>1220</v>
      </c>
      <c r="D23" s="28" t="s">
        <v>1342</v>
      </c>
      <c r="E23" s="28" t="s">
        <v>1343</v>
      </c>
      <c r="F23" s="28" t="s">
        <v>1398</v>
      </c>
      <c r="G23" s="28" t="s">
        <v>68</v>
      </c>
      <c r="H23" s="28"/>
    </row>
    <row r="24" customFormat="false" ht="15" hidden="false" customHeight="false" outlineLevel="0" collapsed="false">
      <c r="A24" s="28" t="s">
        <v>270</v>
      </c>
      <c r="B24" s="28" t="s">
        <v>1399</v>
      </c>
      <c r="C24" s="28" t="s">
        <v>1220</v>
      </c>
      <c r="D24" s="28" t="s">
        <v>1342</v>
      </c>
      <c r="E24" s="28" t="s">
        <v>1343</v>
      </c>
      <c r="F24" s="28" t="s">
        <v>1400</v>
      </c>
      <c r="G24" s="28" t="s">
        <v>62</v>
      </c>
      <c r="H24" s="28"/>
    </row>
    <row r="25" customFormat="false" ht="15" hidden="false" customHeight="false" outlineLevel="0" collapsed="false">
      <c r="A25" s="28" t="s">
        <v>272</v>
      </c>
      <c r="B25" s="28" t="s">
        <v>1401</v>
      </c>
      <c r="C25" s="28" t="s">
        <v>1220</v>
      </c>
      <c r="D25" s="28" t="s">
        <v>1342</v>
      </c>
      <c r="E25" s="28" t="s">
        <v>1343</v>
      </c>
      <c r="F25" s="28" t="s">
        <v>1402</v>
      </c>
      <c r="G25" s="28" t="s">
        <v>70</v>
      </c>
      <c r="H25" s="28" t="s">
        <v>1403</v>
      </c>
    </row>
    <row r="26" customFormat="false" ht="15" hidden="false" customHeight="false" outlineLevel="0" collapsed="false">
      <c r="A26" s="28" t="s">
        <v>275</v>
      </c>
      <c r="B26" s="28" t="s">
        <v>1404</v>
      </c>
      <c r="C26" s="28" t="s">
        <v>1220</v>
      </c>
      <c r="D26" s="28" t="s">
        <v>1342</v>
      </c>
      <c r="E26" s="28" t="s">
        <v>1343</v>
      </c>
      <c r="F26" s="28" t="s">
        <v>1405</v>
      </c>
      <c r="G26" s="28" t="s">
        <v>70</v>
      </c>
      <c r="H26" s="28"/>
    </row>
    <row r="27" customFormat="false" ht="15" hidden="false" customHeight="false" outlineLevel="0" collapsed="false">
      <c r="A27" s="28" t="s">
        <v>1406</v>
      </c>
      <c r="B27" s="28" t="s">
        <v>1407</v>
      </c>
      <c r="C27" s="28" t="s">
        <v>1408</v>
      </c>
      <c r="D27" s="28" t="s">
        <v>1364</v>
      </c>
      <c r="E27" s="28" t="s">
        <v>1331</v>
      </c>
      <c r="F27" s="28" t="s">
        <v>1409</v>
      </c>
      <c r="G27" s="28" t="s">
        <v>1410</v>
      </c>
      <c r="H27" s="28"/>
    </row>
  </sheetData>
  <autoFilter ref="A1:H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3"/>
    <col collapsed="false" customWidth="true" hidden="false" outlineLevel="0" max="3" min="3" style="0" width="70"/>
    <col collapsed="false" customWidth="true" hidden="false" outlineLevel="0" max="4" min="4" style="0" width="20"/>
    <col collapsed="false" customWidth="true" hidden="false" outlineLevel="0" max="5" min="5" style="0" width="9"/>
    <col collapsed="false" customWidth="true" hidden="false" outlineLevel="0" max="6" min="6" style="0" width="14"/>
    <col collapsed="false" customWidth="true" hidden="false" outlineLevel="0" max="7" min="7" style="0" width="12"/>
    <col collapsed="false" customWidth="true" hidden="false" outlineLevel="0" max="9" min="8" style="0" width="14"/>
    <col collapsed="false" customWidth="true" hidden="false" outlineLevel="0" max="10" min="10" style="0" width="80"/>
    <col collapsed="false" customWidth="true" hidden="false" outlineLevel="0" max="11" min="11" style="0" width="15"/>
  </cols>
  <sheetData>
    <row r="1" customFormat="false" ht="30" hidden="false" customHeight="true" outlineLevel="0" collapsed="false">
      <c r="A1" s="27" t="s">
        <v>430</v>
      </c>
      <c r="B1" s="27" t="s">
        <v>1411</v>
      </c>
      <c r="C1" s="27" t="s">
        <v>237</v>
      </c>
      <c r="D1" s="27" t="s">
        <v>1412</v>
      </c>
      <c r="E1" s="27" t="s">
        <v>1413</v>
      </c>
      <c r="F1" s="27" t="s">
        <v>1414</v>
      </c>
      <c r="G1" s="27" t="s">
        <v>1415</v>
      </c>
      <c r="H1" s="27" t="s">
        <v>1416</v>
      </c>
      <c r="I1" s="27" t="s">
        <v>442</v>
      </c>
      <c r="J1" s="27" t="s">
        <v>443</v>
      </c>
      <c r="K1" s="27" t="s">
        <v>1417</v>
      </c>
    </row>
    <row r="2" customFormat="false" ht="15" hidden="false" customHeight="false" outlineLevel="0" collapsed="false">
      <c r="A2" s="28" t="s">
        <v>322</v>
      </c>
      <c r="B2" s="28" t="s">
        <v>511</v>
      </c>
      <c r="C2" s="28" t="s">
        <v>509</v>
      </c>
      <c r="D2" s="23" t="n">
        <v>654788.137</v>
      </c>
      <c r="E2" s="19" t="n">
        <v>0</v>
      </c>
      <c r="F2" s="23" t="n">
        <v>0</v>
      </c>
      <c r="G2" s="28" t="s">
        <v>193</v>
      </c>
      <c r="H2" s="23" t="n">
        <v>0</v>
      </c>
      <c r="I2" s="28" t="s">
        <v>497</v>
      </c>
      <c r="J2" s="28" t="s">
        <v>510</v>
      </c>
      <c r="K2" s="15" t="n">
        <f aca="false">D2*(1-E2)-F2</f>
        <v>654788.137</v>
      </c>
    </row>
    <row r="3" customFormat="false" ht="15" hidden="false" customHeight="false" outlineLevel="0" collapsed="false">
      <c r="A3" s="28" t="s">
        <v>322</v>
      </c>
      <c r="B3" s="28" t="s">
        <v>513</v>
      </c>
      <c r="C3" s="28" t="s">
        <v>1418</v>
      </c>
      <c r="D3" s="23" t="n">
        <v>40466.353</v>
      </c>
      <c r="E3" s="19" t="n">
        <v>0.75</v>
      </c>
      <c r="F3" s="23" t="n">
        <v>0</v>
      </c>
      <c r="G3" s="28" t="s">
        <v>193</v>
      </c>
      <c r="H3" s="23" t="n">
        <v>0</v>
      </c>
      <c r="I3" s="28" t="s">
        <v>497</v>
      </c>
      <c r="J3" s="28" t="s">
        <v>1419</v>
      </c>
      <c r="K3" s="15" t="n">
        <f aca="false">D3*(1-E3)-F3</f>
        <v>10116.58825</v>
      </c>
    </row>
    <row r="4" customFormat="false" ht="15" hidden="false" customHeight="false" outlineLevel="0" collapsed="false">
      <c r="A4" s="28" t="s">
        <v>322</v>
      </c>
      <c r="B4" s="28" t="s">
        <v>1420</v>
      </c>
      <c r="C4" s="28" t="s">
        <v>1421</v>
      </c>
      <c r="D4" s="23" t="n">
        <v>1958274.313</v>
      </c>
      <c r="E4" s="19" t="n">
        <v>0.05</v>
      </c>
      <c r="F4" s="23" t="n">
        <v>0</v>
      </c>
      <c r="G4" s="28" t="s">
        <v>193</v>
      </c>
      <c r="H4" s="23" t="n">
        <v>2</v>
      </c>
      <c r="I4" s="28" t="s">
        <v>497</v>
      </c>
      <c r="J4" s="28" t="s">
        <v>1422</v>
      </c>
      <c r="K4" s="15" t="n">
        <f aca="false">D4*(1-E4)-F4</f>
        <v>1860360.59735</v>
      </c>
    </row>
    <row r="5" customFormat="false" ht="15" hidden="false" customHeight="false" outlineLevel="0" collapsed="false">
      <c r="A5" s="28" t="s">
        <v>322</v>
      </c>
      <c r="B5" s="28" t="s">
        <v>1423</v>
      </c>
      <c r="C5" s="28" t="s">
        <v>1424</v>
      </c>
      <c r="D5" s="23" t="n">
        <v>1182376.84184328</v>
      </c>
      <c r="E5" s="19" t="n">
        <v>0.07</v>
      </c>
      <c r="F5" s="23" t="n">
        <v>0</v>
      </c>
      <c r="G5" s="28" t="s">
        <v>175</v>
      </c>
      <c r="H5" s="23" t="n">
        <v>2</v>
      </c>
      <c r="I5" s="28" t="s">
        <v>493</v>
      </c>
      <c r="J5" s="28" t="s">
        <v>1425</v>
      </c>
      <c r="K5" s="15" t="n">
        <f aca="false">D5*(1-E5)-F5</f>
        <v>1099610.46291425</v>
      </c>
    </row>
    <row r="6" customFormat="false" ht="15" hidden="false" customHeight="false" outlineLevel="0" collapsed="false">
      <c r="A6" s="28" t="s">
        <v>322</v>
      </c>
      <c r="B6" s="28" t="s">
        <v>1426</v>
      </c>
      <c r="C6" s="28" t="s">
        <v>1427</v>
      </c>
      <c r="D6" s="23" t="n">
        <v>1850000</v>
      </c>
      <c r="E6" s="19" t="n">
        <v>0</v>
      </c>
      <c r="F6" s="23" t="n">
        <v>0</v>
      </c>
      <c r="G6" s="28" t="s">
        <v>175</v>
      </c>
      <c r="H6" s="23" t="n">
        <v>1</v>
      </c>
      <c r="I6" s="28" t="s">
        <v>1221</v>
      </c>
      <c r="J6" s="28" t="s">
        <v>1428</v>
      </c>
      <c r="K6" s="15" t="n">
        <f aca="false">D6*(1-E6)-F6</f>
        <v>1850000</v>
      </c>
    </row>
    <row r="7" customFormat="false" ht="15" hidden="false" customHeight="false" outlineLevel="0" collapsed="false">
      <c r="A7" s="28" t="s">
        <v>322</v>
      </c>
      <c r="B7" s="28" t="s">
        <v>1429</v>
      </c>
      <c r="C7" s="28" t="s">
        <v>1430</v>
      </c>
      <c r="D7" s="23" t="n">
        <v>950000</v>
      </c>
      <c r="E7" s="19" t="n">
        <v>0</v>
      </c>
      <c r="F7" s="23" t="n">
        <v>0</v>
      </c>
      <c r="G7" s="28" t="s">
        <v>175</v>
      </c>
      <c r="H7" s="23" t="n">
        <v>1</v>
      </c>
      <c r="I7" s="28" t="s">
        <v>1221</v>
      </c>
      <c r="J7" s="28" t="s">
        <v>1431</v>
      </c>
      <c r="K7" s="15" t="n">
        <f aca="false">D7*(1-E7)-F7</f>
        <v>950000</v>
      </c>
    </row>
    <row r="8" customFormat="false" ht="15" hidden="false" customHeight="false" outlineLevel="0" collapsed="false">
      <c r="A8" s="28" t="s">
        <v>322</v>
      </c>
      <c r="B8" s="28" t="s">
        <v>1432</v>
      </c>
      <c r="C8" s="28" t="s">
        <v>1433</v>
      </c>
      <c r="D8" s="23" t="n">
        <v>250000</v>
      </c>
      <c r="E8" s="19" t="n">
        <v>0</v>
      </c>
      <c r="F8" s="23" t="n">
        <v>0</v>
      </c>
      <c r="G8" s="28" t="s">
        <v>175</v>
      </c>
      <c r="H8" s="23" t="n">
        <v>5</v>
      </c>
      <c r="I8" s="28" t="s">
        <v>1221</v>
      </c>
      <c r="J8" s="28" t="s">
        <v>1434</v>
      </c>
      <c r="K8" s="15" t="n">
        <f aca="false">D8*(1-E8)-F8</f>
        <v>250000</v>
      </c>
    </row>
    <row r="9" customFormat="false" ht="15" hidden="false" customHeight="false" outlineLevel="0" collapsed="false">
      <c r="A9" s="28" t="s">
        <v>322</v>
      </c>
      <c r="B9" s="28" t="s">
        <v>1435</v>
      </c>
      <c r="C9" s="28" t="s">
        <v>1436</v>
      </c>
      <c r="D9" s="23" t="n">
        <v>200000</v>
      </c>
      <c r="E9" s="19" t="n">
        <v>0</v>
      </c>
      <c r="F9" s="23" t="n">
        <v>0</v>
      </c>
      <c r="G9" s="28" t="s">
        <v>175</v>
      </c>
      <c r="H9" s="23" t="n">
        <v>0</v>
      </c>
      <c r="I9" s="28" t="s">
        <v>1221</v>
      </c>
      <c r="J9" s="28" t="s">
        <v>1437</v>
      </c>
      <c r="K9" s="15" t="n">
        <f aca="false">D9*(1-E9)-F9</f>
        <v>200000</v>
      </c>
    </row>
    <row r="10" customFormat="false" ht="15" hidden="false" customHeight="false" outlineLevel="0" collapsed="false">
      <c r="A10" s="28" t="s">
        <v>322</v>
      </c>
      <c r="B10" s="28" t="s">
        <v>1438</v>
      </c>
      <c r="C10" s="28" t="s">
        <v>1439</v>
      </c>
      <c r="D10" s="23" t="n">
        <v>100000</v>
      </c>
      <c r="E10" s="19" t="n">
        <v>0</v>
      </c>
      <c r="F10" s="23" t="n">
        <v>0</v>
      </c>
      <c r="G10" s="28" t="s">
        <v>175</v>
      </c>
      <c r="H10" s="23" t="n">
        <v>0</v>
      </c>
      <c r="I10" s="28" t="s">
        <v>1221</v>
      </c>
      <c r="J10" s="28" t="s">
        <v>1440</v>
      </c>
      <c r="K10" s="15" t="n">
        <f aca="false">D10*(1-E10)-F10</f>
        <v>100000</v>
      </c>
    </row>
    <row r="11" customFormat="false" ht="15" hidden="false" customHeight="false" outlineLevel="0" collapsed="false">
      <c r="A11" s="28" t="s">
        <v>322</v>
      </c>
      <c r="B11" s="28" t="s">
        <v>1441</v>
      </c>
      <c r="C11" s="28" t="s">
        <v>1442</v>
      </c>
      <c r="D11" s="23" t="n">
        <v>442780.01625</v>
      </c>
      <c r="E11" s="19" t="n">
        <v>0</v>
      </c>
      <c r="F11" s="23" t="n">
        <v>0</v>
      </c>
      <c r="G11" s="28" t="s">
        <v>175</v>
      </c>
      <c r="H11" s="23" t="n">
        <v>14</v>
      </c>
      <c r="I11" s="28" t="s">
        <v>1221</v>
      </c>
      <c r="J11" s="28" t="s">
        <v>1443</v>
      </c>
      <c r="K11" s="15" t="n">
        <f aca="false">D11*(1-E11)-F11</f>
        <v>442780.01625</v>
      </c>
    </row>
    <row r="12" customFormat="false" ht="15" hidden="false" customHeight="false" outlineLevel="0" collapsed="false">
      <c r="A12" s="28" t="s">
        <v>322</v>
      </c>
      <c r="B12" s="28" t="s">
        <v>1444</v>
      </c>
      <c r="C12" s="28" t="s">
        <v>1445</v>
      </c>
      <c r="D12" s="23" t="n">
        <v>300000</v>
      </c>
      <c r="E12" s="19" t="n">
        <v>0.02</v>
      </c>
      <c r="F12" s="23" t="n">
        <v>0</v>
      </c>
      <c r="G12" s="28" t="s">
        <v>175</v>
      </c>
      <c r="H12" s="23" t="n">
        <v>45</v>
      </c>
      <c r="I12" s="28" t="s">
        <v>1221</v>
      </c>
      <c r="J12" s="28" t="s">
        <v>1446</v>
      </c>
      <c r="K12" s="15" t="n">
        <f aca="false">D12*(1-E12)-F12</f>
        <v>294000</v>
      </c>
    </row>
  </sheetData>
  <autoFilter ref="A1:K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32"/>
    <col collapsed="false" customWidth="true" hidden="false" outlineLevel="0" max="3" min="3" style="0" width="14"/>
    <col collapsed="false" customWidth="true" hidden="false" outlineLevel="0" max="4" min="4" style="0" width="13"/>
    <col collapsed="false" customWidth="true" hidden="false" outlineLevel="0" max="5" min="5" style="0" width="40"/>
    <col collapsed="false" customWidth="true" hidden="false" outlineLevel="0" max="6" min="6" style="0" width="20"/>
    <col collapsed="false" customWidth="true" hidden="false" outlineLevel="0" max="7" min="7" style="0" width="21"/>
    <col collapsed="false" customWidth="true" hidden="false" outlineLevel="0" max="8" min="8" style="0" width="14"/>
    <col collapsed="false" customWidth="true" hidden="false" outlineLevel="0" max="9" min="9" style="0" width="70"/>
    <col collapsed="false" customWidth="true" hidden="false" outlineLevel="0" max="10" min="10" style="0" width="17"/>
  </cols>
  <sheetData>
    <row r="1" customFormat="false" ht="30" hidden="false" customHeight="true" outlineLevel="0" collapsed="false">
      <c r="A1" s="27" t="s">
        <v>157</v>
      </c>
      <c r="B1" s="27" t="s">
        <v>432</v>
      </c>
      <c r="C1" s="27" t="s">
        <v>293</v>
      </c>
      <c r="D1" s="27" t="s">
        <v>1447</v>
      </c>
      <c r="E1" s="27" t="s">
        <v>158</v>
      </c>
      <c r="F1" s="27" t="s">
        <v>1448</v>
      </c>
      <c r="G1" s="27" t="s">
        <v>1449</v>
      </c>
      <c r="H1" s="27" t="s">
        <v>442</v>
      </c>
      <c r="I1" s="27" t="s">
        <v>443</v>
      </c>
      <c r="J1" s="27" t="s">
        <v>1450</v>
      </c>
    </row>
    <row r="2" customFormat="false" ht="15" hidden="false" customHeight="false" outlineLevel="0" collapsed="false">
      <c r="A2" s="28" t="s">
        <v>299</v>
      </c>
      <c r="B2" s="28" t="s">
        <v>1451</v>
      </c>
      <c r="C2" s="23" t="n">
        <v>7</v>
      </c>
      <c r="D2" s="19" t="n">
        <v>0.01</v>
      </c>
      <c r="E2" s="28" t="s">
        <v>1452</v>
      </c>
      <c r="F2" s="23" t="n">
        <v>6016594.56711</v>
      </c>
      <c r="G2" s="28" t="s">
        <v>1453</v>
      </c>
      <c r="H2" s="28" t="s">
        <v>1221</v>
      </c>
      <c r="I2" s="28" t="s">
        <v>1454</v>
      </c>
      <c r="J2" s="15" t="n">
        <f aca="false">D2*F2</f>
        <v>60165.9456711</v>
      </c>
    </row>
    <row r="3" customFormat="false" ht="15" hidden="false" customHeight="false" outlineLevel="0" collapsed="false">
      <c r="A3" s="28" t="s">
        <v>299</v>
      </c>
      <c r="B3" s="28" t="s">
        <v>1451</v>
      </c>
      <c r="C3" s="23" t="n">
        <v>30</v>
      </c>
      <c r="D3" s="19" t="n">
        <v>0.03</v>
      </c>
      <c r="E3" s="28" t="s">
        <v>1452</v>
      </c>
      <c r="F3" s="23" t="n">
        <v>6016594.56711</v>
      </c>
      <c r="G3" s="28" t="s">
        <v>1453</v>
      </c>
      <c r="H3" s="28" t="s">
        <v>1221</v>
      </c>
      <c r="I3" s="28" t="s">
        <v>1454</v>
      </c>
      <c r="J3" s="15" t="n">
        <f aca="false">D3*F3</f>
        <v>180497.8370133</v>
      </c>
    </row>
    <row r="4" customFormat="false" ht="15" hidden="false" customHeight="false" outlineLevel="0" collapsed="false">
      <c r="A4" s="28" t="s">
        <v>299</v>
      </c>
      <c r="B4" s="28" t="s">
        <v>1451</v>
      </c>
      <c r="C4" s="23" t="n">
        <v>90</v>
      </c>
      <c r="D4" s="19" t="n">
        <v>0.05</v>
      </c>
      <c r="E4" s="28" t="s">
        <v>1452</v>
      </c>
      <c r="F4" s="23" t="n">
        <v>6016594.56711</v>
      </c>
      <c r="G4" s="28" t="s">
        <v>1453</v>
      </c>
      <c r="H4" s="28" t="s">
        <v>1221</v>
      </c>
      <c r="I4" s="28" t="s">
        <v>1454</v>
      </c>
      <c r="J4" s="15" t="n">
        <f aca="false">D4*F4</f>
        <v>300829.7283555</v>
      </c>
    </row>
    <row r="5" customFormat="false" ht="15" hidden="false" customHeight="false" outlineLevel="0" collapsed="false">
      <c r="A5" s="28" t="s">
        <v>299</v>
      </c>
      <c r="B5" s="28" t="s">
        <v>1451</v>
      </c>
      <c r="C5" s="23" t="n">
        <v>180</v>
      </c>
      <c r="D5" s="19" t="n">
        <v>0.07</v>
      </c>
      <c r="E5" s="28" t="s">
        <v>1452</v>
      </c>
      <c r="F5" s="23" t="n">
        <v>6016594.56711</v>
      </c>
      <c r="G5" s="28" t="s">
        <v>1453</v>
      </c>
      <c r="H5" s="28" t="s">
        <v>1221</v>
      </c>
      <c r="I5" s="28" t="s">
        <v>1454</v>
      </c>
      <c r="J5" s="15" t="n">
        <f aca="false">D5*F5</f>
        <v>421161.6196977</v>
      </c>
    </row>
    <row r="6" customFormat="false" ht="15" hidden="false" customHeight="false" outlineLevel="0" collapsed="false">
      <c r="A6" s="28" t="s">
        <v>299</v>
      </c>
      <c r="B6" s="28" t="s">
        <v>1451</v>
      </c>
      <c r="C6" s="23" t="n">
        <v>365</v>
      </c>
      <c r="D6" s="19" t="n">
        <v>0.09</v>
      </c>
      <c r="E6" s="28" t="s">
        <v>1452</v>
      </c>
      <c r="F6" s="23" t="n">
        <v>6016594.56711</v>
      </c>
      <c r="G6" s="28" t="s">
        <v>1453</v>
      </c>
      <c r="H6" s="28" t="s">
        <v>1221</v>
      </c>
      <c r="I6" s="28" t="s">
        <v>1454</v>
      </c>
      <c r="J6" s="15" t="n">
        <f aca="false">D6*F6</f>
        <v>541493.5110399</v>
      </c>
    </row>
    <row r="7" customFormat="false" ht="15" hidden="false" customHeight="false" outlineLevel="0" collapsed="false">
      <c r="A7" s="28" t="s">
        <v>299</v>
      </c>
      <c r="B7" s="28" t="s">
        <v>1455</v>
      </c>
      <c r="C7" s="23" t="n">
        <v>7</v>
      </c>
      <c r="D7" s="19" t="n">
        <v>0.05</v>
      </c>
      <c r="E7" s="28" t="s">
        <v>1452</v>
      </c>
      <c r="F7" s="23" t="n">
        <v>763380.27869</v>
      </c>
      <c r="G7" s="28" t="s">
        <v>1453</v>
      </c>
      <c r="H7" s="28" t="s">
        <v>1221</v>
      </c>
      <c r="I7" s="28" t="s">
        <v>1454</v>
      </c>
      <c r="J7" s="15" t="n">
        <f aca="false">D7*F7</f>
        <v>38169.0139345</v>
      </c>
    </row>
    <row r="8" customFormat="false" ht="15" hidden="false" customHeight="false" outlineLevel="0" collapsed="false">
      <c r="A8" s="28" t="s">
        <v>299</v>
      </c>
      <c r="B8" s="28" t="s">
        <v>1455</v>
      </c>
      <c r="C8" s="23" t="n">
        <v>30</v>
      </c>
      <c r="D8" s="19" t="n">
        <v>0.15</v>
      </c>
      <c r="E8" s="28" t="s">
        <v>1452</v>
      </c>
      <c r="F8" s="23" t="n">
        <v>763380.27869</v>
      </c>
      <c r="G8" s="28" t="s">
        <v>1453</v>
      </c>
      <c r="H8" s="28" t="s">
        <v>1221</v>
      </c>
      <c r="I8" s="28" t="s">
        <v>1454</v>
      </c>
      <c r="J8" s="15" t="n">
        <f aca="false">D8*F8</f>
        <v>114507.0418035</v>
      </c>
    </row>
    <row r="9" customFormat="false" ht="15" hidden="false" customHeight="false" outlineLevel="0" collapsed="false">
      <c r="A9" s="28" t="s">
        <v>299</v>
      </c>
      <c r="B9" s="28" t="s">
        <v>1455</v>
      </c>
      <c r="C9" s="23" t="n">
        <v>90</v>
      </c>
      <c r="D9" s="19" t="n">
        <v>0.25</v>
      </c>
      <c r="E9" s="28" t="s">
        <v>1452</v>
      </c>
      <c r="F9" s="23" t="n">
        <v>763380.27869</v>
      </c>
      <c r="G9" s="28" t="s">
        <v>1453</v>
      </c>
      <c r="H9" s="28" t="s">
        <v>1221</v>
      </c>
      <c r="I9" s="28" t="s">
        <v>1454</v>
      </c>
      <c r="J9" s="15" t="n">
        <f aca="false">D9*F9</f>
        <v>190845.0696725</v>
      </c>
    </row>
    <row r="10" customFormat="false" ht="15" hidden="false" customHeight="false" outlineLevel="0" collapsed="false">
      <c r="A10" s="28" t="s">
        <v>299</v>
      </c>
      <c r="B10" s="28" t="s">
        <v>1455</v>
      </c>
      <c r="C10" s="23" t="n">
        <v>180</v>
      </c>
      <c r="D10" s="19" t="n">
        <v>0.3</v>
      </c>
      <c r="E10" s="28" t="s">
        <v>1452</v>
      </c>
      <c r="F10" s="23" t="n">
        <v>763380.27869</v>
      </c>
      <c r="G10" s="28" t="s">
        <v>1453</v>
      </c>
      <c r="H10" s="28" t="s">
        <v>1221</v>
      </c>
      <c r="I10" s="28" t="s">
        <v>1454</v>
      </c>
      <c r="J10" s="15" t="n">
        <f aca="false">D10*F10</f>
        <v>229014.083607</v>
      </c>
    </row>
    <row r="11" customFormat="false" ht="15" hidden="false" customHeight="false" outlineLevel="0" collapsed="false">
      <c r="A11" s="28" t="s">
        <v>299</v>
      </c>
      <c r="B11" s="28" t="s">
        <v>1455</v>
      </c>
      <c r="C11" s="23" t="n">
        <v>365</v>
      </c>
      <c r="D11" s="19" t="n">
        <v>0.35</v>
      </c>
      <c r="E11" s="28" t="s">
        <v>1452</v>
      </c>
      <c r="F11" s="23" t="n">
        <v>763380.27869</v>
      </c>
      <c r="G11" s="28" t="s">
        <v>1453</v>
      </c>
      <c r="H11" s="28" t="s">
        <v>1221</v>
      </c>
      <c r="I11" s="28" t="s">
        <v>1454</v>
      </c>
      <c r="J11" s="15" t="n">
        <f aca="false">D11*F11</f>
        <v>267183.0975415</v>
      </c>
    </row>
    <row r="12" customFormat="false" ht="15" hidden="false" customHeight="false" outlineLevel="0" collapsed="false">
      <c r="A12" s="28" t="s">
        <v>299</v>
      </c>
      <c r="B12" s="28" t="s">
        <v>1456</v>
      </c>
      <c r="C12" s="23" t="n">
        <v>7</v>
      </c>
      <c r="D12" s="19" t="n">
        <v>0.04</v>
      </c>
      <c r="E12" s="28" t="s">
        <v>1452</v>
      </c>
      <c r="F12" s="23" t="n">
        <v>614577.716</v>
      </c>
      <c r="G12" s="28" t="s">
        <v>1453</v>
      </c>
      <c r="H12" s="28" t="s">
        <v>1221</v>
      </c>
      <c r="I12" s="28" t="s">
        <v>1454</v>
      </c>
      <c r="J12" s="15" t="n">
        <f aca="false">D12*F12</f>
        <v>24583.10864</v>
      </c>
    </row>
    <row r="13" customFormat="false" ht="15" hidden="false" customHeight="false" outlineLevel="0" collapsed="false">
      <c r="A13" s="28" t="s">
        <v>299</v>
      </c>
      <c r="B13" s="28" t="s">
        <v>1456</v>
      </c>
      <c r="C13" s="23" t="n">
        <v>30</v>
      </c>
      <c r="D13" s="19" t="n">
        <v>0.12</v>
      </c>
      <c r="E13" s="28" t="s">
        <v>1452</v>
      </c>
      <c r="F13" s="23" t="n">
        <v>614577.716</v>
      </c>
      <c r="G13" s="28" t="s">
        <v>1453</v>
      </c>
      <c r="H13" s="28" t="s">
        <v>1221</v>
      </c>
      <c r="I13" s="28" t="s">
        <v>1454</v>
      </c>
      <c r="J13" s="15" t="n">
        <f aca="false">D13*F13</f>
        <v>73749.32592</v>
      </c>
    </row>
    <row r="14" customFormat="false" ht="15" hidden="false" customHeight="false" outlineLevel="0" collapsed="false">
      <c r="A14" s="28" t="s">
        <v>299</v>
      </c>
      <c r="B14" s="28" t="s">
        <v>1456</v>
      </c>
      <c r="C14" s="23" t="n">
        <v>90</v>
      </c>
      <c r="D14" s="19" t="n">
        <v>0.2</v>
      </c>
      <c r="E14" s="28" t="s">
        <v>1452</v>
      </c>
      <c r="F14" s="23" t="n">
        <v>614577.716</v>
      </c>
      <c r="G14" s="28" t="s">
        <v>1453</v>
      </c>
      <c r="H14" s="28" t="s">
        <v>1221</v>
      </c>
      <c r="I14" s="28" t="s">
        <v>1454</v>
      </c>
      <c r="J14" s="15" t="n">
        <f aca="false">D14*F14</f>
        <v>122915.5432</v>
      </c>
    </row>
    <row r="15" customFormat="false" ht="15" hidden="false" customHeight="false" outlineLevel="0" collapsed="false">
      <c r="A15" s="28" t="s">
        <v>299</v>
      </c>
      <c r="B15" s="28" t="s">
        <v>1456</v>
      </c>
      <c r="C15" s="23" t="n">
        <v>180</v>
      </c>
      <c r="D15" s="19" t="n">
        <v>0.25</v>
      </c>
      <c r="E15" s="28" t="s">
        <v>1452</v>
      </c>
      <c r="F15" s="23" t="n">
        <v>614577.716</v>
      </c>
      <c r="G15" s="28" t="s">
        <v>1453</v>
      </c>
      <c r="H15" s="28" t="s">
        <v>1221</v>
      </c>
      <c r="I15" s="28" t="s">
        <v>1454</v>
      </c>
      <c r="J15" s="15" t="n">
        <f aca="false">D15*F15</f>
        <v>153644.429</v>
      </c>
    </row>
    <row r="16" customFormat="false" ht="15" hidden="false" customHeight="false" outlineLevel="0" collapsed="false">
      <c r="A16" s="28" t="s">
        <v>299</v>
      </c>
      <c r="B16" s="28" t="s">
        <v>1456</v>
      </c>
      <c r="C16" s="23" t="n">
        <v>365</v>
      </c>
      <c r="D16" s="19" t="n">
        <v>0.3</v>
      </c>
      <c r="E16" s="28" t="s">
        <v>1452</v>
      </c>
      <c r="F16" s="23" t="n">
        <v>614577.716</v>
      </c>
      <c r="G16" s="28" t="s">
        <v>1453</v>
      </c>
      <c r="H16" s="28" t="s">
        <v>1221</v>
      </c>
      <c r="I16" s="28" t="s">
        <v>1454</v>
      </c>
      <c r="J16" s="15" t="n">
        <f aca="false">D16*F16</f>
        <v>184373.3148</v>
      </c>
    </row>
    <row r="17" customFormat="false" ht="15" hidden="false" customHeight="false" outlineLevel="0" collapsed="false">
      <c r="A17" s="28" t="s">
        <v>299</v>
      </c>
      <c r="B17" s="28" t="s">
        <v>1457</v>
      </c>
      <c r="C17" s="23" t="n">
        <v>7</v>
      </c>
      <c r="D17" s="19" t="n">
        <v>0.03</v>
      </c>
      <c r="E17" s="28" t="s">
        <v>1452</v>
      </c>
      <c r="F17" s="23" t="n">
        <v>1565287.677</v>
      </c>
      <c r="G17" s="28" t="s">
        <v>1453</v>
      </c>
      <c r="H17" s="28" t="s">
        <v>1221</v>
      </c>
      <c r="I17" s="28" t="s">
        <v>1454</v>
      </c>
      <c r="J17" s="15" t="n">
        <f aca="false">D17*F17</f>
        <v>46958.63031</v>
      </c>
    </row>
    <row r="18" customFormat="false" ht="15" hidden="false" customHeight="false" outlineLevel="0" collapsed="false">
      <c r="A18" s="28" t="s">
        <v>299</v>
      </c>
      <c r="B18" s="28" t="s">
        <v>1457</v>
      </c>
      <c r="C18" s="23" t="n">
        <v>30</v>
      </c>
      <c r="D18" s="19" t="n">
        <v>0.08</v>
      </c>
      <c r="E18" s="28" t="s">
        <v>1452</v>
      </c>
      <c r="F18" s="23" t="n">
        <v>1565287.677</v>
      </c>
      <c r="G18" s="28" t="s">
        <v>1453</v>
      </c>
      <c r="H18" s="28" t="s">
        <v>1221</v>
      </c>
      <c r="I18" s="28" t="s">
        <v>1454</v>
      </c>
      <c r="J18" s="15" t="n">
        <f aca="false">D18*F18</f>
        <v>125223.01416</v>
      </c>
    </row>
    <row r="19" customFormat="false" ht="15" hidden="false" customHeight="false" outlineLevel="0" collapsed="false">
      <c r="A19" s="28" t="s">
        <v>299</v>
      </c>
      <c r="B19" s="28" t="s">
        <v>1457</v>
      </c>
      <c r="C19" s="23" t="n">
        <v>90</v>
      </c>
      <c r="D19" s="19" t="n">
        <v>0.14</v>
      </c>
      <c r="E19" s="28" t="s">
        <v>1452</v>
      </c>
      <c r="F19" s="23" t="n">
        <v>1565287.677</v>
      </c>
      <c r="G19" s="28" t="s">
        <v>1453</v>
      </c>
      <c r="H19" s="28" t="s">
        <v>1221</v>
      </c>
      <c r="I19" s="28" t="s">
        <v>1454</v>
      </c>
      <c r="J19" s="15" t="n">
        <f aca="false">D19*F19</f>
        <v>219140.27478</v>
      </c>
    </row>
    <row r="20" customFormat="false" ht="15" hidden="false" customHeight="false" outlineLevel="0" collapsed="false">
      <c r="A20" s="28" t="s">
        <v>299</v>
      </c>
      <c r="B20" s="28" t="s">
        <v>1457</v>
      </c>
      <c r="C20" s="23" t="n">
        <v>180</v>
      </c>
      <c r="D20" s="19" t="n">
        <v>0.18</v>
      </c>
      <c r="E20" s="28" t="s">
        <v>1452</v>
      </c>
      <c r="F20" s="23" t="n">
        <v>1565287.677</v>
      </c>
      <c r="G20" s="28" t="s">
        <v>1453</v>
      </c>
      <c r="H20" s="28" t="s">
        <v>1221</v>
      </c>
      <c r="I20" s="28" t="s">
        <v>1454</v>
      </c>
      <c r="J20" s="15" t="n">
        <f aca="false">D20*F20</f>
        <v>281751.78186</v>
      </c>
    </row>
    <row r="21" customFormat="false" ht="15" hidden="false" customHeight="false" outlineLevel="0" collapsed="false">
      <c r="A21" s="28" t="s">
        <v>299</v>
      </c>
      <c r="B21" s="28" t="s">
        <v>1457</v>
      </c>
      <c r="C21" s="23" t="n">
        <v>365</v>
      </c>
      <c r="D21" s="19" t="n">
        <v>0.22</v>
      </c>
      <c r="E21" s="28" t="s">
        <v>1452</v>
      </c>
      <c r="F21" s="23" t="n">
        <v>1565287.677</v>
      </c>
      <c r="G21" s="28" t="s">
        <v>1453</v>
      </c>
      <c r="H21" s="28" t="s">
        <v>1221</v>
      </c>
      <c r="I21" s="28" t="s">
        <v>1454</v>
      </c>
      <c r="J21" s="15" t="n">
        <f aca="false">D21*F21</f>
        <v>344363.28894</v>
      </c>
    </row>
    <row r="22" customFormat="false" ht="15" hidden="false" customHeight="false" outlineLevel="0" collapsed="false">
      <c r="A22" s="28" t="s">
        <v>299</v>
      </c>
      <c r="B22" s="28" t="s">
        <v>1458</v>
      </c>
      <c r="C22" s="23" t="n">
        <v>7</v>
      </c>
      <c r="D22" s="19" t="n">
        <v>0.02</v>
      </c>
      <c r="E22" s="28" t="s">
        <v>1452</v>
      </c>
      <c r="F22" s="23" t="n">
        <v>1706878.8496</v>
      </c>
      <c r="G22" s="28" t="s">
        <v>1453</v>
      </c>
      <c r="H22" s="28" t="s">
        <v>1221</v>
      </c>
      <c r="I22" s="28" t="s">
        <v>1454</v>
      </c>
      <c r="J22" s="15" t="n">
        <f aca="false">D22*F22</f>
        <v>34137.576992</v>
      </c>
    </row>
    <row r="23" customFormat="false" ht="15" hidden="false" customHeight="false" outlineLevel="0" collapsed="false">
      <c r="A23" s="28" t="s">
        <v>299</v>
      </c>
      <c r="B23" s="28" t="s">
        <v>1458</v>
      </c>
      <c r="C23" s="23" t="n">
        <v>30</v>
      </c>
      <c r="D23" s="19" t="n">
        <v>0.06</v>
      </c>
      <c r="E23" s="28" t="s">
        <v>1452</v>
      </c>
      <c r="F23" s="23" t="n">
        <v>1706878.8496</v>
      </c>
      <c r="G23" s="28" t="s">
        <v>1453</v>
      </c>
      <c r="H23" s="28" t="s">
        <v>1221</v>
      </c>
      <c r="I23" s="28" t="s">
        <v>1454</v>
      </c>
      <c r="J23" s="15" t="n">
        <f aca="false">D23*F23</f>
        <v>102412.730976</v>
      </c>
    </row>
    <row r="24" customFormat="false" ht="15" hidden="false" customHeight="false" outlineLevel="0" collapsed="false">
      <c r="A24" s="28" t="s">
        <v>299</v>
      </c>
      <c r="B24" s="28" t="s">
        <v>1458</v>
      </c>
      <c r="C24" s="23" t="n">
        <v>90</v>
      </c>
      <c r="D24" s="19" t="n">
        <v>0.15</v>
      </c>
      <c r="E24" s="28" t="s">
        <v>1452</v>
      </c>
      <c r="F24" s="23" t="n">
        <v>1706878.8496</v>
      </c>
      <c r="G24" s="28" t="s">
        <v>1453</v>
      </c>
      <c r="H24" s="28" t="s">
        <v>1221</v>
      </c>
      <c r="I24" s="28" t="s">
        <v>1454</v>
      </c>
      <c r="J24" s="15" t="n">
        <f aca="false">D24*F24</f>
        <v>256031.82744</v>
      </c>
    </row>
    <row r="25" customFormat="false" ht="15" hidden="false" customHeight="false" outlineLevel="0" collapsed="false">
      <c r="A25" s="28" t="s">
        <v>299</v>
      </c>
      <c r="B25" s="28" t="s">
        <v>1458</v>
      </c>
      <c r="C25" s="23" t="n">
        <v>180</v>
      </c>
      <c r="D25" s="19" t="n">
        <v>0.25</v>
      </c>
      <c r="E25" s="28" t="s">
        <v>1452</v>
      </c>
      <c r="F25" s="23" t="n">
        <v>1706878.8496</v>
      </c>
      <c r="G25" s="28" t="s">
        <v>1453</v>
      </c>
      <c r="H25" s="28" t="s">
        <v>1221</v>
      </c>
      <c r="I25" s="28" t="s">
        <v>1454</v>
      </c>
      <c r="J25" s="15" t="n">
        <f aca="false">D25*F25</f>
        <v>426719.7124</v>
      </c>
    </row>
    <row r="26" customFormat="false" ht="15" hidden="false" customHeight="false" outlineLevel="0" collapsed="false">
      <c r="A26" s="28" t="s">
        <v>299</v>
      </c>
      <c r="B26" s="28" t="s">
        <v>1458</v>
      </c>
      <c r="C26" s="23" t="n">
        <v>365</v>
      </c>
      <c r="D26" s="19" t="n">
        <v>0.35</v>
      </c>
      <c r="E26" s="28" t="s">
        <v>1452</v>
      </c>
      <c r="F26" s="23" t="n">
        <v>1706878.8496</v>
      </c>
      <c r="G26" s="28" t="s">
        <v>1453</v>
      </c>
      <c r="H26" s="28" t="s">
        <v>1221</v>
      </c>
      <c r="I26" s="28" t="s">
        <v>1454</v>
      </c>
      <c r="J26" s="15" t="n">
        <f aca="false">D26*F26</f>
        <v>597407.59736</v>
      </c>
    </row>
    <row r="27" customFormat="false" ht="15" hidden="false" customHeight="false" outlineLevel="0" collapsed="false">
      <c r="A27" s="28" t="s">
        <v>299</v>
      </c>
      <c r="B27" s="28" t="s">
        <v>1459</v>
      </c>
      <c r="C27" s="23" t="n">
        <v>7</v>
      </c>
      <c r="D27" s="19" t="n">
        <v>0.01</v>
      </c>
      <c r="E27" s="28" t="s">
        <v>1452</v>
      </c>
      <c r="F27" s="23" t="n">
        <v>1240000</v>
      </c>
      <c r="G27" s="28" t="s">
        <v>1453</v>
      </c>
      <c r="H27" s="28" t="s">
        <v>1221</v>
      </c>
      <c r="I27" s="28" t="s">
        <v>1454</v>
      </c>
      <c r="J27" s="15" t="n">
        <f aca="false">D27*F27</f>
        <v>12400</v>
      </c>
    </row>
    <row r="28" customFormat="false" ht="15" hidden="false" customHeight="false" outlineLevel="0" collapsed="false">
      <c r="A28" s="28" t="s">
        <v>299</v>
      </c>
      <c r="B28" s="28" t="s">
        <v>1459</v>
      </c>
      <c r="C28" s="23" t="n">
        <v>30</v>
      </c>
      <c r="D28" s="19" t="n">
        <v>0.03</v>
      </c>
      <c r="E28" s="28" t="s">
        <v>1452</v>
      </c>
      <c r="F28" s="23" t="n">
        <v>1240000</v>
      </c>
      <c r="G28" s="28" t="s">
        <v>1453</v>
      </c>
      <c r="H28" s="28" t="s">
        <v>1221</v>
      </c>
      <c r="I28" s="28" t="s">
        <v>1454</v>
      </c>
      <c r="J28" s="15" t="n">
        <f aca="false">D28*F28</f>
        <v>37200</v>
      </c>
    </row>
    <row r="29" customFormat="false" ht="15" hidden="false" customHeight="false" outlineLevel="0" collapsed="false">
      <c r="A29" s="28" t="s">
        <v>299</v>
      </c>
      <c r="B29" s="28" t="s">
        <v>1459</v>
      </c>
      <c r="C29" s="23" t="n">
        <v>90</v>
      </c>
      <c r="D29" s="19" t="n">
        <v>0.06</v>
      </c>
      <c r="E29" s="28" t="s">
        <v>1452</v>
      </c>
      <c r="F29" s="23" t="n">
        <v>1240000</v>
      </c>
      <c r="G29" s="28" t="s">
        <v>1453</v>
      </c>
      <c r="H29" s="28" t="s">
        <v>1221</v>
      </c>
      <c r="I29" s="28" t="s">
        <v>1454</v>
      </c>
      <c r="J29" s="15" t="n">
        <f aca="false">D29*F29</f>
        <v>74400</v>
      </c>
    </row>
    <row r="30" customFormat="false" ht="15" hidden="false" customHeight="false" outlineLevel="0" collapsed="false">
      <c r="A30" s="28" t="s">
        <v>299</v>
      </c>
      <c r="B30" s="28" t="s">
        <v>1459</v>
      </c>
      <c r="C30" s="23" t="n">
        <v>180</v>
      </c>
      <c r="D30" s="19" t="n">
        <v>0.09</v>
      </c>
      <c r="E30" s="28" t="s">
        <v>1452</v>
      </c>
      <c r="F30" s="23" t="n">
        <v>1240000</v>
      </c>
      <c r="G30" s="28" t="s">
        <v>1453</v>
      </c>
      <c r="H30" s="28" t="s">
        <v>1221</v>
      </c>
      <c r="I30" s="28" t="s">
        <v>1454</v>
      </c>
      <c r="J30" s="15" t="n">
        <f aca="false">D30*F30</f>
        <v>111600</v>
      </c>
    </row>
    <row r="31" customFormat="false" ht="15" hidden="false" customHeight="false" outlineLevel="0" collapsed="false">
      <c r="A31" s="28" t="s">
        <v>299</v>
      </c>
      <c r="B31" s="28" t="s">
        <v>1459</v>
      </c>
      <c r="C31" s="23" t="n">
        <v>365</v>
      </c>
      <c r="D31" s="19" t="n">
        <v>0.12</v>
      </c>
      <c r="E31" s="28" t="s">
        <v>1452</v>
      </c>
      <c r="F31" s="23" t="n">
        <v>1240000</v>
      </c>
      <c r="G31" s="28" t="s">
        <v>1453</v>
      </c>
      <c r="H31" s="28" t="s">
        <v>1221</v>
      </c>
      <c r="I31" s="28" t="s">
        <v>1454</v>
      </c>
      <c r="J31" s="15" t="n">
        <f aca="false">D31*F31</f>
        <v>148800</v>
      </c>
    </row>
    <row r="32" customFormat="false" ht="15" hidden="false" customHeight="false" outlineLevel="0" collapsed="false">
      <c r="A32" s="28" t="s">
        <v>299</v>
      </c>
      <c r="B32" s="28" t="s">
        <v>1460</v>
      </c>
      <c r="C32" s="23" t="n">
        <v>7</v>
      </c>
      <c r="D32" s="19" t="n">
        <v>0.02</v>
      </c>
      <c r="E32" s="28" t="s">
        <v>1452</v>
      </c>
      <c r="F32" s="23" t="n">
        <v>129000</v>
      </c>
      <c r="G32" s="28" t="s">
        <v>1453</v>
      </c>
      <c r="H32" s="28" t="s">
        <v>1221</v>
      </c>
      <c r="I32" s="28" t="s">
        <v>1454</v>
      </c>
      <c r="J32" s="15" t="n">
        <f aca="false">D32*F32</f>
        <v>2580</v>
      </c>
    </row>
    <row r="33" customFormat="false" ht="15" hidden="false" customHeight="false" outlineLevel="0" collapsed="false">
      <c r="A33" s="28" t="s">
        <v>299</v>
      </c>
      <c r="B33" s="28" t="s">
        <v>1460</v>
      </c>
      <c r="C33" s="23" t="n">
        <v>30</v>
      </c>
      <c r="D33" s="19" t="n">
        <v>0.05</v>
      </c>
      <c r="E33" s="28" t="s">
        <v>1452</v>
      </c>
      <c r="F33" s="23" t="n">
        <v>129000</v>
      </c>
      <c r="G33" s="28" t="s">
        <v>1453</v>
      </c>
      <c r="H33" s="28" t="s">
        <v>1221</v>
      </c>
      <c r="I33" s="28" t="s">
        <v>1454</v>
      </c>
      <c r="J33" s="15" t="n">
        <f aca="false">D33*F33</f>
        <v>6450</v>
      </c>
    </row>
    <row r="34" customFormat="false" ht="15" hidden="false" customHeight="false" outlineLevel="0" collapsed="false">
      <c r="A34" s="28" t="s">
        <v>299</v>
      </c>
      <c r="B34" s="28" t="s">
        <v>1460</v>
      </c>
      <c r="C34" s="23" t="n">
        <v>90</v>
      </c>
      <c r="D34" s="19" t="n">
        <v>0.1</v>
      </c>
      <c r="E34" s="28" t="s">
        <v>1452</v>
      </c>
      <c r="F34" s="23" t="n">
        <v>129000</v>
      </c>
      <c r="G34" s="28" t="s">
        <v>1453</v>
      </c>
      <c r="H34" s="28" t="s">
        <v>1221</v>
      </c>
      <c r="I34" s="28" t="s">
        <v>1454</v>
      </c>
      <c r="J34" s="15" t="n">
        <f aca="false">D34*F34</f>
        <v>12900</v>
      </c>
    </row>
    <row r="35" customFormat="false" ht="15" hidden="false" customHeight="false" outlineLevel="0" collapsed="false">
      <c r="A35" s="28" t="s">
        <v>299</v>
      </c>
      <c r="B35" s="28" t="s">
        <v>1460</v>
      </c>
      <c r="C35" s="23" t="n">
        <v>180</v>
      </c>
      <c r="D35" s="19" t="n">
        <v>0.15</v>
      </c>
      <c r="E35" s="28" t="s">
        <v>1452</v>
      </c>
      <c r="F35" s="23" t="n">
        <v>129000</v>
      </c>
      <c r="G35" s="28" t="s">
        <v>1453</v>
      </c>
      <c r="H35" s="28" t="s">
        <v>1221</v>
      </c>
      <c r="I35" s="28" t="s">
        <v>1454</v>
      </c>
      <c r="J35" s="15" t="n">
        <f aca="false">D35*F35</f>
        <v>19350</v>
      </c>
    </row>
    <row r="36" customFormat="false" ht="15" hidden="false" customHeight="false" outlineLevel="0" collapsed="false">
      <c r="A36" s="28" t="s">
        <v>299</v>
      </c>
      <c r="B36" s="28" t="s">
        <v>1460</v>
      </c>
      <c r="C36" s="23" t="n">
        <v>365</v>
      </c>
      <c r="D36" s="19" t="n">
        <v>0.2</v>
      </c>
      <c r="E36" s="28" t="s">
        <v>1452</v>
      </c>
      <c r="F36" s="23" t="n">
        <v>129000</v>
      </c>
      <c r="G36" s="28" t="s">
        <v>1453</v>
      </c>
      <c r="H36" s="28" t="s">
        <v>1221</v>
      </c>
      <c r="I36" s="28" t="s">
        <v>1454</v>
      </c>
      <c r="J36" s="15" t="n">
        <f aca="false">D36*F36</f>
        <v>25800</v>
      </c>
    </row>
    <row r="37" customFormat="false" ht="15" hidden="false" customHeight="false" outlineLevel="0" collapsed="false">
      <c r="A37" s="28" t="s">
        <v>299</v>
      </c>
      <c r="B37" s="28" t="s">
        <v>1461</v>
      </c>
      <c r="C37" s="23" t="n">
        <v>7</v>
      </c>
      <c r="D37" s="19" t="n">
        <v>0</v>
      </c>
      <c r="E37" s="28" t="s">
        <v>1452</v>
      </c>
      <c r="F37" s="23" t="n">
        <v>1958274.313</v>
      </c>
      <c r="G37" s="28" t="s">
        <v>1462</v>
      </c>
      <c r="H37" s="28" t="s">
        <v>1221</v>
      </c>
      <c r="I37" s="28" t="s">
        <v>1454</v>
      </c>
      <c r="J37" s="15" t="n">
        <f aca="false">D37*F37</f>
        <v>0</v>
      </c>
    </row>
    <row r="38" customFormat="false" ht="15" hidden="false" customHeight="false" outlineLevel="0" collapsed="false">
      <c r="A38" s="28" t="s">
        <v>299</v>
      </c>
      <c r="B38" s="28" t="s">
        <v>1461</v>
      </c>
      <c r="C38" s="23" t="n">
        <v>30</v>
      </c>
      <c r="D38" s="19" t="n">
        <v>0</v>
      </c>
      <c r="E38" s="28" t="s">
        <v>1452</v>
      </c>
      <c r="F38" s="23" t="n">
        <v>1958274.313</v>
      </c>
      <c r="G38" s="28" t="s">
        <v>1462</v>
      </c>
      <c r="H38" s="28" t="s">
        <v>1221</v>
      </c>
      <c r="I38" s="28" t="s">
        <v>1454</v>
      </c>
      <c r="J38" s="15" t="n">
        <f aca="false">D38*F38</f>
        <v>0</v>
      </c>
    </row>
    <row r="39" customFormat="false" ht="15" hidden="false" customHeight="false" outlineLevel="0" collapsed="false">
      <c r="A39" s="28" t="s">
        <v>299</v>
      </c>
      <c r="B39" s="28" t="s">
        <v>1461</v>
      </c>
      <c r="C39" s="23" t="n">
        <v>90</v>
      </c>
      <c r="D39" s="19" t="n">
        <v>0</v>
      </c>
      <c r="E39" s="28" t="s">
        <v>1452</v>
      </c>
      <c r="F39" s="23" t="n">
        <v>1958274.313</v>
      </c>
      <c r="G39" s="28" t="s">
        <v>1462</v>
      </c>
      <c r="H39" s="28" t="s">
        <v>1221</v>
      </c>
      <c r="I39" s="28" t="s">
        <v>1454</v>
      </c>
      <c r="J39" s="15" t="n">
        <f aca="false">D39*F39</f>
        <v>0</v>
      </c>
    </row>
    <row r="40" customFormat="false" ht="15" hidden="false" customHeight="false" outlineLevel="0" collapsed="false">
      <c r="A40" s="28" t="s">
        <v>299</v>
      </c>
      <c r="B40" s="28" t="s">
        <v>1461</v>
      </c>
      <c r="C40" s="23" t="n">
        <v>180</v>
      </c>
      <c r="D40" s="19" t="n">
        <v>0</v>
      </c>
      <c r="E40" s="28" t="s">
        <v>1452</v>
      </c>
      <c r="F40" s="23" t="n">
        <v>1958274.313</v>
      </c>
      <c r="G40" s="28" t="s">
        <v>1462</v>
      </c>
      <c r="H40" s="28" t="s">
        <v>1221</v>
      </c>
      <c r="I40" s="28" t="s">
        <v>1454</v>
      </c>
      <c r="J40" s="15" t="n">
        <f aca="false">D40*F40</f>
        <v>0</v>
      </c>
    </row>
    <row r="41" customFormat="false" ht="15" hidden="false" customHeight="false" outlineLevel="0" collapsed="false">
      <c r="A41" s="28" t="s">
        <v>299</v>
      </c>
      <c r="B41" s="28" t="s">
        <v>1461</v>
      </c>
      <c r="C41" s="23" t="n">
        <v>365</v>
      </c>
      <c r="D41" s="19" t="n">
        <v>0</v>
      </c>
      <c r="E41" s="28" t="s">
        <v>1452</v>
      </c>
      <c r="F41" s="23" t="n">
        <v>1958274.313</v>
      </c>
      <c r="G41" s="28" t="s">
        <v>1462</v>
      </c>
      <c r="H41" s="28" t="s">
        <v>1221</v>
      </c>
      <c r="I41" s="28" t="s">
        <v>1454</v>
      </c>
      <c r="J41" s="15" t="n">
        <f aca="false">D41*F41</f>
        <v>0</v>
      </c>
    </row>
    <row r="42" customFormat="false" ht="15" hidden="false" customHeight="false" outlineLevel="0" collapsed="false">
      <c r="A42" s="28" t="s">
        <v>299</v>
      </c>
      <c r="B42" s="28" t="s">
        <v>1463</v>
      </c>
      <c r="C42" s="23" t="n">
        <v>7</v>
      </c>
      <c r="D42" s="19" t="n">
        <v>0.25</v>
      </c>
      <c r="E42" s="28" t="s">
        <v>1452</v>
      </c>
      <c r="F42" s="23" t="n">
        <v>3650000</v>
      </c>
      <c r="G42" s="28" t="s">
        <v>1462</v>
      </c>
      <c r="H42" s="28" t="s">
        <v>1221</v>
      </c>
      <c r="I42" s="28" t="s">
        <v>1454</v>
      </c>
      <c r="J42" s="15" t="n">
        <f aca="false">D42*F42</f>
        <v>912500</v>
      </c>
    </row>
    <row r="43" customFormat="false" ht="15" hidden="false" customHeight="false" outlineLevel="0" collapsed="false">
      <c r="A43" s="28" t="s">
        <v>299</v>
      </c>
      <c r="B43" s="28" t="s">
        <v>1463</v>
      </c>
      <c r="C43" s="23" t="n">
        <v>30</v>
      </c>
      <c r="D43" s="19" t="n">
        <v>0.25</v>
      </c>
      <c r="E43" s="28" t="s">
        <v>1452</v>
      </c>
      <c r="F43" s="23" t="n">
        <v>3650000</v>
      </c>
      <c r="G43" s="28" t="s">
        <v>1462</v>
      </c>
      <c r="H43" s="28" t="s">
        <v>1221</v>
      </c>
      <c r="I43" s="28" t="s">
        <v>1454</v>
      </c>
      <c r="J43" s="15" t="n">
        <f aca="false">D43*F43</f>
        <v>912500</v>
      </c>
    </row>
    <row r="44" customFormat="false" ht="15" hidden="false" customHeight="false" outlineLevel="0" collapsed="false">
      <c r="A44" s="28" t="s">
        <v>299</v>
      </c>
      <c r="B44" s="28" t="s">
        <v>1463</v>
      </c>
      <c r="C44" s="23" t="n">
        <v>90</v>
      </c>
      <c r="D44" s="19" t="n">
        <v>0.3</v>
      </c>
      <c r="E44" s="28" t="s">
        <v>1452</v>
      </c>
      <c r="F44" s="23" t="n">
        <v>3650000</v>
      </c>
      <c r="G44" s="28" t="s">
        <v>1462</v>
      </c>
      <c r="H44" s="28" t="s">
        <v>1221</v>
      </c>
      <c r="I44" s="28" t="s">
        <v>1454</v>
      </c>
      <c r="J44" s="15" t="n">
        <f aca="false">D44*F44</f>
        <v>1095000</v>
      </c>
    </row>
    <row r="45" customFormat="false" ht="15" hidden="false" customHeight="false" outlineLevel="0" collapsed="false">
      <c r="A45" s="28" t="s">
        <v>299</v>
      </c>
      <c r="B45" s="28" t="s">
        <v>1463</v>
      </c>
      <c r="C45" s="23" t="n">
        <v>180</v>
      </c>
      <c r="D45" s="19" t="n">
        <v>0.3</v>
      </c>
      <c r="E45" s="28" t="s">
        <v>1452</v>
      </c>
      <c r="F45" s="23" t="n">
        <v>3650000</v>
      </c>
      <c r="G45" s="28" t="s">
        <v>1462</v>
      </c>
      <c r="H45" s="28" t="s">
        <v>1221</v>
      </c>
      <c r="I45" s="28" t="s">
        <v>1454</v>
      </c>
      <c r="J45" s="15" t="n">
        <f aca="false">D45*F45</f>
        <v>1095000</v>
      </c>
    </row>
    <row r="46" customFormat="false" ht="15" hidden="false" customHeight="false" outlineLevel="0" collapsed="false">
      <c r="A46" s="28" t="s">
        <v>299</v>
      </c>
      <c r="B46" s="28" t="s">
        <v>1463</v>
      </c>
      <c r="C46" s="23" t="n">
        <v>365</v>
      </c>
      <c r="D46" s="19" t="n">
        <v>0.3</v>
      </c>
      <c r="E46" s="28" t="s">
        <v>1452</v>
      </c>
      <c r="F46" s="23" t="n">
        <v>3650000</v>
      </c>
      <c r="G46" s="28" t="s">
        <v>1462</v>
      </c>
      <c r="H46" s="28" t="s">
        <v>1221</v>
      </c>
      <c r="I46" s="28" t="s">
        <v>1454</v>
      </c>
      <c r="J46" s="15" t="n">
        <f aca="false">D46*F46</f>
        <v>1095000</v>
      </c>
    </row>
    <row r="47" customFormat="false" ht="15" hidden="false" customHeight="false" outlineLevel="0" collapsed="false">
      <c r="A47" s="28" t="s">
        <v>301</v>
      </c>
      <c r="B47" s="28" t="s">
        <v>1451</v>
      </c>
      <c r="C47" s="23" t="n">
        <v>7</v>
      </c>
      <c r="D47" s="19" t="n">
        <v>0.005</v>
      </c>
      <c r="E47" s="28" t="s">
        <v>1464</v>
      </c>
      <c r="F47" s="23" t="n">
        <v>6016594.56711</v>
      </c>
      <c r="G47" s="28" t="s">
        <v>1453</v>
      </c>
      <c r="H47" s="28" t="s">
        <v>1221</v>
      </c>
      <c r="I47" s="28" t="s">
        <v>1454</v>
      </c>
      <c r="J47" s="15" t="n">
        <f aca="false">D47*F47</f>
        <v>30082.97283555</v>
      </c>
    </row>
    <row r="48" customFormat="false" ht="15" hidden="false" customHeight="false" outlineLevel="0" collapsed="false">
      <c r="A48" s="28" t="s">
        <v>301</v>
      </c>
      <c r="B48" s="28" t="s">
        <v>1451</v>
      </c>
      <c r="C48" s="23" t="n">
        <v>30</v>
      </c>
      <c r="D48" s="19" t="n">
        <v>0.02</v>
      </c>
      <c r="E48" s="28" t="s">
        <v>1464</v>
      </c>
      <c r="F48" s="23" t="n">
        <v>6016594.56711</v>
      </c>
      <c r="G48" s="28" t="s">
        <v>1453</v>
      </c>
      <c r="H48" s="28" t="s">
        <v>1221</v>
      </c>
      <c r="I48" s="28" t="s">
        <v>1454</v>
      </c>
      <c r="J48" s="15" t="n">
        <f aca="false">D48*F48</f>
        <v>120331.8913422</v>
      </c>
    </row>
    <row r="49" customFormat="false" ht="15" hidden="false" customHeight="false" outlineLevel="0" collapsed="false">
      <c r="A49" s="28" t="s">
        <v>301</v>
      </c>
      <c r="B49" s="28" t="s">
        <v>1451</v>
      </c>
      <c r="C49" s="23" t="n">
        <v>90</v>
      </c>
      <c r="D49" s="19" t="n">
        <v>0.04</v>
      </c>
      <c r="E49" s="28" t="s">
        <v>1464</v>
      </c>
      <c r="F49" s="23" t="n">
        <v>6016594.56711</v>
      </c>
      <c r="G49" s="28" t="s">
        <v>1453</v>
      </c>
      <c r="H49" s="28" t="s">
        <v>1221</v>
      </c>
      <c r="I49" s="28" t="s">
        <v>1454</v>
      </c>
      <c r="J49" s="15" t="n">
        <f aca="false">D49*F49</f>
        <v>240663.7826844</v>
      </c>
    </row>
    <row r="50" customFormat="false" ht="15" hidden="false" customHeight="false" outlineLevel="0" collapsed="false">
      <c r="A50" s="28" t="s">
        <v>301</v>
      </c>
      <c r="B50" s="28" t="s">
        <v>1451</v>
      </c>
      <c r="C50" s="23" t="n">
        <v>180</v>
      </c>
      <c r="D50" s="19" t="n">
        <v>0.05</v>
      </c>
      <c r="E50" s="28" t="s">
        <v>1464</v>
      </c>
      <c r="F50" s="23" t="n">
        <v>6016594.56711</v>
      </c>
      <c r="G50" s="28" t="s">
        <v>1453</v>
      </c>
      <c r="H50" s="28" t="s">
        <v>1221</v>
      </c>
      <c r="I50" s="28" t="s">
        <v>1454</v>
      </c>
      <c r="J50" s="15" t="n">
        <f aca="false">D50*F50</f>
        <v>300829.7283555</v>
      </c>
    </row>
    <row r="51" customFormat="false" ht="15" hidden="false" customHeight="false" outlineLevel="0" collapsed="false">
      <c r="A51" s="28" t="s">
        <v>301</v>
      </c>
      <c r="B51" s="28" t="s">
        <v>1451</v>
      </c>
      <c r="C51" s="23" t="n">
        <v>365</v>
      </c>
      <c r="D51" s="19" t="n">
        <v>0.06</v>
      </c>
      <c r="E51" s="28" t="s">
        <v>1464</v>
      </c>
      <c r="F51" s="23" t="n">
        <v>6016594.56711</v>
      </c>
      <c r="G51" s="28" t="s">
        <v>1453</v>
      </c>
      <c r="H51" s="28" t="s">
        <v>1221</v>
      </c>
      <c r="I51" s="28" t="s">
        <v>1454</v>
      </c>
      <c r="J51" s="15" t="n">
        <f aca="false">D51*F51</f>
        <v>360995.6740266</v>
      </c>
    </row>
    <row r="52" customFormat="false" ht="15" hidden="false" customHeight="false" outlineLevel="0" collapsed="false">
      <c r="A52" s="28" t="s">
        <v>301</v>
      </c>
      <c r="B52" s="28" t="s">
        <v>1455</v>
      </c>
      <c r="C52" s="23" t="n">
        <v>7</v>
      </c>
      <c r="D52" s="19" t="n">
        <v>0.03</v>
      </c>
      <c r="E52" s="28" t="s">
        <v>1464</v>
      </c>
      <c r="F52" s="23" t="n">
        <v>763380.27869</v>
      </c>
      <c r="G52" s="28" t="s">
        <v>1453</v>
      </c>
      <c r="H52" s="28" t="s">
        <v>1221</v>
      </c>
      <c r="I52" s="28" t="s">
        <v>1454</v>
      </c>
      <c r="J52" s="15" t="n">
        <f aca="false">D52*F52</f>
        <v>22901.4083607</v>
      </c>
    </row>
    <row r="53" customFormat="false" ht="15" hidden="false" customHeight="false" outlineLevel="0" collapsed="false">
      <c r="A53" s="28" t="s">
        <v>301</v>
      </c>
      <c r="B53" s="28" t="s">
        <v>1455</v>
      </c>
      <c r="C53" s="23" t="n">
        <v>30</v>
      </c>
      <c r="D53" s="19" t="n">
        <v>0.1</v>
      </c>
      <c r="E53" s="28" t="s">
        <v>1464</v>
      </c>
      <c r="F53" s="23" t="n">
        <v>763380.27869</v>
      </c>
      <c r="G53" s="28" t="s">
        <v>1453</v>
      </c>
      <c r="H53" s="28" t="s">
        <v>1221</v>
      </c>
      <c r="I53" s="28" t="s">
        <v>1454</v>
      </c>
      <c r="J53" s="15" t="n">
        <f aca="false">D53*F53</f>
        <v>76338.027869</v>
      </c>
    </row>
    <row r="54" customFormat="false" ht="15" hidden="false" customHeight="false" outlineLevel="0" collapsed="false">
      <c r="A54" s="28" t="s">
        <v>301</v>
      </c>
      <c r="B54" s="28" t="s">
        <v>1455</v>
      </c>
      <c r="C54" s="23" t="n">
        <v>90</v>
      </c>
      <c r="D54" s="19" t="n">
        <v>0.18</v>
      </c>
      <c r="E54" s="28" t="s">
        <v>1464</v>
      </c>
      <c r="F54" s="23" t="n">
        <v>763380.27869</v>
      </c>
      <c r="G54" s="28" t="s">
        <v>1453</v>
      </c>
      <c r="H54" s="28" t="s">
        <v>1221</v>
      </c>
      <c r="I54" s="28" t="s">
        <v>1454</v>
      </c>
      <c r="J54" s="15" t="n">
        <f aca="false">D54*F54</f>
        <v>137408.4501642</v>
      </c>
    </row>
    <row r="55" customFormat="false" ht="15" hidden="false" customHeight="false" outlineLevel="0" collapsed="false">
      <c r="A55" s="28" t="s">
        <v>301</v>
      </c>
      <c r="B55" s="28" t="s">
        <v>1455</v>
      </c>
      <c r="C55" s="23" t="n">
        <v>180</v>
      </c>
      <c r="D55" s="19" t="n">
        <v>0.22</v>
      </c>
      <c r="E55" s="28" t="s">
        <v>1464</v>
      </c>
      <c r="F55" s="23" t="n">
        <v>763380.27869</v>
      </c>
      <c r="G55" s="28" t="s">
        <v>1453</v>
      </c>
      <c r="H55" s="28" t="s">
        <v>1221</v>
      </c>
      <c r="I55" s="28" t="s">
        <v>1454</v>
      </c>
      <c r="J55" s="15" t="n">
        <f aca="false">D55*F55</f>
        <v>167943.6613118</v>
      </c>
    </row>
    <row r="56" customFormat="false" ht="15" hidden="false" customHeight="false" outlineLevel="0" collapsed="false">
      <c r="A56" s="28" t="s">
        <v>301</v>
      </c>
      <c r="B56" s="28" t="s">
        <v>1455</v>
      </c>
      <c r="C56" s="23" t="n">
        <v>365</v>
      </c>
      <c r="D56" s="19" t="n">
        <v>0.25</v>
      </c>
      <c r="E56" s="28" t="s">
        <v>1464</v>
      </c>
      <c r="F56" s="23" t="n">
        <v>763380.27869</v>
      </c>
      <c r="G56" s="28" t="s">
        <v>1453</v>
      </c>
      <c r="H56" s="28" t="s">
        <v>1221</v>
      </c>
      <c r="I56" s="28" t="s">
        <v>1454</v>
      </c>
      <c r="J56" s="15" t="n">
        <f aca="false">D56*F56</f>
        <v>190845.0696725</v>
      </c>
    </row>
    <row r="57" customFormat="false" ht="15" hidden="false" customHeight="false" outlineLevel="0" collapsed="false">
      <c r="A57" s="28" t="s">
        <v>301</v>
      </c>
      <c r="B57" s="28" t="s">
        <v>1456</v>
      </c>
      <c r="C57" s="23" t="n">
        <v>7</v>
      </c>
      <c r="D57" s="19" t="n">
        <v>0.03</v>
      </c>
      <c r="E57" s="28" t="s">
        <v>1464</v>
      </c>
      <c r="F57" s="23" t="n">
        <v>614577.716</v>
      </c>
      <c r="G57" s="28" t="s">
        <v>1453</v>
      </c>
      <c r="H57" s="28" t="s">
        <v>1221</v>
      </c>
      <c r="I57" s="28" t="s">
        <v>1454</v>
      </c>
      <c r="J57" s="15" t="n">
        <f aca="false">D57*F57</f>
        <v>18437.33148</v>
      </c>
    </row>
    <row r="58" customFormat="false" ht="15" hidden="false" customHeight="false" outlineLevel="0" collapsed="false">
      <c r="A58" s="28" t="s">
        <v>301</v>
      </c>
      <c r="B58" s="28" t="s">
        <v>1456</v>
      </c>
      <c r="C58" s="23" t="n">
        <v>30</v>
      </c>
      <c r="D58" s="19" t="n">
        <v>0.08</v>
      </c>
      <c r="E58" s="28" t="s">
        <v>1464</v>
      </c>
      <c r="F58" s="23" t="n">
        <v>614577.716</v>
      </c>
      <c r="G58" s="28" t="s">
        <v>1453</v>
      </c>
      <c r="H58" s="28" t="s">
        <v>1221</v>
      </c>
      <c r="I58" s="28" t="s">
        <v>1454</v>
      </c>
      <c r="J58" s="15" t="n">
        <f aca="false">D58*F58</f>
        <v>49166.21728</v>
      </c>
    </row>
    <row r="59" customFormat="false" ht="15" hidden="false" customHeight="false" outlineLevel="0" collapsed="false">
      <c r="A59" s="28" t="s">
        <v>301</v>
      </c>
      <c r="B59" s="28" t="s">
        <v>1456</v>
      </c>
      <c r="C59" s="23" t="n">
        <v>90</v>
      </c>
      <c r="D59" s="19" t="n">
        <v>0.14</v>
      </c>
      <c r="E59" s="28" t="s">
        <v>1464</v>
      </c>
      <c r="F59" s="23" t="n">
        <v>614577.716</v>
      </c>
      <c r="G59" s="28" t="s">
        <v>1453</v>
      </c>
      <c r="H59" s="28" t="s">
        <v>1221</v>
      </c>
      <c r="I59" s="28" t="s">
        <v>1454</v>
      </c>
      <c r="J59" s="15" t="n">
        <f aca="false">D59*F59</f>
        <v>86040.88024</v>
      </c>
    </row>
    <row r="60" customFormat="false" ht="15" hidden="false" customHeight="false" outlineLevel="0" collapsed="false">
      <c r="A60" s="28" t="s">
        <v>301</v>
      </c>
      <c r="B60" s="28" t="s">
        <v>1456</v>
      </c>
      <c r="C60" s="23" t="n">
        <v>180</v>
      </c>
      <c r="D60" s="19" t="n">
        <v>0.18</v>
      </c>
      <c r="E60" s="28" t="s">
        <v>1464</v>
      </c>
      <c r="F60" s="23" t="n">
        <v>614577.716</v>
      </c>
      <c r="G60" s="28" t="s">
        <v>1453</v>
      </c>
      <c r="H60" s="28" t="s">
        <v>1221</v>
      </c>
      <c r="I60" s="28" t="s">
        <v>1454</v>
      </c>
      <c r="J60" s="15" t="n">
        <f aca="false">D60*F60</f>
        <v>110623.98888</v>
      </c>
    </row>
    <row r="61" customFormat="false" ht="15" hidden="false" customHeight="false" outlineLevel="0" collapsed="false">
      <c r="A61" s="28" t="s">
        <v>301</v>
      </c>
      <c r="B61" s="28" t="s">
        <v>1456</v>
      </c>
      <c r="C61" s="23" t="n">
        <v>365</v>
      </c>
      <c r="D61" s="19" t="n">
        <v>0.22</v>
      </c>
      <c r="E61" s="28" t="s">
        <v>1464</v>
      </c>
      <c r="F61" s="23" t="n">
        <v>614577.716</v>
      </c>
      <c r="G61" s="28" t="s">
        <v>1453</v>
      </c>
      <c r="H61" s="28" t="s">
        <v>1221</v>
      </c>
      <c r="I61" s="28" t="s">
        <v>1454</v>
      </c>
      <c r="J61" s="15" t="n">
        <f aca="false">D61*F61</f>
        <v>135207.09752</v>
      </c>
    </row>
    <row r="62" customFormat="false" ht="15" hidden="false" customHeight="false" outlineLevel="0" collapsed="false">
      <c r="A62" s="28" t="s">
        <v>301</v>
      </c>
      <c r="B62" s="28" t="s">
        <v>1457</v>
      </c>
      <c r="C62" s="23" t="n">
        <v>7</v>
      </c>
      <c r="D62" s="19" t="n">
        <v>0.02</v>
      </c>
      <c r="E62" s="28" t="s">
        <v>1464</v>
      </c>
      <c r="F62" s="23" t="n">
        <v>1565287.677</v>
      </c>
      <c r="G62" s="28" t="s">
        <v>1453</v>
      </c>
      <c r="H62" s="28" t="s">
        <v>1221</v>
      </c>
      <c r="I62" s="28" t="s">
        <v>1454</v>
      </c>
      <c r="J62" s="15" t="n">
        <f aca="false">D62*F62</f>
        <v>31305.75354</v>
      </c>
    </row>
    <row r="63" customFormat="false" ht="15" hidden="false" customHeight="false" outlineLevel="0" collapsed="false">
      <c r="A63" s="28" t="s">
        <v>301</v>
      </c>
      <c r="B63" s="28" t="s">
        <v>1457</v>
      </c>
      <c r="C63" s="23" t="n">
        <v>30</v>
      </c>
      <c r="D63" s="19" t="n">
        <v>0.06</v>
      </c>
      <c r="E63" s="28" t="s">
        <v>1464</v>
      </c>
      <c r="F63" s="23" t="n">
        <v>1565287.677</v>
      </c>
      <c r="G63" s="28" t="s">
        <v>1453</v>
      </c>
      <c r="H63" s="28" t="s">
        <v>1221</v>
      </c>
      <c r="I63" s="28" t="s">
        <v>1454</v>
      </c>
      <c r="J63" s="15" t="n">
        <f aca="false">D63*F63</f>
        <v>93917.26062</v>
      </c>
    </row>
    <row r="64" customFormat="false" ht="15" hidden="false" customHeight="false" outlineLevel="0" collapsed="false">
      <c r="A64" s="28" t="s">
        <v>301</v>
      </c>
      <c r="B64" s="28" t="s">
        <v>1457</v>
      </c>
      <c r="C64" s="23" t="n">
        <v>90</v>
      </c>
      <c r="D64" s="19" t="n">
        <v>0.1</v>
      </c>
      <c r="E64" s="28" t="s">
        <v>1464</v>
      </c>
      <c r="F64" s="23" t="n">
        <v>1565287.677</v>
      </c>
      <c r="G64" s="28" t="s">
        <v>1453</v>
      </c>
      <c r="H64" s="28" t="s">
        <v>1221</v>
      </c>
      <c r="I64" s="28" t="s">
        <v>1454</v>
      </c>
      <c r="J64" s="15" t="n">
        <f aca="false">D64*F64</f>
        <v>156528.7677</v>
      </c>
    </row>
    <row r="65" customFormat="false" ht="15" hidden="false" customHeight="false" outlineLevel="0" collapsed="false">
      <c r="A65" s="28" t="s">
        <v>301</v>
      </c>
      <c r="B65" s="28" t="s">
        <v>1457</v>
      </c>
      <c r="C65" s="23" t="n">
        <v>180</v>
      </c>
      <c r="D65" s="19" t="n">
        <v>0.14</v>
      </c>
      <c r="E65" s="28" t="s">
        <v>1464</v>
      </c>
      <c r="F65" s="23" t="n">
        <v>1565287.677</v>
      </c>
      <c r="G65" s="28" t="s">
        <v>1453</v>
      </c>
      <c r="H65" s="28" t="s">
        <v>1221</v>
      </c>
      <c r="I65" s="28" t="s">
        <v>1454</v>
      </c>
      <c r="J65" s="15" t="n">
        <f aca="false">D65*F65</f>
        <v>219140.27478</v>
      </c>
    </row>
    <row r="66" customFormat="false" ht="15" hidden="false" customHeight="false" outlineLevel="0" collapsed="false">
      <c r="A66" s="28" t="s">
        <v>301</v>
      </c>
      <c r="B66" s="28" t="s">
        <v>1457</v>
      </c>
      <c r="C66" s="23" t="n">
        <v>365</v>
      </c>
      <c r="D66" s="19" t="n">
        <v>0.16</v>
      </c>
      <c r="E66" s="28" t="s">
        <v>1464</v>
      </c>
      <c r="F66" s="23" t="n">
        <v>1565287.677</v>
      </c>
      <c r="G66" s="28" t="s">
        <v>1453</v>
      </c>
      <c r="H66" s="28" t="s">
        <v>1221</v>
      </c>
      <c r="I66" s="28" t="s">
        <v>1454</v>
      </c>
      <c r="J66" s="15" t="n">
        <f aca="false">D66*F66</f>
        <v>250446.02832</v>
      </c>
    </row>
    <row r="67" customFormat="false" ht="15" hidden="false" customHeight="false" outlineLevel="0" collapsed="false">
      <c r="A67" s="28" t="s">
        <v>301</v>
      </c>
      <c r="B67" s="28" t="s">
        <v>1458</v>
      </c>
      <c r="C67" s="23" t="n">
        <v>7</v>
      </c>
      <c r="D67" s="19" t="n">
        <v>0.01</v>
      </c>
      <c r="E67" s="28" t="s">
        <v>1464</v>
      </c>
      <c r="F67" s="23" t="n">
        <v>1706878.8496</v>
      </c>
      <c r="G67" s="28" t="s">
        <v>1453</v>
      </c>
      <c r="H67" s="28" t="s">
        <v>1221</v>
      </c>
      <c r="I67" s="28" t="s">
        <v>1454</v>
      </c>
      <c r="J67" s="15" t="n">
        <f aca="false">D67*F67</f>
        <v>17068.788496</v>
      </c>
    </row>
    <row r="68" customFormat="false" ht="15" hidden="false" customHeight="false" outlineLevel="0" collapsed="false">
      <c r="A68" s="28" t="s">
        <v>301</v>
      </c>
      <c r="B68" s="28" t="s">
        <v>1458</v>
      </c>
      <c r="C68" s="23" t="n">
        <v>30</v>
      </c>
      <c r="D68" s="19" t="n">
        <v>0.04</v>
      </c>
      <c r="E68" s="28" t="s">
        <v>1464</v>
      </c>
      <c r="F68" s="23" t="n">
        <v>1706878.8496</v>
      </c>
      <c r="G68" s="28" t="s">
        <v>1453</v>
      </c>
      <c r="H68" s="28" t="s">
        <v>1221</v>
      </c>
      <c r="I68" s="28" t="s">
        <v>1454</v>
      </c>
      <c r="J68" s="15" t="n">
        <f aca="false">D68*F68</f>
        <v>68275.153984</v>
      </c>
    </row>
    <row r="69" customFormat="false" ht="15" hidden="false" customHeight="false" outlineLevel="0" collapsed="false">
      <c r="A69" s="28" t="s">
        <v>301</v>
      </c>
      <c r="B69" s="28" t="s">
        <v>1458</v>
      </c>
      <c r="C69" s="23" t="n">
        <v>90</v>
      </c>
      <c r="D69" s="19" t="n">
        <v>0.1</v>
      </c>
      <c r="E69" s="28" t="s">
        <v>1464</v>
      </c>
      <c r="F69" s="23" t="n">
        <v>1706878.8496</v>
      </c>
      <c r="G69" s="28" t="s">
        <v>1453</v>
      </c>
      <c r="H69" s="28" t="s">
        <v>1221</v>
      </c>
      <c r="I69" s="28" t="s">
        <v>1454</v>
      </c>
      <c r="J69" s="15" t="n">
        <f aca="false">D69*F69</f>
        <v>170687.88496</v>
      </c>
    </row>
    <row r="70" customFormat="false" ht="15" hidden="false" customHeight="false" outlineLevel="0" collapsed="false">
      <c r="A70" s="28" t="s">
        <v>301</v>
      </c>
      <c r="B70" s="28" t="s">
        <v>1458</v>
      </c>
      <c r="C70" s="23" t="n">
        <v>180</v>
      </c>
      <c r="D70" s="19" t="n">
        <v>0.18</v>
      </c>
      <c r="E70" s="28" t="s">
        <v>1464</v>
      </c>
      <c r="F70" s="23" t="n">
        <v>1706878.8496</v>
      </c>
      <c r="G70" s="28" t="s">
        <v>1453</v>
      </c>
      <c r="H70" s="28" t="s">
        <v>1221</v>
      </c>
      <c r="I70" s="28" t="s">
        <v>1454</v>
      </c>
      <c r="J70" s="15" t="n">
        <f aca="false">D70*F70</f>
        <v>307238.192928</v>
      </c>
    </row>
    <row r="71" customFormat="false" ht="15" hidden="false" customHeight="false" outlineLevel="0" collapsed="false">
      <c r="A71" s="28" t="s">
        <v>301</v>
      </c>
      <c r="B71" s="28" t="s">
        <v>1458</v>
      </c>
      <c r="C71" s="23" t="n">
        <v>365</v>
      </c>
      <c r="D71" s="19" t="n">
        <v>0.25</v>
      </c>
      <c r="E71" s="28" t="s">
        <v>1464</v>
      </c>
      <c r="F71" s="23" t="n">
        <v>1706878.8496</v>
      </c>
      <c r="G71" s="28" t="s">
        <v>1453</v>
      </c>
      <c r="H71" s="28" t="s">
        <v>1221</v>
      </c>
      <c r="I71" s="28" t="s">
        <v>1454</v>
      </c>
      <c r="J71" s="15" t="n">
        <f aca="false">D71*F71</f>
        <v>426719.7124</v>
      </c>
    </row>
    <row r="72" customFormat="false" ht="15" hidden="false" customHeight="false" outlineLevel="0" collapsed="false">
      <c r="A72" s="28" t="s">
        <v>301</v>
      </c>
      <c r="B72" s="28" t="s">
        <v>1459</v>
      </c>
      <c r="C72" s="23" t="n">
        <v>7</v>
      </c>
      <c r="D72" s="19" t="n">
        <v>0.02</v>
      </c>
      <c r="E72" s="28" t="s">
        <v>1464</v>
      </c>
      <c r="F72" s="23" t="n">
        <v>1240000</v>
      </c>
      <c r="G72" s="28" t="s">
        <v>1453</v>
      </c>
      <c r="H72" s="28" t="s">
        <v>1221</v>
      </c>
      <c r="I72" s="28" t="s">
        <v>1454</v>
      </c>
      <c r="J72" s="15" t="n">
        <f aca="false">D72*F72</f>
        <v>24800</v>
      </c>
    </row>
    <row r="73" customFormat="false" ht="15" hidden="false" customHeight="false" outlineLevel="0" collapsed="false">
      <c r="A73" s="28" t="s">
        <v>301</v>
      </c>
      <c r="B73" s="28" t="s">
        <v>1459</v>
      </c>
      <c r="C73" s="23" t="n">
        <v>30</v>
      </c>
      <c r="D73" s="19" t="n">
        <v>0.05</v>
      </c>
      <c r="E73" s="28" t="s">
        <v>1464</v>
      </c>
      <c r="F73" s="23" t="n">
        <v>1240000</v>
      </c>
      <c r="G73" s="28" t="s">
        <v>1453</v>
      </c>
      <c r="H73" s="28" t="s">
        <v>1221</v>
      </c>
      <c r="I73" s="28" t="s">
        <v>1454</v>
      </c>
      <c r="J73" s="15" t="n">
        <f aca="false">D73*F73</f>
        <v>62000</v>
      </c>
    </row>
    <row r="74" customFormat="false" ht="15" hidden="false" customHeight="false" outlineLevel="0" collapsed="false">
      <c r="A74" s="28" t="s">
        <v>301</v>
      </c>
      <c r="B74" s="28" t="s">
        <v>1459</v>
      </c>
      <c r="C74" s="23" t="n">
        <v>90</v>
      </c>
      <c r="D74" s="19" t="n">
        <v>0.09</v>
      </c>
      <c r="E74" s="28" t="s">
        <v>1464</v>
      </c>
      <c r="F74" s="23" t="n">
        <v>1240000</v>
      </c>
      <c r="G74" s="28" t="s">
        <v>1453</v>
      </c>
      <c r="H74" s="28" t="s">
        <v>1221</v>
      </c>
      <c r="I74" s="28" t="s">
        <v>1454</v>
      </c>
      <c r="J74" s="15" t="n">
        <f aca="false">D74*F74</f>
        <v>111600</v>
      </c>
    </row>
    <row r="75" customFormat="false" ht="15" hidden="false" customHeight="false" outlineLevel="0" collapsed="false">
      <c r="A75" s="28" t="s">
        <v>301</v>
      </c>
      <c r="B75" s="28" t="s">
        <v>1459</v>
      </c>
      <c r="C75" s="23" t="n">
        <v>180</v>
      </c>
      <c r="D75" s="19" t="n">
        <v>0.12</v>
      </c>
      <c r="E75" s="28" t="s">
        <v>1464</v>
      </c>
      <c r="F75" s="23" t="n">
        <v>1240000</v>
      </c>
      <c r="G75" s="28" t="s">
        <v>1453</v>
      </c>
      <c r="H75" s="28" t="s">
        <v>1221</v>
      </c>
      <c r="I75" s="28" t="s">
        <v>1454</v>
      </c>
      <c r="J75" s="15" t="n">
        <f aca="false">D75*F75</f>
        <v>148800</v>
      </c>
    </row>
    <row r="76" customFormat="false" ht="15" hidden="false" customHeight="false" outlineLevel="0" collapsed="false">
      <c r="A76" s="28" t="s">
        <v>301</v>
      </c>
      <c r="B76" s="28" t="s">
        <v>1459</v>
      </c>
      <c r="C76" s="23" t="n">
        <v>365</v>
      </c>
      <c r="D76" s="19" t="n">
        <v>0.15</v>
      </c>
      <c r="E76" s="28" t="s">
        <v>1464</v>
      </c>
      <c r="F76" s="23" t="n">
        <v>1240000</v>
      </c>
      <c r="G76" s="28" t="s">
        <v>1453</v>
      </c>
      <c r="H76" s="28" t="s">
        <v>1221</v>
      </c>
      <c r="I76" s="28" t="s">
        <v>1454</v>
      </c>
      <c r="J76" s="15" t="n">
        <f aca="false">D76*F76</f>
        <v>186000</v>
      </c>
    </row>
    <row r="77" customFormat="false" ht="15" hidden="false" customHeight="false" outlineLevel="0" collapsed="false">
      <c r="A77" s="28" t="s">
        <v>301</v>
      </c>
      <c r="B77" s="28" t="s">
        <v>1460</v>
      </c>
      <c r="C77" s="23" t="n">
        <v>7</v>
      </c>
      <c r="D77" s="19" t="n">
        <v>0.02</v>
      </c>
      <c r="E77" s="28" t="s">
        <v>1464</v>
      </c>
      <c r="F77" s="23" t="n">
        <v>129000</v>
      </c>
      <c r="G77" s="28" t="s">
        <v>1453</v>
      </c>
      <c r="H77" s="28" t="s">
        <v>1221</v>
      </c>
      <c r="I77" s="28" t="s">
        <v>1454</v>
      </c>
      <c r="J77" s="15" t="n">
        <f aca="false">D77*F77</f>
        <v>2580</v>
      </c>
    </row>
    <row r="78" customFormat="false" ht="15" hidden="false" customHeight="false" outlineLevel="0" collapsed="false">
      <c r="A78" s="28" t="s">
        <v>301</v>
      </c>
      <c r="B78" s="28" t="s">
        <v>1460</v>
      </c>
      <c r="C78" s="23" t="n">
        <v>30</v>
      </c>
      <c r="D78" s="19" t="n">
        <v>0.06</v>
      </c>
      <c r="E78" s="28" t="s">
        <v>1464</v>
      </c>
      <c r="F78" s="23" t="n">
        <v>129000</v>
      </c>
      <c r="G78" s="28" t="s">
        <v>1453</v>
      </c>
      <c r="H78" s="28" t="s">
        <v>1221</v>
      </c>
      <c r="I78" s="28" t="s">
        <v>1454</v>
      </c>
      <c r="J78" s="15" t="n">
        <f aca="false">D78*F78</f>
        <v>7740</v>
      </c>
    </row>
    <row r="79" customFormat="false" ht="15" hidden="false" customHeight="false" outlineLevel="0" collapsed="false">
      <c r="A79" s="28" t="s">
        <v>301</v>
      </c>
      <c r="B79" s="28" t="s">
        <v>1460</v>
      </c>
      <c r="C79" s="23" t="n">
        <v>90</v>
      </c>
      <c r="D79" s="19" t="n">
        <v>0.1</v>
      </c>
      <c r="E79" s="28" t="s">
        <v>1464</v>
      </c>
      <c r="F79" s="23" t="n">
        <v>129000</v>
      </c>
      <c r="G79" s="28" t="s">
        <v>1453</v>
      </c>
      <c r="H79" s="28" t="s">
        <v>1221</v>
      </c>
      <c r="I79" s="28" t="s">
        <v>1454</v>
      </c>
      <c r="J79" s="15" t="n">
        <f aca="false">D79*F79</f>
        <v>12900</v>
      </c>
    </row>
    <row r="80" customFormat="false" ht="15" hidden="false" customHeight="false" outlineLevel="0" collapsed="false">
      <c r="A80" s="28" t="s">
        <v>301</v>
      </c>
      <c r="B80" s="28" t="s">
        <v>1460</v>
      </c>
      <c r="C80" s="23" t="n">
        <v>180</v>
      </c>
      <c r="D80" s="19" t="n">
        <v>0.14</v>
      </c>
      <c r="E80" s="28" t="s">
        <v>1464</v>
      </c>
      <c r="F80" s="23" t="n">
        <v>129000</v>
      </c>
      <c r="G80" s="28" t="s">
        <v>1453</v>
      </c>
      <c r="H80" s="28" t="s">
        <v>1221</v>
      </c>
      <c r="I80" s="28" t="s">
        <v>1454</v>
      </c>
      <c r="J80" s="15" t="n">
        <f aca="false">D80*F80</f>
        <v>18060</v>
      </c>
    </row>
    <row r="81" customFormat="false" ht="15" hidden="false" customHeight="false" outlineLevel="0" collapsed="false">
      <c r="A81" s="28" t="s">
        <v>301</v>
      </c>
      <c r="B81" s="28" t="s">
        <v>1460</v>
      </c>
      <c r="C81" s="23" t="n">
        <v>365</v>
      </c>
      <c r="D81" s="19" t="n">
        <v>0.18</v>
      </c>
      <c r="E81" s="28" t="s">
        <v>1464</v>
      </c>
      <c r="F81" s="23" t="n">
        <v>129000</v>
      </c>
      <c r="G81" s="28" t="s">
        <v>1453</v>
      </c>
      <c r="H81" s="28" t="s">
        <v>1221</v>
      </c>
      <c r="I81" s="28" t="s">
        <v>1454</v>
      </c>
      <c r="J81" s="15" t="n">
        <f aca="false">D81*F81</f>
        <v>23220</v>
      </c>
    </row>
    <row r="82" customFormat="false" ht="15" hidden="false" customHeight="false" outlineLevel="0" collapsed="false">
      <c r="A82" s="28" t="s">
        <v>301</v>
      </c>
      <c r="B82" s="28" t="s">
        <v>1461</v>
      </c>
      <c r="C82" s="23" t="n">
        <v>7</v>
      </c>
      <c r="D82" s="19" t="n">
        <v>0.03</v>
      </c>
      <c r="E82" s="28" t="s">
        <v>1464</v>
      </c>
      <c r="F82" s="23" t="n">
        <v>1958274.313</v>
      </c>
      <c r="G82" s="28" t="s">
        <v>1462</v>
      </c>
      <c r="H82" s="28" t="s">
        <v>1221</v>
      </c>
      <c r="I82" s="28" t="s">
        <v>1454</v>
      </c>
      <c r="J82" s="15" t="n">
        <f aca="false">D82*F82</f>
        <v>58748.22939</v>
      </c>
    </row>
    <row r="83" customFormat="false" ht="15" hidden="false" customHeight="false" outlineLevel="0" collapsed="false">
      <c r="A83" s="28" t="s">
        <v>301</v>
      </c>
      <c r="B83" s="28" t="s">
        <v>1461</v>
      </c>
      <c r="C83" s="23" t="n">
        <v>30</v>
      </c>
      <c r="D83" s="19" t="n">
        <v>0.05</v>
      </c>
      <c r="E83" s="28" t="s">
        <v>1464</v>
      </c>
      <c r="F83" s="23" t="n">
        <v>1958274.313</v>
      </c>
      <c r="G83" s="28" t="s">
        <v>1462</v>
      </c>
      <c r="H83" s="28" t="s">
        <v>1221</v>
      </c>
      <c r="I83" s="28" t="s">
        <v>1454</v>
      </c>
      <c r="J83" s="15" t="n">
        <f aca="false">D83*F83</f>
        <v>97913.71565</v>
      </c>
    </row>
    <row r="84" customFormat="false" ht="15" hidden="false" customHeight="false" outlineLevel="0" collapsed="false">
      <c r="A84" s="28" t="s">
        <v>301</v>
      </c>
      <c r="B84" s="28" t="s">
        <v>1461</v>
      </c>
      <c r="C84" s="23" t="n">
        <v>90</v>
      </c>
      <c r="D84" s="19" t="n">
        <v>0.05</v>
      </c>
      <c r="E84" s="28" t="s">
        <v>1464</v>
      </c>
      <c r="F84" s="23" t="n">
        <v>1958274.313</v>
      </c>
      <c r="G84" s="28" t="s">
        <v>1462</v>
      </c>
      <c r="H84" s="28" t="s">
        <v>1221</v>
      </c>
      <c r="I84" s="28" t="s">
        <v>1454</v>
      </c>
      <c r="J84" s="15" t="n">
        <f aca="false">D84*F84</f>
        <v>97913.71565</v>
      </c>
    </row>
    <row r="85" customFormat="false" ht="15" hidden="false" customHeight="false" outlineLevel="0" collapsed="false">
      <c r="A85" s="28" t="s">
        <v>301</v>
      </c>
      <c r="B85" s="28" t="s">
        <v>1461</v>
      </c>
      <c r="C85" s="23" t="n">
        <v>180</v>
      </c>
      <c r="D85" s="19" t="n">
        <v>0.05</v>
      </c>
      <c r="E85" s="28" t="s">
        <v>1464</v>
      </c>
      <c r="F85" s="23" t="n">
        <v>1958274.313</v>
      </c>
      <c r="G85" s="28" t="s">
        <v>1462</v>
      </c>
      <c r="H85" s="28" t="s">
        <v>1221</v>
      </c>
      <c r="I85" s="28" t="s">
        <v>1454</v>
      </c>
      <c r="J85" s="15" t="n">
        <f aca="false">D85*F85</f>
        <v>97913.71565</v>
      </c>
    </row>
    <row r="86" customFormat="false" ht="15" hidden="false" customHeight="false" outlineLevel="0" collapsed="false">
      <c r="A86" s="28" t="s">
        <v>301</v>
      </c>
      <c r="B86" s="28" t="s">
        <v>1461</v>
      </c>
      <c r="C86" s="23" t="n">
        <v>365</v>
      </c>
      <c r="D86" s="19" t="n">
        <v>0.05</v>
      </c>
      <c r="E86" s="28" t="s">
        <v>1464</v>
      </c>
      <c r="F86" s="23" t="n">
        <v>1958274.313</v>
      </c>
      <c r="G86" s="28" t="s">
        <v>1462</v>
      </c>
      <c r="H86" s="28" t="s">
        <v>1221</v>
      </c>
      <c r="I86" s="28" t="s">
        <v>1454</v>
      </c>
      <c r="J86" s="15" t="n">
        <f aca="false">D86*F86</f>
        <v>97913.71565</v>
      </c>
    </row>
    <row r="87" customFormat="false" ht="15" hidden="false" customHeight="false" outlineLevel="0" collapsed="false">
      <c r="A87" s="28" t="s">
        <v>301</v>
      </c>
      <c r="B87" s="28" t="s">
        <v>1463</v>
      </c>
      <c r="C87" s="23" t="n">
        <v>7</v>
      </c>
      <c r="D87" s="19" t="n">
        <v>0.15</v>
      </c>
      <c r="E87" s="28" t="s">
        <v>1464</v>
      </c>
      <c r="F87" s="23" t="n">
        <v>3650000</v>
      </c>
      <c r="G87" s="28" t="s">
        <v>1462</v>
      </c>
      <c r="H87" s="28" t="s">
        <v>1221</v>
      </c>
      <c r="I87" s="28" t="s">
        <v>1454</v>
      </c>
      <c r="J87" s="15" t="n">
        <f aca="false">D87*F87</f>
        <v>547500</v>
      </c>
    </row>
    <row r="88" customFormat="false" ht="15" hidden="false" customHeight="false" outlineLevel="0" collapsed="false">
      <c r="A88" s="28" t="s">
        <v>301</v>
      </c>
      <c r="B88" s="28" t="s">
        <v>1463</v>
      </c>
      <c r="C88" s="23" t="n">
        <v>30</v>
      </c>
      <c r="D88" s="19" t="n">
        <v>0.15</v>
      </c>
      <c r="E88" s="28" t="s">
        <v>1464</v>
      </c>
      <c r="F88" s="23" t="n">
        <v>3650000</v>
      </c>
      <c r="G88" s="28" t="s">
        <v>1462</v>
      </c>
      <c r="H88" s="28" t="s">
        <v>1221</v>
      </c>
      <c r="I88" s="28" t="s">
        <v>1454</v>
      </c>
      <c r="J88" s="15" t="n">
        <f aca="false">D88*F88</f>
        <v>547500</v>
      </c>
    </row>
    <row r="89" customFormat="false" ht="15" hidden="false" customHeight="false" outlineLevel="0" collapsed="false">
      <c r="A89" s="28" t="s">
        <v>301</v>
      </c>
      <c r="B89" s="28" t="s">
        <v>1463</v>
      </c>
      <c r="C89" s="23" t="n">
        <v>90</v>
      </c>
      <c r="D89" s="19" t="n">
        <v>0.15</v>
      </c>
      <c r="E89" s="28" t="s">
        <v>1464</v>
      </c>
      <c r="F89" s="23" t="n">
        <v>3650000</v>
      </c>
      <c r="G89" s="28" t="s">
        <v>1462</v>
      </c>
      <c r="H89" s="28" t="s">
        <v>1221</v>
      </c>
      <c r="I89" s="28" t="s">
        <v>1454</v>
      </c>
      <c r="J89" s="15" t="n">
        <f aca="false">D89*F89</f>
        <v>547500</v>
      </c>
    </row>
    <row r="90" customFormat="false" ht="15" hidden="false" customHeight="false" outlineLevel="0" collapsed="false">
      <c r="A90" s="28" t="s">
        <v>301</v>
      </c>
      <c r="B90" s="28" t="s">
        <v>1463</v>
      </c>
      <c r="C90" s="23" t="n">
        <v>180</v>
      </c>
      <c r="D90" s="19" t="n">
        <v>0.15</v>
      </c>
      <c r="E90" s="28" t="s">
        <v>1464</v>
      </c>
      <c r="F90" s="23" t="n">
        <v>3650000</v>
      </c>
      <c r="G90" s="28" t="s">
        <v>1462</v>
      </c>
      <c r="H90" s="28" t="s">
        <v>1221</v>
      </c>
      <c r="I90" s="28" t="s">
        <v>1454</v>
      </c>
      <c r="J90" s="15" t="n">
        <f aca="false">D90*F90</f>
        <v>547500</v>
      </c>
    </row>
    <row r="91" customFormat="false" ht="15" hidden="false" customHeight="false" outlineLevel="0" collapsed="false">
      <c r="A91" s="28" t="s">
        <v>301</v>
      </c>
      <c r="B91" s="28" t="s">
        <v>1463</v>
      </c>
      <c r="C91" s="23" t="n">
        <v>365</v>
      </c>
      <c r="D91" s="19" t="n">
        <v>0.15</v>
      </c>
      <c r="E91" s="28" t="s">
        <v>1464</v>
      </c>
      <c r="F91" s="23" t="n">
        <v>3650000</v>
      </c>
      <c r="G91" s="28" t="s">
        <v>1462</v>
      </c>
      <c r="H91" s="28" t="s">
        <v>1221</v>
      </c>
      <c r="I91" s="28" t="s">
        <v>1454</v>
      </c>
      <c r="J91" s="15" t="n">
        <f aca="false">D91*F91</f>
        <v>547500</v>
      </c>
    </row>
    <row r="92" customFormat="false" ht="15" hidden="false" customHeight="false" outlineLevel="0" collapsed="false">
      <c r="A92" s="28" t="s">
        <v>302</v>
      </c>
      <c r="B92" s="28" t="s">
        <v>1451</v>
      </c>
      <c r="C92" s="23" t="n">
        <v>7</v>
      </c>
      <c r="D92" s="19" t="n">
        <v>0.02</v>
      </c>
      <c r="E92" s="28" t="s">
        <v>1465</v>
      </c>
      <c r="F92" s="23" t="n">
        <v>6016594.56711</v>
      </c>
      <c r="G92" s="28" t="s">
        <v>1453</v>
      </c>
      <c r="H92" s="28" t="s">
        <v>1221</v>
      </c>
      <c r="I92" s="28" t="s">
        <v>1454</v>
      </c>
      <c r="J92" s="15" t="n">
        <f aca="false">D92*F92</f>
        <v>120331.8913422</v>
      </c>
    </row>
    <row r="93" customFormat="false" ht="15" hidden="false" customHeight="false" outlineLevel="0" collapsed="false">
      <c r="A93" s="28" t="s">
        <v>302</v>
      </c>
      <c r="B93" s="28" t="s">
        <v>1451</v>
      </c>
      <c r="C93" s="23" t="n">
        <v>30</v>
      </c>
      <c r="D93" s="19" t="n">
        <v>0.05</v>
      </c>
      <c r="E93" s="28" t="s">
        <v>1465</v>
      </c>
      <c r="F93" s="23" t="n">
        <v>6016594.56711</v>
      </c>
      <c r="G93" s="28" t="s">
        <v>1453</v>
      </c>
      <c r="H93" s="28" t="s">
        <v>1221</v>
      </c>
      <c r="I93" s="28" t="s">
        <v>1454</v>
      </c>
      <c r="J93" s="15" t="n">
        <f aca="false">D93*F93</f>
        <v>300829.7283555</v>
      </c>
    </row>
    <row r="94" customFormat="false" ht="15" hidden="false" customHeight="false" outlineLevel="0" collapsed="false">
      <c r="A94" s="28" t="s">
        <v>302</v>
      </c>
      <c r="B94" s="28" t="s">
        <v>1451</v>
      </c>
      <c r="C94" s="23" t="n">
        <v>90</v>
      </c>
      <c r="D94" s="19" t="n">
        <v>0.09</v>
      </c>
      <c r="E94" s="28" t="s">
        <v>1465</v>
      </c>
      <c r="F94" s="23" t="n">
        <v>6016594.56711</v>
      </c>
      <c r="G94" s="28" t="s">
        <v>1453</v>
      </c>
      <c r="H94" s="28" t="s">
        <v>1221</v>
      </c>
      <c r="I94" s="28" t="s">
        <v>1454</v>
      </c>
      <c r="J94" s="15" t="n">
        <f aca="false">D94*F94</f>
        <v>541493.5110399</v>
      </c>
    </row>
    <row r="95" customFormat="false" ht="15" hidden="false" customHeight="false" outlineLevel="0" collapsed="false">
      <c r="A95" s="28" t="s">
        <v>302</v>
      </c>
      <c r="B95" s="28" t="s">
        <v>1451</v>
      </c>
      <c r="C95" s="23" t="n">
        <v>180</v>
      </c>
      <c r="D95" s="19" t="n">
        <v>0.12</v>
      </c>
      <c r="E95" s="28" t="s">
        <v>1465</v>
      </c>
      <c r="F95" s="23" t="n">
        <v>6016594.56711</v>
      </c>
      <c r="G95" s="28" t="s">
        <v>1453</v>
      </c>
      <c r="H95" s="28" t="s">
        <v>1221</v>
      </c>
      <c r="I95" s="28" t="s">
        <v>1454</v>
      </c>
      <c r="J95" s="15" t="n">
        <f aca="false">D95*F95</f>
        <v>721991.3480532</v>
      </c>
    </row>
    <row r="96" customFormat="false" ht="15" hidden="false" customHeight="false" outlineLevel="0" collapsed="false">
      <c r="A96" s="28" t="s">
        <v>302</v>
      </c>
      <c r="B96" s="28" t="s">
        <v>1451</v>
      </c>
      <c r="C96" s="23" t="n">
        <v>365</v>
      </c>
      <c r="D96" s="19" t="n">
        <v>0.15</v>
      </c>
      <c r="E96" s="28" t="s">
        <v>1465</v>
      </c>
      <c r="F96" s="23" t="n">
        <v>6016594.56711</v>
      </c>
      <c r="G96" s="28" t="s">
        <v>1453</v>
      </c>
      <c r="H96" s="28" t="s">
        <v>1221</v>
      </c>
      <c r="I96" s="28" t="s">
        <v>1454</v>
      </c>
      <c r="J96" s="15" t="n">
        <f aca="false">D96*F96</f>
        <v>902489.1850665</v>
      </c>
    </row>
    <row r="97" customFormat="false" ht="15" hidden="false" customHeight="false" outlineLevel="0" collapsed="false">
      <c r="A97" s="28" t="s">
        <v>302</v>
      </c>
      <c r="B97" s="28" t="s">
        <v>1455</v>
      </c>
      <c r="C97" s="23" t="n">
        <v>7</v>
      </c>
      <c r="D97" s="19" t="n">
        <v>0.1</v>
      </c>
      <c r="E97" s="28" t="s">
        <v>1465</v>
      </c>
      <c r="F97" s="23" t="n">
        <v>763380.27869</v>
      </c>
      <c r="G97" s="28" t="s">
        <v>1453</v>
      </c>
      <c r="H97" s="28" t="s">
        <v>1221</v>
      </c>
      <c r="I97" s="28" t="s">
        <v>1454</v>
      </c>
      <c r="J97" s="15" t="n">
        <f aca="false">D97*F97</f>
        <v>76338.027869</v>
      </c>
    </row>
    <row r="98" customFormat="false" ht="15" hidden="false" customHeight="false" outlineLevel="0" collapsed="false">
      <c r="A98" s="28" t="s">
        <v>302</v>
      </c>
      <c r="B98" s="28" t="s">
        <v>1455</v>
      </c>
      <c r="C98" s="23" t="n">
        <v>30</v>
      </c>
      <c r="D98" s="19" t="n">
        <v>0.25</v>
      </c>
      <c r="E98" s="28" t="s">
        <v>1465</v>
      </c>
      <c r="F98" s="23" t="n">
        <v>763380.27869</v>
      </c>
      <c r="G98" s="28" t="s">
        <v>1453</v>
      </c>
      <c r="H98" s="28" t="s">
        <v>1221</v>
      </c>
      <c r="I98" s="28" t="s">
        <v>1454</v>
      </c>
      <c r="J98" s="15" t="n">
        <f aca="false">D98*F98</f>
        <v>190845.0696725</v>
      </c>
    </row>
    <row r="99" customFormat="false" ht="15" hidden="false" customHeight="false" outlineLevel="0" collapsed="false">
      <c r="A99" s="28" t="s">
        <v>302</v>
      </c>
      <c r="B99" s="28" t="s">
        <v>1455</v>
      </c>
      <c r="C99" s="23" t="n">
        <v>90</v>
      </c>
      <c r="D99" s="19" t="n">
        <v>0.35</v>
      </c>
      <c r="E99" s="28" t="s">
        <v>1465</v>
      </c>
      <c r="F99" s="23" t="n">
        <v>763380.27869</v>
      </c>
      <c r="G99" s="28" t="s">
        <v>1453</v>
      </c>
      <c r="H99" s="28" t="s">
        <v>1221</v>
      </c>
      <c r="I99" s="28" t="s">
        <v>1454</v>
      </c>
      <c r="J99" s="15" t="n">
        <f aca="false">D99*F99</f>
        <v>267183.0975415</v>
      </c>
    </row>
    <row r="100" customFormat="false" ht="15" hidden="false" customHeight="false" outlineLevel="0" collapsed="false">
      <c r="A100" s="28" t="s">
        <v>302</v>
      </c>
      <c r="B100" s="28" t="s">
        <v>1455</v>
      </c>
      <c r="C100" s="23" t="n">
        <v>180</v>
      </c>
      <c r="D100" s="19" t="n">
        <v>0.4</v>
      </c>
      <c r="E100" s="28" t="s">
        <v>1465</v>
      </c>
      <c r="F100" s="23" t="n">
        <v>763380.27869</v>
      </c>
      <c r="G100" s="28" t="s">
        <v>1453</v>
      </c>
      <c r="H100" s="28" t="s">
        <v>1221</v>
      </c>
      <c r="I100" s="28" t="s">
        <v>1454</v>
      </c>
      <c r="J100" s="15" t="n">
        <f aca="false">D100*F100</f>
        <v>305352.111476</v>
      </c>
    </row>
    <row r="101" customFormat="false" ht="15" hidden="false" customHeight="false" outlineLevel="0" collapsed="false">
      <c r="A101" s="28" t="s">
        <v>302</v>
      </c>
      <c r="B101" s="28" t="s">
        <v>1455</v>
      </c>
      <c r="C101" s="23" t="n">
        <v>365</v>
      </c>
      <c r="D101" s="19" t="n">
        <v>0.45</v>
      </c>
      <c r="E101" s="28" t="s">
        <v>1465</v>
      </c>
      <c r="F101" s="23" t="n">
        <v>763380.27869</v>
      </c>
      <c r="G101" s="28" t="s">
        <v>1453</v>
      </c>
      <c r="H101" s="28" t="s">
        <v>1221</v>
      </c>
      <c r="I101" s="28" t="s">
        <v>1454</v>
      </c>
      <c r="J101" s="15" t="n">
        <f aca="false">D101*F101</f>
        <v>343521.1254105</v>
      </c>
    </row>
    <row r="102" customFormat="false" ht="15" hidden="false" customHeight="false" outlineLevel="0" collapsed="false">
      <c r="A102" s="28" t="s">
        <v>302</v>
      </c>
      <c r="B102" s="28" t="s">
        <v>1456</v>
      </c>
      <c r="C102" s="23" t="n">
        <v>7</v>
      </c>
      <c r="D102" s="19" t="n">
        <v>0.08</v>
      </c>
      <c r="E102" s="28" t="s">
        <v>1465</v>
      </c>
      <c r="F102" s="23" t="n">
        <v>614577.716</v>
      </c>
      <c r="G102" s="28" t="s">
        <v>1453</v>
      </c>
      <c r="H102" s="28" t="s">
        <v>1221</v>
      </c>
      <c r="I102" s="28" t="s">
        <v>1454</v>
      </c>
      <c r="J102" s="15" t="n">
        <f aca="false">D102*F102</f>
        <v>49166.21728</v>
      </c>
    </row>
    <row r="103" customFormat="false" ht="15" hidden="false" customHeight="false" outlineLevel="0" collapsed="false">
      <c r="A103" s="28" t="s">
        <v>302</v>
      </c>
      <c r="B103" s="28" t="s">
        <v>1456</v>
      </c>
      <c r="C103" s="23" t="n">
        <v>30</v>
      </c>
      <c r="D103" s="19" t="n">
        <v>0.2</v>
      </c>
      <c r="E103" s="28" t="s">
        <v>1465</v>
      </c>
      <c r="F103" s="23" t="n">
        <v>614577.716</v>
      </c>
      <c r="G103" s="28" t="s">
        <v>1453</v>
      </c>
      <c r="H103" s="28" t="s">
        <v>1221</v>
      </c>
      <c r="I103" s="28" t="s">
        <v>1454</v>
      </c>
      <c r="J103" s="15" t="n">
        <f aca="false">D103*F103</f>
        <v>122915.5432</v>
      </c>
    </row>
    <row r="104" customFormat="false" ht="15" hidden="false" customHeight="false" outlineLevel="0" collapsed="false">
      <c r="A104" s="28" t="s">
        <v>302</v>
      </c>
      <c r="B104" s="28" t="s">
        <v>1456</v>
      </c>
      <c r="C104" s="23" t="n">
        <v>90</v>
      </c>
      <c r="D104" s="19" t="n">
        <v>0.3</v>
      </c>
      <c r="E104" s="28" t="s">
        <v>1465</v>
      </c>
      <c r="F104" s="23" t="n">
        <v>614577.716</v>
      </c>
      <c r="G104" s="28" t="s">
        <v>1453</v>
      </c>
      <c r="H104" s="28" t="s">
        <v>1221</v>
      </c>
      <c r="I104" s="28" t="s">
        <v>1454</v>
      </c>
      <c r="J104" s="15" t="n">
        <f aca="false">D104*F104</f>
        <v>184373.3148</v>
      </c>
    </row>
    <row r="105" customFormat="false" ht="15" hidden="false" customHeight="false" outlineLevel="0" collapsed="false">
      <c r="A105" s="28" t="s">
        <v>302</v>
      </c>
      <c r="B105" s="28" t="s">
        <v>1456</v>
      </c>
      <c r="C105" s="23" t="n">
        <v>180</v>
      </c>
      <c r="D105" s="19" t="n">
        <v>0.35</v>
      </c>
      <c r="E105" s="28" t="s">
        <v>1465</v>
      </c>
      <c r="F105" s="23" t="n">
        <v>614577.716</v>
      </c>
      <c r="G105" s="28" t="s">
        <v>1453</v>
      </c>
      <c r="H105" s="28" t="s">
        <v>1221</v>
      </c>
      <c r="I105" s="28" t="s">
        <v>1454</v>
      </c>
      <c r="J105" s="15" t="n">
        <f aca="false">D105*F105</f>
        <v>215102.2006</v>
      </c>
    </row>
    <row r="106" customFormat="false" ht="15" hidden="false" customHeight="false" outlineLevel="0" collapsed="false">
      <c r="A106" s="28" t="s">
        <v>302</v>
      </c>
      <c r="B106" s="28" t="s">
        <v>1456</v>
      </c>
      <c r="C106" s="23" t="n">
        <v>365</v>
      </c>
      <c r="D106" s="19" t="n">
        <v>0.4</v>
      </c>
      <c r="E106" s="28" t="s">
        <v>1465</v>
      </c>
      <c r="F106" s="23" t="n">
        <v>614577.716</v>
      </c>
      <c r="G106" s="28" t="s">
        <v>1453</v>
      </c>
      <c r="H106" s="28" t="s">
        <v>1221</v>
      </c>
      <c r="I106" s="28" t="s">
        <v>1454</v>
      </c>
      <c r="J106" s="15" t="n">
        <f aca="false">D106*F106</f>
        <v>245831.0864</v>
      </c>
    </row>
    <row r="107" customFormat="false" ht="15" hidden="false" customHeight="false" outlineLevel="0" collapsed="false">
      <c r="A107" s="28" t="s">
        <v>302</v>
      </c>
      <c r="B107" s="28" t="s">
        <v>1457</v>
      </c>
      <c r="C107" s="23" t="n">
        <v>7</v>
      </c>
      <c r="D107" s="19" t="n">
        <v>0.05</v>
      </c>
      <c r="E107" s="28" t="s">
        <v>1465</v>
      </c>
      <c r="F107" s="23" t="n">
        <v>1565287.677</v>
      </c>
      <c r="G107" s="28" t="s">
        <v>1453</v>
      </c>
      <c r="H107" s="28" t="s">
        <v>1221</v>
      </c>
      <c r="I107" s="28" t="s">
        <v>1454</v>
      </c>
      <c r="J107" s="15" t="n">
        <f aca="false">D107*F107</f>
        <v>78264.38385</v>
      </c>
    </row>
    <row r="108" customFormat="false" ht="15" hidden="false" customHeight="false" outlineLevel="0" collapsed="false">
      <c r="A108" s="28" t="s">
        <v>302</v>
      </c>
      <c r="B108" s="28" t="s">
        <v>1457</v>
      </c>
      <c r="C108" s="23" t="n">
        <v>30</v>
      </c>
      <c r="D108" s="19" t="n">
        <v>0.12</v>
      </c>
      <c r="E108" s="28" t="s">
        <v>1465</v>
      </c>
      <c r="F108" s="23" t="n">
        <v>1565287.677</v>
      </c>
      <c r="G108" s="28" t="s">
        <v>1453</v>
      </c>
      <c r="H108" s="28" t="s">
        <v>1221</v>
      </c>
      <c r="I108" s="28" t="s">
        <v>1454</v>
      </c>
      <c r="J108" s="15" t="n">
        <f aca="false">D108*F108</f>
        <v>187834.52124</v>
      </c>
    </row>
    <row r="109" customFormat="false" ht="15" hidden="false" customHeight="false" outlineLevel="0" collapsed="false">
      <c r="A109" s="28" t="s">
        <v>302</v>
      </c>
      <c r="B109" s="28" t="s">
        <v>1457</v>
      </c>
      <c r="C109" s="23" t="n">
        <v>90</v>
      </c>
      <c r="D109" s="19" t="n">
        <v>0.2</v>
      </c>
      <c r="E109" s="28" t="s">
        <v>1465</v>
      </c>
      <c r="F109" s="23" t="n">
        <v>1565287.677</v>
      </c>
      <c r="G109" s="28" t="s">
        <v>1453</v>
      </c>
      <c r="H109" s="28" t="s">
        <v>1221</v>
      </c>
      <c r="I109" s="28" t="s">
        <v>1454</v>
      </c>
      <c r="J109" s="15" t="n">
        <f aca="false">D109*F109</f>
        <v>313057.5354</v>
      </c>
    </row>
    <row r="110" customFormat="false" ht="15" hidden="false" customHeight="false" outlineLevel="0" collapsed="false">
      <c r="A110" s="28" t="s">
        <v>302</v>
      </c>
      <c r="B110" s="28" t="s">
        <v>1457</v>
      </c>
      <c r="C110" s="23" t="n">
        <v>180</v>
      </c>
      <c r="D110" s="19" t="n">
        <v>0.25</v>
      </c>
      <c r="E110" s="28" t="s">
        <v>1465</v>
      </c>
      <c r="F110" s="23" t="n">
        <v>1565287.677</v>
      </c>
      <c r="G110" s="28" t="s">
        <v>1453</v>
      </c>
      <c r="H110" s="28" t="s">
        <v>1221</v>
      </c>
      <c r="I110" s="28" t="s">
        <v>1454</v>
      </c>
      <c r="J110" s="15" t="n">
        <f aca="false">D110*F110</f>
        <v>391321.91925</v>
      </c>
    </row>
    <row r="111" customFormat="false" ht="15" hidden="false" customHeight="false" outlineLevel="0" collapsed="false">
      <c r="A111" s="28" t="s">
        <v>302</v>
      </c>
      <c r="B111" s="28" t="s">
        <v>1457</v>
      </c>
      <c r="C111" s="23" t="n">
        <v>365</v>
      </c>
      <c r="D111" s="19" t="n">
        <v>0.3</v>
      </c>
      <c r="E111" s="28" t="s">
        <v>1465</v>
      </c>
      <c r="F111" s="23" t="n">
        <v>1565287.677</v>
      </c>
      <c r="G111" s="28" t="s">
        <v>1453</v>
      </c>
      <c r="H111" s="28" t="s">
        <v>1221</v>
      </c>
      <c r="I111" s="28" t="s">
        <v>1454</v>
      </c>
      <c r="J111" s="15" t="n">
        <f aca="false">D111*F111</f>
        <v>469586.3031</v>
      </c>
    </row>
    <row r="112" customFormat="false" ht="15" hidden="false" customHeight="false" outlineLevel="0" collapsed="false">
      <c r="A112" s="28" t="s">
        <v>302</v>
      </c>
      <c r="B112" s="28" t="s">
        <v>1458</v>
      </c>
      <c r="C112" s="23" t="n">
        <v>7</v>
      </c>
      <c r="D112" s="19" t="n">
        <v>0.03</v>
      </c>
      <c r="E112" s="28" t="s">
        <v>1465</v>
      </c>
      <c r="F112" s="23" t="n">
        <v>1706878.8496</v>
      </c>
      <c r="G112" s="28" t="s">
        <v>1453</v>
      </c>
      <c r="H112" s="28" t="s">
        <v>1221</v>
      </c>
      <c r="I112" s="28" t="s">
        <v>1454</v>
      </c>
      <c r="J112" s="15" t="n">
        <f aca="false">D112*F112</f>
        <v>51206.365488</v>
      </c>
    </row>
    <row r="113" customFormat="false" ht="15" hidden="false" customHeight="false" outlineLevel="0" collapsed="false">
      <c r="A113" s="28" t="s">
        <v>302</v>
      </c>
      <c r="B113" s="28" t="s">
        <v>1458</v>
      </c>
      <c r="C113" s="23" t="n">
        <v>30</v>
      </c>
      <c r="D113" s="19" t="n">
        <v>0.1</v>
      </c>
      <c r="E113" s="28" t="s">
        <v>1465</v>
      </c>
      <c r="F113" s="23" t="n">
        <v>1706878.8496</v>
      </c>
      <c r="G113" s="28" t="s">
        <v>1453</v>
      </c>
      <c r="H113" s="28" t="s">
        <v>1221</v>
      </c>
      <c r="I113" s="28" t="s">
        <v>1454</v>
      </c>
      <c r="J113" s="15" t="n">
        <f aca="false">D113*F113</f>
        <v>170687.88496</v>
      </c>
    </row>
    <row r="114" customFormat="false" ht="15" hidden="false" customHeight="false" outlineLevel="0" collapsed="false">
      <c r="A114" s="28" t="s">
        <v>302</v>
      </c>
      <c r="B114" s="28" t="s">
        <v>1458</v>
      </c>
      <c r="C114" s="23" t="n">
        <v>90</v>
      </c>
      <c r="D114" s="19" t="n">
        <v>0.25</v>
      </c>
      <c r="E114" s="28" t="s">
        <v>1465</v>
      </c>
      <c r="F114" s="23" t="n">
        <v>1706878.8496</v>
      </c>
      <c r="G114" s="28" t="s">
        <v>1453</v>
      </c>
      <c r="H114" s="28" t="s">
        <v>1221</v>
      </c>
      <c r="I114" s="28" t="s">
        <v>1454</v>
      </c>
      <c r="J114" s="15" t="n">
        <f aca="false">D114*F114</f>
        <v>426719.7124</v>
      </c>
    </row>
    <row r="115" customFormat="false" ht="15" hidden="false" customHeight="false" outlineLevel="0" collapsed="false">
      <c r="A115" s="28" t="s">
        <v>302</v>
      </c>
      <c r="B115" s="28" t="s">
        <v>1458</v>
      </c>
      <c r="C115" s="23" t="n">
        <v>180</v>
      </c>
      <c r="D115" s="19" t="n">
        <v>0.35</v>
      </c>
      <c r="E115" s="28" t="s">
        <v>1465</v>
      </c>
      <c r="F115" s="23" t="n">
        <v>1706878.8496</v>
      </c>
      <c r="G115" s="28" t="s">
        <v>1453</v>
      </c>
      <c r="H115" s="28" t="s">
        <v>1221</v>
      </c>
      <c r="I115" s="28" t="s">
        <v>1454</v>
      </c>
      <c r="J115" s="15" t="n">
        <f aca="false">D115*F115</f>
        <v>597407.59736</v>
      </c>
    </row>
    <row r="116" customFormat="false" ht="15" hidden="false" customHeight="false" outlineLevel="0" collapsed="false">
      <c r="A116" s="28" t="s">
        <v>302</v>
      </c>
      <c r="B116" s="28" t="s">
        <v>1458</v>
      </c>
      <c r="C116" s="23" t="n">
        <v>365</v>
      </c>
      <c r="D116" s="19" t="n">
        <v>0.45</v>
      </c>
      <c r="E116" s="28" t="s">
        <v>1465</v>
      </c>
      <c r="F116" s="23" t="n">
        <v>1706878.8496</v>
      </c>
      <c r="G116" s="28" t="s">
        <v>1453</v>
      </c>
      <c r="H116" s="28" t="s">
        <v>1221</v>
      </c>
      <c r="I116" s="28" t="s">
        <v>1454</v>
      </c>
      <c r="J116" s="15" t="n">
        <f aca="false">D116*F116</f>
        <v>768095.48232</v>
      </c>
    </row>
    <row r="117" customFormat="false" ht="15" hidden="false" customHeight="false" outlineLevel="0" collapsed="false">
      <c r="A117" s="28" t="s">
        <v>302</v>
      </c>
      <c r="B117" s="28" t="s">
        <v>1459</v>
      </c>
      <c r="C117" s="23" t="n">
        <v>7</v>
      </c>
      <c r="D117" s="19" t="n">
        <v>0.03</v>
      </c>
      <c r="E117" s="28" t="s">
        <v>1465</v>
      </c>
      <c r="F117" s="23" t="n">
        <v>1240000</v>
      </c>
      <c r="G117" s="28" t="s">
        <v>1453</v>
      </c>
      <c r="H117" s="28" t="s">
        <v>1221</v>
      </c>
      <c r="I117" s="28" t="s">
        <v>1454</v>
      </c>
      <c r="J117" s="15" t="n">
        <f aca="false">D117*F117</f>
        <v>37200</v>
      </c>
    </row>
    <row r="118" customFormat="false" ht="15" hidden="false" customHeight="false" outlineLevel="0" collapsed="false">
      <c r="A118" s="28" t="s">
        <v>302</v>
      </c>
      <c r="B118" s="28" t="s">
        <v>1459</v>
      </c>
      <c r="C118" s="23" t="n">
        <v>30</v>
      </c>
      <c r="D118" s="19" t="n">
        <v>0.08</v>
      </c>
      <c r="E118" s="28" t="s">
        <v>1465</v>
      </c>
      <c r="F118" s="23" t="n">
        <v>1240000</v>
      </c>
      <c r="G118" s="28" t="s">
        <v>1453</v>
      </c>
      <c r="H118" s="28" t="s">
        <v>1221</v>
      </c>
      <c r="I118" s="28" t="s">
        <v>1454</v>
      </c>
      <c r="J118" s="15" t="n">
        <f aca="false">D118*F118</f>
        <v>99200</v>
      </c>
    </row>
    <row r="119" customFormat="false" ht="15" hidden="false" customHeight="false" outlineLevel="0" collapsed="false">
      <c r="A119" s="28" t="s">
        <v>302</v>
      </c>
      <c r="B119" s="28" t="s">
        <v>1459</v>
      </c>
      <c r="C119" s="23" t="n">
        <v>90</v>
      </c>
      <c r="D119" s="19" t="n">
        <v>0.14</v>
      </c>
      <c r="E119" s="28" t="s">
        <v>1465</v>
      </c>
      <c r="F119" s="23" t="n">
        <v>1240000</v>
      </c>
      <c r="G119" s="28" t="s">
        <v>1453</v>
      </c>
      <c r="H119" s="28" t="s">
        <v>1221</v>
      </c>
      <c r="I119" s="28" t="s">
        <v>1454</v>
      </c>
      <c r="J119" s="15" t="n">
        <f aca="false">D119*F119</f>
        <v>173600</v>
      </c>
    </row>
    <row r="120" customFormat="false" ht="15" hidden="false" customHeight="false" outlineLevel="0" collapsed="false">
      <c r="A120" s="28" t="s">
        <v>302</v>
      </c>
      <c r="B120" s="28" t="s">
        <v>1459</v>
      </c>
      <c r="C120" s="23" t="n">
        <v>180</v>
      </c>
      <c r="D120" s="19" t="n">
        <v>0.18</v>
      </c>
      <c r="E120" s="28" t="s">
        <v>1465</v>
      </c>
      <c r="F120" s="23" t="n">
        <v>1240000</v>
      </c>
      <c r="G120" s="28" t="s">
        <v>1453</v>
      </c>
      <c r="H120" s="28" t="s">
        <v>1221</v>
      </c>
      <c r="I120" s="28" t="s">
        <v>1454</v>
      </c>
      <c r="J120" s="15" t="n">
        <f aca="false">D120*F120</f>
        <v>223200</v>
      </c>
    </row>
    <row r="121" customFormat="false" ht="15" hidden="false" customHeight="false" outlineLevel="0" collapsed="false">
      <c r="A121" s="28" t="s">
        <v>302</v>
      </c>
      <c r="B121" s="28" t="s">
        <v>1459</v>
      </c>
      <c r="C121" s="23" t="n">
        <v>365</v>
      </c>
      <c r="D121" s="19" t="n">
        <v>0.22</v>
      </c>
      <c r="E121" s="28" t="s">
        <v>1465</v>
      </c>
      <c r="F121" s="23" t="n">
        <v>1240000</v>
      </c>
      <c r="G121" s="28" t="s">
        <v>1453</v>
      </c>
      <c r="H121" s="28" t="s">
        <v>1221</v>
      </c>
      <c r="I121" s="28" t="s">
        <v>1454</v>
      </c>
      <c r="J121" s="15" t="n">
        <f aca="false">D121*F121</f>
        <v>272800</v>
      </c>
    </row>
    <row r="122" customFormat="false" ht="15" hidden="false" customHeight="false" outlineLevel="0" collapsed="false">
      <c r="A122" s="28" t="s">
        <v>302</v>
      </c>
      <c r="B122" s="28" t="s">
        <v>1460</v>
      </c>
      <c r="C122" s="23" t="n">
        <v>7</v>
      </c>
      <c r="D122" s="19" t="n">
        <v>0.03</v>
      </c>
      <c r="E122" s="28" t="s">
        <v>1465</v>
      </c>
      <c r="F122" s="23" t="n">
        <v>129000</v>
      </c>
      <c r="G122" s="28" t="s">
        <v>1453</v>
      </c>
      <c r="H122" s="28" t="s">
        <v>1221</v>
      </c>
      <c r="I122" s="28" t="s">
        <v>1454</v>
      </c>
      <c r="J122" s="15" t="n">
        <f aca="false">D122*F122</f>
        <v>3870</v>
      </c>
    </row>
    <row r="123" customFormat="false" ht="15" hidden="false" customHeight="false" outlineLevel="0" collapsed="false">
      <c r="A123" s="28" t="s">
        <v>302</v>
      </c>
      <c r="B123" s="28" t="s">
        <v>1460</v>
      </c>
      <c r="C123" s="23" t="n">
        <v>30</v>
      </c>
      <c r="D123" s="19" t="n">
        <v>0.08</v>
      </c>
      <c r="E123" s="28" t="s">
        <v>1465</v>
      </c>
      <c r="F123" s="23" t="n">
        <v>129000</v>
      </c>
      <c r="G123" s="28" t="s">
        <v>1453</v>
      </c>
      <c r="H123" s="28" t="s">
        <v>1221</v>
      </c>
      <c r="I123" s="28" t="s">
        <v>1454</v>
      </c>
      <c r="J123" s="15" t="n">
        <f aca="false">D123*F123</f>
        <v>10320</v>
      </c>
    </row>
    <row r="124" customFormat="false" ht="15" hidden="false" customHeight="false" outlineLevel="0" collapsed="false">
      <c r="A124" s="28" t="s">
        <v>302</v>
      </c>
      <c r="B124" s="28" t="s">
        <v>1460</v>
      </c>
      <c r="C124" s="23" t="n">
        <v>90</v>
      </c>
      <c r="D124" s="19" t="n">
        <v>0.14</v>
      </c>
      <c r="E124" s="28" t="s">
        <v>1465</v>
      </c>
      <c r="F124" s="23" t="n">
        <v>129000</v>
      </c>
      <c r="G124" s="28" t="s">
        <v>1453</v>
      </c>
      <c r="H124" s="28" t="s">
        <v>1221</v>
      </c>
      <c r="I124" s="28" t="s">
        <v>1454</v>
      </c>
      <c r="J124" s="15" t="n">
        <f aca="false">D124*F124</f>
        <v>18060</v>
      </c>
    </row>
    <row r="125" customFormat="false" ht="15" hidden="false" customHeight="false" outlineLevel="0" collapsed="false">
      <c r="A125" s="28" t="s">
        <v>302</v>
      </c>
      <c r="B125" s="28" t="s">
        <v>1460</v>
      </c>
      <c r="C125" s="23" t="n">
        <v>180</v>
      </c>
      <c r="D125" s="19" t="n">
        <v>0.2</v>
      </c>
      <c r="E125" s="28" t="s">
        <v>1465</v>
      </c>
      <c r="F125" s="23" t="n">
        <v>129000</v>
      </c>
      <c r="G125" s="28" t="s">
        <v>1453</v>
      </c>
      <c r="H125" s="28" t="s">
        <v>1221</v>
      </c>
      <c r="I125" s="28" t="s">
        <v>1454</v>
      </c>
      <c r="J125" s="15" t="n">
        <f aca="false">D125*F125</f>
        <v>25800</v>
      </c>
    </row>
    <row r="126" customFormat="false" ht="15" hidden="false" customHeight="false" outlineLevel="0" collapsed="false">
      <c r="A126" s="28" t="s">
        <v>302</v>
      </c>
      <c r="B126" s="28" t="s">
        <v>1460</v>
      </c>
      <c r="C126" s="23" t="n">
        <v>365</v>
      </c>
      <c r="D126" s="19" t="n">
        <v>0.25</v>
      </c>
      <c r="E126" s="28" t="s">
        <v>1465</v>
      </c>
      <c r="F126" s="23" t="n">
        <v>129000</v>
      </c>
      <c r="G126" s="28" t="s">
        <v>1453</v>
      </c>
      <c r="H126" s="28" t="s">
        <v>1221</v>
      </c>
      <c r="I126" s="28" t="s">
        <v>1454</v>
      </c>
      <c r="J126" s="15" t="n">
        <f aca="false">D126*F126</f>
        <v>32250</v>
      </c>
    </row>
    <row r="127" customFormat="false" ht="15" hidden="false" customHeight="false" outlineLevel="0" collapsed="false">
      <c r="A127" s="28" t="s">
        <v>302</v>
      </c>
      <c r="B127" s="28" t="s">
        <v>1461</v>
      </c>
      <c r="C127" s="23" t="n">
        <v>7</v>
      </c>
      <c r="D127" s="19" t="n">
        <v>0.05</v>
      </c>
      <c r="E127" s="28" t="s">
        <v>1465</v>
      </c>
      <c r="F127" s="23" t="n">
        <v>1958274.313</v>
      </c>
      <c r="G127" s="28" t="s">
        <v>1462</v>
      </c>
      <c r="H127" s="28" t="s">
        <v>1221</v>
      </c>
      <c r="I127" s="28" t="s">
        <v>1454</v>
      </c>
      <c r="J127" s="15" t="n">
        <f aca="false">D127*F127</f>
        <v>97913.71565</v>
      </c>
    </row>
    <row r="128" customFormat="false" ht="15" hidden="false" customHeight="false" outlineLevel="0" collapsed="false">
      <c r="A128" s="28" t="s">
        <v>302</v>
      </c>
      <c r="B128" s="28" t="s">
        <v>1461</v>
      </c>
      <c r="C128" s="23" t="n">
        <v>30</v>
      </c>
      <c r="D128" s="19" t="n">
        <v>0.08</v>
      </c>
      <c r="E128" s="28" t="s">
        <v>1465</v>
      </c>
      <c r="F128" s="23" t="n">
        <v>1958274.313</v>
      </c>
      <c r="G128" s="28" t="s">
        <v>1462</v>
      </c>
      <c r="H128" s="28" t="s">
        <v>1221</v>
      </c>
      <c r="I128" s="28" t="s">
        <v>1454</v>
      </c>
      <c r="J128" s="15" t="n">
        <f aca="false">D128*F128</f>
        <v>156661.94504</v>
      </c>
    </row>
    <row r="129" customFormat="false" ht="15" hidden="false" customHeight="false" outlineLevel="0" collapsed="false">
      <c r="A129" s="28" t="s">
        <v>302</v>
      </c>
      <c r="B129" s="28" t="s">
        <v>1461</v>
      </c>
      <c r="C129" s="23" t="n">
        <v>90</v>
      </c>
      <c r="D129" s="19" t="n">
        <v>0.08</v>
      </c>
      <c r="E129" s="28" t="s">
        <v>1465</v>
      </c>
      <c r="F129" s="23" t="n">
        <v>1958274.313</v>
      </c>
      <c r="G129" s="28" t="s">
        <v>1462</v>
      </c>
      <c r="H129" s="28" t="s">
        <v>1221</v>
      </c>
      <c r="I129" s="28" t="s">
        <v>1454</v>
      </c>
      <c r="J129" s="15" t="n">
        <f aca="false">D129*F129</f>
        <v>156661.94504</v>
      </c>
    </row>
    <row r="130" customFormat="false" ht="15" hidden="false" customHeight="false" outlineLevel="0" collapsed="false">
      <c r="A130" s="28" t="s">
        <v>302</v>
      </c>
      <c r="B130" s="28" t="s">
        <v>1461</v>
      </c>
      <c r="C130" s="23" t="n">
        <v>180</v>
      </c>
      <c r="D130" s="19" t="n">
        <v>0.08</v>
      </c>
      <c r="E130" s="28" t="s">
        <v>1465</v>
      </c>
      <c r="F130" s="23" t="n">
        <v>1958274.313</v>
      </c>
      <c r="G130" s="28" t="s">
        <v>1462</v>
      </c>
      <c r="H130" s="28" t="s">
        <v>1221</v>
      </c>
      <c r="I130" s="28" t="s">
        <v>1454</v>
      </c>
      <c r="J130" s="15" t="n">
        <f aca="false">D130*F130</f>
        <v>156661.94504</v>
      </c>
    </row>
    <row r="131" customFormat="false" ht="15" hidden="false" customHeight="false" outlineLevel="0" collapsed="false">
      <c r="A131" s="28" t="s">
        <v>302</v>
      </c>
      <c r="B131" s="28" t="s">
        <v>1461</v>
      </c>
      <c r="C131" s="23" t="n">
        <v>365</v>
      </c>
      <c r="D131" s="19" t="n">
        <v>0.08</v>
      </c>
      <c r="E131" s="28" t="s">
        <v>1465</v>
      </c>
      <c r="F131" s="23" t="n">
        <v>1958274.313</v>
      </c>
      <c r="G131" s="28" t="s">
        <v>1462</v>
      </c>
      <c r="H131" s="28" t="s">
        <v>1221</v>
      </c>
      <c r="I131" s="28" t="s">
        <v>1454</v>
      </c>
      <c r="J131" s="15" t="n">
        <f aca="false">D131*F131</f>
        <v>156661.94504</v>
      </c>
    </row>
    <row r="132" customFormat="false" ht="15" hidden="false" customHeight="false" outlineLevel="0" collapsed="false">
      <c r="A132" s="28" t="s">
        <v>302</v>
      </c>
      <c r="B132" s="28" t="s">
        <v>1463</v>
      </c>
      <c r="C132" s="23" t="n">
        <v>7</v>
      </c>
      <c r="D132" s="19" t="n">
        <v>0.4</v>
      </c>
      <c r="E132" s="28" t="s">
        <v>1465</v>
      </c>
      <c r="F132" s="23" t="n">
        <v>3650000</v>
      </c>
      <c r="G132" s="28" t="s">
        <v>1462</v>
      </c>
      <c r="H132" s="28" t="s">
        <v>1221</v>
      </c>
      <c r="I132" s="28" t="s">
        <v>1454</v>
      </c>
      <c r="J132" s="15" t="n">
        <f aca="false">D132*F132</f>
        <v>1460000</v>
      </c>
    </row>
    <row r="133" customFormat="false" ht="15" hidden="false" customHeight="false" outlineLevel="0" collapsed="false">
      <c r="A133" s="28" t="s">
        <v>302</v>
      </c>
      <c r="B133" s="28" t="s">
        <v>1463</v>
      </c>
      <c r="C133" s="23" t="n">
        <v>30</v>
      </c>
      <c r="D133" s="19" t="n">
        <v>0.4</v>
      </c>
      <c r="E133" s="28" t="s">
        <v>1465</v>
      </c>
      <c r="F133" s="23" t="n">
        <v>3650000</v>
      </c>
      <c r="G133" s="28" t="s">
        <v>1462</v>
      </c>
      <c r="H133" s="28" t="s">
        <v>1221</v>
      </c>
      <c r="I133" s="28" t="s">
        <v>1454</v>
      </c>
      <c r="J133" s="15" t="n">
        <f aca="false">D133*F133</f>
        <v>1460000</v>
      </c>
    </row>
    <row r="134" customFormat="false" ht="15" hidden="false" customHeight="false" outlineLevel="0" collapsed="false">
      <c r="A134" s="28" t="s">
        <v>302</v>
      </c>
      <c r="B134" s="28" t="s">
        <v>1463</v>
      </c>
      <c r="C134" s="23" t="n">
        <v>90</v>
      </c>
      <c r="D134" s="19" t="n">
        <v>0.45</v>
      </c>
      <c r="E134" s="28" t="s">
        <v>1465</v>
      </c>
      <c r="F134" s="23" t="n">
        <v>3650000</v>
      </c>
      <c r="G134" s="28" t="s">
        <v>1462</v>
      </c>
      <c r="H134" s="28" t="s">
        <v>1221</v>
      </c>
      <c r="I134" s="28" t="s">
        <v>1454</v>
      </c>
      <c r="J134" s="15" t="n">
        <f aca="false">D134*F134</f>
        <v>1642500</v>
      </c>
    </row>
    <row r="135" customFormat="false" ht="15" hidden="false" customHeight="false" outlineLevel="0" collapsed="false">
      <c r="A135" s="28" t="s">
        <v>302</v>
      </c>
      <c r="B135" s="28" t="s">
        <v>1463</v>
      </c>
      <c r="C135" s="23" t="n">
        <v>180</v>
      </c>
      <c r="D135" s="19" t="n">
        <v>0.45</v>
      </c>
      <c r="E135" s="28" t="s">
        <v>1465</v>
      </c>
      <c r="F135" s="23" t="n">
        <v>3650000</v>
      </c>
      <c r="G135" s="28" t="s">
        <v>1462</v>
      </c>
      <c r="H135" s="28" t="s">
        <v>1221</v>
      </c>
      <c r="I135" s="28" t="s">
        <v>1454</v>
      </c>
      <c r="J135" s="15" t="n">
        <f aca="false">D135*F135</f>
        <v>1642500</v>
      </c>
    </row>
    <row r="136" customFormat="false" ht="15" hidden="false" customHeight="false" outlineLevel="0" collapsed="false">
      <c r="A136" s="28" t="s">
        <v>302</v>
      </c>
      <c r="B136" s="28" t="s">
        <v>1463</v>
      </c>
      <c r="C136" s="23" t="n">
        <v>365</v>
      </c>
      <c r="D136" s="19" t="n">
        <v>0.45</v>
      </c>
      <c r="E136" s="28" t="s">
        <v>1465</v>
      </c>
      <c r="F136" s="23" t="n">
        <v>3650000</v>
      </c>
      <c r="G136" s="28" t="s">
        <v>1462</v>
      </c>
      <c r="H136" s="28" t="s">
        <v>1221</v>
      </c>
      <c r="I136" s="28" t="s">
        <v>1454</v>
      </c>
      <c r="J136" s="15" t="n">
        <f aca="false">D136*F136</f>
        <v>1642500</v>
      </c>
    </row>
    <row r="137" customFormat="false" ht="15" hidden="false" customHeight="false" outlineLevel="0" collapsed="false">
      <c r="A137" s="28" t="s">
        <v>303</v>
      </c>
      <c r="B137" s="28" t="s">
        <v>1451</v>
      </c>
      <c r="C137" s="23" t="n">
        <v>7</v>
      </c>
      <c r="D137" s="19" t="n">
        <v>0.002</v>
      </c>
      <c r="E137" s="28" t="s">
        <v>1466</v>
      </c>
      <c r="F137" s="23" t="n">
        <v>6016594.56711</v>
      </c>
      <c r="G137" s="28" t="s">
        <v>1453</v>
      </c>
      <c r="H137" s="28" t="s">
        <v>1221</v>
      </c>
      <c r="I137" s="28" t="s">
        <v>1454</v>
      </c>
      <c r="J137" s="15" t="n">
        <f aca="false">D137*F137</f>
        <v>12033.18913422</v>
      </c>
    </row>
    <row r="138" customFormat="false" ht="15" hidden="false" customHeight="false" outlineLevel="0" collapsed="false">
      <c r="A138" s="28" t="s">
        <v>303</v>
      </c>
      <c r="B138" s="28" t="s">
        <v>1451</v>
      </c>
      <c r="C138" s="23" t="n">
        <v>30</v>
      </c>
      <c r="D138" s="19" t="n">
        <v>0.01</v>
      </c>
      <c r="E138" s="28" t="s">
        <v>1466</v>
      </c>
      <c r="F138" s="23" t="n">
        <v>6016594.56711</v>
      </c>
      <c r="G138" s="28" t="s">
        <v>1453</v>
      </c>
      <c r="H138" s="28" t="s">
        <v>1221</v>
      </c>
      <c r="I138" s="28" t="s">
        <v>1454</v>
      </c>
      <c r="J138" s="15" t="n">
        <f aca="false">D138*F138</f>
        <v>60165.9456711</v>
      </c>
    </row>
    <row r="139" customFormat="false" ht="15" hidden="false" customHeight="false" outlineLevel="0" collapsed="false">
      <c r="A139" s="28" t="s">
        <v>303</v>
      </c>
      <c r="B139" s="28" t="s">
        <v>1451</v>
      </c>
      <c r="C139" s="23" t="n">
        <v>90</v>
      </c>
      <c r="D139" s="19" t="n">
        <v>0.03</v>
      </c>
      <c r="E139" s="28" t="s">
        <v>1466</v>
      </c>
      <c r="F139" s="23" t="n">
        <v>6016594.56711</v>
      </c>
      <c r="G139" s="28" t="s">
        <v>1453</v>
      </c>
      <c r="H139" s="28" t="s">
        <v>1221</v>
      </c>
      <c r="I139" s="28" t="s">
        <v>1454</v>
      </c>
      <c r="J139" s="15" t="n">
        <f aca="false">D139*F139</f>
        <v>180497.8370133</v>
      </c>
    </row>
    <row r="140" customFormat="false" ht="15" hidden="false" customHeight="false" outlineLevel="0" collapsed="false">
      <c r="A140" s="28" t="s">
        <v>303</v>
      </c>
      <c r="B140" s="28" t="s">
        <v>1451</v>
      </c>
      <c r="C140" s="23" t="n">
        <v>180</v>
      </c>
      <c r="D140" s="19" t="n">
        <v>0.05</v>
      </c>
      <c r="E140" s="28" t="s">
        <v>1466</v>
      </c>
      <c r="F140" s="23" t="n">
        <v>6016594.56711</v>
      </c>
      <c r="G140" s="28" t="s">
        <v>1453</v>
      </c>
      <c r="H140" s="28" t="s">
        <v>1221</v>
      </c>
      <c r="I140" s="28" t="s">
        <v>1454</v>
      </c>
      <c r="J140" s="15" t="n">
        <f aca="false">D140*F140</f>
        <v>300829.7283555</v>
      </c>
    </row>
    <row r="141" customFormat="false" ht="15" hidden="false" customHeight="false" outlineLevel="0" collapsed="false">
      <c r="A141" s="28" t="s">
        <v>303</v>
      </c>
      <c r="B141" s="28" t="s">
        <v>1451</v>
      </c>
      <c r="C141" s="23" t="n">
        <v>365</v>
      </c>
      <c r="D141" s="19" t="n">
        <v>0.07</v>
      </c>
      <c r="E141" s="28" t="s">
        <v>1466</v>
      </c>
      <c r="F141" s="23" t="n">
        <v>6016594.56711</v>
      </c>
      <c r="G141" s="28" t="s">
        <v>1453</v>
      </c>
      <c r="H141" s="28" t="s">
        <v>1221</v>
      </c>
      <c r="I141" s="28" t="s">
        <v>1454</v>
      </c>
      <c r="J141" s="15" t="n">
        <f aca="false">D141*F141</f>
        <v>421161.6196977</v>
      </c>
    </row>
    <row r="142" customFormat="false" ht="15" hidden="false" customHeight="false" outlineLevel="0" collapsed="false">
      <c r="A142" s="28" t="s">
        <v>303</v>
      </c>
      <c r="B142" s="28" t="s">
        <v>1455</v>
      </c>
      <c r="C142" s="23" t="n">
        <v>7</v>
      </c>
      <c r="D142" s="19" t="n">
        <v>0.01</v>
      </c>
      <c r="E142" s="28" t="s">
        <v>1466</v>
      </c>
      <c r="F142" s="23" t="n">
        <v>763380.27869</v>
      </c>
      <c r="G142" s="28" t="s">
        <v>1453</v>
      </c>
      <c r="H142" s="28" t="s">
        <v>1221</v>
      </c>
      <c r="I142" s="28" t="s">
        <v>1454</v>
      </c>
      <c r="J142" s="15" t="n">
        <f aca="false">D142*F142</f>
        <v>7633.8027869</v>
      </c>
    </row>
    <row r="143" customFormat="false" ht="15" hidden="false" customHeight="false" outlineLevel="0" collapsed="false">
      <c r="A143" s="28" t="s">
        <v>303</v>
      </c>
      <c r="B143" s="28" t="s">
        <v>1455</v>
      </c>
      <c r="C143" s="23" t="n">
        <v>30</v>
      </c>
      <c r="D143" s="19" t="n">
        <v>0.04</v>
      </c>
      <c r="E143" s="28" t="s">
        <v>1466</v>
      </c>
      <c r="F143" s="23" t="n">
        <v>763380.27869</v>
      </c>
      <c r="G143" s="28" t="s">
        <v>1453</v>
      </c>
      <c r="H143" s="28" t="s">
        <v>1221</v>
      </c>
      <c r="I143" s="28" t="s">
        <v>1454</v>
      </c>
      <c r="J143" s="15" t="n">
        <f aca="false">D143*F143</f>
        <v>30535.2111476</v>
      </c>
    </row>
    <row r="144" customFormat="false" ht="15" hidden="false" customHeight="false" outlineLevel="0" collapsed="false">
      <c r="A144" s="28" t="s">
        <v>303</v>
      </c>
      <c r="B144" s="28" t="s">
        <v>1455</v>
      </c>
      <c r="C144" s="23" t="n">
        <v>90</v>
      </c>
      <c r="D144" s="19" t="n">
        <v>0.08</v>
      </c>
      <c r="E144" s="28" t="s">
        <v>1466</v>
      </c>
      <c r="F144" s="23" t="n">
        <v>763380.27869</v>
      </c>
      <c r="G144" s="28" t="s">
        <v>1453</v>
      </c>
      <c r="H144" s="28" t="s">
        <v>1221</v>
      </c>
      <c r="I144" s="28" t="s">
        <v>1454</v>
      </c>
      <c r="J144" s="15" t="n">
        <f aca="false">D144*F144</f>
        <v>61070.4222952</v>
      </c>
    </row>
    <row r="145" customFormat="false" ht="15" hidden="false" customHeight="false" outlineLevel="0" collapsed="false">
      <c r="A145" s="28" t="s">
        <v>303</v>
      </c>
      <c r="B145" s="28" t="s">
        <v>1455</v>
      </c>
      <c r="C145" s="23" t="n">
        <v>180</v>
      </c>
      <c r="D145" s="19" t="n">
        <v>0.12</v>
      </c>
      <c r="E145" s="28" t="s">
        <v>1466</v>
      </c>
      <c r="F145" s="23" t="n">
        <v>763380.27869</v>
      </c>
      <c r="G145" s="28" t="s">
        <v>1453</v>
      </c>
      <c r="H145" s="28" t="s">
        <v>1221</v>
      </c>
      <c r="I145" s="28" t="s">
        <v>1454</v>
      </c>
      <c r="J145" s="15" t="n">
        <f aca="false">D145*F145</f>
        <v>91605.6334428</v>
      </c>
    </row>
    <row r="146" customFormat="false" ht="15" hidden="false" customHeight="false" outlineLevel="0" collapsed="false">
      <c r="A146" s="28" t="s">
        <v>303</v>
      </c>
      <c r="B146" s="28" t="s">
        <v>1455</v>
      </c>
      <c r="C146" s="23" t="n">
        <v>365</v>
      </c>
      <c r="D146" s="19" t="n">
        <v>0.15</v>
      </c>
      <c r="E146" s="28" t="s">
        <v>1466</v>
      </c>
      <c r="F146" s="23" t="n">
        <v>763380.27869</v>
      </c>
      <c r="G146" s="28" t="s">
        <v>1453</v>
      </c>
      <c r="H146" s="28" t="s">
        <v>1221</v>
      </c>
      <c r="I146" s="28" t="s">
        <v>1454</v>
      </c>
      <c r="J146" s="15" t="n">
        <f aca="false">D146*F146</f>
        <v>114507.0418035</v>
      </c>
    </row>
    <row r="147" customFormat="false" ht="15" hidden="false" customHeight="false" outlineLevel="0" collapsed="false">
      <c r="A147" s="28" t="s">
        <v>303</v>
      </c>
      <c r="B147" s="28" t="s">
        <v>1456</v>
      </c>
      <c r="C147" s="23" t="n">
        <v>7</v>
      </c>
      <c r="D147" s="19" t="n">
        <v>0.01</v>
      </c>
      <c r="E147" s="28" t="s">
        <v>1466</v>
      </c>
      <c r="F147" s="23" t="n">
        <v>614577.716</v>
      </c>
      <c r="G147" s="28" t="s">
        <v>1453</v>
      </c>
      <c r="H147" s="28" t="s">
        <v>1221</v>
      </c>
      <c r="I147" s="28" t="s">
        <v>1454</v>
      </c>
      <c r="J147" s="15" t="n">
        <f aca="false">D147*F147</f>
        <v>6145.77716</v>
      </c>
    </row>
    <row r="148" customFormat="false" ht="15" hidden="false" customHeight="false" outlineLevel="0" collapsed="false">
      <c r="A148" s="28" t="s">
        <v>303</v>
      </c>
      <c r="B148" s="28" t="s">
        <v>1456</v>
      </c>
      <c r="C148" s="23" t="n">
        <v>30</v>
      </c>
      <c r="D148" s="19" t="n">
        <v>0.03</v>
      </c>
      <c r="E148" s="28" t="s">
        <v>1466</v>
      </c>
      <c r="F148" s="23" t="n">
        <v>614577.716</v>
      </c>
      <c r="G148" s="28" t="s">
        <v>1453</v>
      </c>
      <c r="H148" s="28" t="s">
        <v>1221</v>
      </c>
      <c r="I148" s="28" t="s">
        <v>1454</v>
      </c>
      <c r="J148" s="15" t="n">
        <f aca="false">D148*F148</f>
        <v>18437.33148</v>
      </c>
    </row>
    <row r="149" customFormat="false" ht="15" hidden="false" customHeight="false" outlineLevel="0" collapsed="false">
      <c r="A149" s="28" t="s">
        <v>303</v>
      </c>
      <c r="B149" s="28" t="s">
        <v>1456</v>
      </c>
      <c r="C149" s="23" t="n">
        <v>90</v>
      </c>
      <c r="D149" s="19" t="n">
        <v>0.07</v>
      </c>
      <c r="E149" s="28" t="s">
        <v>1466</v>
      </c>
      <c r="F149" s="23" t="n">
        <v>614577.716</v>
      </c>
      <c r="G149" s="28" t="s">
        <v>1453</v>
      </c>
      <c r="H149" s="28" t="s">
        <v>1221</v>
      </c>
      <c r="I149" s="28" t="s">
        <v>1454</v>
      </c>
      <c r="J149" s="15" t="n">
        <f aca="false">D149*F149</f>
        <v>43020.44012</v>
      </c>
    </row>
    <row r="150" customFormat="false" ht="15" hidden="false" customHeight="false" outlineLevel="0" collapsed="false">
      <c r="A150" s="28" t="s">
        <v>303</v>
      </c>
      <c r="B150" s="28" t="s">
        <v>1456</v>
      </c>
      <c r="C150" s="23" t="n">
        <v>180</v>
      </c>
      <c r="D150" s="19" t="n">
        <v>0.1</v>
      </c>
      <c r="E150" s="28" t="s">
        <v>1466</v>
      </c>
      <c r="F150" s="23" t="n">
        <v>614577.716</v>
      </c>
      <c r="G150" s="28" t="s">
        <v>1453</v>
      </c>
      <c r="H150" s="28" t="s">
        <v>1221</v>
      </c>
      <c r="I150" s="28" t="s">
        <v>1454</v>
      </c>
      <c r="J150" s="15" t="n">
        <f aca="false">D150*F150</f>
        <v>61457.7716</v>
      </c>
    </row>
    <row r="151" customFormat="false" ht="15" hidden="false" customHeight="false" outlineLevel="0" collapsed="false">
      <c r="A151" s="28" t="s">
        <v>303</v>
      </c>
      <c r="B151" s="28" t="s">
        <v>1456</v>
      </c>
      <c r="C151" s="23" t="n">
        <v>365</v>
      </c>
      <c r="D151" s="19" t="n">
        <v>0.12</v>
      </c>
      <c r="E151" s="28" t="s">
        <v>1466</v>
      </c>
      <c r="F151" s="23" t="n">
        <v>614577.716</v>
      </c>
      <c r="G151" s="28" t="s">
        <v>1453</v>
      </c>
      <c r="H151" s="28" t="s">
        <v>1221</v>
      </c>
      <c r="I151" s="28" t="s">
        <v>1454</v>
      </c>
      <c r="J151" s="15" t="n">
        <f aca="false">D151*F151</f>
        <v>73749.32592</v>
      </c>
    </row>
    <row r="152" customFormat="false" ht="15" hidden="false" customHeight="false" outlineLevel="0" collapsed="false">
      <c r="A152" s="28" t="s">
        <v>303</v>
      </c>
      <c r="B152" s="28" t="s">
        <v>1457</v>
      </c>
      <c r="C152" s="23" t="n">
        <v>7</v>
      </c>
      <c r="D152" s="19" t="n">
        <v>0.01</v>
      </c>
      <c r="E152" s="28" t="s">
        <v>1466</v>
      </c>
      <c r="F152" s="23" t="n">
        <v>1565287.677</v>
      </c>
      <c r="G152" s="28" t="s">
        <v>1453</v>
      </c>
      <c r="H152" s="28" t="s">
        <v>1221</v>
      </c>
      <c r="I152" s="28" t="s">
        <v>1454</v>
      </c>
      <c r="J152" s="15" t="n">
        <f aca="false">D152*F152</f>
        <v>15652.87677</v>
      </c>
    </row>
    <row r="153" customFormat="false" ht="15" hidden="false" customHeight="false" outlineLevel="0" collapsed="false">
      <c r="A153" s="28" t="s">
        <v>303</v>
      </c>
      <c r="B153" s="28" t="s">
        <v>1457</v>
      </c>
      <c r="C153" s="23" t="n">
        <v>30</v>
      </c>
      <c r="D153" s="19" t="n">
        <v>0.04</v>
      </c>
      <c r="E153" s="28" t="s">
        <v>1466</v>
      </c>
      <c r="F153" s="23" t="n">
        <v>1565287.677</v>
      </c>
      <c r="G153" s="28" t="s">
        <v>1453</v>
      </c>
      <c r="H153" s="28" t="s">
        <v>1221</v>
      </c>
      <c r="I153" s="28" t="s">
        <v>1454</v>
      </c>
      <c r="J153" s="15" t="n">
        <f aca="false">D153*F153</f>
        <v>62611.50708</v>
      </c>
    </row>
    <row r="154" customFormat="false" ht="15" hidden="false" customHeight="false" outlineLevel="0" collapsed="false">
      <c r="A154" s="28" t="s">
        <v>303</v>
      </c>
      <c r="B154" s="28" t="s">
        <v>1457</v>
      </c>
      <c r="C154" s="23" t="n">
        <v>90</v>
      </c>
      <c r="D154" s="19" t="n">
        <v>0.09</v>
      </c>
      <c r="E154" s="28" t="s">
        <v>1466</v>
      </c>
      <c r="F154" s="23" t="n">
        <v>1565287.677</v>
      </c>
      <c r="G154" s="28" t="s">
        <v>1453</v>
      </c>
      <c r="H154" s="28" t="s">
        <v>1221</v>
      </c>
      <c r="I154" s="28" t="s">
        <v>1454</v>
      </c>
      <c r="J154" s="15" t="n">
        <f aca="false">D154*F154</f>
        <v>140875.89093</v>
      </c>
    </row>
    <row r="155" customFormat="false" ht="15" hidden="false" customHeight="false" outlineLevel="0" collapsed="false">
      <c r="A155" s="28" t="s">
        <v>303</v>
      </c>
      <c r="B155" s="28" t="s">
        <v>1457</v>
      </c>
      <c r="C155" s="23" t="n">
        <v>180</v>
      </c>
      <c r="D155" s="19" t="n">
        <v>0.13</v>
      </c>
      <c r="E155" s="28" t="s">
        <v>1466</v>
      </c>
      <c r="F155" s="23" t="n">
        <v>1565287.677</v>
      </c>
      <c r="G155" s="28" t="s">
        <v>1453</v>
      </c>
      <c r="H155" s="28" t="s">
        <v>1221</v>
      </c>
      <c r="I155" s="28" t="s">
        <v>1454</v>
      </c>
      <c r="J155" s="15" t="n">
        <f aca="false">D155*F155</f>
        <v>203487.39801</v>
      </c>
    </row>
    <row r="156" customFormat="false" ht="15" hidden="false" customHeight="false" outlineLevel="0" collapsed="false">
      <c r="A156" s="28" t="s">
        <v>303</v>
      </c>
      <c r="B156" s="28" t="s">
        <v>1457</v>
      </c>
      <c r="C156" s="23" t="n">
        <v>365</v>
      </c>
      <c r="D156" s="19" t="n">
        <v>0.17</v>
      </c>
      <c r="E156" s="28" t="s">
        <v>1466</v>
      </c>
      <c r="F156" s="23" t="n">
        <v>1565287.677</v>
      </c>
      <c r="G156" s="28" t="s">
        <v>1453</v>
      </c>
      <c r="H156" s="28" t="s">
        <v>1221</v>
      </c>
      <c r="I156" s="28" t="s">
        <v>1454</v>
      </c>
      <c r="J156" s="15" t="n">
        <f aca="false">D156*F156</f>
        <v>266098.90509</v>
      </c>
    </row>
    <row r="157" customFormat="false" ht="15" hidden="false" customHeight="false" outlineLevel="0" collapsed="false">
      <c r="A157" s="28" t="s">
        <v>303</v>
      </c>
      <c r="B157" s="28" t="s">
        <v>1458</v>
      </c>
      <c r="C157" s="23" t="n">
        <v>7</v>
      </c>
      <c r="D157" s="19" t="n">
        <v>0.01</v>
      </c>
      <c r="E157" s="28" t="s">
        <v>1466</v>
      </c>
      <c r="F157" s="23" t="n">
        <v>1706878.8496</v>
      </c>
      <c r="G157" s="28" t="s">
        <v>1453</v>
      </c>
      <c r="H157" s="28" t="s">
        <v>1221</v>
      </c>
      <c r="I157" s="28" t="s">
        <v>1454</v>
      </c>
      <c r="J157" s="15" t="n">
        <f aca="false">D157*F157</f>
        <v>17068.788496</v>
      </c>
    </row>
    <row r="158" customFormat="false" ht="15" hidden="false" customHeight="false" outlineLevel="0" collapsed="false">
      <c r="A158" s="28" t="s">
        <v>303</v>
      </c>
      <c r="B158" s="28" t="s">
        <v>1458</v>
      </c>
      <c r="C158" s="23" t="n">
        <v>30</v>
      </c>
      <c r="D158" s="19" t="n">
        <v>0.03</v>
      </c>
      <c r="E158" s="28" t="s">
        <v>1466</v>
      </c>
      <c r="F158" s="23" t="n">
        <v>1706878.8496</v>
      </c>
      <c r="G158" s="28" t="s">
        <v>1453</v>
      </c>
      <c r="H158" s="28" t="s">
        <v>1221</v>
      </c>
      <c r="I158" s="28" t="s">
        <v>1454</v>
      </c>
      <c r="J158" s="15" t="n">
        <f aca="false">D158*F158</f>
        <v>51206.365488</v>
      </c>
    </row>
    <row r="159" customFormat="false" ht="15" hidden="false" customHeight="false" outlineLevel="0" collapsed="false">
      <c r="A159" s="28" t="s">
        <v>303</v>
      </c>
      <c r="B159" s="28" t="s">
        <v>1458</v>
      </c>
      <c r="C159" s="23" t="n">
        <v>90</v>
      </c>
      <c r="D159" s="19" t="n">
        <v>0.08</v>
      </c>
      <c r="E159" s="28" t="s">
        <v>1466</v>
      </c>
      <c r="F159" s="23" t="n">
        <v>1706878.8496</v>
      </c>
      <c r="G159" s="28" t="s">
        <v>1453</v>
      </c>
      <c r="H159" s="28" t="s">
        <v>1221</v>
      </c>
      <c r="I159" s="28" t="s">
        <v>1454</v>
      </c>
      <c r="J159" s="15" t="n">
        <f aca="false">D159*F159</f>
        <v>136550.307968</v>
      </c>
    </row>
    <row r="160" customFormat="false" ht="15" hidden="false" customHeight="false" outlineLevel="0" collapsed="false">
      <c r="A160" s="28" t="s">
        <v>303</v>
      </c>
      <c r="B160" s="28" t="s">
        <v>1458</v>
      </c>
      <c r="C160" s="23" t="n">
        <v>180</v>
      </c>
      <c r="D160" s="19" t="n">
        <v>0.12</v>
      </c>
      <c r="E160" s="28" t="s">
        <v>1466</v>
      </c>
      <c r="F160" s="23" t="n">
        <v>1706878.8496</v>
      </c>
      <c r="G160" s="28" t="s">
        <v>1453</v>
      </c>
      <c r="H160" s="28" t="s">
        <v>1221</v>
      </c>
      <c r="I160" s="28" t="s">
        <v>1454</v>
      </c>
      <c r="J160" s="15" t="n">
        <f aca="false">D160*F160</f>
        <v>204825.461952</v>
      </c>
    </row>
    <row r="161" customFormat="false" ht="15" hidden="false" customHeight="false" outlineLevel="0" collapsed="false">
      <c r="A161" s="28" t="s">
        <v>303</v>
      </c>
      <c r="B161" s="28" t="s">
        <v>1458</v>
      </c>
      <c r="C161" s="23" t="n">
        <v>365</v>
      </c>
      <c r="D161" s="19" t="n">
        <v>0.15</v>
      </c>
      <c r="E161" s="28" t="s">
        <v>1466</v>
      </c>
      <c r="F161" s="23" t="n">
        <v>1706878.8496</v>
      </c>
      <c r="G161" s="28" t="s">
        <v>1453</v>
      </c>
      <c r="H161" s="28" t="s">
        <v>1221</v>
      </c>
      <c r="I161" s="28" t="s">
        <v>1454</v>
      </c>
      <c r="J161" s="15" t="n">
        <f aca="false">D161*F161</f>
        <v>256031.82744</v>
      </c>
    </row>
    <row r="162" customFormat="false" ht="15" hidden="false" customHeight="false" outlineLevel="0" collapsed="false">
      <c r="A162" s="28" t="s">
        <v>303</v>
      </c>
      <c r="B162" s="28" t="s">
        <v>1459</v>
      </c>
      <c r="C162" s="23" t="n">
        <v>7</v>
      </c>
      <c r="D162" s="19" t="n">
        <v>0.005</v>
      </c>
      <c r="E162" s="28" t="s">
        <v>1466</v>
      </c>
      <c r="F162" s="23" t="n">
        <v>1240000</v>
      </c>
      <c r="G162" s="28" t="s">
        <v>1453</v>
      </c>
      <c r="H162" s="28" t="s">
        <v>1221</v>
      </c>
      <c r="I162" s="28" t="s">
        <v>1454</v>
      </c>
      <c r="J162" s="15" t="n">
        <f aca="false">D162*F162</f>
        <v>6200</v>
      </c>
    </row>
    <row r="163" customFormat="false" ht="15" hidden="false" customHeight="false" outlineLevel="0" collapsed="false">
      <c r="A163" s="28" t="s">
        <v>303</v>
      </c>
      <c r="B163" s="28" t="s">
        <v>1459</v>
      </c>
      <c r="C163" s="23" t="n">
        <v>30</v>
      </c>
      <c r="D163" s="19" t="n">
        <v>0.02</v>
      </c>
      <c r="E163" s="28" t="s">
        <v>1466</v>
      </c>
      <c r="F163" s="23" t="n">
        <v>1240000</v>
      </c>
      <c r="G163" s="28" t="s">
        <v>1453</v>
      </c>
      <c r="H163" s="28" t="s">
        <v>1221</v>
      </c>
      <c r="I163" s="28" t="s">
        <v>1454</v>
      </c>
      <c r="J163" s="15" t="n">
        <f aca="false">D163*F163</f>
        <v>24800</v>
      </c>
    </row>
    <row r="164" customFormat="false" ht="15" hidden="false" customHeight="false" outlineLevel="0" collapsed="false">
      <c r="A164" s="28" t="s">
        <v>303</v>
      </c>
      <c r="B164" s="28" t="s">
        <v>1459</v>
      </c>
      <c r="C164" s="23" t="n">
        <v>90</v>
      </c>
      <c r="D164" s="19" t="n">
        <v>0.04</v>
      </c>
      <c r="E164" s="28" t="s">
        <v>1466</v>
      </c>
      <c r="F164" s="23" t="n">
        <v>1240000</v>
      </c>
      <c r="G164" s="28" t="s">
        <v>1453</v>
      </c>
      <c r="H164" s="28" t="s">
        <v>1221</v>
      </c>
      <c r="I164" s="28" t="s">
        <v>1454</v>
      </c>
      <c r="J164" s="15" t="n">
        <f aca="false">D164*F164</f>
        <v>49600</v>
      </c>
    </row>
    <row r="165" customFormat="false" ht="15" hidden="false" customHeight="false" outlineLevel="0" collapsed="false">
      <c r="A165" s="28" t="s">
        <v>303</v>
      </c>
      <c r="B165" s="28" t="s">
        <v>1459</v>
      </c>
      <c r="C165" s="23" t="n">
        <v>180</v>
      </c>
      <c r="D165" s="19" t="n">
        <v>0.06</v>
      </c>
      <c r="E165" s="28" t="s">
        <v>1466</v>
      </c>
      <c r="F165" s="23" t="n">
        <v>1240000</v>
      </c>
      <c r="G165" s="28" t="s">
        <v>1453</v>
      </c>
      <c r="H165" s="28" t="s">
        <v>1221</v>
      </c>
      <c r="I165" s="28" t="s">
        <v>1454</v>
      </c>
      <c r="J165" s="15" t="n">
        <f aca="false">D165*F165</f>
        <v>74400</v>
      </c>
    </row>
    <row r="166" customFormat="false" ht="15" hidden="false" customHeight="false" outlineLevel="0" collapsed="false">
      <c r="A166" s="28" t="s">
        <v>303</v>
      </c>
      <c r="B166" s="28" t="s">
        <v>1459</v>
      </c>
      <c r="C166" s="23" t="n">
        <v>365</v>
      </c>
      <c r="D166" s="19" t="n">
        <v>0.08</v>
      </c>
      <c r="E166" s="28" t="s">
        <v>1466</v>
      </c>
      <c r="F166" s="23" t="n">
        <v>1240000</v>
      </c>
      <c r="G166" s="28" t="s">
        <v>1453</v>
      </c>
      <c r="H166" s="28" t="s">
        <v>1221</v>
      </c>
      <c r="I166" s="28" t="s">
        <v>1454</v>
      </c>
      <c r="J166" s="15" t="n">
        <f aca="false">D166*F166</f>
        <v>99200</v>
      </c>
    </row>
    <row r="167" customFormat="false" ht="15" hidden="false" customHeight="false" outlineLevel="0" collapsed="false">
      <c r="A167" s="28" t="s">
        <v>303</v>
      </c>
      <c r="B167" s="28" t="s">
        <v>1460</v>
      </c>
      <c r="C167" s="23" t="n">
        <v>7</v>
      </c>
      <c r="D167" s="19" t="n">
        <v>0.01</v>
      </c>
      <c r="E167" s="28" t="s">
        <v>1466</v>
      </c>
      <c r="F167" s="23" t="n">
        <v>129000</v>
      </c>
      <c r="G167" s="28" t="s">
        <v>1453</v>
      </c>
      <c r="H167" s="28" t="s">
        <v>1221</v>
      </c>
      <c r="I167" s="28" t="s">
        <v>1454</v>
      </c>
      <c r="J167" s="15" t="n">
        <f aca="false">D167*F167</f>
        <v>1290</v>
      </c>
    </row>
    <row r="168" customFormat="false" ht="15" hidden="false" customHeight="false" outlineLevel="0" collapsed="false">
      <c r="A168" s="28" t="s">
        <v>303</v>
      </c>
      <c r="B168" s="28" t="s">
        <v>1460</v>
      </c>
      <c r="C168" s="23" t="n">
        <v>30</v>
      </c>
      <c r="D168" s="19" t="n">
        <v>0.02</v>
      </c>
      <c r="E168" s="28" t="s">
        <v>1466</v>
      </c>
      <c r="F168" s="23" t="n">
        <v>129000</v>
      </c>
      <c r="G168" s="28" t="s">
        <v>1453</v>
      </c>
      <c r="H168" s="28" t="s">
        <v>1221</v>
      </c>
      <c r="I168" s="28" t="s">
        <v>1454</v>
      </c>
      <c r="J168" s="15" t="n">
        <f aca="false">D168*F168</f>
        <v>2580</v>
      </c>
    </row>
    <row r="169" customFormat="false" ht="15" hidden="false" customHeight="false" outlineLevel="0" collapsed="false">
      <c r="A169" s="28" t="s">
        <v>303</v>
      </c>
      <c r="B169" s="28" t="s">
        <v>1460</v>
      </c>
      <c r="C169" s="23" t="n">
        <v>90</v>
      </c>
      <c r="D169" s="19" t="n">
        <v>0.04</v>
      </c>
      <c r="E169" s="28" t="s">
        <v>1466</v>
      </c>
      <c r="F169" s="23" t="n">
        <v>129000</v>
      </c>
      <c r="G169" s="28" t="s">
        <v>1453</v>
      </c>
      <c r="H169" s="28" t="s">
        <v>1221</v>
      </c>
      <c r="I169" s="28" t="s">
        <v>1454</v>
      </c>
      <c r="J169" s="15" t="n">
        <f aca="false">D169*F169</f>
        <v>5160</v>
      </c>
    </row>
    <row r="170" customFormat="false" ht="15" hidden="false" customHeight="false" outlineLevel="0" collapsed="false">
      <c r="A170" s="28" t="s">
        <v>303</v>
      </c>
      <c r="B170" s="28" t="s">
        <v>1460</v>
      </c>
      <c r="C170" s="23" t="n">
        <v>180</v>
      </c>
      <c r="D170" s="19" t="n">
        <v>0.06</v>
      </c>
      <c r="E170" s="28" t="s">
        <v>1466</v>
      </c>
      <c r="F170" s="23" t="n">
        <v>129000</v>
      </c>
      <c r="G170" s="28" t="s">
        <v>1453</v>
      </c>
      <c r="H170" s="28" t="s">
        <v>1221</v>
      </c>
      <c r="I170" s="28" t="s">
        <v>1454</v>
      </c>
      <c r="J170" s="15" t="n">
        <f aca="false">D170*F170</f>
        <v>7740</v>
      </c>
    </row>
    <row r="171" customFormat="false" ht="15" hidden="false" customHeight="false" outlineLevel="0" collapsed="false">
      <c r="A171" s="28" t="s">
        <v>303</v>
      </c>
      <c r="B171" s="28" t="s">
        <v>1460</v>
      </c>
      <c r="C171" s="23" t="n">
        <v>365</v>
      </c>
      <c r="D171" s="19" t="n">
        <v>0.08</v>
      </c>
      <c r="E171" s="28" t="s">
        <v>1466</v>
      </c>
      <c r="F171" s="23" t="n">
        <v>129000</v>
      </c>
      <c r="G171" s="28" t="s">
        <v>1453</v>
      </c>
      <c r="H171" s="28" t="s">
        <v>1221</v>
      </c>
      <c r="I171" s="28" t="s">
        <v>1454</v>
      </c>
      <c r="J171" s="15" t="n">
        <f aca="false">D171*F171</f>
        <v>10320</v>
      </c>
    </row>
    <row r="172" customFormat="false" ht="15" hidden="false" customHeight="false" outlineLevel="0" collapsed="false">
      <c r="A172" s="28" t="s">
        <v>303</v>
      </c>
      <c r="B172" s="28" t="s">
        <v>1461</v>
      </c>
      <c r="C172" s="23" t="n">
        <v>7</v>
      </c>
      <c r="D172" s="19" t="n">
        <v>0.12</v>
      </c>
      <c r="E172" s="28" t="s">
        <v>1466</v>
      </c>
      <c r="F172" s="23" t="n">
        <v>1958274.313</v>
      </c>
      <c r="G172" s="28" t="s">
        <v>1462</v>
      </c>
      <c r="H172" s="28" t="s">
        <v>1221</v>
      </c>
      <c r="I172" s="28" t="s">
        <v>1454</v>
      </c>
      <c r="J172" s="15" t="n">
        <f aca="false">D172*F172</f>
        <v>234992.91756</v>
      </c>
    </row>
    <row r="173" customFormat="false" ht="15" hidden="false" customHeight="false" outlineLevel="0" collapsed="false">
      <c r="A173" s="28" t="s">
        <v>303</v>
      </c>
      <c r="B173" s="28" t="s">
        <v>1461</v>
      </c>
      <c r="C173" s="23" t="n">
        <v>30</v>
      </c>
      <c r="D173" s="19" t="n">
        <v>0.12</v>
      </c>
      <c r="E173" s="28" t="s">
        <v>1466</v>
      </c>
      <c r="F173" s="23" t="n">
        <v>1958274.313</v>
      </c>
      <c r="G173" s="28" t="s">
        <v>1462</v>
      </c>
      <c r="H173" s="28" t="s">
        <v>1221</v>
      </c>
      <c r="I173" s="28" t="s">
        <v>1454</v>
      </c>
      <c r="J173" s="15" t="n">
        <f aca="false">D173*F173</f>
        <v>234992.91756</v>
      </c>
    </row>
    <row r="174" customFormat="false" ht="15" hidden="false" customHeight="false" outlineLevel="0" collapsed="false">
      <c r="A174" s="28" t="s">
        <v>303</v>
      </c>
      <c r="B174" s="28" t="s">
        <v>1461</v>
      </c>
      <c r="C174" s="23" t="n">
        <v>90</v>
      </c>
      <c r="D174" s="19" t="n">
        <v>0.12</v>
      </c>
      <c r="E174" s="28" t="s">
        <v>1466</v>
      </c>
      <c r="F174" s="23" t="n">
        <v>1958274.313</v>
      </c>
      <c r="G174" s="28" t="s">
        <v>1462</v>
      </c>
      <c r="H174" s="28" t="s">
        <v>1221</v>
      </c>
      <c r="I174" s="28" t="s">
        <v>1454</v>
      </c>
      <c r="J174" s="15" t="n">
        <f aca="false">D174*F174</f>
        <v>234992.91756</v>
      </c>
    </row>
    <row r="175" customFormat="false" ht="15" hidden="false" customHeight="false" outlineLevel="0" collapsed="false">
      <c r="A175" s="28" t="s">
        <v>303</v>
      </c>
      <c r="B175" s="28" t="s">
        <v>1461</v>
      </c>
      <c r="C175" s="23" t="n">
        <v>180</v>
      </c>
      <c r="D175" s="19" t="n">
        <v>0.12</v>
      </c>
      <c r="E175" s="28" t="s">
        <v>1466</v>
      </c>
      <c r="F175" s="23" t="n">
        <v>1958274.313</v>
      </c>
      <c r="G175" s="28" t="s">
        <v>1462</v>
      </c>
      <c r="H175" s="28" t="s">
        <v>1221</v>
      </c>
      <c r="I175" s="28" t="s">
        <v>1454</v>
      </c>
      <c r="J175" s="15" t="n">
        <f aca="false">D175*F175</f>
        <v>234992.91756</v>
      </c>
    </row>
    <row r="176" customFormat="false" ht="15" hidden="false" customHeight="false" outlineLevel="0" collapsed="false">
      <c r="A176" s="28" t="s">
        <v>303</v>
      </c>
      <c r="B176" s="28" t="s">
        <v>1461</v>
      </c>
      <c r="C176" s="23" t="n">
        <v>365</v>
      </c>
      <c r="D176" s="19" t="n">
        <v>0.12</v>
      </c>
      <c r="E176" s="28" t="s">
        <v>1466</v>
      </c>
      <c r="F176" s="23" t="n">
        <v>1958274.313</v>
      </c>
      <c r="G176" s="28" t="s">
        <v>1462</v>
      </c>
      <c r="H176" s="28" t="s">
        <v>1221</v>
      </c>
      <c r="I176" s="28" t="s">
        <v>1454</v>
      </c>
      <c r="J176" s="15" t="n">
        <f aca="false">D176*F176</f>
        <v>234992.91756</v>
      </c>
    </row>
    <row r="177" customFormat="false" ht="15" hidden="false" customHeight="false" outlineLevel="0" collapsed="false">
      <c r="A177" s="28" t="s">
        <v>303</v>
      </c>
      <c r="B177" s="28" t="s">
        <v>1463</v>
      </c>
      <c r="C177" s="23" t="n">
        <v>7</v>
      </c>
      <c r="D177" s="19" t="n">
        <v>0.1</v>
      </c>
      <c r="E177" s="28" t="s">
        <v>1466</v>
      </c>
      <c r="F177" s="23" t="n">
        <v>3650000</v>
      </c>
      <c r="G177" s="28" t="s">
        <v>1462</v>
      </c>
      <c r="H177" s="28" t="s">
        <v>1221</v>
      </c>
      <c r="I177" s="28" t="s">
        <v>1454</v>
      </c>
      <c r="J177" s="15" t="n">
        <f aca="false">D177*F177</f>
        <v>365000</v>
      </c>
    </row>
    <row r="178" customFormat="false" ht="15" hidden="false" customHeight="false" outlineLevel="0" collapsed="false">
      <c r="A178" s="28" t="s">
        <v>303</v>
      </c>
      <c r="B178" s="28" t="s">
        <v>1463</v>
      </c>
      <c r="C178" s="23" t="n">
        <v>30</v>
      </c>
      <c r="D178" s="19" t="n">
        <v>0.1</v>
      </c>
      <c r="E178" s="28" t="s">
        <v>1466</v>
      </c>
      <c r="F178" s="23" t="n">
        <v>3650000</v>
      </c>
      <c r="G178" s="28" t="s">
        <v>1462</v>
      </c>
      <c r="H178" s="28" t="s">
        <v>1221</v>
      </c>
      <c r="I178" s="28" t="s">
        <v>1454</v>
      </c>
      <c r="J178" s="15" t="n">
        <f aca="false">D178*F178</f>
        <v>365000</v>
      </c>
    </row>
    <row r="179" customFormat="false" ht="15" hidden="false" customHeight="false" outlineLevel="0" collapsed="false">
      <c r="A179" s="28" t="s">
        <v>303</v>
      </c>
      <c r="B179" s="28" t="s">
        <v>1463</v>
      </c>
      <c r="C179" s="23" t="n">
        <v>90</v>
      </c>
      <c r="D179" s="19" t="n">
        <v>0.1</v>
      </c>
      <c r="E179" s="28" t="s">
        <v>1466</v>
      </c>
      <c r="F179" s="23" t="n">
        <v>3650000</v>
      </c>
      <c r="G179" s="28" t="s">
        <v>1462</v>
      </c>
      <c r="H179" s="28" t="s">
        <v>1221</v>
      </c>
      <c r="I179" s="28" t="s">
        <v>1454</v>
      </c>
      <c r="J179" s="15" t="n">
        <f aca="false">D179*F179</f>
        <v>365000</v>
      </c>
    </row>
    <row r="180" customFormat="false" ht="15" hidden="false" customHeight="false" outlineLevel="0" collapsed="false">
      <c r="A180" s="28" t="s">
        <v>303</v>
      </c>
      <c r="B180" s="28" t="s">
        <v>1463</v>
      </c>
      <c r="C180" s="23" t="n">
        <v>180</v>
      </c>
      <c r="D180" s="19" t="n">
        <v>0.1</v>
      </c>
      <c r="E180" s="28" t="s">
        <v>1466</v>
      </c>
      <c r="F180" s="23" t="n">
        <v>3650000</v>
      </c>
      <c r="G180" s="28" t="s">
        <v>1462</v>
      </c>
      <c r="H180" s="28" t="s">
        <v>1221</v>
      </c>
      <c r="I180" s="28" t="s">
        <v>1454</v>
      </c>
      <c r="J180" s="15" t="n">
        <f aca="false">D180*F180</f>
        <v>365000</v>
      </c>
    </row>
    <row r="181" customFormat="false" ht="15" hidden="false" customHeight="false" outlineLevel="0" collapsed="false">
      <c r="A181" s="28" t="s">
        <v>303</v>
      </c>
      <c r="B181" s="28" t="s">
        <v>1463</v>
      </c>
      <c r="C181" s="23" t="n">
        <v>365</v>
      </c>
      <c r="D181" s="19" t="n">
        <v>0.1</v>
      </c>
      <c r="E181" s="28" t="s">
        <v>1466</v>
      </c>
      <c r="F181" s="23" t="n">
        <v>3650000</v>
      </c>
      <c r="G181" s="28" t="s">
        <v>1462</v>
      </c>
      <c r="H181" s="28" t="s">
        <v>1221</v>
      </c>
      <c r="I181" s="28" t="s">
        <v>1454</v>
      </c>
      <c r="J181" s="15" t="n">
        <f aca="false">D181*F181</f>
        <v>365000</v>
      </c>
    </row>
  </sheetData>
  <autoFilter ref="A1:J1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9"/>
    <col collapsed="false" customWidth="true" hidden="false" outlineLevel="0" max="4" min="4" style="0" width="21"/>
    <col collapsed="false" customWidth="true" hidden="false" outlineLevel="0" max="5" min="5" style="0" width="15"/>
    <col collapsed="false" customWidth="true" hidden="false" outlineLevel="0" max="8" min="6" style="0" width="21"/>
    <col collapsed="false" customWidth="true" hidden="false" outlineLevel="0" max="9" min="9" style="0" width="20"/>
    <col collapsed="false" customWidth="true" hidden="false" outlineLevel="0" max="10" min="10" style="0" width="14"/>
    <col collapsed="false" customWidth="true" hidden="false" outlineLevel="0" max="11" min="11" style="0" width="17"/>
    <col collapsed="false" customWidth="true" hidden="false" outlineLevel="0" max="12" min="12" style="0" width="20"/>
    <col collapsed="false" customWidth="true" hidden="false" outlineLevel="0" max="13" min="13" style="0" width="22"/>
    <col collapsed="false" customWidth="true" hidden="false" outlineLevel="0" max="14" min="14" style="0" width="12"/>
    <col collapsed="false" customWidth="true" hidden="false" outlineLevel="0" max="15" min="15" style="0" width="90"/>
    <col collapsed="false" customWidth="true" hidden="false" outlineLevel="0" max="16" min="16" style="0" width="17"/>
    <col collapsed="false" customWidth="true" hidden="false" outlineLevel="0" max="17" min="17" style="0" width="15"/>
    <col collapsed="false" customWidth="true" hidden="false" outlineLevel="0" max="18" min="18" style="0" width="16"/>
    <col collapsed="false" customWidth="true" hidden="false" outlineLevel="0" max="19" min="19" style="0" width="14"/>
    <col collapsed="false" customWidth="true" hidden="false" outlineLevel="0" max="20" min="20" style="0" width="20"/>
    <col collapsed="false" customWidth="true" hidden="false" outlineLevel="0" max="21" min="21" style="0" width="17"/>
  </cols>
  <sheetData>
    <row r="1" customFormat="false" ht="30" hidden="false" customHeight="true" outlineLevel="0" collapsed="false">
      <c r="A1" s="27" t="s">
        <v>430</v>
      </c>
      <c r="B1" s="27" t="s">
        <v>1467</v>
      </c>
      <c r="C1" s="27" t="s">
        <v>240</v>
      </c>
      <c r="D1" s="27" t="s">
        <v>245</v>
      </c>
      <c r="E1" s="27" t="s">
        <v>400</v>
      </c>
      <c r="F1" s="27" t="s">
        <v>1468</v>
      </c>
      <c r="G1" s="27" t="s">
        <v>1469</v>
      </c>
      <c r="H1" s="27" t="s">
        <v>1470</v>
      </c>
      <c r="I1" s="27" t="s">
        <v>1471</v>
      </c>
      <c r="J1" s="27" t="s">
        <v>1472</v>
      </c>
      <c r="K1" s="27" t="s">
        <v>1473</v>
      </c>
      <c r="L1" s="27" t="s">
        <v>1474</v>
      </c>
      <c r="M1" s="27" t="s">
        <v>1475</v>
      </c>
      <c r="N1" s="27" t="s">
        <v>442</v>
      </c>
      <c r="O1" s="27" t="s">
        <v>443</v>
      </c>
      <c r="P1" s="27" t="s">
        <v>247</v>
      </c>
      <c r="Q1" s="27" t="s">
        <v>1476</v>
      </c>
      <c r="R1" s="27" t="s">
        <v>1477</v>
      </c>
      <c r="S1" s="27" t="s">
        <v>249</v>
      </c>
      <c r="T1" s="27" t="s">
        <v>1478</v>
      </c>
      <c r="U1" s="27" t="s">
        <v>269</v>
      </c>
    </row>
    <row r="2" customFormat="false" ht="15" hidden="false" customHeight="false" outlineLevel="0" collapsed="false">
      <c r="A2" s="28" t="s">
        <v>315</v>
      </c>
      <c r="B2" s="23" t="n">
        <v>720511.46</v>
      </c>
      <c r="C2" s="23" t="n">
        <v>6637949.766</v>
      </c>
      <c r="D2" s="19" t="n">
        <v>0.115337427319526</v>
      </c>
      <c r="E2" s="28" t="s">
        <v>193</v>
      </c>
      <c r="G2" s="23" t="n">
        <v>39342.022</v>
      </c>
      <c r="I2" s="23" t="n">
        <v>177765.378675</v>
      </c>
      <c r="J2" s="8" t="n">
        <f aca="false">meta!$B$17*MIN(B2,meta!$B$16*C2)</f>
        <v>813148.846335</v>
      </c>
      <c r="K2" s="19" t="n">
        <v>0.11</v>
      </c>
      <c r="L2" s="23" t="n">
        <v>611600.619666281</v>
      </c>
      <c r="M2" s="23" t="n">
        <v>0</v>
      </c>
      <c r="N2" s="28" t="s">
        <v>452</v>
      </c>
      <c r="O2" s="28" t="s">
        <v>1479</v>
      </c>
      <c r="P2" s="14" t="n">
        <f aca="false">B2/C2</f>
        <v>0.108544277284306</v>
      </c>
      <c r="Q2" s="9" t="n">
        <f aca="false">D2-meta!$B$15</f>
        <v>0.0253374273195264</v>
      </c>
      <c r="R2" s="14" t="n">
        <f aca="false">D2-K2</f>
        <v>0.0053374273195264</v>
      </c>
      <c r="S2" s="14" t="n">
        <f aca="false">-G2/B2</f>
        <v>-0.0546029094388034</v>
      </c>
      <c r="T2" s="15" t="str">
        <f aca="false">IF(H2="","",B2+G2+H2)</f>
        <v/>
      </c>
      <c r="U2" s="14" t="n">
        <f aca="false">I2/J2</f>
        <v>0.218613577915309</v>
      </c>
    </row>
    <row r="3" customFormat="false" ht="15" hidden="false" customHeight="false" outlineLevel="0" collapsed="false">
      <c r="A3" s="28" t="s">
        <v>1480</v>
      </c>
      <c r="B3" s="23" t="n">
        <v>723118.694584923</v>
      </c>
      <c r="C3" s="23" t="n">
        <v>7150000</v>
      </c>
      <c r="D3" s="19" t="n">
        <v>0.109406168176456</v>
      </c>
      <c r="E3" s="28" t="s">
        <v>193</v>
      </c>
      <c r="G3" s="23" t="n">
        <v>-8013.62108865</v>
      </c>
      <c r="I3" s="23" t="n">
        <v>188089.726027397</v>
      </c>
      <c r="J3" s="8" t="n">
        <f aca="false">meta!$B$17*MIN(B3,meta!$B$16*C3)</f>
        <v>875875</v>
      </c>
      <c r="K3" s="19" t="n">
        <v>0.11</v>
      </c>
      <c r="L3" s="23" t="n">
        <v>616708.449599802</v>
      </c>
      <c r="M3" s="23" t="n">
        <v>0</v>
      </c>
      <c r="N3" s="28" t="s">
        <v>493</v>
      </c>
      <c r="O3" s="28" t="s">
        <v>1479</v>
      </c>
      <c r="P3" s="14" t="n">
        <f aca="false">B3/C3</f>
        <v>0.101135481760129</v>
      </c>
      <c r="Q3" s="9" t="n">
        <f aca="false">D3-meta!$B$15</f>
        <v>0.019406168176456</v>
      </c>
      <c r="R3" s="14" t="n">
        <f aca="false">D3-K3</f>
        <v>-0.000593831823544</v>
      </c>
      <c r="S3" s="14" t="n">
        <f aca="false">-G3/B3</f>
        <v>0.0110820272642099</v>
      </c>
      <c r="T3" s="15" t="str">
        <f aca="false">IF(H3="","",B3+G3+H3)</f>
        <v/>
      </c>
      <c r="U3" s="14" t="n">
        <f aca="false">I3/J3</f>
        <v>0.214744941946508</v>
      </c>
    </row>
    <row r="4" customFormat="false" ht="15" hidden="false" customHeight="false" outlineLevel="0" collapsed="false">
      <c r="A4" s="28" t="s">
        <v>1481</v>
      </c>
      <c r="B4" s="23" t="n">
        <v>762737.821084042</v>
      </c>
      <c r="C4" s="23" t="n">
        <v>7500000</v>
      </c>
      <c r="D4" s="19" t="n">
        <v>0.109991953625783</v>
      </c>
      <c r="E4" s="28" t="s">
        <v>193</v>
      </c>
      <c r="G4" s="23" t="n">
        <v>-3396.9499114</v>
      </c>
      <c r="I4" s="23" t="n">
        <v>204447.123287671</v>
      </c>
      <c r="J4" s="8" t="n">
        <f aca="false">meta!$B$17*MIN(B4,meta!$B$16*C4)</f>
        <v>918750</v>
      </c>
      <c r="K4" s="19" t="n">
        <v>0.11</v>
      </c>
      <c r="L4" s="23" t="n">
        <v>639931.78033787</v>
      </c>
      <c r="M4" s="23" t="n">
        <v>0</v>
      </c>
      <c r="N4" s="28" t="s">
        <v>493</v>
      </c>
      <c r="O4" s="28" t="s">
        <v>1479</v>
      </c>
      <c r="P4" s="14" t="n">
        <f aca="false">B4/C4</f>
        <v>0.101698376144539</v>
      </c>
      <c r="Q4" s="9" t="n">
        <f aca="false">D4-meta!$B$15</f>
        <v>0.0199919536257829</v>
      </c>
      <c r="R4" s="14" t="n">
        <f aca="false">D4-K4</f>
        <v>-8.04637421709942E-006</v>
      </c>
      <c r="S4" s="14" t="n">
        <f aca="false">-G4/B4</f>
        <v>0.00445362720649158</v>
      </c>
      <c r="T4" s="15" t="str">
        <f aca="false">IF(H4="","",B4+G4+H4)</f>
        <v/>
      </c>
      <c r="U4" s="14" t="n">
        <f aca="false">I4/J4</f>
        <v>0.222527481129438</v>
      </c>
    </row>
    <row r="5" customFormat="false" ht="15" hidden="false" customHeight="false" outlineLevel="0" collapsed="false">
      <c r="A5" s="28" t="s">
        <v>1482</v>
      </c>
      <c r="B5" s="23" t="n">
        <v>784157.691963632</v>
      </c>
      <c r="C5" s="23" t="n">
        <v>7800000</v>
      </c>
      <c r="D5" s="19" t="n">
        <v>0.107832652114961</v>
      </c>
      <c r="E5" s="28" t="s">
        <v>193</v>
      </c>
      <c r="G5" s="23" t="n">
        <v>-12412.36116455</v>
      </c>
      <c r="I5" s="23" t="n">
        <v>222445.479452055</v>
      </c>
      <c r="J5" s="8" t="n">
        <f aca="false">meta!$B$17*MIN(B5,meta!$B$16*C5)</f>
        <v>955500</v>
      </c>
      <c r="K5" s="19" t="n">
        <v>0.11</v>
      </c>
      <c r="L5" s="23" t="n">
        <v>665735.481157945</v>
      </c>
      <c r="M5" s="23" t="n">
        <v>0</v>
      </c>
      <c r="N5" s="28" t="s">
        <v>493</v>
      </c>
      <c r="O5" s="28" t="s">
        <v>1479</v>
      </c>
      <c r="P5" s="14" t="n">
        <f aca="false">B5/C5</f>
        <v>0.100533037431235</v>
      </c>
      <c r="Q5" s="9" t="n">
        <f aca="false">D5-meta!$B$15</f>
        <v>0.0178326521149606</v>
      </c>
      <c r="R5" s="14" t="n">
        <f aca="false">D5-K5</f>
        <v>-0.0021673478850394</v>
      </c>
      <c r="S5" s="14" t="n">
        <f aca="false">-G5/B5</f>
        <v>0.0158289095315355</v>
      </c>
      <c r="T5" s="15" t="str">
        <f aca="false">IF(H5="","",B5+G5+H5)</f>
        <v/>
      </c>
      <c r="U5" s="14" t="n">
        <f aca="false">I5/J5</f>
        <v>0.232805316014709</v>
      </c>
    </row>
    <row r="6" customFormat="false" ht="15" hidden="false" customHeight="false" outlineLevel="0" collapsed="false">
      <c r="A6" s="28" t="s">
        <v>316</v>
      </c>
      <c r="B6" s="23" t="n">
        <v>807953.282</v>
      </c>
      <c r="C6" s="23" t="n">
        <v>8206373.35</v>
      </c>
      <c r="D6" s="19" t="n">
        <v>0.105420595290343</v>
      </c>
      <c r="E6" s="28" t="s">
        <v>193</v>
      </c>
      <c r="G6" s="23" t="n">
        <v>-35911.86</v>
      </c>
      <c r="I6" s="23" t="n">
        <v>245965.34547</v>
      </c>
      <c r="J6" s="8" t="n">
        <f aca="false">meta!$B$17*MIN(B6,meta!$B$16*C6)</f>
        <v>1005280.735375</v>
      </c>
      <c r="K6" s="19" t="n">
        <v>0.11</v>
      </c>
      <c r="L6" s="23" t="n">
        <v>705201.798512708</v>
      </c>
      <c r="M6" s="23" t="n">
        <v>0</v>
      </c>
      <c r="N6" s="28" t="s">
        <v>452</v>
      </c>
      <c r="O6" s="28" t="s">
        <v>1479</v>
      </c>
      <c r="P6" s="14" t="n">
        <f aca="false">B6/C6</f>
        <v>0.0984543655937857</v>
      </c>
      <c r="Q6" s="9" t="n">
        <f aca="false">D6-meta!$B$15</f>
        <v>0.0154205952903428</v>
      </c>
      <c r="R6" s="14" t="n">
        <f aca="false">D6-K6</f>
        <v>-0.0045794047096572</v>
      </c>
      <c r="S6" s="14" t="n">
        <f aca="false">-G6/B6</f>
        <v>0.0444479412362855</v>
      </c>
      <c r="T6" s="15" t="str">
        <f aca="false">IF(H6="","",B6+G6+H6)</f>
        <v/>
      </c>
      <c r="U6" s="14" t="n">
        <f aca="false">I6/J6</f>
        <v>0.244673290569174</v>
      </c>
    </row>
    <row r="7" customFormat="false" ht="15" hidden="false" customHeight="false" outlineLevel="0" collapsed="false">
      <c r="A7" s="28" t="s">
        <v>1483</v>
      </c>
      <c r="B7" s="23" t="n">
        <v>818344.969876705</v>
      </c>
      <c r="C7" s="23" t="n">
        <v>8420000</v>
      </c>
      <c r="D7" s="19" t="n">
        <v>0.102529023375805</v>
      </c>
      <c r="E7" s="28" t="s">
        <v>175</v>
      </c>
      <c r="G7" s="23" t="n">
        <v>-193278.649876363</v>
      </c>
      <c r="I7" s="23" t="n">
        <v>280047.94520548</v>
      </c>
      <c r="J7" s="8" t="n">
        <f aca="false">meta!$B$17*MIN(B7,meta!$B$16*C7)</f>
        <v>1031450</v>
      </c>
      <c r="K7" s="19" t="n">
        <v>0.11</v>
      </c>
      <c r="L7" s="23" t="n">
        <v>761209.174192224</v>
      </c>
      <c r="M7" s="23" t="n">
        <v>0</v>
      </c>
      <c r="N7" s="28" t="s">
        <v>493</v>
      </c>
      <c r="O7" s="28" t="s">
        <v>1479</v>
      </c>
      <c r="P7" s="14" t="n">
        <f aca="false">B7/C7</f>
        <v>0.0971906139996086</v>
      </c>
      <c r="Q7" s="9" t="n">
        <f aca="false">D7-meta!$B$15</f>
        <v>0.0125290233758047</v>
      </c>
      <c r="R7" s="14" t="n">
        <f aca="false">D7-K7</f>
        <v>-0.0074709766241953</v>
      </c>
      <c r="S7" s="14" t="n">
        <f aca="false">-G7/B7</f>
        <v>0.236182364395156</v>
      </c>
      <c r="T7" s="15" t="str">
        <f aca="false">IF(H7="","",B7+G7+H7)</f>
        <v/>
      </c>
      <c r="U7" s="14" t="n">
        <f aca="false">I7/J7</f>
        <v>0.271508987547123</v>
      </c>
    </row>
    <row r="8" customFormat="false" ht="15" hidden="false" customHeight="false" outlineLevel="0" collapsed="false">
      <c r="A8" s="28" t="s">
        <v>1484</v>
      </c>
      <c r="B8" s="23" t="n">
        <v>845036.289537328</v>
      </c>
      <c r="C8" s="23" t="n">
        <v>8300000</v>
      </c>
      <c r="D8" s="19" t="n">
        <v>0.103285051539306</v>
      </c>
      <c r="E8" s="28" t="s">
        <v>175</v>
      </c>
      <c r="G8" s="23" t="n">
        <v>-279037.185350575</v>
      </c>
      <c r="I8" s="23" t="n">
        <v>324732.876712329</v>
      </c>
      <c r="J8" s="8" t="n">
        <f aca="false">meta!$B$17*MIN(B8,meta!$B$16*C8)</f>
        <v>1016750</v>
      </c>
      <c r="K8" s="19" t="n">
        <v>0.11</v>
      </c>
      <c r="L8" s="23" t="n">
        <v>838620.27665245</v>
      </c>
      <c r="M8" s="23" t="n">
        <v>0</v>
      </c>
      <c r="N8" s="28" t="s">
        <v>493</v>
      </c>
      <c r="O8" s="28" t="s">
        <v>1479</v>
      </c>
      <c r="P8" s="14" t="n">
        <f aca="false">B8/C8</f>
        <v>0.101811601149076</v>
      </c>
      <c r="Q8" s="9" t="n">
        <f aca="false">D8-meta!$B$15</f>
        <v>0.0132850515393057</v>
      </c>
      <c r="R8" s="14" t="n">
        <f aca="false">D8-K8</f>
        <v>-0.0067149484606943</v>
      </c>
      <c r="S8" s="14" t="n">
        <f aca="false">-G8/B8</f>
        <v>0.33020733997513</v>
      </c>
      <c r="T8" s="15" t="str">
        <f aca="false">IF(H8="","",B8+G8+H8)</f>
        <v/>
      </c>
      <c r="U8" s="14" t="n">
        <f aca="false">I8/J8</f>
        <v>0.319383207978686</v>
      </c>
    </row>
    <row r="9" customFormat="false" ht="15" hidden="false" customHeight="false" outlineLevel="0" collapsed="false">
      <c r="A9" s="28" t="s">
        <v>1485</v>
      </c>
      <c r="B9" s="23" t="n">
        <v>877170.824344558</v>
      </c>
      <c r="C9" s="23" t="n">
        <v>8150000</v>
      </c>
      <c r="D9" s="19" t="n">
        <v>0.10607823476446</v>
      </c>
      <c r="E9" s="28" t="s">
        <v>175</v>
      </c>
      <c r="G9" s="23" t="n">
        <v>-422584.838412487</v>
      </c>
      <c r="I9" s="23" t="n">
        <v>371554.520547945</v>
      </c>
      <c r="J9" s="8" t="n">
        <f aca="false">meta!$B$17*MIN(B9,meta!$B$16*C9)</f>
        <v>998375</v>
      </c>
      <c r="K9" s="19" t="n">
        <v>0.11</v>
      </c>
      <c r="L9" s="23" t="n">
        <v>913451.009030669</v>
      </c>
      <c r="M9" s="23" t="n">
        <v>0</v>
      </c>
      <c r="N9" s="28" t="s">
        <v>493</v>
      </c>
      <c r="O9" s="28" t="s">
        <v>1479</v>
      </c>
      <c r="P9" s="14" t="n">
        <f aca="false">B9/C9</f>
        <v>0.107628322005467</v>
      </c>
      <c r="Q9" s="9" t="n">
        <f aca="false">D9-meta!$B$15</f>
        <v>0.0160782347644601</v>
      </c>
      <c r="R9" s="14" t="n">
        <f aca="false">D9-K9</f>
        <v>-0.0039217652355399</v>
      </c>
      <c r="S9" s="14" t="n">
        <f aca="false">-G9/B9</f>
        <v>0.481758885138767</v>
      </c>
      <c r="T9" s="15" t="str">
        <f aca="false">IF(H9="","",B9+G9+H9)</f>
        <v/>
      </c>
      <c r="U9" s="14" t="n">
        <f aca="false">I9/J9</f>
        <v>0.372159279376933</v>
      </c>
    </row>
    <row r="10" customFormat="false" ht="15" hidden="false" customHeight="false" outlineLevel="0" collapsed="false">
      <c r="A10" s="28" t="s">
        <v>317</v>
      </c>
      <c r="B10" s="23" t="n">
        <v>893976.149</v>
      </c>
      <c r="C10" s="23" t="n">
        <v>8192281.897</v>
      </c>
      <c r="D10" s="19" t="n">
        <v>0.108156618080389</v>
      </c>
      <c r="E10" s="28" t="s">
        <v>175</v>
      </c>
      <c r="G10" s="23" t="n">
        <v>-425428.553</v>
      </c>
      <c r="I10" s="23" t="n">
        <v>415082.48826</v>
      </c>
      <c r="J10" s="8" t="n">
        <f aca="false">meta!$B$17*MIN(B10,meta!$B$16*C10)</f>
        <v>1003554.5323825</v>
      </c>
      <c r="K10" s="19" t="n">
        <v>0.11</v>
      </c>
      <c r="L10" s="23" t="n">
        <v>973696.7584285</v>
      </c>
      <c r="M10" s="23" t="n">
        <v>0</v>
      </c>
      <c r="N10" s="28" t="s">
        <v>452</v>
      </c>
      <c r="O10" s="28" t="s">
        <v>1479</v>
      </c>
      <c r="P10" s="14" t="n">
        <f aca="false">B10/C10</f>
        <v>0.109124192775565</v>
      </c>
      <c r="Q10" s="9" t="n">
        <f aca="false">D10-meta!$B$15</f>
        <v>0.0181566180803894</v>
      </c>
      <c r="R10" s="14" t="n">
        <f aca="false">D10-K10</f>
        <v>-0.0018433819196106</v>
      </c>
      <c r="S10" s="14" t="n">
        <f aca="false">-G10/B10</f>
        <v>0.475883560736921</v>
      </c>
      <c r="T10" s="15" t="str">
        <f aca="false">IF(H10="","",B10+G10+H10)</f>
        <v/>
      </c>
      <c r="U10" s="14" t="n">
        <f aca="false">I10/J10</f>
        <v>0.413612289981461</v>
      </c>
    </row>
    <row r="11" customFormat="false" ht="15" hidden="false" customHeight="false" outlineLevel="0" collapsed="false">
      <c r="A11" s="28" t="s">
        <v>1486</v>
      </c>
      <c r="B11" s="23" t="n">
        <v>883317.261000845</v>
      </c>
      <c r="C11" s="23" t="n">
        <v>8300000</v>
      </c>
      <c r="D11" s="19" t="n">
        <v>0.107256353857052</v>
      </c>
      <c r="E11" s="28" t="s">
        <v>175</v>
      </c>
      <c r="G11" s="23" t="n">
        <v>-371719.308028638</v>
      </c>
      <c r="I11" s="23" t="n">
        <v>447232.876712329</v>
      </c>
      <c r="J11" s="8" t="n">
        <f aca="false">meta!$B$17*MIN(B11,meta!$B$16*C11)</f>
        <v>1016750</v>
      </c>
      <c r="K11" s="19" t="n">
        <v>0.11</v>
      </c>
      <c r="L11" s="23" t="n">
        <v>993442.481572903</v>
      </c>
      <c r="M11" s="23" t="n">
        <v>0</v>
      </c>
      <c r="N11" s="28" t="s">
        <v>493</v>
      </c>
      <c r="O11" s="28" t="s">
        <v>1479</v>
      </c>
      <c r="P11" s="14" t="n">
        <f aca="false">B11/C11</f>
        <v>0.106423766385644</v>
      </c>
      <c r="Q11" s="9" t="n">
        <f aca="false">D11-meta!$B$15</f>
        <v>0.0172563538570516</v>
      </c>
      <c r="R11" s="14" t="n">
        <f aca="false">D11-K11</f>
        <v>-0.00274364614294841</v>
      </c>
      <c r="S11" s="14" t="n">
        <f aca="false">-G11/B11</f>
        <v>0.420821967870819</v>
      </c>
      <c r="T11" s="15" t="str">
        <f aca="false">IF(H11="","",B11+G11+H11)</f>
        <v/>
      </c>
      <c r="U11" s="14" t="n">
        <f aca="false">I11/J11</f>
        <v>0.439865135689529</v>
      </c>
    </row>
    <row r="12" customFormat="false" ht="15" hidden="false" customHeight="false" outlineLevel="0" collapsed="false">
      <c r="A12" s="28" t="s">
        <v>1487</v>
      </c>
      <c r="B12" s="23" t="n">
        <v>907266.202096541</v>
      </c>
      <c r="C12" s="23" t="n">
        <v>8350000</v>
      </c>
      <c r="D12" s="19" t="n">
        <v>0.109997387259114</v>
      </c>
      <c r="E12" s="28" t="s">
        <v>175</v>
      </c>
      <c r="G12" s="23" t="n">
        <v>-408702.093762675</v>
      </c>
      <c r="I12" s="23" t="n">
        <v>479797.260273973</v>
      </c>
      <c r="J12" s="8" t="n">
        <f aca="false">meta!$B$17*MIN(B12,meta!$B$16*C12)</f>
        <v>1022875</v>
      </c>
      <c r="K12" s="19" t="n">
        <v>0.11</v>
      </c>
      <c r="L12" s="23" t="n">
        <v>1011505.07214696</v>
      </c>
      <c r="M12" s="23" t="n">
        <v>0</v>
      </c>
      <c r="N12" s="28" t="s">
        <v>493</v>
      </c>
      <c r="O12" s="28" t="s">
        <v>1479</v>
      </c>
      <c r="P12" s="14" t="n">
        <f aca="false">B12/C12</f>
        <v>0.108654634981622</v>
      </c>
      <c r="Q12" s="9" t="n">
        <f aca="false">D12-meta!$B$15</f>
        <v>0.0199973872591139</v>
      </c>
      <c r="R12" s="14" t="n">
        <f aca="false">D12-K12</f>
        <v>-2.61274088610153E-006</v>
      </c>
      <c r="S12" s="14" t="n">
        <f aca="false">-G12/B12</f>
        <v>0.450476489500251</v>
      </c>
      <c r="T12" s="15" t="str">
        <f aca="false">IF(H12="","",B12+G12+H12)</f>
        <v/>
      </c>
      <c r="U12" s="14" t="n">
        <f aca="false">I12/J12</f>
        <v>0.46906734476253</v>
      </c>
    </row>
    <row r="13" customFormat="false" ht="15" hidden="false" customHeight="false" outlineLevel="0" collapsed="false">
      <c r="A13" s="28" t="s">
        <v>1488</v>
      </c>
      <c r="B13" s="23" t="n">
        <v>929466.291483533</v>
      </c>
      <c r="C13" s="23" t="n">
        <v>8550000</v>
      </c>
      <c r="D13" s="19" t="n">
        <v>0.111339056653931</v>
      </c>
      <c r="E13" s="28" t="s">
        <v>175</v>
      </c>
      <c r="G13" s="23" t="n">
        <v>-439770.181842012</v>
      </c>
      <c r="I13" s="23" t="n">
        <v>512220.547945206</v>
      </c>
      <c r="J13" s="8" t="n">
        <f aca="false">meta!$B$17*MIN(B13,meta!$B$16*C13)</f>
        <v>1047375</v>
      </c>
      <c r="K13" s="19" t="n">
        <v>0.11</v>
      </c>
      <c r="L13" s="23" t="n">
        <v>1026987.292639</v>
      </c>
      <c r="M13" s="23" t="n">
        <v>0</v>
      </c>
      <c r="N13" s="28" t="s">
        <v>493</v>
      </c>
      <c r="O13" s="28" t="s">
        <v>1479</v>
      </c>
      <c r="P13" s="14" t="n">
        <f aca="false">B13/C13</f>
        <v>0.108709507775852</v>
      </c>
      <c r="Q13" s="9" t="n">
        <f aca="false">D13-meta!$B$15</f>
        <v>0.0213390566539314</v>
      </c>
      <c r="R13" s="14" t="n">
        <f aca="false">D13-K13</f>
        <v>0.0013390566539314</v>
      </c>
      <c r="S13" s="14" t="n">
        <f aca="false">-G13/B13</f>
        <v>0.473142690457434</v>
      </c>
      <c r="T13" s="15" t="str">
        <f aca="false">IF(H13="","",B13+G13+H13)</f>
        <v/>
      </c>
      <c r="U13" s="14" t="n">
        <f aca="false">I13/J13</f>
        <v>0.489051722587617</v>
      </c>
    </row>
    <row r="14" customFormat="false" ht="15" hidden="false" customHeight="false" outlineLevel="0" collapsed="false">
      <c r="A14" s="28" t="s">
        <v>318</v>
      </c>
      <c r="B14" s="23" t="n">
        <v>960070.693</v>
      </c>
      <c r="C14" s="23" t="n">
        <v>8710563.794</v>
      </c>
      <c r="D14" s="19" t="n">
        <v>0.113247387903338</v>
      </c>
      <c r="E14" s="28" t="s">
        <v>175</v>
      </c>
      <c r="G14" s="23" t="n">
        <v>-349586.968</v>
      </c>
      <c r="I14" s="23" t="n">
        <v>542508.83676</v>
      </c>
      <c r="J14" s="8" t="n">
        <f aca="false">meta!$B$17*MIN(B14,meta!$B$16*C14)</f>
        <v>1067044.064765</v>
      </c>
      <c r="K14" s="19" t="n">
        <v>0.11</v>
      </c>
      <c r="L14" s="23" t="n">
        <v>1036943.38637053</v>
      </c>
      <c r="M14" s="23" t="n">
        <v>0</v>
      </c>
      <c r="N14" s="28" t="s">
        <v>452</v>
      </c>
      <c r="O14" s="28" t="s">
        <v>1479</v>
      </c>
      <c r="P14" s="14" t="n">
        <f aca="false">B14/C14</f>
        <v>0.110219121942636</v>
      </c>
      <c r="Q14" s="9" t="n">
        <f aca="false">D14-meta!$B$15</f>
        <v>0.0232473879033378</v>
      </c>
      <c r="R14" s="14" t="n">
        <f aca="false">D14-K14</f>
        <v>0.0032473879033378</v>
      </c>
      <c r="S14" s="14" t="n">
        <f aca="false">-G14/B14</f>
        <v>0.364126277938577</v>
      </c>
      <c r="T14" s="15" t="str">
        <f aca="false">IF(H14="","",B14+G14+H14)</f>
        <v/>
      </c>
      <c r="U14" s="14" t="n">
        <f aca="false">I14/J14</f>
        <v>0.508422149257237</v>
      </c>
    </row>
    <row r="15" customFormat="false" ht="15" hidden="false" customHeight="false" outlineLevel="0" collapsed="false">
      <c r="A15" s="28" t="s">
        <v>1489</v>
      </c>
      <c r="B15" s="23" t="n">
        <v>959086.025320598</v>
      </c>
      <c r="C15" s="23" t="n">
        <v>8933000</v>
      </c>
      <c r="D15" s="19" t="n">
        <v>0.111058144555101</v>
      </c>
      <c r="E15" s="28" t="s">
        <v>175</v>
      </c>
      <c r="G15" s="23" t="n">
        <v>-370446.65050885</v>
      </c>
      <c r="I15" s="23" t="n">
        <v>564629.098360656</v>
      </c>
      <c r="J15" s="8" t="n">
        <f aca="false">meta!$B$17*MIN(B15,meta!$B$16*C15)</f>
        <v>1094292.5</v>
      </c>
      <c r="K15" s="19" t="n">
        <v>0.11</v>
      </c>
      <c r="L15" s="23" t="n">
        <v>1050210.62337707</v>
      </c>
      <c r="M15" s="23" t="n">
        <v>0</v>
      </c>
      <c r="N15" s="28" t="s">
        <v>493</v>
      </c>
      <c r="O15" s="28" t="s">
        <v>1479</v>
      </c>
      <c r="P15" s="14" t="n">
        <f aca="false">B15/C15</f>
        <v>0.107364382102384</v>
      </c>
      <c r="Q15" s="9" t="n">
        <f aca="false">D15-meta!$B$15</f>
        <v>0.0210581445551006</v>
      </c>
      <c r="R15" s="14" t="n">
        <f aca="false">D15-K15</f>
        <v>0.0010581445551006</v>
      </c>
      <c r="S15" s="14" t="n">
        <f aca="false">-G15/B15</f>
        <v>0.386249659288925</v>
      </c>
      <c r="T15" s="15" t="str">
        <f aca="false">IF(H15="","",B15+G15+H15)</f>
        <v/>
      </c>
      <c r="U15" s="14" t="n">
        <f aca="false">I15/J15</f>
        <v>0.515976394209643</v>
      </c>
    </row>
    <row r="16" customFormat="false" ht="15" hidden="false" customHeight="false" outlineLevel="0" collapsed="false">
      <c r="A16" s="28" t="s">
        <v>1490</v>
      </c>
      <c r="B16" s="23" t="n">
        <v>998213.501151193</v>
      </c>
      <c r="C16" s="23" t="n">
        <v>8880000</v>
      </c>
      <c r="D16" s="19" t="n">
        <v>0.113842266729902</v>
      </c>
      <c r="E16" s="28" t="s">
        <v>175</v>
      </c>
      <c r="G16" s="23" t="n">
        <v>-368336.0335402</v>
      </c>
      <c r="I16" s="23" t="n">
        <v>591204.918032787</v>
      </c>
      <c r="J16" s="8" t="n">
        <f aca="false">meta!$B$17*MIN(B16,meta!$B$16*C16)</f>
        <v>1087800</v>
      </c>
      <c r="K16" s="19" t="n">
        <v>0.11</v>
      </c>
      <c r="L16" s="23" t="n">
        <v>1070853.58403313</v>
      </c>
      <c r="M16" s="23" t="n">
        <v>0</v>
      </c>
      <c r="N16" s="28" t="s">
        <v>493</v>
      </c>
      <c r="O16" s="28" t="s">
        <v>1479</v>
      </c>
      <c r="P16" s="14" t="n">
        <f aca="false">B16/C16</f>
        <v>0.112411430309819</v>
      </c>
      <c r="Q16" s="9" t="n">
        <f aca="false">D16-meta!$B$15</f>
        <v>0.0238422667299017</v>
      </c>
      <c r="R16" s="14" t="n">
        <f aca="false">D16-K16</f>
        <v>0.00384226672990171</v>
      </c>
      <c r="S16" s="14" t="n">
        <f aca="false">-G16/B16</f>
        <v>0.368995243117244</v>
      </c>
      <c r="T16" s="15" t="str">
        <f aca="false">IF(H16="","",B16+G16+H16)</f>
        <v/>
      </c>
      <c r="U16" s="14" t="n">
        <f aca="false">I16/J16</f>
        <v>0.543486778849777</v>
      </c>
    </row>
    <row r="17" customFormat="false" ht="15" hidden="false" customHeight="false" outlineLevel="0" collapsed="false">
      <c r="A17" s="28" t="s">
        <v>995</v>
      </c>
      <c r="B17" s="23" t="n">
        <v>1015310.71500855</v>
      </c>
      <c r="C17" s="23" t="n">
        <v>8800000</v>
      </c>
      <c r="D17" s="19" t="n">
        <v>0.114972625177871</v>
      </c>
      <c r="E17" s="28" t="s">
        <v>175</v>
      </c>
      <c r="G17" s="23" t="n">
        <v>-277064.948968602</v>
      </c>
      <c r="H17" s="23" t="n">
        <v>-203091.216877071</v>
      </c>
      <c r="I17" s="23" t="n">
        <v>620013.114754099</v>
      </c>
      <c r="J17" s="8" t="n">
        <f aca="false">meta!$B$17*MIN(B17,meta!$B$16*C17)</f>
        <v>1078000</v>
      </c>
      <c r="K17" s="19" t="n">
        <v>0.11</v>
      </c>
      <c r="L17" s="23" t="n">
        <v>1094076.9147712</v>
      </c>
      <c r="M17" s="23" t="n">
        <v>0</v>
      </c>
      <c r="N17" s="28" t="s">
        <v>493</v>
      </c>
      <c r="O17" s="28" t="s">
        <v>1479</v>
      </c>
      <c r="P17" s="14" t="n">
        <f aca="false">B17/C17</f>
        <v>0.115376217614608</v>
      </c>
      <c r="Q17" s="9" t="n">
        <f aca="false">D17-meta!$B$15</f>
        <v>0.0249726251778714</v>
      </c>
      <c r="R17" s="14" t="n">
        <f aca="false">D17-K17</f>
        <v>0.00497262517787139</v>
      </c>
      <c r="S17" s="14" t="n">
        <f aca="false">-G17/B17</f>
        <v>0.272886856085499</v>
      </c>
      <c r="T17" s="15" t="n">
        <f aca="false">IF(H17="","",B17+G17+H17)</f>
        <v>535154.549162875</v>
      </c>
      <c r="U17" s="14" t="n">
        <f aca="false">I17/J17</f>
        <v>0.575151312387846</v>
      </c>
    </row>
    <row r="18" customFormat="false" ht="15" hidden="false" customHeight="false" outlineLevel="0" collapsed="false">
      <c r="A18" s="28" t="s">
        <v>319</v>
      </c>
      <c r="B18" s="23" t="n">
        <v>1032287.801</v>
      </c>
      <c r="C18" s="23" t="n">
        <v>8783626.77</v>
      </c>
      <c r="D18" s="19" t="n">
        <v>0.116653805200998</v>
      </c>
      <c r="E18" s="28" t="s">
        <v>175</v>
      </c>
      <c r="G18" s="23" t="n">
        <v>-346657.372</v>
      </c>
      <c r="H18" s="23" t="n">
        <v>-245611.75444698</v>
      </c>
      <c r="I18" s="23" t="n">
        <v>647913.4356</v>
      </c>
      <c r="J18" s="8" t="n">
        <f aca="false">meta!$B$17*MIN(B18,meta!$B$16*C18)</f>
        <v>1075994.279325</v>
      </c>
      <c r="K18" s="19" t="n">
        <v>0.11</v>
      </c>
      <c r="L18" s="23" t="n">
        <v>1114570.96330197</v>
      </c>
      <c r="M18" s="23" t="n">
        <v>0</v>
      </c>
      <c r="N18" s="28" t="s">
        <v>452</v>
      </c>
      <c r="O18" s="28" t="s">
        <v>1479</v>
      </c>
      <c r="P18" s="14" t="n">
        <f aca="false">B18/C18</f>
        <v>0.117524096598198</v>
      </c>
      <c r="Q18" s="9" t="n">
        <f aca="false">D18-meta!$B$15</f>
        <v>0.0266538052009977</v>
      </c>
      <c r="R18" s="14" t="n">
        <f aca="false">D18-K18</f>
        <v>0.0066538052009977</v>
      </c>
      <c r="S18" s="14" t="n">
        <f aca="false">-G18/B18</f>
        <v>0.335814655238767</v>
      </c>
      <c r="T18" s="15" t="n">
        <f aca="false">IF(H18="","",B18+G18+H18)</f>
        <v>440018.67455302</v>
      </c>
      <c r="U18" s="14" t="n">
        <f aca="false">I18/J18</f>
        <v>0.602153234500887</v>
      </c>
    </row>
    <row r="19" customFormat="false" ht="15" hidden="false" customHeight="false" outlineLevel="0" collapsed="false">
      <c r="A19" s="28" t="s">
        <v>694</v>
      </c>
      <c r="B19" s="23" t="n">
        <v>1033970.99660315</v>
      </c>
      <c r="C19" s="23" t="n">
        <v>9084800</v>
      </c>
      <c r="D19" s="19" t="n">
        <v>0.116345063965051</v>
      </c>
      <c r="E19" s="28" t="s">
        <v>175</v>
      </c>
      <c r="G19" s="23" t="n">
        <v>-296561.257116601</v>
      </c>
      <c r="H19" s="23" t="n">
        <v>-210754.229669409</v>
      </c>
      <c r="I19" s="23" t="n">
        <v>676947.94520548</v>
      </c>
      <c r="J19" s="8" t="n">
        <f aca="false">meta!$B$17*MIN(B19,meta!$B$16*C19)</f>
        <v>1112888</v>
      </c>
      <c r="K19" s="19" t="n">
        <v>0.11</v>
      </c>
      <c r="L19" s="23" t="n">
        <v>1145684.31641135</v>
      </c>
      <c r="M19" s="23" t="n">
        <v>0</v>
      </c>
      <c r="N19" s="28" t="s">
        <v>493</v>
      </c>
      <c r="O19" s="28" t="s">
        <v>1479</v>
      </c>
      <c r="P19" s="14" t="n">
        <f aca="false">B19/C19</f>
        <v>0.113813292158677</v>
      </c>
      <c r="Q19" s="9" t="n">
        <f aca="false">D19-meta!$B$15</f>
        <v>0.026345063965051</v>
      </c>
      <c r="R19" s="14" t="n">
        <f aca="false">D19-K19</f>
        <v>0.006345063965051</v>
      </c>
      <c r="S19" s="14" t="n">
        <f aca="false">-G19/B19</f>
        <v>0.28681777157278</v>
      </c>
      <c r="T19" s="15" t="n">
        <f aca="false">IF(H19="","",B19+G19+H19)</f>
        <v>526655.509817136</v>
      </c>
      <c r="U19" s="14" t="n">
        <f aca="false">I19/J19</f>
        <v>0.608280388687343</v>
      </c>
    </row>
    <row r="20" customFormat="false" ht="15" hidden="false" customHeight="false" outlineLevel="0" collapsed="false">
      <c r="A20" s="28" t="s">
        <v>702</v>
      </c>
      <c r="B20" s="23" t="n">
        <v>1057677.68144552</v>
      </c>
      <c r="C20" s="23" t="n">
        <v>9044400</v>
      </c>
      <c r="D20" s="19" t="n">
        <v>0.118464739658637</v>
      </c>
      <c r="E20" s="28" t="s">
        <v>175</v>
      </c>
      <c r="G20" s="23" t="n">
        <v>-280475.135174252</v>
      </c>
      <c r="H20" s="23" t="n">
        <v>-194841.187933609</v>
      </c>
      <c r="I20" s="23" t="n">
        <v>714360.547945206</v>
      </c>
      <c r="J20" s="8" t="n">
        <f aca="false">meta!$B$17*MIN(B20,meta!$B$16*C20)</f>
        <v>1107939</v>
      </c>
      <c r="K20" s="19" t="n">
        <v>0.11</v>
      </c>
      <c r="L20" s="23" t="n">
        <v>1189550.60780548</v>
      </c>
      <c r="M20" s="23" t="n">
        <v>0</v>
      </c>
      <c r="N20" s="28" t="s">
        <v>493</v>
      </c>
      <c r="O20" s="28" t="s">
        <v>1479</v>
      </c>
      <c r="P20" s="14" t="n">
        <f aca="false">B20/C20</f>
        <v>0.116942824448887</v>
      </c>
      <c r="Q20" s="9" t="n">
        <f aca="false">D20-meta!$B$15</f>
        <v>0.0284647396586373</v>
      </c>
      <c r="R20" s="14" t="n">
        <f aca="false">D20-K20</f>
        <v>0.0084647396586373</v>
      </c>
      <c r="S20" s="14" t="n">
        <f aca="false">-G20/B20</f>
        <v>0.265180158468438</v>
      </c>
      <c r="T20" s="15" t="n">
        <f aca="false">IF(H20="","",B20+G20+H20)</f>
        <v>582361.358337656</v>
      </c>
      <c r="U20" s="14" t="n">
        <f aca="false">I20/J20</f>
        <v>0.644765233415563</v>
      </c>
    </row>
    <row r="21" customFormat="false" ht="15" hidden="false" customHeight="false" outlineLevel="0" collapsed="false">
      <c r="A21" s="28" t="s">
        <v>704</v>
      </c>
      <c r="B21" s="23" t="n">
        <v>1080135.92678663</v>
      </c>
      <c r="C21" s="23" t="n">
        <v>9200000</v>
      </c>
      <c r="D21" s="19" t="n">
        <v>0.119640141566977</v>
      </c>
      <c r="E21" s="28" t="s">
        <v>175</v>
      </c>
      <c r="G21" s="23" t="n">
        <v>-260172.759046093</v>
      </c>
      <c r="H21" s="23" t="n">
        <v>-179020.673478542</v>
      </c>
      <c r="I21" s="23" t="n">
        <v>755901.369863014</v>
      </c>
      <c r="J21" s="8" t="n">
        <f aca="false">meta!$B$17*MIN(B21,meta!$B$16*C21)</f>
        <v>1127000</v>
      </c>
      <c r="K21" s="19" t="n">
        <v>0.11</v>
      </c>
      <c r="L21" s="23" t="n">
        <v>1238577.63936362</v>
      </c>
      <c r="M21" s="23" t="n">
        <v>0</v>
      </c>
      <c r="N21" s="28" t="s">
        <v>493</v>
      </c>
      <c r="O21" s="28" t="s">
        <v>1479</v>
      </c>
      <c r="P21" s="14" t="n">
        <f aca="false">B21/C21</f>
        <v>0.117406078998546</v>
      </c>
      <c r="Q21" s="9" t="n">
        <f aca="false">D21-meta!$B$15</f>
        <v>0.0296401415669765</v>
      </c>
      <c r="R21" s="14" t="n">
        <f aca="false">D21-K21</f>
        <v>0.0096401415669765</v>
      </c>
      <c r="S21" s="14" t="n">
        <f aca="false">-G21/B21</f>
        <v>0.240870387322547</v>
      </c>
      <c r="T21" s="15" t="n">
        <f aca="false">IF(H21="","",B21+G21+H21)</f>
        <v>640942.49426199</v>
      </c>
      <c r="U21" s="14" t="n">
        <f aca="false">I21/J21</f>
        <v>0.670719937766649</v>
      </c>
    </row>
    <row r="22" customFormat="false" ht="15" hidden="false" customHeight="false" outlineLevel="0" collapsed="false">
      <c r="A22" s="28" t="s">
        <v>320</v>
      </c>
      <c r="B22" s="23" t="n">
        <v>1106858.045</v>
      </c>
      <c r="C22" s="23" t="n">
        <v>9535159.326</v>
      </c>
      <c r="D22" s="19" t="n">
        <v>0.120100613734995</v>
      </c>
      <c r="E22" s="28" t="s">
        <v>175</v>
      </c>
      <c r="G22" s="23" t="n">
        <v>-247262.171</v>
      </c>
      <c r="H22" s="23" t="n">
        <v>-166423.427339092</v>
      </c>
      <c r="I22" s="23" t="n">
        <v>799834.16256</v>
      </c>
      <c r="J22" s="8" t="n">
        <f aca="false">meta!$B$17*MIN(B22,meta!$B$16*C22)</f>
        <v>1168057.017435</v>
      </c>
      <c r="K22" s="19" t="n">
        <v>0.11</v>
      </c>
      <c r="L22" s="23" t="n">
        <v>1289917.58977336</v>
      </c>
      <c r="M22" s="23" t="n">
        <v>0</v>
      </c>
      <c r="N22" s="28" t="s">
        <v>452</v>
      </c>
      <c r="O22" s="28" t="s">
        <v>1479</v>
      </c>
      <c r="P22" s="14" t="n">
        <f aca="false">B22/C22</f>
        <v>0.116081756702468</v>
      </c>
      <c r="Q22" s="9" t="n">
        <f aca="false">D22-meta!$B$15</f>
        <v>0.0301006137349954</v>
      </c>
      <c r="R22" s="14" t="n">
        <f aca="false">D22-K22</f>
        <v>0.0101006137349954</v>
      </c>
      <c r="S22" s="14" t="n">
        <f aca="false">-G22/B22</f>
        <v>0.223391041079708</v>
      </c>
      <c r="T22" s="15" t="n">
        <f aca="false">IF(H22="","",B22+G22+H22)</f>
        <v>693172.446660908</v>
      </c>
      <c r="U22" s="14" t="n">
        <f aca="false">I22/J22</f>
        <v>0.684756095482735</v>
      </c>
    </row>
    <row r="23" customFormat="false" ht="15" hidden="false" customHeight="false" outlineLevel="0" collapsed="false">
      <c r="A23" s="28" t="s">
        <v>321</v>
      </c>
      <c r="B23" s="23" t="n">
        <v>1128064.192</v>
      </c>
      <c r="C23" s="23" t="n">
        <v>9791191.351</v>
      </c>
      <c r="D23" s="19" t="n">
        <v>0.120100255829126</v>
      </c>
      <c r="E23" s="28" t="s">
        <v>175</v>
      </c>
      <c r="G23" s="23" t="n">
        <v>-249237.973094215</v>
      </c>
      <c r="H23" s="23" t="n">
        <v>-165108.127151718</v>
      </c>
      <c r="I23" s="23" t="n">
        <v>836692.986902494</v>
      </c>
      <c r="J23" s="8" t="n">
        <f aca="false">meta!$B$17*MIN(B23,meta!$B$16*C23)</f>
        <v>1199420.9404975</v>
      </c>
      <c r="K23" s="19" t="n">
        <v>0.11</v>
      </c>
      <c r="L23" s="23" t="n">
        <v>1334101.88571836</v>
      </c>
      <c r="M23" s="23" t="n">
        <v>0</v>
      </c>
      <c r="N23" s="28" t="s">
        <v>497</v>
      </c>
      <c r="O23" s="28" t="s">
        <v>1479</v>
      </c>
      <c r="P23" s="14" t="n">
        <f aca="false">B23/C23</f>
        <v>0.115212148507831</v>
      </c>
      <c r="Q23" s="9" t="n">
        <f aca="false">D23-meta!$B$15</f>
        <v>0.0301002558291257</v>
      </c>
      <c r="R23" s="14" t="n">
        <f aca="false">D23-K23</f>
        <v>0.0101002558291257</v>
      </c>
      <c r="S23" s="14" t="n">
        <f aca="false">-G23/B23</f>
        <v>0.220943076521495</v>
      </c>
      <c r="T23" s="15" t="n">
        <f aca="false">IF(H23="","",B23+G23+H23)</f>
        <v>713718.091754067</v>
      </c>
      <c r="U23" s="14" t="n">
        <f aca="false">I23/J23</f>
        <v>0.697580773064915</v>
      </c>
    </row>
    <row r="24" customFormat="false" ht="15" hidden="false" customHeight="false" outlineLevel="0" collapsed="false">
      <c r="A24" s="28" t="s">
        <v>322</v>
      </c>
      <c r="B24" s="23" t="n">
        <v>1161628.104</v>
      </c>
      <c r="C24" s="23" t="n">
        <v>9887845.027</v>
      </c>
      <c r="D24" s="19" t="n">
        <v>0.120958211693501</v>
      </c>
      <c r="E24" s="28" t="s">
        <v>175</v>
      </c>
      <c r="F24" s="19" t="n">
        <v>0.191691054054577</v>
      </c>
      <c r="G24" s="23" t="n">
        <v>-253801.598</v>
      </c>
      <c r="H24" s="23" t="n">
        <v>-166026.868156722</v>
      </c>
      <c r="I24" s="23" t="n">
        <v>868396.649</v>
      </c>
      <c r="J24" s="8" t="n">
        <f aca="false">meta!$B$17*MIN(B24,meta!$B$16*C24)</f>
        <v>1211261.0158075</v>
      </c>
      <c r="K24" s="19" t="n">
        <v>0.11</v>
      </c>
      <c r="L24" s="23" t="n">
        <v>1369000</v>
      </c>
      <c r="M24" s="23" t="n">
        <v>0</v>
      </c>
      <c r="N24" s="28" t="s">
        <v>497</v>
      </c>
      <c r="O24" s="28" t="s">
        <v>1479</v>
      </c>
      <c r="P24" s="14" t="n">
        <f aca="false">B24/C24</f>
        <v>0.117480411639546</v>
      </c>
      <c r="Q24" s="9" t="n">
        <f aca="false">D24-meta!$B$15</f>
        <v>0.0309582116935008</v>
      </c>
      <c r="R24" s="14" t="n">
        <f aca="false">D24-K24</f>
        <v>0.0109582116935008</v>
      </c>
      <c r="S24" s="14" t="n">
        <f aca="false">-G24/B24</f>
        <v>0.218487825084507</v>
      </c>
      <c r="T24" s="15" t="n">
        <f aca="false">IF(H24="","",B24+G24+H24)</f>
        <v>741799.637843279</v>
      </c>
      <c r="U24" s="14" t="n">
        <f aca="false">I24/J24</f>
        <v>0.716936017643624</v>
      </c>
    </row>
  </sheetData>
  <autoFilter ref="A1:U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0"/>
    <col collapsed="false" customWidth="true" hidden="false" outlineLevel="0" max="3" min="3" style="0" width="19"/>
    <col collapsed="false" customWidth="true" hidden="false" outlineLevel="0" max="4" min="4" style="0" width="20"/>
    <col collapsed="false" customWidth="true" hidden="false" outlineLevel="0" max="5" min="5" style="0" width="22"/>
    <col collapsed="false" customWidth="true" hidden="false" outlineLevel="0" max="6" min="6" style="0" width="29"/>
    <col collapsed="false" customWidth="true" hidden="false" outlineLevel="0" max="7" min="7" style="0" width="12"/>
    <col collapsed="false" customWidth="true" hidden="false" outlineLevel="0" max="8" min="8" style="0" width="21"/>
    <col collapsed="false" customWidth="true" hidden="false" outlineLevel="0" max="9" min="9" style="0" width="26"/>
    <col collapsed="false" customWidth="true" hidden="false" outlineLevel="0" max="10" min="10" style="0" width="25"/>
    <col collapsed="false" customWidth="true" hidden="false" outlineLevel="0" max="11" min="11" style="0" width="12"/>
    <col collapsed="false" customWidth="true" hidden="false" outlineLevel="0" max="12" min="12" style="0" width="80"/>
    <col collapsed="false" customWidth="true" hidden="false" outlineLevel="0" max="13" min="13" style="0" width="23"/>
    <col collapsed="false" customWidth="true" hidden="false" outlineLevel="0" max="14" min="14" style="0" width="24"/>
  </cols>
  <sheetData>
    <row r="1" customFormat="false" ht="30" hidden="false" customHeight="true" outlineLevel="0" collapsed="false">
      <c r="A1" s="27" t="s">
        <v>1491</v>
      </c>
      <c r="B1" s="27" t="s">
        <v>1492</v>
      </c>
      <c r="C1" s="27" t="s">
        <v>1493</v>
      </c>
      <c r="D1" s="27" t="s">
        <v>1494</v>
      </c>
      <c r="E1" s="27" t="s">
        <v>1495</v>
      </c>
      <c r="F1" s="27" t="s">
        <v>1496</v>
      </c>
      <c r="G1" s="27" t="s">
        <v>1497</v>
      </c>
      <c r="H1" s="27" t="s">
        <v>1498</v>
      </c>
      <c r="I1" s="27" t="s">
        <v>1499</v>
      </c>
      <c r="J1" s="27" t="s">
        <v>1500</v>
      </c>
      <c r="K1" s="27" t="s">
        <v>442</v>
      </c>
      <c r="L1" s="27" t="s">
        <v>443</v>
      </c>
      <c r="M1" s="27" t="s">
        <v>1501</v>
      </c>
      <c r="N1" s="27" t="s">
        <v>1502</v>
      </c>
    </row>
    <row r="2" customFormat="false" ht="15" hidden="false" customHeight="false" outlineLevel="0" collapsed="false">
      <c r="A2" s="28" t="s">
        <v>1503</v>
      </c>
      <c r="B2" s="23" t="n">
        <v>76091597</v>
      </c>
      <c r="C2" s="23" t="n">
        <v>3043663.87555556</v>
      </c>
      <c r="D2" s="23" t="n">
        <v>34241.2186</v>
      </c>
      <c r="E2" s="23" t="n">
        <v>3200</v>
      </c>
      <c r="F2" s="23" t="n">
        <v>36043.388</v>
      </c>
      <c r="G2" s="31" t="n">
        <v>40</v>
      </c>
      <c r="H2" s="34" t="n">
        <v>0.45</v>
      </c>
      <c r="I2" s="23" t="n">
        <v>18261.9832533333</v>
      </c>
      <c r="J2" s="23" t="n">
        <v>13163.8462617778</v>
      </c>
      <c r="K2" s="28" t="s">
        <v>452</v>
      </c>
      <c r="L2" s="28" t="s">
        <v>1504</v>
      </c>
      <c r="M2" s="15" t="n">
        <f aca="false">D2-I2</f>
        <v>15979.2353466667</v>
      </c>
      <c r="N2" s="15" t="n">
        <f aca="false">D2-J2</f>
        <v>21077.3723382222</v>
      </c>
    </row>
    <row r="3" customFormat="false" ht="15" hidden="false" customHeight="false" outlineLevel="0" collapsed="false">
      <c r="A3" s="28" t="s">
        <v>1505</v>
      </c>
      <c r="B3" s="23" t="n">
        <v>95246275</v>
      </c>
      <c r="C3" s="23" t="n">
        <v>3952720.43302198</v>
      </c>
      <c r="D3" s="23" t="n">
        <v>43337.05535</v>
      </c>
      <c r="E3" s="23" t="n">
        <v>3300</v>
      </c>
      <c r="F3" s="23" t="n">
        <v>45617.953</v>
      </c>
      <c r="G3" s="31" t="n">
        <v>41.5</v>
      </c>
      <c r="H3" s="34" t="n">
        <v>0.455</v>
      </c>
      <c r="I3" s="23" t="n">
        <v>22930.5408253022</v>
      </c>
      <c r="J3" s="23" t="n">
        <v>16534.7534258462</v>
      </c>
      <c r="K3" s="28" t="s">
        <v>452</v>
      </c>
      <c r="L3" s="28" t="s">
        <v>1506</v>
      </c>
      <c r="M3" s="15" t="n">
        <f aca="false">D3-I3</f>
        <v>20406.5145246978</v>
      </c>
      <c r="N3" s="15" t="n">
        <f aca="false">D3-J3</f>
        <v>26802.3019241538</v>
      </c>
    </row>
    <row r="4" customFormat="false" ht="15" hidden="false" customHeight="false" outlineLevel="0" collapsed="false">
      <c r="A4" s="28" t="s">
        <v>1507</v>
      </c>
      <c r="B4" s="23" t="n">
        <v>99948056</v>
      </c>
      <c r="C4" s="23" t="n">
        <v>4297766.42922078</v>
      </c>
      <c r="D4" s="23" t="n">
        <v>46176.0021</v>
      </c>
      <c r="E4" s="23" t="n">
        <v>3400</v>
      </c>
      <c r="F4" s="23" t="n">
        <v>48606.318</v>
      </c>
      <c r="G4" s="31" t="n">
        <v>43</v>
      </c>
      <c r="H4" s="34" t="n">
        <v>0.462</v>
      </c>
      <c r="I4" s="23" t="n">
        <v>24137.4556431818</v>
      </c>
      <c r="J4" s="23" t="n">
        <v>17410.9514411688</v>
      </c>
      <c r="K4" s="28" t="s">
        <v>452</v>
      </c>
      <c r="L4" s="28" t="s">
        <v>1508</v>
      </c>
      <c r="M4" s="15" t="n">
        <f aca="false">D4-I4</f>
        <v>22038.5464568182</v>
      </c>
      <c r="N4" s="15" t="n">
        <f aca="false">D4-J4</f>
        <v>28765.0506588312</v>
      </c>
    </row>
    <row r="5" customFormat="false" ht="15" hidden="false" customHeight="false" outlineLevel="0" collapsed="false">
      <c r="A5" s="28" t="s">
        <v>1509</v>
      </c>
      <c r="B5" s="23" t="n">
        <v>98444265</v>
      </c>
      <c r="C5" s="23" t="n">
        <v>4282325.54601064</v>
      </c>
      <c r="D5" s="23" t="n">
        <v>46268.80475</v>
      </c>
      <c r="E5" s="23" t="n">
        <v>3500</v>
      </c>
      <c r="F5" s="23" t="n">
        <v>48704.005</v>
      </c>
      <c r="G5" s="31" t="n">
        <v>43.5</v>
      </c>
      <c r="H5" s="34" t="n">
        <v>0.47</v>
      </c>
      <c r="I5" s="23" t="n">
        <v>23798.9011666224</v>
      </c>
      <c r="J5" s="23" t="n">
        <v>17168.6798902128</v>
      </c>
      <c r="K5" s="28" t="s">
        <v>452</v>
      </c>
      <c r="L5" s="28" t="s">
        <v>1510</v>
      </c>
      <c r="M5" s="15" t="n">
        <f aca="false">D5-I5</f>
        <v>22469.9035833777</v>
      </c>
      <c r="N5" s="15" t="n">
        <f aca="false">D5-J5</f>
        <v>29100.1248597872</v>
      </c>
    </row>
    <row r="6" customFormat="false" ht="15" hidden="false" customHeight="false" outlineLevel="0" collapsed="false">
      <c r="A6" s="28" t="s">
        <v>1511</v>
      </c>
      <c r="B6" s="23" t="n">
        <v>98756899</v>
      </c>
      <c r="C6" s="23" t="n">
        <v>4325552.16478992</v>
      </c>
      <c r="D6" s="23" t="n">
        <v>47008.2838</v>
      </c>
      <c r="E6" s="23" t="n">
        <v>3600</v>
      </c>
      <c r="F6" s="23" t="n">
        <v>49482.404</v>
      </c>
      <c r="G6" s="31" t="n">
        <v>43.8</v>
      </c>
      <c r="H6" s="34" t="n">
        <v>0.476</v>
      </c>
      <c r="I6" s="23" t="n">
        <v>23889.293805084</v>
      </c>
      <c r="J6" s="23" t="n">
        <v>17235.0539680168</v>
      </c>
      <c r="K6" s="28" t="s">
        <v>452</v>
      </c>
      <c r="L6" s="28" t="s">
        <v>1512</v>
      </c>
      <c r="M6" s="15" t="n">
        <f aca="false">D6-I6</f>
        <v>23118.989994916</v>
      </c>
      <c r="N6" s="15" t="n">
        <f aca="false">D6-J6</f>
        <v>29773.2298319832</v>
      </c>
    </row>
    <row r="7" customFormat="false" ht="15" hidden="false" customHeight="false" outlineLevel="0" collapsed="false">
      <c r="A7" s="28" t="s">
        <v>1513</v>
      </c>
      <c r="B7" s="23" t="n">
        <v>99876382</v>
      </c>
      <c r="C7" s="23" t="n">
        <v>4394560.79333333</v>
      </c>
      <c r="D7" s="23" t="n">
        <v>47940.6632</v>
      </c>
      <c r="E7" s="23" t="n">
        <v>3700</v>
      </c>
      <c r="F7" s="23" t="n">
        <v>50463.856</v>
      </c>
      <c r="G7" s="31" t="n">
        <v>44</v>
      </c>
      <c r="H7" s="34" t="n">
        <v>0.48</v>
      </c>
      <c r="I7" s="23" t="n">
        <v>24170.0843633333</v>
      </c>
      <c r="J7" s="23" t="n">
        <v>17438.416239</v>
      </c>
      <c r="K7" s="28" t="s">
        <v>452</v>
      </c>
      <c r="L7" s="28" t="s">
        <v>1514</v>
      </c>
      <c r="M7" s="15" t="n">
        <f aca="false">D7-I7</f>
        <v>23770.5788366667</v>
      </c>
      <c r="N7" s="15" t="n">
        <f aca="false">D7-J7</f>
        <v>30502.246961</v>
      </c>
    </row>
    <row r="8" customFormat="false" ht="15" hidden="false" customHeight="false" outlineLevel="0" collapsed="false">
      <c r="A8" s="28" t="s">
        <v>1515</v>
      </c>
      <c r="B8" s="23" t="n">
        <v>103440435</v>
      </c>
      <c r="C8" s="23" t="n">
        <v>4582411.27583071</v>
      </c>
      <c r="D8" s="23" t="n">
        <v>49858.289728</v>
      </c>
      <c r="E8" s="23" t="n">
        <v>3800</v>
      </c>
      <c r="F8" s="23" t="n">
        <v>52482.41024</v>
      </c>
      <c r="G8" s="31" t="n">
        <v>44.3</v>
      </c>
      <c r="H8" s="34" t="n">
        <v>0.482</v>
      </c>
      <c r="I8" s="23" t="n">
        <v>25048.1013643884</v>
      </c>
      <c r="J8" s="23" t="n">
        <v>18073.1128242244</v>
      </c>
      <c r="K8" s="28" t="s">
        <v>493</v>
      </c>
      <c r="L8" s="28" t="s">
        <v>1516</v>
      </c>
      <c r="M8" s="15" t="n">
        <f aca="false">D8-I8</f>
        <v>24810.1883636116</v>
      </c>
      <c r="N8" s="15" t="n">
        <f aca="false">D8-J8</f>
        <v>31785.1769037756</v>
      </c>
    </row>
  </sheetData>
  <autoFilter ref="A1:N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1"/>
    <col collapsed="false" customWidth="true" hidden="false" outlineLevel="0" max="4" min="4" style="0" width="12"/>
    <col collapsed="false" customWidth="true" hidden="false" outlineLevel="0" max="5" min="5" style="0" width="80"/>
  </cols>
  <sheetData>
    <row r="1" customFormat="false" ht="30" hidden="false" customHeight="true" outlineLevel="0" collapsed="false">
      <c r="A1" s="27" t="s">
        <v>1517</v>
      </c>
      <c r="B1" s="27" t="s">
        <v>903</v>
      </c>
      <c r="C1" s="27" t="s">
        <v>436</v>
      </c>
      <c r="D1" s="27" t="s">
        <v>442</v>
      </c>
      <c r="E1" s="27" t="s">
        <v>443</v>
      </c>
    </row>
    <row r="2" customFormat="false" ht="15" hidden="false" customHeight="false" outlineLevel="0" collapsed="false">
      <c r="A2" s="28" t="s">
        <v>1518</v>
      </c>
      <c r="B2" s="28" t="s">
        <v>1519</v>
      </c>
      <c r="C2" s="19" t="n">
        <v>0.0025</v>
      </c>
      <c r="D2" s="28" t="s">
        <v>497</v>
      </c>
      <c r="E2" s="28" t="s">
        <v>1520</v>
      </c>
    </row>
    <row r="3" customFormat="false" ht="15" hidden="false" customHeight="false" outlineLevel="0" collapsed="false">
      <c r="A3" s="28" t="s">
        <v>315</v>
      </c>
      <c r="B3" s="28" t="s">
        <v>912</v>
      </c>
      <c r="C3" s="19" t="n">
        <v>0.0093</v>
      </c>
      <c r="D3" s="28" t="s">
        <v>493</v>
      </c>
      <c r="E3" s="28" t="s">
        <v>1521</v>
      </c>
    </row>
    <row r="4" customFormat="false" ht="15" hidden="false" customHeight="false" outlineLevel="0" collapsed="false">
      <c r="A4" s="28" t="s">
        <v>315</v>
      </c>
      <c r="B4" s="28" t="s">
        <v>1522</v>
      </c>
      <c r="C4" s="19" t="n">
        <v>0.0008</v>
      </c>
      <c r="D4" s="28" t="s">
        <v>493</v>
      </c>
      <c r="E4" s="28" t="s">
        <v>1521</v>
      </c>
    </row>
    <row r="5" customFormat="false" ht="15" hidden="false" customHeight="false" outlineLevel="0" collapsed="false">
      <c r="A5" s="28" t="s">
        <v>315</v>
      </c>
      <c r="B5" s="28" t="s">
        <v>907</v>
      </c>
      <c r="C5" s="19" t="n">
        <v>0.001</v>
      </c>
      <c r="D5" s="28" t="s">
        <v>493</v>
      </c>
      <c r="E5" s="28" t="s">
        <v>1521</v>
      </c>
    </row>
    <row r="6" customFormat="false" ht="15" hidden="false" customHeight="false" outlineLevel="0" collapsed="false">
      <c r="A6" s="28" t="s">
        <v>315</v>
      </c>
      <c r="B6" s="28" t="s">
        <v>913</v>
      </c>
      <c r="C6" s="19" t="n">
        <v>0.0145</v>
      </c>
      <c r="D6" s="28" t="s">
        <v>493</v>
      </c>
      <c r="E6" s="28" t="s">
        <v>1521</v>
      </c>
    </row>
    <row r="7" customFormat="false" ht="15" hidden="false" customHeight="false" outlineLevel="0" collapsed="false">
      <c r="A7" s="28" t="s">
        <v>315</v>
      </c>
      <c r="B7" s="28" t="s">
        <v>908</v>
      </c>
      <c r="C7" s="19" t="n">
        <v>0.0013</v>
      </c>
      <c r="D7" s="28" t="s">
        <v>493</v>
      </c>
      <c r="E7" s="28" t="s">
        <v>1521</v>
      </c>
    </row>
    <row r="8" customFormat="false" ht="15" hidden="false" customHeight="false" outlineLevel="0" collapsed="false">
      <c r="A8" s="28" t="s">
        <v>315</v>
      </c>
      <c r="B8" s="28" t="s">
        <v>914</v>
      </c>
      <c r="C8" s="19" t="n">
        <v>0.0165</v>
      </c>
      <c r="D8" s="28" t="s">
        <v>493</v>
      </c>
      <c r="E8" s="28" t="s">
        <v>1521</v>
      </c>
    </row>
    <row r="9" customFormat="false" ht="15" hidden="false" customHeight="false" outlineLevel="0" collapsed="false">
      <c r="A9" s="28" t="s">
        <v>315</v>
      </c>
      <c r="B9" s="28" t="s">
        <v>905</v>
      </c>
      <c r="C9" s="19" t="n">
        <v>0.0009</v>
      </c>
      <c r="D9" s="28" t="s">
        <v>493</v>
      </c>
      <c r="E9" s="28" t="s">
        <v>1521</v>
      </c>
    </row>
    <row r="10" customFormat="false" ht="15" hidden="false" customHeight="false" outlineLevel="0" collapsed="false">
      <c r="A10" s="28" t="s">
        <v>315</v>
      </c>
      <c r="B10" s="28" t="s">
        <v>909</v>
      </c>
      <c r="C10" s="19" t="n">
        <v>0.0017</v>
      </c>
      <c r="D10" s="28" t="s">
        <v>493</v>
      </c>
      <c r="E10" s="28" t="s">
        <v>1521</v>
      </c>
    </row>
    <row r="11" customFormat="false" ht="15" hidden="false" customHeight="false" outlineLevel="0" collapsed="false">
      <c r="A11" s="28" t="s">
        <v>315</v>
      </c>
      <c r="B11" s="28" t="s">
        <v>910</v>
      </c>
      <c r="C11" s="19" t="n">
        <v>0.0036</v>
      </c>
      <c r="D11" s="28" t="s">
        <v>493</v>
      </c>
      <c r="E11" s="28" t="s">
        <v>1521</v>
      </c>
    </row>
    <row r="12" customFormat="false" ht="15" hidden="false" customHeight="false" outlineLevel="0" collapsed="false">
      <c r="A12" s="28" t="s">
        <v>315</v>
      </c>
      <c r="B12" s="28" t="s">
        <v>906</v>
      </c>
      <c r="C12" s="19" t="n">
        <v>0.0009</v>
      </c>
      <c r="D12" s="28" t="s">
        <v>493</v>
      </c>
      <c r="E12" s="28" t="s">
        <v>1521</v>
      </c>
    </row>
    <row r="13" customFormat="false" ht="15" hidden="false" customHeight="false" outlineLevel="0" collapsed="false">
      <c r="A13" s="28" t="s">
        <v>315</v>
      </c>
      <c r="B13" s="28" t="s">
        <v>911</v>
      </c>
      <c r="C13" s="19" t="n">
        <v>0.0065</v>
      </c>
      <c r="D13" s="28" t="s">
        <v>493</v>
      </c>
      <c r="E13" s="28" t="s">
        <v>1521</v>
      </c>
    </row>
    <row r="14" customFormat="false" ht="15" hidden="false" customHeight="false" outlineLevel="0" collapsed="false">
      <c r="A14" s="28" t="s">
        <v>315</v>
      </c>
      <c r="B14" s="28" t="s">
        <v>904</v>
      </c>
      <c r="C14" s="19" t="n">
        <v>0.0008</v>
      </c>
      <c r="D14" s="28" t="s">
        <v>493</v>
      </c>
      <c r="E14" s="28" t="s">
        <v>1523</v>
      </c>
    </row>
    <row r="15" customFormat="false" ht="15" hidden="false" customHeight="false" outlineLevel="0" collapsed="false">
      <c r="A15" s="28" t="s">
        <v>315</v>
      </c>
      <c r="B15" s="28" t="s">
        <v>1524</v>
      </c>
      <c r="C15" s="19" t="n">
        <v>0.0025</v>
      </c>
      <c r="D15" s="28" t="s">
        <v>497</v>
      </c>
      <c r="E15" s="28" t="s">
        <v>1525</v>
      </c>
    </row>
    <row r="16" customFormat="false" ht="15" hidden="false" customHeight="false" outlineLevel="0" collapsed="false">
      <c r="A16" s="28" t="s">
        <v>315</v>
      </c>
      <c r="B16" s="28" t="s">
        <v>551</v>
      </c>
      <c r="C16" s="19" t="n">
        <v>0.0325</v>
      </c>
      <c r="D16" s="28" t="s">
        <v>497</v>
      </c>
      <c r="E16" s="28" t="s">
        <v>1526</v>
      </c>
    </row>
    <row r="17" customFormat="false" ht="15" hidden="false" customHeight="false" outlineLevel="0" collapsed="false">
      <c r="A17" s="28" t="s">
        <v>315</v>
      </c>
      <c r="B17" s="28" t="s">
        <v>451</v>
      </c>
      <c r="C17" s="19" t="n">
        <v>0.0006</v>
      </c>
      <c r="D17" s="28" t="s">
        <v>493</v>
      </c>
      <c r="E17" s="28" t="s">
        <v>1527</v>
      </c>
    </row>
    <row r="18" customFormat="false" ht="15" hidden="false" customHeight="false" outlineLevel="0" collapsed="false">
      <c r="A18" s="28" t="s">
        <v>1480</v>
      </c>
      <c r="B18" s="28" t="s">
        <v>912</v>
      </c>
      <c r="C18" s="19" t="n">
        <v>0.0174</v>
      </c>
      <c r="D18" s="28" t="s">
        <v>493</v>
      </c>
      <c r="E18" s="28" t="s">
        <v>1521</v>
      </c>
    </row>
    <row r="19" customFormat="false" ht="15" hidden="false" customHeight="false" outlineLevel="0" collapsed="false">
      <c r="A19" s="28" t="s">
        <v>1480</v>
      </c>
      <c r="B19" s="28" t="s">
        <v>1522</v>
      </c>
      <c r="C19" s="19" t="n">
        <v>0.0001</v>
      </c>
      <c r="D19" s="28" t="s">
        <v>493</v>
      </c>
      <c r="E19" s="28" t="s">
        <v>1521</v>
      </c>
    </row>
    <row r="20" customFormat="false" ht="15" hidden="false" customHeight="false" outlineLevel="0" collapsed="false">
      <c r="A20" s="28" t="s">
        <v>1480</v>
      </c>
      <c r="B20" s="28" t="s">
        <v>907</v>
      </c>
      <c r="C20" s="19" t="n">
        <v>0.0007</v>
      </c>
      <c r="D20" s="28" t="s">
        <v>493</v>
      </c>
      <c r="E20" s="28" t="s">
        <v>1521</v>
      </c>
    </row>
    <row r="21" customFormat="false" ht="15" hidden="false" customHeight="false" outlineLevel="0" collapsed="false">
      <c r="A21" s="28" t="s">
        <v>1480</v>
      </c>
      <c r="B21" s="28" t="s">
        <v>913</v>
      </c>
      <c r="C21" s="19" t="n">
        <v>0.0231</v>
      </c>
      <c r="D21" s="28" t="s">
        <v>493</v>
      </c>
      <c r="E21" s="28" t="s">
        <v>1521</v>
      </c>
    </row>
    <row r="22" customFormat="false" ht="15" hidden="false" customHeight="false" outlineLevel="0" collapsed="false">
      <c r="A22" s="28" t="s">
        <v>1480</v>
      </c>
      <c r="B22" s="28" t="s">
        <v>908</v>
      </c>
      <c r="C22" s="19" t="n">
        <v>0.0016</v>
      </c>
      <c r="D22" s="28" t="s">
        <v>493</v>
      </c>
      <c r="E22" s="28" t="s">
        <v>1521</v>
      </c>
    </row>
    <row r="23" customFormat="false" ht="15" hidden="false" customHeight="false" outlineLevel="0" collapsed="false">
      <c r="A23" s="28" t="s">
        <v>1480</v>
      </c>
      <c r="B23" s="28" t="s">
        <v>914</v>
      </c>
      <c r="C23" s="19" t="n">
        <v>0.0241</v>
      </c>
      <c r="D23" s="28" t="s">
        <v>493</v>
      </c>
      <c r="E23" s="28" t="s">
        <v>1521</v>
      </c>
    </row>
    <row r="24" customFormat="false" ht="15" hidden="false" customHeight="false" outlineLevel="0" collapsed="false">
      <c r="A24" s="28" t="s">
        <v>1480</v>
      </c>
      <c r="B24" s="28" t="s">
        <v>905</v>
      </c>
      <c r="C24" s="19" t="n">
        <v>0.0003</v>
      </c>
      <c r="D24" s="28" t="s">
        <v>493</v>
      </c>
      <c r="E24" s="28" t="s">
        <v>1521</v>
      </c>
    </row>
    <row r="25" customFormat="false" ht="15" hidden="false" customHeight="false" outlineLevel="0" collapsed="false">
      <c r="A25" s="28" t="s">
        <v>1480</v>
      </c>
      <c r="B25" s="28" t="s">
        <v>909</v>
      </c>
      <c r="C25" s="19" t="n">
        <v>0.0035</v>
      </c>
      <c r="D25" s="28" t="s">
        <v>493</v>
      </c>
      <c r="E25" s="28" t="s">
        <v>1521</v>
      </c>
    </row>
    <row r="26" customFormat="false" ht="15" hidden="false" customHeight="false" outlineLevel="0" collapsed="false">
      <c r="A26" s="28" t="s">
        <v>1480</v>
      </c>
      <c r="B26" s="28" t="s">
        <v>910</v>
      </c>
      <c r="C26" s="19" t="n">
        <v>0.0092</v>
      </c>
      <c r="D26" s="28" t="s">
        <v>493</v>
      </c>
      <c r="E26" s="28" t="s">
        <v>1521</v>
      </c>
    </row>
    <row r="27" customFormat="false" ht="15" hidden="false" customHeight="false" outlineLevel="0" collapsed="false">
      <c r="A27" s="28" t="s">
        <v>1480</v>
      </c>
      <c r="B27" s="28" t="s">
        <v>906</v>
      </c>
      <c r="C27" s="19" t="n">
        <v>0.0005</v>
      </c>
      <c r="D27" s="28" t="s">
        <v>493</v>
      </c>
      <c r="E27" s="28" t="s">
        <v>1521</v>
      </c>
    </row>
    <row r="28" customFormat="false" ht="15" hidden="false" customHeight="false" outlineLevel="0" collapsed="false">
      <c r="A28" s="28" t="s">
        <v>1480</v>
      </c>
      <c r="B28" s="28" t="s">
        <v>911</v>
      </c>
      <c r="C28" s="19" t="n">
        <v>0.014</v>
      </c>
      <c r="D28" s="28" t="s">
        <v>493</v>
      </c>
      <c r="E28" s="28" t="s">
        <v>1521</v>
      </c>
    </row>
    <row r="29" customFormat="false" ht="15" hidden="false" customHeight="false" outlineLevel="0" collapsed="false">
      <c r="A29" s="28" t="s">
        <v>1480</v>
      </c>
      <c r="B29" s="28" t="s">
        <v>904</v>
      </c>
      <c r="C29" s="19" t="n">
        <v>0.0008</v>
      </c>
      <c r="D29" s="28" t="s">
        <v>493</v>
      </c>
      <c r="E29" s="28" t="s">
        <v>1523</v>
      </c>
    </row>
    <row r="30" customFormat="false" ht="15" hidden="false" customHeight="false" outlineLevel="0" collapsed="false">
      <c r="A30" s="28" t="s">
        <v>1480</v>
      </c>
      <c r="B30" s="28" t="s">
        <v>1524</v>
      </c>
      <c r="C30" s="19" t="n">
        <v>0.0025</v>
      </c>
      <c r="D30" s="28" t="s">
        <v>497</v>
      </c>
      <c r="E30" s="28" t="s">
        <v>1525</v>
      </c>
    </row>
    <row r="31" customFormat="false" ht="15" hidden="false" customHeight="false" outlineLevel="0" collapsed="false">
      <c r="A31" s="28" t="s">
        <v>1480</v>
      </c>
      <c r="B31" s="28" t="s">
        <v>915</v>
      </c>
      <c r="C31" s="19" t="n">
        <v>0.0318</v>
      </c>
      <c r="D31" s="28" t="s">
        <v>493</v>
      </c>
      <c r="E31" s="28" t="s">
        <v>1528</v>
      </c>
    </row>
    <row r="32" customFormat="false" ht="15" hidden="false" customHeight="false" outlineLevel="0" collapsed="false">
      <c r="A32" s="28" t="s">
        <v>1480</v>
      </c>
      <c r="B32" s="28" t="s">
        <v>551</v>
      </c>
      <c r="C32" s="19" t="n">
        <v>0.0325</v>
      </c>
      <c r="D32" s="28" t="s">
        <v>497</v>
      </c>
      <c r="E32" s="28" t="s">
        <v>1526</v>
      </c>
    </row>
    <row r="33" customFormat="false" ht="15" hidden="false" customHeight="false" outlineLevel="0" collapsed="false">
      <c r="A33" s="28" t="s">
        <v>1480</v>
      </c>
      <c r="B33" s="28" t="s">
        <v>451</v>
      </c>
      <c r="C33" s="19" t="n">
        <v>0.0006</v>
      </c>
      <c r="D33" s="28" t="s">
        <v>493</v>
      </c>
      <c r="E33" s="28" t="s">
        <v>1527</v>
      </c>
    </row>
    <row r="34" customFormat="false" ht="15" hidden="false" customHeight="false" outlineLevel="0" collapsed="false">
      <c r="A34" s="28" t="s">
        <v>1481</v>
      </c>
      <c r="B34" s="28" t="s">
        <v>912</v>
      </c>
      <c r="C34" s="19" t="n">
        <v>0.0145</v>
      </c>
      <c r="D34" s="28" t="s">
        <v>493</v>
      </c>
      <c r="E34" s="28" t="s">
        <v>1521</v>
      </c>
    </row>
    <row r="35" customFormat="false" ht="15" hidden="false" customHeight="false" outlineLevel="0" collapsed="false">
      <c r="A35" s="28" t="s">
        <v>1481</v>
      </c>
      <c r="B35" s="28" t="s">
        <v>1522</v>
      </c>
      <c r="C35" s="19" t="n">
        <v>0.0005</v>
      </c>
      <c r="D35" s="28" t="s">
        <v>493</v>
      </c>
      <c r="E35" s="28" t="s">
        <v>1521</v>
      </c>
    </row>
    <row r="36" customFormat="false" ht="15" hidden="false" customHeight="false" outlineLevel="0" collapsed="false">
      <c r="A36" s="28" t="s">
        <v>1481</v>
      </c>
      <c r="B36" s="28" t="s">
        <v>907</v>
      </c>
      <c r="C36" s="19" t="n">
        <v>0.0007</v>
      </c>
      <c r="D36" s="28" t="s">
        <v>493</v>
      </c>
      <c r="E36" s="28" t="s">
        <v>1521</v>
      </c>
    </row>
    <row r="37" customFormat="false" ht="15" hidden="false" customHeight="false" outlineLevel="0" collapsed="false">
      <c r="A37" s="28" t="s">
        <v>1481</v>
      </c>
      <c r="B37" s="28" t="s">
        <v>913</v>
      </c>
      <c r="C37" s="19" t="n">
        <v>0.02</v>
      </c>
      <c r="D37" s="28" t="s">
        <v>493</v>
      </c>
      <c r="E37" s="28" t="s">
        <v>1521</v>
      </c>
    </row>
    <row r="38" customFormat="false" ht="15" hidden="false" customHeight="false" outlineLevel="0" collapsed="false">
      <c r="A38" s="28" t="s">
        <v>1481</v>
      </c>
      <c r="B38" s="28" t="s">
        <v>908</v>
      </c>
      <c r="C38" s="19" t="n">
        <v>0.0025</v>
      </c>
      <c r="D38" s="28" t="s">
        <v>493</v>
      </c>
      <c r="E38" s="28" t="s">
        <v>1521</v>
      </c>
    </row>
    <row r="39" customFormat="false" ht="15" hidden="false" customHeight="false" outlineLevel="0" collapsed="false">
      <c r="A39" s="28" t="s">
        <v>1481</v>
      </c>
      <c r="B39" s="28" t="s">
        <v>914</v>
      </c>
      <c r="C39" s="19" t="n">
        <v>0.0206</v>
      </c>
      <c r="D39" s="28" t="s">
        <v>493</v>
      </c>
      <c r="E39" s="28" t="s">
        <v>1521</v>
      </c>
    </row>
    <row r="40" customFormat="false" ht="15" hidden="false" customHeight="false" outlineLevel="0" collapsed="false">
      <c r="A40" s="28" t="s">
        <v>1481</v>
      </c>
      <c r="B40" s="28" t="s">
        <v>905</v>
      </c>
      <c r="C40" s="19" t="n">
        <v>0.0005</v>
      </c>
      <c r="D40" s="28" t="s">
        <v>493</v>
      </c>
      <c r="E40" s="28" t="s">
        <v>1521</v>
      </c>
    </row>
    <row r="41" customFormat="false" ht="15" hidden="false" customHeight="false" outlineLevel="0" collapsed="false">
      <c r="A41" s="28" t="s">
        <v>1481</v>
      </c>
      <c r="B41" s="28" t="s">
        <v>909</v>
      </c>
      <c r="C41" s="19" t="n">
        <v>0.0046</v>
      </c>
      <c r="D41" s="28" t="s">
        <v>493</v>
      </c>
      <c r="E41" s="28" t="s">
        <v>1521</v>
      </c>
    </row>
    <row r="42" customFormat="false" ht="15" hidden="false" customHeight="false" outlineLevel="0" collapsed="false">
      <c r="A42" s="28" t="s">
        <v>1481</v>
      </c>
      <c r="B42" s="28" t="s">
        <v>910</v>
      </c>
      <c r="C42" s="19" t="n">
        <v>0.0087</v>
      </c>
      <c r="D42" s="28" t="s">
        <v>493</v>
      </c>
      <c r="E42" s="28" t="s">
        <v>1521</v>
      </c>
    </row>
    <row r="43" customFormat="false" ht="15" hidden="false" customHeight="false" outlineLevel="0" collapsed="false">
      <c r="A43" s="28" t="s">
        <v>1481</v>
      </c>
      <c r="B43" s="28" t="s">
        <v>906</v>
      </c>
      <c r="C43" s="19" t="n">
        <v>0.0006</v>
      </c>
      <c r="D43" s="28" t="s">
        <v>493</v>
      </c>
      <c r="E43" s="28" t="s">
        <v>1521</v>
      </c>
    </row>
    <row r="44" customFormat="false" ht="15" hidden="false" customHeight="false" outlineLevel="0" collapsed="false">
      <c r="A44" s="28" t="s">
        <v>1481</v>
      </c>
      <c r="B44" s="28" t="s">
        <v>911</v>
      </c>
      <c r="C44" s="19" t="n">
        <v>0.0121</v>
      </c>
      <c r="D44" s="28" t="s">
        <v>493</v>
      </c>
      <c r="E44" s="28" t="s">
        <v>1521</v>
      </c>
    </row>
    <row r="45" customFormat="false" ht="15" hidden="false" customHeight="false" outlineLevel="0" collapsed="false">
      <c r="A45" s="28" t="s">
        <v>1481</v>
      </c>
      <c r="B45" s="28" t="s">
        <v>904</v>
      </c>
      <c r="C45" s="19" t="n">
        <v>0.0008</v>
      </c>
      <c r="D45" s="28" t="s">
        <v>493</v>
      </c>
      <c r="E45" s="28" t="s">
        <v>1523</v>
      </c>
    </row>
    <row r="46" customFormat="false" ht="15" hidden="false" customHeight="false" outlineLevel="0" collapsed="false">
      <c r="A46" s="28" t="s">
        <v>1481</v>
      </c>
      <c r="B46" s="28" t="s">
        <v>1524</v>
      </c>
      <c r="C46" s="19" t="n">
        <v>0.0025</v>
      </c>
      <c r="D46" s="28" t="s">
        <v>497</v>
      </c>
      <c r="E46" s="28" t="s">
        <v>1525</v>
      </c>
    </row>
    <row r="47" customFormat="false" ht="15" hidden="false" customHeight="false" outlineLevel="0" collapsed="false">
      <c r="A47" s="28" t="s">
        <v>1481</v>
      </c>
      <c r="B47" s="28" t="s">
        <v>915</v>
      </c>
      <c r="C47" s="19" t="n">
        <v>0.0298</v>
      </c>
      <c r="D47" s="28" t="s">
        <v>493</v>
      </c>
      <c r="E47" s="28" t="s">
        <v>1528</v>
      </c>
    </row>
    <row r="48" customFormat="false" ht="15" hidden="false" customHeight="false" outlineLevel="0" collapsed="false">
      <c r="A48" s="28" t="s">
        <v>1481</v>
      </c>
      <c r="B48" s="28" t="s">
        <v>551</v>
      </c>
      <c r="C48" s="19" t="n">
        <v>0.0325</v>
      </c>
      <c r="D48" s="28" t="s">
        <v>497</v>
      </c>
      <c r="E48" s="28" t="s">
        <v>1526</v>
      </c>
    </row>
    <row r="49" customFormat="false" ht="15" hidden="false" customHeight="false" outlineLevel="0" collapsed="false">
      <c r="A49" s="28" t="s">
        <v>1481</v>
      </c>
      <c r="B49" s="28" t="s">
        <v>451</v>
      </c>
      <c r="C49" s="19" t="n">
        <v>0.0006</v>
      </c>
      <c r="D49" s="28" t="s">
        <v>493</v>
      </c>
      <c r="E49" s="28" t="s">
        <v>1527</v>
      </c>
    </row>
    <row r="50" customFormat="false" ht="15" hidden="false" customHeight="false" outlineLevel="0" collapsed="false">
      <c r="A50" s="28" t="s">
        <v>1482</v>
      </c>
      <c r="B50" s="28" t="s">
        <v>912</v>
      </c>
      <c r="C50" s="19" t="n">
        <v>0.0152</v>
      </c>
      <c r="D50" s="28" t="s">
        <v>493</v>
      </c>
      <c r="E50" s="28" t="s">
        <v>1521</v>
      </c>
    </row>
    <row r="51" customFormat="false" ht="15" hidden="false" customHeight="false" outlineLevel="0" collapsed="false">
      <c r="A51" s="28" t="s">
        <v>1482</v>
      </c>
      <c r="B51" s="28" t="s">
        <v>1522</v>
      </c>
      <c r="C51" s="19" t="n">
        <v>0.0007</v>
      </c>
      <c r="D51" s="28" t="s">
        <v>493</v>
      </c>
      <c r="E51" s="28" t="s">
        <v>1521</v>
      </c>
    </row>
    <row r="52" customFormat="false" ht="15" hidden="false" customHeight="false" outlineLevel="0" collapsed="false">
      <c r="A52" s="28" t="s">
        <v>1482</v>
      </c>
      <c r="B52" s="28" t="s">
        <v>907</v>
      </c>
      <c r="C52" s="19" t="n">
        <v>0.0009</v>
      </c>
      <c r="D52" s="28" t="s">
        <v>493</v>
      </c>
      <c r="E52" s="28" t="s">
        <v>1521</v>
      </c>
    </row>
    <row r="53" customFormat="false" ht="15" hidden="false" customHeight="false" outlineLevel="0" collapsed="false">
      <c r="A53" s="28" t="s">
        <v>1482</v>
      </c>
      <c r="B53" s="28" t="s">
        <v>913</v>
      </c>
      <c r="C53" s="19" t="n">
        <v>0.0202</v>
      </c>
      <c r="D53" s="28" t="s">
        <v>493</v>
      </c>
      <c r="E53" s="28" t="s">
        <v>1521</v>
      </c>
    </row>
    <row r="54" customFormat="false" ht="15" hidden="false" customHeight="false" outlineLevel="0" collapsed="false">
      <c r="A54" s="28" t="s">
        <v>1482</v>
      </c>
      <c r="B54" s="28" t="s">
        <v>908</v>
      </c>
      <c r="C54" s="19" t="n">
        <v>0.0028</v>
      </c>
      <c r="D54" s="28" t="s">
        <v>493</v>
      </c>
      <c r="E54" s="28" t="s">
        <v>1521</v>
      </c>
    </row>
    <row r="55" customFormat="false" ht="15" hidden="false" customHeight="false" outlineLevel="0" collapsed="false">
      <c r="A55" s="28" t="s">
        <v>1482</v>
      </c>
      <c r="B55" s="28" t="s">
        <v>914</v>
      </c>
      <c r="C55" s="19" t="n">
        <v>0.0208</v>
      </c>
      <c r="D55" s="28" t="s">
        <v>493</v>
      </c>
      <c r="E55" s="28" t="s">
        <v>1521</v>
      </c>
    </row>
    <row r="56" customFormat="false" ht="15" hidden="false" customHeight="false" outlineLevel="0" collapsed="false">
      <c r="A56" s="28" t="s">
        <v>1482</v>
      </c>
      <c r="B56" s="28" t="s">
        <v>905</v>
      </c>
      <c r="C56" s="19" t="n">
        <v>0.0004</v>
      </c>
      <c r="D56" s="28" t="s">
        <v>493</v>
      </c>
      <c r="E56" s="28" t="s">
        <v>1521</v>
      </c>
    </row>
    <row r="57" customFormat="false" ht="15" hidden="false" customHeight="false" outlineLevel="0" collapsed="false">
      <c r="A57" s="28" t="s">
        <v>1482</v>
      </c>
      <c r="B57" s="28" t="s">
        <v>909</v>
      </c>
      <c r="C57" s="19" t="n">
        <v>0.0053</v>
      </c>
      <c r="D57" s="28" t="s">
        <v>493</v>
      </c>
      <c r="E57" s="28" t="s">
        <v>1521</v>
      </c>
    </row>
    <row r="58" customFormat="false" ht="15" hidden="false" customHeight="false" outlineLevel="0" collapsed="false">
      <c r="A58" s="28" t="s">
        <v>1482</v>
      </c>
      <c r="B58" s="28" t="s">
        <v>910</v>
      </c>
      <c r="C58" s="19" t="n">
        <v>0.0098</v>
      </c>
      <c r="D58" s="28" t="s">
        <v>493</v>
      </c>
      <c r="E58" s="28" t="s">
        <v>1521</v>
      </c>
    </row>
    <row r="59" customFormat="false" ht="15" hidden="false" customHeight="false" outlineLevel="0" collapsed="false">
      <c r="A59" s="28" t="s">
        <v>1482</v>
      </c>
      <c r="B59" s="28" t="s">
        <v>906</v>
      </c>
      <c r="C59" s="19" t="n">
        <v>0.0005</v>
      </c>
      <c r="D59" s="28" t="s">
        <v>493</v>
      </c>
      <c r="E59" s="28" t="s">
        <v>1521</v>
      </c>
    </row>
    <row r="60" customFormat="false" ht="15" hidden="false" customHeight="false" outlineLevel="0" collapsed="false">
      <c r="A60" s="28" t="s">
        <v>1482</v>
      </c>
      <c r="B60" s="28" t="s">
        <v>911</v>
      </c>
      <c r="C60" s="19" t="n">
        <v>0.0132</v>
      </c>
      <c r="D60" s="28" t="s">
        <v>493</v>
      </c>
      <c r="E60" s="28" t="s">
        <v>1521</v>
      </c>
    </row>
    <row r="61" customFormat="false" ht="15" hidden="false" customHeight="false" outlineLevel="0" collapsed="false">
      <c r="A61" s="28" t="s">
        <v>1482</v>
      </c>
      <c r="B61" s="28" t="s">
        <v>904</v>
      </c>
      <c r="C61" s="19" t="n">
        <v>0.0008</v>
      </c>
      <c r="D61" s="28" t="s">
        <v>493</v>
      </c>
      <c r="E61" s="28" t="s">
        <v>1523</v>
      </c>
    </row>
    <row r="62" customFormat="false" ht="15" hidden="false" customHeight="false" outlineLevel="0" collapsed="false">
      <c r="A62" s="28" t="s">
        <v>1482</v>
      </c>
      <c r="B62" s="28" t="s">
        <v>1524</v>
      </c>
      <c r="C62" s="19" t="n">
        <v>0.0025</v>
      </c>
      <c r="D62" s="28" t="s">
        <v>497</v>
      </c>
      <c r="E62" s="28" t="s">
        <v>1525</v>
      </c>
    </row>
    <row r="63" customFormat="false" ht="15" hidden="false" customHeight="false" outlineLevel="0" collapsed="false">
      <c r="A63" s="28" t="s">
        <v>1482</v>
      </c>
      <c r="B63" s="28" t="s">
        <v>915</v>
      </c>
      <c r="C63" s="19" t="n">
        <v>0.0301</v>
      </c>
      <c r="D63" s="28" t="s">
        <v>493</v>
      </c>
      <c r="E63" s="28" t="s">
        <v>1528</v>
      </c>
    </row>
    <row r="64" customFormat="false" ht="15" hidden="false" customHeight="false" outlineLevel="0" collapsed="false">
      <c r="A64" s="28" t="s">
        <v>1482</v>
      </c>
      <c r="B64" s="28" t="s">
        <v>551</v>
      </c>
      <c r="C64" s="19" t="n">
        <v>0.0325</v>
      </c>
      <c r="D64" s="28" t="s">
        <v>497</v>
      </c>
      <c r="E64" s="28" t="s">
        <v>1526</v>
      </c>
    </row>
    <row r="65" customFormat="false" ht="15" hidden="false" customHeight="false" outlineLevel="0" collapsed="false">
      <c r="A65" s="28" t="s">
        <v>1482</v>
      </c>
      <c r="B65" s="28" t="s">
        <v>451</v>
      </c>
      <c r="C65" s="19" t="n">
        <v>0.0006</v>
      </c>
      <c r="D65" s="28" t="s">
        <v>493</v>
      </c>
      <c r="E65" s="28" t="s">
        <v>1527</v>
      </c>
    </row>
    <row r="66" customFormat="false" ht="15" hidden="false" customHeight="false" outlineLevel="0" collapsed="false">
      <c r="A66" s="28" t="s">
        <v>316</v>
      </c>
      <c r="B66" s="28" t="s">
        <v>912</v>
      </c>
      <c r="C66" s="19" t="n">
        <v>0.0152</v>
      </c>
      <c r="D66" s="28" t="s">
        <v>493</v>
      </c>
      <c r="E66" s="28" t="s">
        <v>1521</v>
      </c>
    </row>
    <row r="67" customFormat="false" ht="15" hidden="false" customHeight="false" outlineLevel="0" collapsed="false">
      <c r="A67" s="28" t="s">
        <v>316</v>
      </c>
      <c r="B67" s="28" t="s">
        <v>1522</v>
      </c>
      <c r="C67" s="19" t="n">
        <v>0.0006</v>
      </c>
      <c r="D67" s="28" t="s">
        <v>493</v>
      </c>
      <c r="E67" s="28" t="s">
        <v>1521</v>
      </c>
    </row>
    <row r="68" customFormat="false" ht="15" hidden="false" customHeight="false" outlineLevel="0" collapsed="false">
      <c r="A68" s="28" t="s">
        <v>316</v>
      </c>
      <c r="B68" s="28" t="s">
        <v>907</v>
      </c>
      <c r="C68" s="19" t="n">
        <v>0.0039</v>
      </c>
      <c r="D68" s="28" t="s">
        <v>493</v>
      </c>
      <c r="E68" s="28" t="s">
        <v>1521</v>
      </c>
    </row>
    <row r="69" customFormat="false" ht="15" hidden="false" customHeight="false" outlineLevel="0" collapsed="false">
      <c r="A69" s="28" t="s">
        <v>316</v>
      </c>
      <c r="B69" s="28" t="s">
        <v>913</v>
      </c>
      <c r="C69" s="19" t="n">
        <v>0.0194</v>
      </c>
      <c r="D69" s="28" t="s">
        <v>493</v>
      </c>
      <c r="E69" s="28" t="s">
        <v>1521</v>
      </c>
    </row>
    <row r="70" customFormat="false" ht="15" hidden="false" customHeight="false" outlineLevel="0" collapsed="false">
      <c r="A70" s="28" t="s">
        <v>316</v>
      </c>
      <c r="B70" s="28" t="s">
        <v>908</v>
      </c>
      <c r="C70" s="19" t="n">
        <v>0.0073</v>
      </c>
      <c r="D70" s="28" t="s">
        <v>493</v>
      </c>
      <c r="E70" s="28" t="s">
        <v>1521</v>
      </c>
    </row>
    <row r="71" customFormat="false" ht="15" hidden="false" customHeight="false" outlineLevel="0" collapsed="false">
      <c r="A71" s="28" t="s">
        <v>316</v>
      </c>
      <c r="B71" s="28" t="s">
        <v>914</v>
      </c>
      <c r="C71" s="19" t="n">
        <v>0.019</v>
      </c>
      <c r="D71" s="28" t="s">
        <v>493</v>
      </c>
      <c r="E71" s="28" t="s">
        <v>1521</v>
      </c>
    </row>
    <row r="72" customFormat="false" ht="15" hidden="false" customHeight="false" outlineLevel="0" collapsed="false">
      <c r="A72" s="28" t="s">
        <v>316</v>
      </c>
      <c r="B72" s="28" t="s">
        <v>905</v>
      </c>
      <c r="C72" s="19" t="n">
        <v>0.0005</v>
      </c>
      <c r="D72" s="28" t="s">
        <v>493</v>
      </c>
      <c r="E72" s="28" t="s">
        <v>1521</v>
      </c>
    </row>
    <row r="73" customFormat="false" ht="15" hidden="false" customHeight="false" outlineLevel="0" collapsed="false">
      <c r="A73" s="28" t="s">
        <v>316</v>
      </c>
      <c r="B73" s="28" t="s">
        <v>909</v>
      </c>
      <c r="C73" s="19" t="n">
        <v>0.0097</v>
      </c>
      <c r="D73" s="28" t="s">
        <v>493</v>
      </c>
      <c r="E73" s="28" t="s">
        <v>1521</v>
      </c>
    </row>
    <row r="74" customFormat="false" ht="15" hidden="false" customHeight="false" outlineLevel="0" collapsed="false">
      <c r="A74" s="28" t="s">
        <v>316</v>
      </c>
      <c r="B74" s="28" t="s">
        <v>910</v>
      </c>
      <c r="C74" s="19" t="n">
        <v>0.0126</v>
      </c>
      <c r="D74" s="28" t="s">
        <v>493</v>
      </c>
      <c r="E74" s="28" t="s">
        <v>1521</v>
      </c>
    </row>
    <row r="75" customFormat="false" ht="15" hidden="false" customHeight="false" outlineLevel="0" collapsed="false">
      <c r="A75" s="28" t="s">
        <v>316</v>
      </c>
      <c r="B75" s="28" t="s">
        <v>906</v>
      </c>
      <c r="C75" s="19" t="n">
        <v>0.0019</v>
      </c>
      <c r="D75" s="28" t="s">
        <v>493</v>
      </c>
      <c r="E75" s="28" t="s">
        <v>1521</v>
      </c>
    </row>
    <row r="76" customFormat="false" ht="15" hidden="false" customHeight="false" outlineLevel="0" collapsed="false">
      <c r="A76" s="28" t="s">
        <v>316</v>
      </c>
      <c r="B76" s="28" t="s">
        <v>911</v>
      </c>
      <c r="C76" s="19" t="n">
        <v>0.0144</v>
      </c>
      <c r="D76" s="28" t="s">
        <v>493</v>
      </c>
      <c r="E76" s="28" t="s">
        <v>1521</v>
      </c>
    </row>
    <row r="77" customFormat="false" ht="15" hidden="false" customHeight="false" outlineLevel="0" collapsed="false">
      <c r="A77" s="28" t="s">
        <v>316</v>
      </c>
      <c r="B77" s="28" t="s">
        <v>904</v>
      </c>
      <c r="C77" s="19" t="n">
        <v>0.0008</v>
      </c>
      <c r="D77" s="28" t="s">
        <v>493</v>
      </c>
      <c r="E77" s="28" t="s">
        <v>1523</v>
      </c>
    </row>
    <row r="78" customFormat="false" ht="15" hidden="false" customHeight="false" outlineLevel="0" collapsed="false">
      <c r="A78" s="28" t="s">
        <v>316</v>
      </c>
      <c r="B78" s="28" t="s">
        <v>1524</v>
      </c>
      <c r="C78" s="19" t="n">
        <v>0.0025</v>
      </c>
      <c r="D78" s="28" t="s">
        <v>497</v>
      </c>
      <c r="E78" s="28" t="s">
        <v>1525</v>
      </c>
    </row>
    <row r="79" customFormat="false" ht="15" hidden="false" customHeight="false" outlineLevel="0" collapsed="false">
      <c r="A79" s="28" t="s">
        <v>316</v>
      </c>
      <c r="B79" s="28" t="s">
        <v>915</v>
      </c>
      <c r="C79" s="19" t="n">
        <v>0.0311</v>
      </c>
      <c r="D79" s="28" t="s">
        <v>493</v>
      </c>
      <c r="E79" s="28" t="s">
        <v>1528</v>
      </c>
    </row>
    <row r="80" customFormat="false" ht="15" hidden="false" customHeight="false" outlineLevel="0" collapsed="false">
      <c r="A80" s="28" t="s">
        <v>316</v>
      </c>
      <c r="B80" s="28" t="s">
        <v>551</v>
      </c>
      <c r="C80" s="19" t="n">
        <v>0.0325</v>
      </c>
      <c r="D80" s="28" t="s">
        <v>497</v>
      </c>
      <c r="E80" s="28" t="s">
        <v>1526</v>
      </c>
    </row>
    <row r="81" customFormat="false" ht="15" hidden="false" customHeight="false" outlineLevel="0" collapsed="false">
      <c r="A81" s="28" t="s">
        <v>316</v>
      </c>
      <c r="B81" s="28" t="s">
        <v>451</v>
      </c>
      <c r="C81" s="19" t="n">
        <v>0.0006</v>
      </c>
      <c r="D81" s="28" t="s">
        <v>493</v>
      </c>
      <c r="E81" s="28" t="s">
        <v>1527</v>
      </c>
    </row>
    <row r="82" customFormat="false" ht="15" hidden="false" customHeight="false" outlineLevel="0" collapsed="false">
      <c r="A82" s="28" t="s">
        <v>1529</v>
      </c>
      <c r="B82" s="28" t="s">
        <v>1519</v>
      </c>
      <c r="C82" s="19" t="n">
        <v>0.005</v>
      </c>
      <c r="D82" s="28" t="s">
        <v>497</v>
      </c>
      <c r="E82" s="28" t="s">
        <v>1520</v>
      </c>
    </row>
    <row r="83" customFormat="false" ht="15" hidden="false" customHeight="false" outlineLevel="0" collapsed="false">
      <c r="A83" s="28" t="s">
        <v>1483</v>
      </c>
      <c r="B83" s="28" t="s">
        <v>912</v>
      </c>
      <c r="C83" s="19" t="n">
        <v>0.0232</v>
      </c>
      <c r="D83" s="28" t="s">
        <v>493</v>
      </c>
      <c r="E83" s="28" t="s">
        <v>1521</v>
      </c>
    </row>
    <row r="84" customFormat="false" ht="15" hidden="false" customHeight="false" outlineLevel="0" collapsed="false">
      <c r="A84" s="28" t="s">
        <v>1483</v>
      </c>
      <c r="B84" s="28" t="s">
        <v>1522</v>
      </c>
      <c r="C84" s="19" t="n">
        <v>0.0017</v>
      </c>
      <c r="D84" s="28" t="s">
        <v>493</v>
      </c>
      <c r="E84" s="28" t="s">
        <v>1521</v>
      </c>
    </row>
    <row r="85" customFormat="false" ht="15" hidden="false" customHeight="false" outlineLevel="0" collapsed="false">
      <c r="A85" s="28" t="s">
        <v>1483</v>
      </c>
      <c r="B85" s="28" t="s">
        <v>907</v>
      </c>
      <c r="C85" s="19" t="n">
        <v>0.0163</v>
      </c>
      <c r="D85" s="28" t="s">
        <v>493</v>
      </c>
      <c r="E85" s="28" t="s">
        <v>1521</v>
      </c>
    </row>
    <row r="86" customFormat="false" ht="15" hidden="false" customHeight="false" outlineLevel="0" collapsed="false">
      <c r="A86" s="28" t="s">
        <v>1483</v>
      </c>
      <c r="B86" s="28" t="s">
        <v>913</v>
      </c>
      <c r="C86" s="19" t="n">
        <v>0.0259</v>
      </c>
      <c r="D86" s="28" t="s">
        <v>493</v>
      </c>
      <c r="E86" s="28" t="s">
        <v>1521</v>
      </c>
    </row>
    <row r="87" customFormat="false" ht="15" hidden="false" customHeight="false" outlineLevel="0" collapsed="false">
      <c r="A87" s="28" t="s">
        <v>1483</v>
      </c>
      <c r="B87" s="28" t="s">
        <v>908</v>
      </c>
      <c r="C87" s="19" t="n">
        <v>0.0228</v>
      </c>
      <c r="D87" s="28" t="s">
        <v>493</v>
      </c>
      <c r="E87" s="28" t="s">
        <v>1521</v>
      </c>
    </row>
    <row r="88" customFormat="false" ht="15" hidden="false" customHeight="false" outlineLevel="0" collapsed="false">
      <c r="A88" s="28" t="s">
        <v>1483</v>
      </c>
      <c r="B88" s="28" t="s">
        <v>914</v>
      </c>
      <c r="C88" s="19" t="n">
        <v>0.0244</v>
      </c>
      <c r="D88" s="28" t="s">
        <v>493</v>
      </c>
      <c r="E88" s="28" t="s">
        <v>1521</v>
      </c>
    </row>
    <row r="89" customFormat="false" ht="15" hidden="false" customHeight="false" outlineLevel="0" collapsed="false">
      <c r="A89" s="28" t="s">
        <v>1483</v>
      </c>
      <c r="B89" s="28" t="s">
        <v>905</v>
      </c>
      <c r="C89" s="19" t="n">
        <v>0.0052</v>
      </c>
      <c r="D89" s="28" t="s">
        <v>493</v>
      </c>
      <c r="E89" s="28" t="s">
        <v>1521</v>
      </c>
    </row>
    <row r="90" customFormat="false" ht="15" hidden="false" customHeight="false" outlineLevel="0" collapsed="false">
      <c r="A90" s="28" t="s">
        <v>1483</v>
      </c>
      <c r="B90" s="28" t="s">
        <v>909</v>
      </c>
      <c r="C90" s="19" t="n">
        <v>0.0245</v>
      </c>
      <c r="D90" s="28" t="s">
        <v>493</v>
      </c>
      <c r="E90" s="28" t="s">
        <v>1521</v>
      </c>
    </row>
    <row r="91" customFormat="false" ht="15" hidden="false" customHeight="false" outlineLevel="0" collapsed="false">
      <c r="A91" s="28" t="s">
        <v>1483</v>
      </c>
      <c r="B91" s="28" t="s">
        <v>910</v>
      </c>
      <c r="C91" s="19" t="n">
        <v>0.0242</v>
      </c>
      <c r="D91" s="28" t="s">
        <v>493</v>
      </c>
      <c r="E91" s="28" t="s">
        <v>1521</v>
      </c>
    </row>
    <row r="92" customFormat="false" ht="15" hidden="false" customHeight="false" outlineLevel="0" collapsed="false">
      <c r="A92" s="28" t="s">
        <v>1483</v>
      </c>
      <c r="B92" s="28" t="s">
        <v>906</v>
      </c>
      <c r="C92" s="19" t="n">
        <v>0.0106</v>
      </c>
      <c r="D92" s="28" t="s">
        <v>493</v>
      </c>
      <c r="E92" s="28" t="s">
        <v>1521</v>
      </c>
    </row>
    <row r="93" customFormat="false" ht="15" hidden="false" customHeight="false" outlineLevel="0" collapsed="false">
      <c r="A93" s="28" t="s">
        <v>1483</v>
      </c>
      <c r="B93" s="28" t="s">
        <v>911</v>
      </c>
      <c r="C93" s="19" t="n">
        <v>0.024</v>
      </c>
      <c r="D93" s="28" t="s">
        <v>493</v>
      </c>
      <c r="E93" s="28" t="s">
        <v>1521</v>
      </c>
    </row>
    <row r="94" customFormat="false" ht="15" hidden="false" customHeight="false" outlineLevel="0" collapsed="false">
      <c r="A94" s="28" t="s">
        <v>1483</v>
      </c>
      <c r="B94" s="28" t="s">
        <v>904</v>
      </c>
      <c r="C94" s="19" t="n">
        <v>0.0038</v>
      </c>
      <c r="D94" s="28" t="s">
        <v>493</v>
      </c>
      <c r="E94" s="28" t="s">
        <v>1523</v>
      </c>
    </row>
    <row r="95" customFormat="false" ht="15" hidden="false" customHeight="false" outlineLevel="0" collapsed="false">
      <c r="A95" s="28" t="s">
        <v>1483</v>
      </c>
      <c r="B95" s="28" t="s">
        <v>1524</v>
      </c>
      <c r="C95" s="19" t="n">
        <v>0.005</v>
      </c>
      <c r="D95" s="28" t="s">
        <v>497</v>
      </c>
      <c r="E95" s="28" t="s">
        <v>1525</v>
      </c>
    </row>
    <row r="96" customFormat="false" ht="15" hidden="false" customHeight="false" outlineLevel="0" collapsed="false">
      <c r="A96" s="28" t="s">
        <v>1483</v>
      </c>
      <c r="B96" s="28" t="s">
        <v>915</v>
      </c>
      <c r="C96" s="19" t="n">
        <v>0.0467</v>
      </c>
      <c r="D96" s="28" t="s">
        <v>493</v>
      </c>
      <c r="E96" s="28" t="s">
        <v>1528</v>
      </c>
    </row>
    <row r="97" customFormat="false" ht="15" hidden="false" customHeight="false" outlineLevel="0" collapsed="false">
      <c r="A97" s="28" t="s">
        <v>1483</v>
      </c>
      <c r="B97" s="28" t="s">
        <v>551</v>
      </c>
      <c r="C97" s="19" t="n">
        <v>0.035</v>
      </c>
      <c r="D97" s="28" t="s">
        <v>497</v>
      </c>
      <c r="E97" s="28" t="s">
        <v>1526</v>
      </c>
    </row>
    <row r="98" customFormat="false" ht="15" hidden="false" customHeight="false" outlineLevel="0" collapsed="false">
      <c r="A98" s="28" t="s">
        <v>1483</v>
      </c>
      <c r="B98" s="28" t="s">
        <v>451</v>
      </c>
      <c r="C98" s="19" t="n">
        <v>0.0036</v>
      </c>
      <c r="D98" s="28" t="s">
        <v>493</v>
      </c>
      <c r="E98" s="28" t="s">
        <v>1527</v>
      </c>
    </row>
    <row r="99" customFormat="false" ht="15" hidden="false" customHeight="false" outlineLevel="0" collapsed="false">
      <c r="A99" s="28" t="s">
        <v>1530</v>
      </c>
      <c r="B99" s="28" t="s">
        <v>1519</v>
      </c>
      <c r="C99" s="19" t="n">
        <v>0.01</v>
      </c>
      <c r="D99" s="28" t="s">
        <v>497</v>
      </c>
      <c r="E99" s="28" t="s">
        <v>1520</v>
      </c>
    </row>
    <row r="100" customFormat="false" ht="15" hidden="false" customHeight="false" outlineLevel="0" collapsed="false">
      <c r="A100" s="28" t="s">
        <v>1531</v>
      </c>
      <c r="B100" s="28" t="s">
        <v>1519</v>
      </c>
      <c r="C100" s="19" t="n">
        <v>0.0175</v>
      </c>
      <c r="D100" s="28" t="s">
        <v>497</v>
      </c>
      <c r="E100" s="28" t="s">
        <v>1520</v>
      </c>
    </row>
    <row r="101" customFormat="false" ht="15" hidden="false" customHeight="false" outlineLevel="0" collapsed="false">
      <c r="A101" s="28" t="s">
        <v>1484</v>
      </c>
      <c r="B101" s="28" t="s">
        <v>912</v>
      </c>
      <c r="C101" s="19" t="n">
        <v>0.0298</v>
      </c>
      <c r="D101" s="28" t="s">
        <v>493</v>
      </c>
      <c r="E101" s="28" t="s">
        <v>1521</v>
      </c>
    </row>
    <row r="102" customFormat="false" ht="15" hidden="false" customHeight="false" outlineLevel="0" collapsed="false">
      <c r="A102" s="28" t="s">
        <v>1484</v>
      </c>
      <c r="B102" s="28" t="s">
        <v>1522</v>
      </c>
      <c r="C102" s="19" t="n">
        <v>0.0128</v>
      </c>
      <c r="D102" s="28" t="s">
        <v>493</v>
      </c>
      <c r="E102" s="28" t="s">
        <v>1521</v>
      </c>
    </row>
    <row r="103" customFormat="false" ht="15" hidden="false" customHeight="false" outlineLevel="0" collapsed="false">
      <c r="A103" s="28" t="s">
        <v>1484</v>
      </c>
      <c r="B103" s="28" t="s">
        <v>907</v>
      </c>
      <c r="C103" s="19" t="n">
        <v>0.028</v>
      </c>
      <c r="D103" s="28" t="s">
        <v>493</v>
      </c>
      <c r="E103" s="28" t="s">
        <v>1521</v>
      </c>
    </row>
    <row r="104" customFormat="false" ht="15" hidden="false" customHeight="false" outlineLevel="0" collapsed="false">
      <c r="A104" s="28" t="s">
        <v>1484</v>
      </c>
      <c r="B104" s="28" t="s">
        <v>913</v>
      </c>
      <c r="C104" s="19" t="n">
        <v>0.0338</v>
      </c>
      <c r="D104" s="28" t="s">
        <v>493</v>
      </c>
      <c r="E104" s="28" t="s">
        <v>1521</v>
      </c>
    </row>
    <row r="105" customFormat="false" ht="15" hidden="false" customHeight="false" outlineLevel="0" collapsed="false">
      <c r="A105" s="28" t="s">
        <v>1484</v>
      </c>
      <c r="B105" s="28" t="s">
        <v>908</v>
      </c>
      <c r="C105" s="19" t="n">
        <v>0.0292</v>
      </c>
      <c r="D105" s="28" t="s">
        <v>493</v>
      </c>
      <c r="E105" s="28" t="s">
        <v>1521</v>
      </c>
    </row>
    <row r="106" customFormat="false" ht="15" hidden="false" customHeight="false" outlineLevel="0" collapsed="false">
      <c r="A106" s="28" t="s">
        <v>1484</v>
      </c>
      <c r="B106" s="28" t="s">
        <v>914</v>
      </c>
      <c r="C106" s="19" t="n">
        <v>0.0314</v>
      </c>
      <c r="D106" s="28" t="s">
        <v>493</v>
      </c>
      <c r="E106" s="28" t="s">
        <v>1521</v>
      </c>
    </row>
    <row r="107" customFormat="false" ht="15" hidden="false" customHeight="false" outlineLevel="0" collapsed="false">
      <c r="A107" s="28" t="s">
        <v>1484</v>
      </c>
      <c r="B107" s="28" t="s">
        <v>905</v>
      </c>
      <c r="C107" s="19" t="n">
        <v>0.0172</v>
      </c>
      <c r="D107" s="28" t="s">
        <v>493</v>
      </c>
      <c r="E107" s="28" t="s">
        <v>1521</v>
      </c>
    </row>
    <row r="108" customFormat="false" ht="15" hidden="false" customHeight="false" outlineLevel="0" collapsed="false">
      <c r="A108" s="28" t="s">
        <v>1484</v>
      </c>
      <c r="B108" s="28" t="s">
        <v>909</v>
      </c>
      <c r="C108" s="19" t="n">
        <v>0.0299</v>
      </c>
      <c r="D108" s="28" t="s">
        <v>493</v>
      </c>
      <c r="E108" s="28" t="s">
        <v>1521</v>
      </c>
    </row>
    <row r="109" customFormat="false" ht="15" hidden="false" customHeight="false" outlineLevel="0" collapsed="false">
      <c r="A109" s="28" t="s">
        <v>1484</v>
      </c>
      <c r="B109" s="28" t="s">
        <v>910</v>
      </c>
      <c r="C109" s="19" t="n">
        <v>0.0301</v>
      </c>
      <c r="D109" s="28" t="s">
        <v>493</v>
      </c>
      <c r="E109" s="28" t="s">
        <v>1521</v>
      </c>
    </row>
    <row r="110" customFormat="false" ht="15" hidden="false" customHeight="false" outlineLevel="0" collapsed="false">
      <c r="A110" s="28" t="s">
        <v>1484</v>
      </c>
      <c r="B110" s="28" t="s">
        <v>906</v>
      </c>
      <c r="C110" s="19" t="n">
        <v>0.0251</v>
      </c>
      <c r="D110" s="28" t="s">
        <v>493</v>
      </c>
      <c r="E110" s="28" t="s">
        <v>1521</v>
      </c>
    </row>
    <row r="111" customFormat="false" ht="15" hidden="false" customHeight="false" outlineLevel="0" collapsed="false">
      <c r="A111" s="28" t="s">
        <v>1484</v>
      </c>
      <c r="B111" s="28" t="s">
        <v>911</v>
      </c>
      <c r="C111" s="19" t="n">
        <v>0.0304</v>
      </c>
      <c r="D111" s="28" t="s">
        <v>493</v>
      </c>
      <c r="E111" s="28" t="s">
        <v>1521</v>
      </c>
    </row>
    <row r="112" customFormat="false" ht="15" hidden="false" customHeight="false" outlineLevel="0" collapsed="false">
      <c r="A112" s="28" t="s">
        <v>1484</v>
      </c>
      <c r="B112" s="28" t="s">
        <v>904</v>
      </c>
      <c r="C112" s="19" t="n">
        <v>0.0163</v>
      </c>
      <c r="D112" s="28" t="s">
        <v>493</v>
      </c>
      <c r="E112" s="28" t="s">
        <v>1523</v>
      </c>
    </row>
    <row r="113" customFormat="false" ht="15" hidden="false" customHeight="false" outlineLevel="0" collapsed="false">
      <c r="A113" s="28" t="s">
        <v>1484</v>
      </c>
      <c r="B113" s="28" t="s">
        <v>1524</v>
      </c>
      <c r="C113" s="19" t="n">
        <v>0.0175</v>
      </c>
      <c r="D113" s="28" t="s">
        <v>497</v>
      </c>
      <c r="E113" s="28" t="s">
        <v>1525</v>
      </c>
    </row>
    <row r="114" customFormat="false" ht="15" hidden="false" customHeight="false" outlineLevel="0" collapsed="false">
      <c r="A114" s="28" t="s">
        <v>1484</v>
      </c>
      <c r="B114" s="28" t="s">
        <v>915</v>
      </c>
      <c r="C114" s="19" t="n">
        <v>0.057</v>
      </c>
      <c r="D114" s="28" t="s">
        <v>493</v>
      </c>
      <c r="E114" s="28" t="s">
        <v>1528</v>
      </c>
    </row>
    <row r="115" customFormat="false" ht="15" hidden="false" customHeight="false" outlineLevel="0" collapsed="false">
      <c r="A115" s="28" t="s">
        <v>1484</v>
      </c>
      <c r="B115" s="28" t="s">
        <v>551</v>
      </c>
      <c r="C115" s="19" t="n">
        <v>0.0475</v>
      </c>
      <c r="D115" s="28" t="s">
        <v>497</v>
      </c>
      <c r="E115" s="28" t="s">
        <v>1526</v>
      </c>
    </row>
    <row r="116" customFormat="false" ht="15" hidden="false" customHeight="false" outlineLevel="0" collapsed="false">
      <c r="A116" s="28" t="s">
        <v>1484</v>
      </c>
      <c r="B116" s="28" t="s">
        <v>451</v>
      </c>
      <c r="C116" s="19" t="n">
        <v>0.0161</v>
      </c>
      <c r="D116" s="28" t="s">
        <v>493</v>
      </c>
      <c r="E116" s="28" t="s">
        <v>1527</v>
      </c>
    </row>
    <row r="117" customFormat="false" ht="15" hidden="false" customHeight="false" outlineLevel="0" collapsed="false">
      <c r="A117" s="28" t="s">
        <v>1532</v>
      </c>
      <c r="B117" s="28" t="s">
        <v>1519</v>
      </c>
      <c r="C117" s="19" t="n">
        <v>0.025</v>
      </c>
      <c r="D117" s="28" t="s">
        <v>497</v>
      </c>
      <c r="E117" s="28" t="s">
        <v>1520</v>
      </c>
    </row>
    <row r="118" customFormat="false" ht="15" hidden="false" customHeight="false" outlineLevel="0" collapsed="false">
      <c r="A118" s="28" t="s">
        <v>1533</v>
      </c>
      <c r="B118" s="28" t="s">
        <v>1519</v>
      </c>
      <c r="C118" s="19" t="n">
        <v>0.0325</v>
      </c>
      <c r="D118" s="28" t="s">
        <v>497</v>
      </c>
      <c r="E118" s="28" t="s">
        <v>1520</v>
      </c>
    </row>
    <row r="119" customFormat="false" ht="15" hidden="false" customHeight="false" outlineLevel="0" collapsed="false">
      <c r="A119" s="28" t="s">
        <v>1485</v>
      </c>
      <c r="B119" s="28" t="s">
        <v>912</v>
      </c>
      <c r="C119" s="19" t="n">
        <v>0.0383</v>
      </c>
      <c r="D119" s="28" t="s">
        <v>493</v>
      </c>
      <c r="E119" s="28" t="s">
        <v>1521</v>
      </c>
    </row>
    <row r="120" customFormat="false" ht="15" hidden="false" customHeight="false" outlineLevel="0" collapsed="false">
      <c r="A120" s="28" t="s">
        <v>1485</v>
      </c>
      <c r="B120" s="28" t="s">
        <v>1522</v>
      </c>
      <c r="C120" s="19" t="n">
        <v>0.0279</v>
      </c>
      <c r="D120" s="28" t="s">
        <v>493</v>
      </c>
      <c r="E120" s="28" t="s">
        <v>1521</v>
      </c>
    </row>
    <row r="121" customFormat="false" ht="15" hidden="false" customHeight="false" outlineLevel="0" collapsed="false">
      <c r="A121" s="28" t="s">
        <v>1485</v>
      </c>
      <c r="B121" s="28" t="s">
        <v>907</v>
      </c>
      <c r="C121" s="19" t="n">
        <v>0.0405</v>
      </c>
      <c r="D121" s="28" t="s">
        <v>493</v>
      </c>
      <c r="E121" s="28" t="s">
        <v>1521</v>
      </c>
    </row>
    <row r="122" customFormat="false" ht="15" hidden="false" customHeight="false" outlineLevel="0" collapsed="false">
      <c r="A122" s="28" t="s">
        <v>1485</v>
      </c>
      <c r="B122" s="28" t="s">
        <v>913</v>
      </c>
      <c r="C122" s="19" t="n">
        <v>0.0408</v>
      </c>
      <c r="D122" s="28" t="s">
        <v>493</v>
      </c>
      <c r="E122" s="28" t="s">
        <v>1521</v>
      </c>
    </row>
    <row r="123" customFormat="false" ht="15" hidden="false" customHeight="false" outlineLevel="0" collapsed="false">
      <c r="A123" s="28" t="s">
        <v>1485</v>
      </c>
      <c r="B123" s="28" t="s">
        <v>908</v>
      </c>
      <c r="C123" s="19" t="n">
        <v>0.0422</v>
      </c>
      <c r="D123" s="28" t="s">
        <v>493</v>
      </c>
      <c r="E123" s="28" t="s">
        <v>1521</v>
      </c>
    </row>
    <row r="124" customFormat="false" ht="15" hidden="false" customHeight="false" outlineLevel="0" collapsed="false">
      <c r="A124" s="28" t="s">
        <v>1485</v>
      </c>
      <c r="B124" s="28" t="s">
        <v>914</v>
      </c>
      <c r="C124" s="19" t="n">
        <v>0.0379</v>
      </c>
      <c r="D124" s="28" t="s">
        <v>493</v>
      </c>
      <c r="E124" s="28" t="s">
        <v>1521</v>
      </c>
    </row>
    <row r="125" customFormat="false" ht="15" hidden="false" customHeight="false" outlineLevel="0" collapsed="false">
      <c r="A125" s="28" t="s">
        <v>1485</v>
      </c>
      <c r="B125" s="28" t="s">
        <v>905</v>
      </c>
      <c r="C125" s="19" t="n">
        <v>0.0333</v>
      </c>
      <c r="D125" s="28" t="s">
        <v>493</v>
      </c>
      <c r="E125" s="28" t="s">
        <v>1521</v>
      </c>
    </row>
    <row r="126" customFormat="false" ht="15" hidden="false" customHeight="false" outlineLevel="0" collapsed="false">
      <c r="A126" s="28" t="s">
        <v>1485</v>
      </c>
      <c r="B126" s="28" t="s">
        <v>909</v>
      </c>
      <c r="C126" s="19" t="n">
        <v>0.0425</v>
      </c>
      <c r="D126" s="28" t="s">
        <v>493</v>
      </c>
      <c r="E126" s="28" t="s">
        <v>1521</v>
      </c>
    </row>
    <row r="127" customFormat="false" ht="15" hidden="false" customHeight="false" outlineLevel="0" collapsed="false">
      <c r="A127" s="28" t="s">
        <v>1485</v>
      </c>
      <c r="B127" s="28" t="s">
        <v>910</v>
      </c>
      <c r="C127" s="19" t="n">
        <v>0.0406</v>
      </c>
      <c r="D127" s="28" t="s">
        <v>493</v>
      </c>
      <c r="E127" s="28" t="s">
        <v>1521</v>
      </c>
    </row>
    <row r="128" customFormat="false" ht="15" hidden="false" customHeight="false" outlineLevel="0" collapsed="false">
      <c r="A128" s="28" t="s">
        <v>1485</v>
      </c>
      <c r="B128" s="28" t="s">
        <v>906</v>
      </c>
      <c r="C128" s="19" t="n">
        <v>0.0392</v>
      </c>
      <c r="D128" s="28" t="s">
        <v>493</v>
      </c>
      <c r="E128" s="28" t="s">
        <v>1521</v>
      </c>
    </row>
    <row r="129" customFormat="false" ht="15" hidden="false" customHeight="false" outlineLevel="0" collapsed="false">
      <c r="A129" s="28" t="s">
        <v>1485</v>
      </c>
      <c r="B129" s="28" t="s">
        <v>911</v>
      </c>
      <c r="C129" s="19" t="n">
        <v>0.0397</v>
      </c>
      <c r="D129" s="28" t="s">
        <v>493</v>
      </c>
      <c r="E129" s="28" t="s">
        <v>1521</v>
      </c>
    </row>
    <row r="130" customFormat="false" ht="15" hidden="false" customHeight="false" outlineLevel="0" collapsed="false">
      <c r="A130" s="28" t="s">
        <v>1485</v>
      </c>
      <c r="B130" s="28" t="s">
        <v>904</v>
      </c>
      <c r="C130" s="19" t="n">
        <v>0.0313</v>
      </c>
      <c r="D130" s="28" t="s">
        <v>493</v>
      </c>
      <c r="E130" s="28" t="s">
        <v>1523</v>
      </c>
    </row>
    <row r="131" customFormat="false" ht="15" hidden="false" customHeight="false" outlineLevel="0" collapsed="false">
      <c r="A131" s="28" t="s">
        <v>1485</v>
      </c>
      <c r="B131" s="28" t="s">
        <v>1524</v>
      </c>
      <c r="C131" s="19" t="n">
        <v>0.0325</v>
      </c>
      <c r="D131" s="28" t="s">
        <v>497</v>
      </c>
      <c r="E131" s="28" t="s">
        <v>1525</v>
      </c>
    </row>
    <row r="132" customFormat="false" ht="15" hidden="false" customHeight="false" outlineLevel="0" collapsed="false">
      <c r="A132" s="28" t="s">
        <v>1485</v>
      </c>
      <c r="B132" s="28" t="s">
        <v>915</v>
      </c>
      <c r="C132" s="19" t="n">
        <v>0.067</v>
      </c>
      <c r="D132" s="28" t="s">
        <v>493</v>
      </c>
      <c r="E132" s="28" t="s">
        <v>1528</v>
      </c>
    </row>
    <row r="133" customFormat="false" ht="15" hidden="false" customHeight="false" outlineLevel="0" collapsed="false">
      <c r="A133" s="28" t="s">
        <v>1485</v>
      </c>
      <c r="B133" s="28" t="s">
        <v>551</v>
      </c>
      <c r="C133" s="19" t="n">
        <v>0.0625</v>
      </c>
      <c r="D133" s="28" t="s">
        <v>497</v>
      </c>
      <c r="E133" s="28" t="s">
        <v>1526</v>
      </c>
    </row>
    <row r="134" customFormat="false" ht="15" hidden="false" customHeight="false" outlineLevel="0" collapsed="false">
      <c r="A134" s="28" t="s">
        <v>1485</v>
      </c>
      <c r="B134" s="28" t="s">
        <v>451</v>
      </c>
      <c r="C134" s="19" t="n">
        <v>0.0311</v>
      </c>
      <c r="D134" s="28" t="s">
        <v>493</v>
      </c>
      <c r="E134" s="28" t="s">
        <v>1527</v>
      </c>
    </row>
    <row r="135" customFormat="false" ht="15" hidden="false" customHeight="false" outlineLevel="0" collapsed="false">
      <c r="A135" s="28" t="s">
        <v>1534</v>
      </c>
      <c r="B135" s="28" t="s">
        <v>1519</v>
      </c>
      <c r="C135" s="19" t="n">
        <v>0.04</v>
      </c>
      <c r="D135" s="28" t="s">
        <v>497</v>
      </c>
      <c r="E135" s="28" t="s">
        <v>1520</v>
      </c>
    </row>
    <row r="136" customFormat="false" ht="15" hidden="false" customHeight="false" outlineLevel="0" collapsed="false">
      <c r="A136" s="28" t="s">
        <v>1535</v>
      </c>
      <c r="B136" s="28" t="s">
        <v>1519</v>
      </c>
      <c r="C136" s="19" t="n">
        <v>0.045</v>
      </c>
      <c r="D136" s="28" t="s">
        <v>497</v>
      </c>
      <c r="E136" s="28" t="s">
        <v>1520</v>
      </c>
    </row>
    <row r="137" customFormat="false" ht="15" hidden="false" customHeight="false" outlineLevel="0" collapsed="false">
      <c r="A137" s="28" t="s">
        <v>317</v>
      </c>
      <c r="B137" s="28" t="s">
        <v>912</v>
      </c>
      <c r="C137" s="19" t="n">
        <v>0.0388</v>
      </c>
      <c r="D137" s="28" t="s">
        <v>493</v>
      </c>
      <c r="E137" s="28" t="s">
        <v>1521</v>
      </c>
    </row>
    <row r="138" customFormat="false" ht="15" hidden="false" customHeight="false" outlineLevel="0" collapsed="false">
      <c r="A138" s="28" t="s">
        <v>317</v>
      </c>
      <c r="B138" s="28" t="s">
        <v>1522</v>
      </c>
      <c r="C138" s="19" t="n">
        <v>0.0412</v>
      </c>
      <c r="D138" s="28" t="s">
        <v>493</v>
      </c>
      <c r="E138" s="28" t="s">
        <v>1521</v>
      </c>
    </row>
    <row r="139" customFormat="false" ht="15" hidden="false" customHeight="false" outlineLevel="0" collapsed="false">
      <c r="A139" s="28" t="s">
        <v>317</v>
      </c>
      <c r="B139" s="28" t="s">
        <v>907</v>
      </c>
      <c r="C139" s="19" t="n">
        <v>0.0473</v>
      </c>
      <c r="D139" s="28" t="s">
        <v>493</v>
      </c>
      <c r="E139" s="28" t="s">
        <v>1521</v>
      </c>
    </row>
    <row r="140" customFormat="false" ht="15" hidden="false" customHeight="false" outlineLevel="0" collapsed="false">
      <c r="A140" s="28" t="s">
        <v>317</v>
      </c>
      <c r="B140" s="28" t="s">
        <v>913</v>
      </c>
      <c r="C140" s="19" t="n">
        <v>0.0414</v>
      </c>
      <c r="D140" s="28" t="s">
        <v>493</v>
      </c>
      <c r="E140" s="28" t="s">
        <v>1521</v>
      </c>
    </row>
    <row r="141" customFormat="false" ht="15" hidden="false" customHeight="false" outlineLevel="0" collapsed="false">
      <c r="A141" s="28" t="s">
        <v>317</v>
      </c>
      <c r="B141" s="28" t="s">
        <v>908</v>
      </c>
      <c r="C141" s="19" t="n">
        <v>0.0441</v>
      </c>
      <c r="D141" s="28" t="s">
        <v>493</v>
      </c>
      <c r="E141" s="28" t="s">
        <v>1521</v>
      </c>
    </row>
    <row r="142" customFormat="false" ht="15" hidden="false" customHeight="false" outlineLevel="0" collapsed="false">
      <c r="A142" s="28" t="s">
        <v>317</v>
      </c>
      <c r="B142" s="28" t="s">
        <v>914</v>
      </c>
      <c r="C142" s="19" t="n">
        <v>0.0397</v>
      </c>
      <c r="D142" s="28" t="s">
        <v>493</v>
      </c>
      <c r="E142" s="28" t="s">
        <v>1521</v>
      </c>
    </row>
    <row r="143" customFormat="false" ht="15" hidden="false" customHeight="false" outlineLevel="0" collapsed="false">
      <c r="A143" s="28" t="s">
        <v>317</v>
      </c>
      <c r="B143" s="28" t="s">
        <v>905</v>
      </c>
      <c r="C143" s="19" t="n">
        <v>0.0442</v>
      </c>
      <c r="D143" s="28" t="s">
        <v>493</v>
      </c>
      <c r="E143" s="28" t="s">
        <v>1521</v>
      </c>
    </row>
    <row r="144" customFormat="false" ht="15" hidden="false" customHeight="false" outlineLevel="0" collapsed="false">
      <c r="A144" s="28" t="s">
        <v>317</v>
      </c>
      <c r="B144" s="28" t="s">
        <v>909</v>
      </c>
      <c r="C144" s="19" t="n">
        <v>0.0422</v>
      </c>
      <c r="D144" s="28" t="s">
        <v>493</v>
      </c>
      <c r="E144" s="28" t="s">
        <v>1521</v>
      </c>
    </row>
    <row r="145" customFormat="false" ht="15" hidden="false" customHeight="false" outlineLevel="0" collapsed="false">
      <c r="A145" s="28" t="s">
        <v>317</v>
      </c>
      <c r="B145" s="28" t="s">
        <v>910</v>
      </c>
      <c r="C145" s="19" t="n">
        <v>0.0399</v>
      </c>
      <c r="D145" s="28" t="s">
        <v>493</v>
      </c>
      <c r="E145" s="28" t="s">
        <v>1521</v>
      </c>
    </row>
    <row r="146" customFormat="false" ht="15" hidden="false" customHeight="false" outlineLevel="0" collapsed="false">
      <c r="A146" s="28" t="s">
        <v>317</v>
      </c>
      <c r="B146" s="28" t="s">
        <v>906</v>
      </c>
      <c r="C146" s="19" t="n">
        <v>0.0476</v>
      </c>
      <c r="D146" s="28" t="s">
        <v>493</v>
      </c>
      <c r="E146" s="28" t="s">
        <v>1521</v>
      </c>
    </row>
    <row r="147" customFormat="false" ht="15" hidden="false" customHeight="false" outlineLevel="0" collapsed="false">
      <c r="A147" s="28" t="s">
        <v>317</v>
      </c>
      <c r="B147" s="28" t="s">
        <v>911</v>
      </c>
      <c r="C147" s="19" t="n">
        <v>0.0396</v>
      </c>
      <c r="D147" s="28" t="s">
        <v>493</v>
      </c>
      <c r="E147" s="28" t="s">
        <v>1521</v>
      </c>
    </row>
    <row r="148" customFormat="false" ht="15" hidden="false" customHeight="false" outlineLevel="0" collapsed="false">
      <c r="A148" s="28" t="s">
        <v>317</v>
      </c>
      <c r="B148" s="28" t="s">
        <v>904</v>
      </c>
      <c r="C148" s="19" t="n">
        <v>0.0438</v>
      </c>
      <c r="D148" s="28" t="s">
        <v>493</v>
      </c>
      <c r="E148" s="28" t="s">
        <v>1523</v>
      </c>
    </row>
    <row r="149" customFormat="false" ht="15" hidden="false" customHeight="false" outlineLevel="0" collapsed="false">
      <c r="A149" s="28" t="s">
        <v>317</v>
      </c>
      <c r="B149" s="28" t="s">
        <v>1524</v>
      </c>
      <c r="C149" s="19" t="n">
        <v>0.045</v>
      </c>
      <c r="D149" s="28" t="s">
        <v>497</v>
      </c>
      <c r="E149" s="28" t="s">
        <v>1525</v>
      </c>
    </row>
    <row r="150" customFormat="false" ht="15" hidden="false" customHeight="false" outlineLevel="0" collapsed="false">
      <c r="A150" s="28" t="s">
        <v>317</v>
      </c>
      <c r="B150" s="28" t="s">
        <v>915</v>
      </c>
      <c r="C150" s="19" t="n">
        <v>0.0642</v>
      </c>
      <c r="D150" s="28" t="s">
        <v>493</v>
      </c>
      <c r="E150" s="28" t="s">
        <v>1528</v>
      </c>
    </row>
    <row r="151" customFormat="false" ht="15" hidden="false" customHeight="false" outlineLevel="0" collapsed="false">
      <c r="A151" s="28" t="s">
        <v>317</v>
      </c>
      <c r="B151" s="28" t="s">
        <v>551</v>
      </c>
      <c r="C151" s="19" t="n">
        <v>0.075</v>
      </c>
      <c r="D151" s="28" t="s">
        <v>497</v>
      </c>
      <c r="E151" s="28" t="s">
        <v>1526</v>
      </c>
    </row>
    <row r="152" customFormat="false" ht="15" hidden="false" customHeight="false" outlineLevel="0" collapsed="false">
      <c r="A152" s="28" t="s">
        <v>317</v>
      </c>
      <c r="B152" s="28" t="s">
        <v>451</v>
      </c>
      <c r="C152" s="19" t="n">
        <v>0.0436</v>
      </c>
      <c r="D152" s="28" t="s">
        <v>493</v>
      </c>
      <c r="E152" s="28" t="s">
        <v>1527</v>
      </c>
    </row>
    <row r="153" customFormat="false" ht="15" hidden="false" customHeight="false" outlineLevel="0" collapsed="false">
      <c r="A153" s="28" t="s">
        <v>1536</v>
      </c>
      <c r="B153" s="28" t="s">
        <v>1519</v>
      </c>
      <c r="C153" s="19" t="n">
        <v>0.0475</v>
      </c>
      <c r="D153" s="28" t="s">
        <v>497</v>
      </c>
      <c r="E153" s="28" t="s">
        <v>1520</v>
      </c>
    </row>
    <row r="154" customFormat="false" ht="15" hidden="false" customHeight="false" outlineLevel="0" collapsed="false">
      <c r="A154" s="28" t="s">
        <v>1537</v>
      </c>
      <c r="B154" s="28" t="s">
        <v>1519</v>
      </c>
      <c r="C154" s="19" t="n">
        <v>0.05</v>
      </c>
      <c r="D154" s="28" t="s">
        <v>497</v>
      </c>
      <c r="E154" s="28" t="s">
        <v>1520</v>
      </c>
    </row>
    <row r="155" customFormat="false" ht="15" hidden="false" customHeight="false" outlineLevel="0" collapsed="false">
      <c r="A155" s="28" t="s">
        <v>1486</v>
      </c>
      <c r="B155" s="28" t="s">
        <v>912</v>
      </c>
      <c r="C155" s="19" t="n">
        <v>0.0348</v>
      </c>
      <c r="D155" s="28" t="s">
        <v>493</v>
      </c>
      <c r="E155" s="28" t="s">
        <v>1521</v>
      </c>
    </row>
    <row r="156" customFormat="false" ht="15" hidden="false" customHeight="false" outlineLevel="0" collapsed="false">
      <c r="A156" s="28" t="s">
        <v>1486</v>
      </c>
      <c r="B156" s="28" t="s">
        <v>1522</v>
      </c>
      <c r="C156" s="19" t="n">
        <v>0.0474</v>
      </c>
      <c r="D156" s="28" t="s">
        <v>493</v>
      </c>
      <c r="E156" s="28" t="s">
        <v>1521</v>
      </c>
    </row>
    <row r="157" customFormat="false" ht="15" hidden="false" customHeight="false" outlineLevel="0" collapsed="false">
      <c r="A157" s="28" t="s">
        <v>1486</v>
      </c>
      <c r="B157" s="28" t="s">
        <v>907</v>
      </c>
      <c r="C157" s="19" t="n">
        <v>0.0464</v>
      </c>
      <c r="D157" s="28" t="s">
        <v>493</v>
      </c>
      <c r="E157" s="28" t="s">
        <v>1521</v>
      </c>
    </row>
    <row r="158" customFormat="false" ht="15" hidden="false" customHeight="false" outlineLevel="0" collapsed="false">
      <c r="A158" s="28" t="s">
        <v>1486</v>
      </c>
      <c r="B158" s="28" t="s">
        <v>913</v>
      </c>
      <c r="C158" s="19" t="n">
        <v>0.0381</v>
      </c>
      <c r="D158" s="28" t="s">
        <v>493</v>
      </c>
      <c r="E158" s="28" t="s">
        <v>1521</v>
      </c>
    </row>
    <row r="159" customFormat="false" ht="15" hidden="false" customHeight="false" outlineLevel="0" collapsed="false">
      <c r="A159" s="28" t="s">
        <v>1486</v>
      </c>
      <c r="B159" s="28" t="s">
        <v>908</v>
      </c>
      <c r="C159" s="19" t="n">
        <v>0.0406</v>
      </c>
      <c r="D159" s="28" t="s">
        <v>493</v>
      </c>
      <c r="E159" s="28" t="s">
        <v>1521</v>
      </c>
    </row>
    <row r="160" customFormat="false" ht="15" hidden="false" customHeight="false" outlineLevel="0" collapsed="false">
      <c r="A160" s="28" t="s">
        <v>1486</v>
      </c>
      <c r="B160" s="28" t="s">
        <v>914</v>
      </c>
      <c r="C160" s="19" t="n">
        <v>0.0367</v>
      </c>
      <c r="D160" s="28" t="s">
        <v>493</v>
      </c>
      <c r="E160" s="28" t="s">
        <v>1521</v>
      </c>
    </row>
    <row r="161" customFormat="false" ht="15" hidden="false" customHeight="false" outlineLevel="0" collapsed="false">
      <c r="A161" s="28" t="s">
        <v>1486</v>
      </c>
      <c r="B161" s="28" t="s">
        <v>905</v>
      </c>
      <c r="C161" s="19" t="n">
        <v>0.0485</v>
      </c>
      <c r="D161" s="28" t="s">
        <v>493</v>
      </c>
      <c r="E161" s="28" t="s">
        <v>1521</v>
      </c>
    </row>
    <row r="162" customFormat="false" ht="15" hidden="false" customHeight="false" outlineLevel="0" collapsed="false">
      <c r="A162" s="28" t="s">
        <v>1486</v>
      </c>
      <c r="B162" s="28" t="s">
        <v>909</v>
      </c>
      <c r="C162" s="19" t="n">
        <v>0.0381</v>
      </c>
      <c r="D162" s="28" t="s">
        <v>493</v>
      </c>
      <c r="E162" s="28" t="s">
        <v>1521</v>
      </c>
    </row>
    <row r="163" customFormat="false" ht="15" hidden="false" customHeight="false" outlineLevel="0" collapsed="false">
      <c r="A163" s="28" t="s">
        <v>1486</v>
      </c>
      <c r="B163" s="28" t="s">
        <v>910</v>
      </c>
      <c r="C163" s="19" t="n">
        <v>0.036</v>
      </c>
      <c r="D163" s="28" t="s">
        <v>493</v>
      </c>
      <c r="E163" s="28" t="s">
        <v>1521</v>
      </c>
    </row>
    <row r="164" customFormat="false" ht="15" hidden="false" customHeight="false" outlineLevel="0" collapsed="false">
      <c r="A164" s="28" t="s">
        <v>1486</v>
      </c>
      <c r="B164" s="28" t="s">
        <v>906</v>
      </c>
      <c r="C164" s="19" t="n">
        <v>0.0494</v>
      </c>
      <c r="D164" s="28" t="s">
        <v>493</v>
      </c>
      <c r="E164" s="28" t="s">
        <v>1521</v>
      </c>
    </row>
    <row r="165" customFormat="false" ht="15" hidden="false" customHeight="false" outlineLevel="0" collapsed="false">
      <c r="A165" s="28" t="s">
        <v>1486</v>
      </c>
      <c r="B165" s="28" t="s">
        <v>911</v>
      </c>
      <c r="C165" s="19" t="n">
        <v>0.0355</v>
      </c>
      <c r="D165" s="28" t="s">
        <v>493</v>
      </c>
      <c r="E165" s="28" t="s">
        <v>1521</v>
      </c>
    </row>
    <row r="166" customFormat="false" ht="15" hidden="false" customHeight="false" outlineLevel="0" collapsed="false">
      <c r="A166" s="28" t="s">
        <v>1486</v>
      </c>
      <c r="B166" s="28" t="s">
        <v>904</v>
      </c>
      <c r="C166" s="19" t="n">
        <v>0.0488</v>
      </c>
      <c r="D166" s="28" t="s">
        <v>493</v>
      </c>
      <c r="E166" s="28" t="s">
        <v>1523</v>
      </c>
    </row>
    <row r="167" customFormat="false" ht="15" hidden="false" customHeight="false" outlineLevel="0" collapsed="false">
      <c r="A167" s="28" t="s">
        <v>1486</v>
      </c>
      <c r="B167" s="28" t="s">
        <v>1524</v>
      </c>
      <c r="C167" s="19" t="n">
        <v>0.05</v>
      </c>
      <c r="D167" s="28" t="s">
        <v>497</v>
      </c>
      <c r="E167" s="28" t="s">
        <v>1525</v>
      </c>
    </row>
    <row r="168" customFormat="false" ht="15" hidden="false" customHeight="false" outlineLevel="0" collapsed="false">
      <c r="A168" s="28" t="s">
        <v>1486</v>
      </c>
      <c r="B168" s="28" t="s">
        <v>915</v>
      </c>
      <c r="C168" s="19" t="n">
        <v>0.0632</v>
      </c>
      <c r="D168" s="28" t="s">
        <v>493</v>
      </c>
      <c r="E168" s="28" t="s">
        <v>1528</v>
      </c>
    </row>
    <row r="169" customFormat="false" ht="15" hidden="false" customHeight="false" outlineLevel="0" collapsed="false">
      <c r="A169" s="28" t="s">
        <v>1486</v>
      </c>
      <c r="B169" s="28" t="s">
        <v>551</v>
      </c>
      <c r="C169" s="19" t="n">
        <v>0.08</v>
      </c>
      <c r="D169" s="28" t="s">
        <v>497</v>
      </c>
      <c r="E169" s="28" t="s">
        <v>1526</v>
      </c>
    </row>
    <row r="170" customFormat="false" ht="15" hidden="false" customHeight="false" outlineLevel="0" collapsed="false">
      <c r="A170" s="28" t="s">
        <v>1486</v>
      </c>
      <c r="B170" s="28" t="s">
        <v>451</v>
      </c>
      <c r="C170" s="19" t="n">
        <v>0.0486</v>
      </c>
      <c r="D170" s="28" t="s">
        <v>493</v>
      </c>
      <c r="E170" s="28" t="s">
        <v>1527</v>
      </c>
    </row>
    <row r="171" customFormat="false" ht="15" hidden="false" customHeight="false" outlineLevel="0" collapsed="false">
      <c r="A171" s="28" t="s">
        <v>1538</v>
      </c>
      <c r="B171" s="28" t="s">
        <v>1519</v>
      </c>
      <c r="C171" s="19" t="n">
        <v>0.0525</v>
      </c>
      <c r="D171" s="28" t="s">
        <v>497</v>
      </c>
      <c r="E171" s="28" t="s">
        <v>1520</v>
      </c>
    </row>
    <row r="172" customFormat="false" ht="15" hidden="false" customHeight="false" outlineLevel="0" collapsed="false">
      <c r="A172" s="28" t="s">
        <v>1487</v>
      </c>
      <c r="B172" s="28" t="s">
        <v>912</v>
      </c>
      <c r="C172" s="19" t="n">
        <v>0.0381</v>
      </c>
      <c r="D172" s="28" t="s">
        <v>493</v>
      </c>
      <c r="E172" s="28" t="s">
        <v>1521</v>
      </c>
    </row>
    <row r="173" customFormat="false" ht="15" hidden="false" customHeight="false" outlineLevel="0" collapsed="false">
      <c r="A173" s="28" t="s">
        <v>1487</v>
      </c>
      <c r="B173" s="28" t="s">
        <v>1522</v>
      </c>
      <c r="C173" s="19" t="n">
        <v>0.0524</v>
      </c>
      <c r="D173" s="28" t="s">
        <v>493</v>
      </c>
      <c r="E173" s="28" t="s">
        <v>1521</v>
      </c>
    </row>
    <row r="174" customFormat="false" ht="15" hidden="false" customHeight="false" outlineLevel="0" collapsed="false">
      <c r="A174" s="28" t="s">
        <v>1487</v>
      </c>
      <c r="B174" s="28" t="s">
        <v>907</v>
      </c>
      <c r="C174" s="19" t="n">
        <v>0.054</v>
      </c>
      <c r="D174" s="28" t="s">
        <v>493</v>
      </c>
      <c r="E174" s="28" t="s">
        <v>1521</v>
      </c>
    </row>
    <row r="175" customFormat="false" ht="15" hidden="false" customHeight="false" outlineLevel="0" collapsed="false">
      <c r="A175" s="28" t="s">
        <v>1487</v>
      </c>
      <c r="B175" s="28" t="s">
        <v>913</v>
      </c>
      <c r="C175" s="19" t="n">
        <v>0.0406</v>
      </c>
      <c r="D175" s="28" t="s">
        <v>493</v>
      </c>
      <c r="E175" s="28" t="s">
        <v>1521</v>
      </c>
    </row>
    <row r="176" customFormat="false" ht="15" hidden="false" customHeight="false" outlineLevel="0" collapsed="false">
      <c r="A176" s="28" t="s">
        <v>1487</v>
      </c>
      <c r="B176" s="28" t="s">
        <v>908</v>
      </c>
      <c r="C176" s="19" t="n">
        <v>0.0487</v>
      </c>
      <c r="D176" s="28" t="s">
        <v>493</v>
      </c>
      <c r="E176" s="28" t="s">
        <v>1521</v>
      </c>
    </row>
    <row r="177" customFormat="false" ht="15" hidden="false" customHeight="false" outlineLevel="0" collapsed="false">
      <c r="A177" s="28" t="s">
        <v>1487</v>
      </c>
      <c r="B177" s="28" t="s">
        <v>914</v>
      </c>
      <c r="C177" s="19" t="n">
        <v>0.0385</v>
      </c>
      <c r="D177" s="28" t="s">
        <v>493</v>
      </c>
      <c r="E177" s="28" t="s">
        <v>1521</v>
      </c>
    </row>
    <row r="178" customFormat="false" ht="15" hidden="false" customHeight="false" outlineLevel="0" collapsed="false">
      <c r="A178" s="28" t="s">
        <v>1487</v>
      </c>
      <c r="B178" s="28" t="s">
        <v>905</v>
      </c>
      <c r="C178" s="19" t="n">
        <v>0.0543</v>
      </c>
      <c r="D178" s="28" t="s">
        <v>493</v>
      </c>
      <c r="E178" s="28" t="s">
        <v>1521</v>
      </c>
    </row>
    <row r="179" customFormat="false" ht="15" hidden="false" customHeight="false" outlineLevel="0" collapsed="false">
      <c r="A179" s="28" t="s">
        <v>1487</v>
      </c>
      <c r="B179" s="28" t="s">
        <v>909</v>
      </c>
      <c r="C179" s="19" t="n">
        <v>0.0449</v>
      </c>
      <c r="D179" s="28" t="s">
        <v>493</v>
      </c>
      <c r="E179" s="28" t="s">
        <v>1521</v>
      </c>
    </row>
    <row r="180" customFormat="false" ht="15" hidden="false" customHeight="false" outlineLevel="0" collapsed="false">
      <c r="A180" s="28" t="s">
        <v>1487</v>
      </c>
      <c r="B180" s="28" t="s">
        <v>910</v>
      </c>
      <c r="C180" s="19" t="n">
        <v>0.0413</v>
      </c>
      <c r="D180" s="28" t="s">
        <v>493</v>
      </c>
      <c r="E180" s="28" t="s">
        <v>1521</v>
      </c>
    </row>
    <row r="181" customFormat="false" ht="15" hidden="false" customHeight="false" outlineLevel="0" collapsed="false">
      <c r="A181" s="28" t="s">
        <v>1487</v>
      </c>
      <c r="B181" s="28" t="s">
        <v>906</v>
      </c>
      <c r="C181" s="19" t="n">
        <v>0.0547</v>
      </c>
      <c r="D181" s="28" t="s">
        <v>493</v>
      </c>
      <c r="E181" s="28" t="s">
        <v>1521</v>
      </c>
    </row>
    <row r="182" customFormat="false" ht="15" hidden="false" customHeight="false" outlineLevel="0" collapsed="false">
      <c r="A182" s="28" t="s">
        <v>1487</v>
      </c>
      <c r="B182" s="28" t="s">
        <v>911</v>
      </c>
      <c r="C182" s="19" t="n">
        <v>0.0397</v>
      </c>
      <c r="D182" s="28" t="s">
        <v>493</v>
      </c>
      <c r="E182" s="28" t="s">
        <v>1521</v>
      </c>
    </row>
    <row r="183" customFormat="false" ht="15" hidden="false" customHeight="false" outlineLevel="0" collapsed="false">
      <c r="A183" s="28" t="s">
        <v>1487</v>
      </c>
      <c r="B183" s="28" t="s">
        <v>904</v>
      </c>
      <c r="C183" s="19" t="n">
        <v>0.0513</v>
      </c>
      <c r="D183" s="28" t="s">
        <v>493</v>
      </c>
      <c r="E183" s="28" t="s">
        <v>1523</v>
      </c>
    </row>
    <row r="184" customFormat="false" ht="15" hidden="false" customHeight="false" outlineLevel="0" collapsed="false">
      <c r="A184" s="28" t="s">
        <v>1487</v>
      </c>
      <c r="B184" s="28" t="s">
        <v>1524</v>
      </c>
      <c r="C184" s="19" t="n">
        <v>0.0525</v>
      </c>
      <c r="D184" s="28" t="s">
        <v>497</v>
      </c>
      <c r="E184" s="28" t="s">
        <v>1525</v>
      </c>
    </row>
    <row r="185" customFormat="false" ht="15" hidden="false" customHeight="false" outlineLevel="0" collapsed="false">
      <c r="A185" s="28" t="s">
        <v>1487</v>
      </c>
      <c r="B185" s="28" t="s">
        <v>915</v>
      </c>
      <c r="C185" s="19" t="n">
        <v>0.0671</v>
      </c>
      <c r="D185" s="28" t="s">
        <v>493</v>
      </c>
      <c r="E185" s="28" t="s">
        <v>1528</v>
      </c>
    </row>
    <row r="186" customFormat="false" ht="15" hidden="false" customHeight="false" outlineLevel="0" collapsed="false">
      <c r="A186" s="28" t="s">
        <v>1487</v>
      </c>
      <c r="B186" s="28" t="s">
        <v>551</v>
      </c>
      <c r="C186" s="19" t="n">
        <v>0.0825</v>
      </c>
      <c r="D186" s="28" t="s">
        <v>497</v>
      </c>
      <c r="E186" s="28" t="s">
        <v>1526</v>
      </c>
    </row>
    <row r="187" customFormat="false" ht="15" hidden="false" customHeight="false" outlineLevel="0" collapsed="false">
      <c r="A187" s="28" t="s">
        <v>1487</v>
      </c>
      <c r="B187" s="28" t="s">
        <v>451</v>
      </c>
      <c r="C187" s="19" t="n">
        <v>0.0511</v>
      </c>
      <c r="D187" s="28" t="s">
        <v>493</v>
      </c>
      <c r="E187" s="28" t="s">
        <v>1527</v>
      </c>
    </row>
    <row r="188" customFormat="false" ht="15" hidden="false" customHeight="false" outlineLevel="0" collapsed="false">
      <c r="A188" s="28" t="s">
        <v>1539</v>
      </c>
      <c r="B188" s="28" t="s">
        <v>1519</v>
      </c>
      <c r="C188" s="19" t="n">
        <v>0.055</v>
      </c>
      <c r="D188" s="28" t="s">
        <v>497</v>
      </c>
      <c r="E188" s="28" t="s">
        <v>1520</v>
      </c>
    </row>
    <row r="189" customFormat="false" ht="15" hidden="false" customHeight="false" outlineLevel="0" collapsed="false">
      <c r="A189" s="28" t="s">
        <v>1488</v>
      </c>
      <c r="B189" s="28" t="s">
        <v>912</v>
      </c>
      <c r="C189" s="19" t="n">
        <v>0.0459</v>
      </c>
      <c r="D189" s="28" t="s">
        <v>493</v>
      </c>
      <c r="E189" s="28" t="s">
        <v>1521</v>
      </c>
    </row>
    <row r="190" customFormat="false" ht="15" hidden="false" customHeight="false" outlineLevel="0" collapsed="false">
      <c r="A190" s="28" t="s">
        <v>1488</v>
      </c>
      <c r="B190" s="28" t="s">
        <v>1522</v>
      </c>
      <c r="C190" s="19" t="n">
        <v>0.0555</v>
      </c>
      <c r="D190" s="28" t="s">
        <v>493</v>
      </c>
      <c r="E190" s="28" t="s">
        <v>1521</v>
      </c>
    </row>
    <row r="191" customFormat="false" ht="15" hidden="false" customHeight="false" outlineLevel="0" collapsed="false">
      <c r="A191" s="28" t="s">
        <v>1488</v>
      </c>
      <c r="B191" s="28" t="s">
        <v>907</v>
      </c>
      <c r="C191" s="19" t="n">
        <v>0.0546</v>
      </c>
      <c r="D191" s="28" t="s">
        <v>493</v>
      </c>
      <c r="E191" s="28" t="s">
        <v>1521</v>
      </c>
    </row>
    <row r="192" customFormat="false" ht="15" hidden="false" customHeight="false" outlineLevel="0" collapsed="false">
      <c r="A192" s="28" t="s">
        <v>1488</v>
      </c>
      <c r="B192" s="28" t="s">
        <v>913</v>
      </c>
      <c r="C192" s="19" t="n">
        <v>0.0492</v>
      </c>
      <c r="D192" s="28" t="s">
        <v>493</v>
      </c>
      <c r="E192" s="28" t="s">
        <v>1521</v>
      </c>
    </row>
    <row r="193" customFormat="false" ht="15" hidden="false" customHeight="false" outlineLevel="0" collapsed="false">
      <c r="A193" s="28" t="s">
        <v>1488</v>
      </c>
      <c r="B193" s="28" t="s">
        <v>908</v>
      </c>
      <c r="C193" s="19" t="n">
        <v>0.0503</v>
      </c>
      <c r="D193" s="28" t="s">
        <v>493</v>
      </c>
      <c r="E193" s="28" t="s">
        <v>1521</v>
      </c>
    </row>
    <row r="194" customFormat="false" ht="15" hidden="false" customHeight="false" outlineLevel="0" collapsed="false">
      <c r="A194" s="28" t="s">
        <v>1488</v>
      </c>
      <c r="B194" s="28" t="s">
        <v>914</v>
      </c>
      <c r="C194" s="19" t="n">
        <v>0.0473</v>
      </c>
      <c r="D194" s="28" t="s">
        <v>493</v>
      </c>
      <c r="E194" s="28" t="s">
        <v>1521</v>
      </c>
    </row>
    <row r="195" customFormat="false" ht="15" hidden="false" customHeight="false" outlineLevel="0" collapsed="false">
      <c r="A195" s="28" t="s">
        <v>1488</v>
      </c>
      <c r="B195" s="28" t="s">
        <v>905</v>
      </c>
      <c r="C195" s="19" t="n">
        <v>0.0555</v>
      </c>
      <c r="D195" s="28" t="s">
        <v>493</v>
      </c>
      <c r="E195" s="28" t="s">
        <v>1521</v>
      </c>
    </row>
    <row r="196" customFormat="false" ht="15" hidden="false" customHeight="false" outlineLevel="0" collapsed="false">
      <c r="A196" s="28" t="s">
        <v>1488</v>
      </c>
      <c r="B196" s="28" t="s">
        <v>909</v>
      </c>
      <c r="C196" s="19" t="n">
        <v>0.048</v>
      </c>
      <c r="D196" s="28" t="s">
        <v>493</v>
      </c>
      <c r="E196" s="28" t="s">
        <v>1521</v>
      </c>
    </row>
    <row r="197" customFormat="false" ht="15" hidden="false" customHeight="false" outlineLevel="0" collapsed="false">
      <c r="A197" s="28" t="s">
        <v>1488</v>
      </c>
      <c r="B197" s="28" t="s">
        <v>910</v>
      </c>
      <c r="C197" s="19" t="n">
        <v>0.046</v>
      </c>
      <c r="D197" s="28" t="s">
        <v>493</v>
      </c>
      <c r="E197" s="28" t="s">
        <v>1521</v>
      </c>
    </row>
    <row r="198" customFormat="false" ht="15" hidden="false" customHeight="false" outlineLevel="0" collapsed="false">
      <c r="A198" s="28" t="s">
        <v>1488</v>
      </c>
      <c r="B198" s="28" t="s">
        <v>906</v>
      </c>
      <c r="C198" s="19" t="n">
        <v>0.0553</v>
      </c>
      <c r="D198" s="28" t="s">
        <v>493</v>
      </c>
      <c r="E198" s="28" t="s">
        <v>1521</v>
      </c>
    </row>
    <row r="199" customFormat="false" ht="15" hidden="false" customHeight="false" outlineLevel="0" collapsed="false">
      <c r="A199" s="28" t="s">
        <v>1488</v>
      </c>
      <c r="B199" s="28" t="s">
        <v>911</v>
      </c>
      <c r="C199" s="19" t="n">
        <v>0.0461</v>
      </c>
      <c r="D199" s="28" t="s">
        <v>493</v>
      </c>
      <c r="E199" s="28" t="s">
        <v>1521</v>
      </c>
    </row>
    <row r="200" customFormat="false" ht="15" hidden="false" customHeight="false" outlineLevel="0" collapsed="false">
      <c r="A200" s="28" t="s">
        <v>1488</v>
      </c>
      <c r="B200" s="28" t="s">
        <v>904</v>
      </c>
      <c r="C200" s="19" t="n">
        <v>0.0538</v>
      </c>
      <c r="D200" s="28" t="s">
        <v>493</v>
      </c>
      <c r="E200" s="28" t="s">
        <v>1523</v>
      </c>
    </row>
    <row r="201" customFormat="false" ht="15" hidden="false" customHeight="false" outlineLevel="0" collapsed="false">
      <c r="A201" s="28" t="s">
        <v>1488</v>
      </c>
      <c r="B201" s="28" t="s">
        <v>1524</v>
      </c>
      <c r="C201" s="19" t="n">
        <v>0.055</v>
      </c>
      <c r="D201" s="28" t="s">
        <v>497</v>
      </c>
      <c r="E201" s="28" t="s">
        <v>1525</v>
      </c>
    </row>
    <row r="202" customFormat="false" ht="15" hidden="false" customHeight="false" outlineLevel="0" collapsed="false">
      <c r="A202" s="28" t="s">
        <v>1488</v>
      </c>
      <c r="B202" s="28" t="s">
        <v>915</v>
      </c>
      <c r="C202" s="19" t="n">
        <v>0.0731</v>
      </c>
      <c r="D202" s="28" t="s">
        <v>493</v>
      </c>
      <c r="E202" s="28" t="s">
        <v>1528</v>
      </c>
    </row>
    <row r="203" customFormat="false" ht="15" hidden="false" customHeight="false" outlineLevel="0" collapsed="false">
      <c r="A203" s="28" t="s">
        <v>1488</v>
      </c>
      <c r="B203" s="28" t="s">
        <v>551</v>
      </c>
      <c r="C203" s="19" t="n">
        <v>0.085</v>
      </c>
      <c r="D203" s="28" t="s">
        <v>497</v>
      </c>
      <c r="E203" s="28" t="s">
        <v>1526</v>
      </c>
    </row>
    <row r="204" customFormat="false" ht="15" hidden="false" customHeight="false" outlineLevel="0" collapsed="false">
      <c r="A204" s="28" t="s">
        <v>1488</v>
      </c>
      <c r="B204" s="28" t="s">
        <v>451</v>
      </c>
      <c r="C204" s="19" t="n">
        <v>0.0536</v>
      </c>
      <c r="D204" s="28" t="s">
        <v>493</v>
      </c>
      <c r="E204" s="28" t="s">
        <v>1527</v>
      </c>
    </row>
    <row r="205" customFormat="false" ht="15" hidden="false" customHeight="false" outlineLevel="0" collapsed="false">
      <c r="A205" s="28" t="s">
        <v>318</v>
      </c>
      <c r="B205" s="28" t="s">
        <v>912</v>
      </c>
      <c r="C205" s="19" t="n">
        <v>0.0388</v>
      </c>
      <c r="D205" s="28" t="s">
        <v>493</v>
      </c>
      <c r="E205" s="28" t="s">
        <v>1521</v>
      </c>
    </row>
    <row r="206" customFormat="false" ht="15" hidden="false" customHeight="false" outlineLevel="0" collapsed="false">
      <c r="A206" s="28" t="s">
        <v>318</v>
      </c>
      <c r="B206" s="28" t="s">
        <v>1522</v>
      </c>
      <c r="C206" s="19" t="n">
        <v>0.056</v>
      </c>
      <c r="D206" s="28" t="s">
        <v>493</v>
      </c>
      <c r="E206" s="28" t="s">
        <v>1521</v>
      </c>
    </row>
    <row r="207" customFormat="false" ht="15" hidden="false" customHeight="false" outlineLevel="0" collapsed="false">
      <c r="A207" s="28" t="s">
        <v>318</v>
      </c>
      <c r="B207" s="28" t="s">
        <v>907</v>
      </c>
      <c r="C207" s="19" t="n">
        <v>0.0479</v>
      </c>
      <c r="D207" s="28" t="s">
        <v>493</v>
      </c>
      <c r="E207" s="28" t="s">
        <v>1521</v>
      </c>
    </row>
    <row r="208" customFormat="false" ht="15" hidden="false" customHeight="false" outlineLevel="0" collapsed="false">
      <c r="A208" s="28" t="s">
        <v>318</v>
      </c>
      <c r="B208" s="28" t="s">
        <v>913</v>
      </c>
      <c r="C208" s="19" t="n">
        <v>0.042</v>
      </c>
      <c r="D208" s="28" t="s">
        <v>493</v>
      </c>
      <c r="E208" s="28" t="s">
        <v>1521</v>
      </c>
    </row>
    <row r="209" customFormat="false" ht="15" hidden="false" customHeight="false" outlineLevel="0" collapsed="false">
      <c r="A209" s="28" t="s">
        <v>318</v>
      </c>
      <c r="B209" s="28" t="s">
        <v>908</v>
      </c>
      <c r="C209" s="19" t="n">
        <v>0.0423</v>
      </c>
      <c r="D209" s="28" t="s">
        <v>493</v>
      </c>
      <c r="E209" s="28" t="s">
        <v>1521</v>
      </c>
    </row>
    <row r="210" customFormat="false" ht="15" hidden="false" customHeight="false" outlineLevel="0" collapsed="false">
      <c r="A210" s="28" t="s">
        <v>318</v>
      </c>
      <c r="B210" s="28" t="s">
        <v>914</v>
      </c>
      <c r="C210" s="19" t="n">
        <v>0.0403</v>
      </c>
      <c r="D210" s="28" t="s">
        <v>493</v>
      </c>
      <c r="E210" s="28" t="s">
        <v>1521</v>
      </c>
    </row>
    <row r="211" customFormat="false" ht="15" hidden="false" customHeight="false" outlineLevel="0" collapsed="false">
      <c r="A211" s="28" t="s">
        <v>318</v>
      </c>
      <c r="B211" s="28" t="s">
        <v>905</v>
      </c>
      <c r="C211" s="19" t="n">
        <v>0.054</v>
      </c>
      <c r="D211" s="28" t="s">
        <v>493</v>
      </c>
      <c r="E211" s="28" t="s">
        <v>1521</v>
      </c>
    </row>
    <row r="212" customFormat="false" ht="15" hidden="false" customHeight="false" outlineLevel="0" collapsed="false">
      <c r="A212" s="28" t="s">
        <v>318</v>
      </c>
      <c r="B212" s="28" t="s">
        <v>909</v>
      </c>
      <c r="C212" s="19" t="n">
        <v>0.0401</v>
      </c>
      <c r="D212" s="28" t="s">
        <v>493</v>
      </c>
      <c r="E212" s="28" t="s">
        <v>1521</v>
      </c>
    </row>
    <row r="213" customFormat="false" ht="15" hidden="false" customHeight="false" outlineLevel="0" collapsed="false">
      <c r="A213" s="28" t="s">
        <v>318</v>
      </c>
      <c r="B213" s="28" t="s">
        <v>910</v>
      </c>
      <c r="C213" s="19" t="n">
        <v>0.0384</v>
      </c>
      <c r="D213" s="28" t="s">
        <v>493</v>
      </c>
      <c r="E213" s="28" t="s">
        <v>1521</v>
      </c>
    </row>
    <row r="214" customFormat="false" ht="15" hidden="false" customHeight="false" outlineLevel="0" collapsed="false">
      <c r="A214" s="28" t="s">
        <v>318</v>
      </c>
      <c r="B214" s="28" t="s">
        <v>906</v>
      </c>
      <c r="C214" s="19" t="n">
        <v>0.0526</v>
      </c>
      <c r="D214" s="28" t="s">
        <v>493</v>
      </c>
      <c r="E214" s="28" t="s">
        <v>1521</v>
      </c>
    </row>
    <row r="215" customFormat="false" ht="15" hidden="false" customHeight="false" outlineLevel="0" collapsed="false">
      <c r="A215" s="28" t="s">
        <v>318</v>
      </c>
      <c r="B215" s="28" t="s">
        <v>911</v>
      </c>
      <c r="C215" s="19" t="n">
        <v>0.0388</v>
      </c>
      <c r="D215" s="28" t="s">
        <v>493</v>
      </c>
      <c r="E215" s="28" t="s">
        <v>1521</v>
      </c>
    </row>
    <row r="216" customFormat="false" ht="15" hidden="false" customHeight="false" outlineLevel="0" collapsed="false">
      <c r="A216" s="28" t="s">
        <v>318</v>
      </c>
      <c r="B216" s="28" t="s">
        <v>904</v>
      </c>
      <c r="C216" s="19" t="n">
        <v>0.0538</v>
      </c>
      <c r="D216" s="28" t="s">
        <v>493</v>
      </c>
      <c r="E216" s="28" t="s">
        <v>1523</v>
      </c>
    </row>
    <row r="217" customFormat="false" ht="15" hidden="false" customHeight="false" outlineLevel="0" collapsed="false">
      <c r="A217" s="28" t="s">
        <v>318</v>
      </c>
      <c r="B217" s="28" t="s">
        <v>1524</v>
      </c>
      <c r="C217" s="19" t="n">
        <v>0.055</v>
      </c>
      <c r="D217" s="28" t="s">
        <v>497</v>
      </c>
      <c r="E217" s="28" t="s">
        <v>1525</v>
      </c>
    </row>
    <row r="218" customFormat="false" ht="15" hidden="false" customHeight="false" outlineLevel="0" collapsed="false">
      <c r="A218" s="28" t="s">
        <v>318</v>
      </c>
      <c r="B218" s="28" t="s">
        <v>915</v>
      </c>
      <c r="C218" s="19" t="n">
        <v>0.0661</v>
      </c>
      <c r="D218" s="28" t="s">
        <v>493</v>
      </c>
      <c r="E218" s="28" t="s">
        <v>1528</v>
      </c>
    </row>
    <row r="219" customFormat="false" ht="15" hidden="false" customHeight="false" outlineLevel="0" collapsed="false">
      <c r="A219" s="28" t="s">
        <v>318</v>
      </c>
      <c r="B219" s="28" t="s">
        <v>551</v>
      </c>
      <c r="C219" s="19" t="n">
        <v>0.085</v>
      </c>
      <c r="D219" s="28" t="s">
        <v>497</v>
      </c>
      <c r="E219" s="28" t="s">
        <v>1526</v>
      </c>
    </row>
    <row r="220" customFormat="false" ht="15" hidden="false" customHeight="false" outlineLevel="0" collapsed="false">
      <c r="A220" s="28" t="s">
        <v>318</v>
      </c>
      <c r="B220" s="28" t="s">
        <v>451</v>
      </c>
      <c r="C220" s="19" t="n">
        <v>0.0536</v>
      </c>
      <c r="D220" s="28" t="s">
        <v>493</v>
      </c>
      <c r="E220" s="28" t="s">
        <v>1527</v>
      </c>
    </row>
    <row r="221" customFormat="false" ht="15" hidden="false" customHeight="false" outlineLevel="0" collapsed="false">
      <c r="A221" s="28" t="s">
        <v>1489</v>
      </c>
      <c r="B221" s="28" t="s">
        <v>912</v>
      </c>
      <c r="C221" s="19" t="n">
        <v>0.042</v>
      </c>
      <c r="D221" s="28" t="s">
        <v>493</v>
      </c>
      <c r="E221" s="28" t="s">
        <v>1521</v>
      </c>
    </row>
    <row r="222" customFormat="false" ht="15" hidden="false" customHeight="false" outlineLevel="0" collapsed="false">
      <c r="A222" s="28" t="s">
        <v>1489</v>
      </c>
      <c r="B222" s="28" t="s">
        <v>1522</v>
      </c>
      <c r="C222" s="19" t="n">
        <v>0.0549</v>
      </c>
      <c r="D222" s="28" t="s">
        <v>493</v>
      </c>
      <c r="E222" s="28" t="s">
        <v>1521</v>
      </c>
    </row>
    <row r="223" customFormat="false" ht="15" hidden="false" customHeight="false" outlineLevel="0" collapsed="false">
      <c r="A223" s="28" t="s">
        <v>1489</v>
      </c>
      <c r="B223" s="28" t="s">
        <v>907</v>
      </c>
      <c r="C223" s="19" t="n">
        <v>0.0503</v>
      </c>
      <c r="D223" s="28" t="s">
        <v>493</v>
      </c>
      <c r="E223" s="28" t="s">
        <v>1521</v>
      </c>
    </row>
    <row r="224" customFormat="false" ht="15" hidden="false" customHeight="false" outlineLevel="0" collapsed="false">
      <c r="A224" s="28" t="s">
        <v>1489</v>
      </c>
      <c r="B224" s="28" t="s">
        <v>913</v>
      </c>
      <c r="C224" s="19" t="n">
        <v>0.0445</v>
      </c>
      <c r="D224" s="28" t="s">
        <v>493</v>
      </c>
      <c r="E224" s="28" t="s">
        <v>1521</v>
      </c>
    </row>
    <row r="225" customFormat="false" ht="15" hidden="false" customHeight="false" outlineLevel="0" collapsed="false">
      <c r="A225" s="28" t="s">
        <v>1489</v>
      </c>
      <c r="B225" s="28" t="s">
        <v>908</v>
      </c>
      <c r="C225" s="19" t="n">
        <v>0.0459</v>
      </c>
      <c r="D225" s="28" t="s">
        <v>493</v>
      </c>
      <c r="E225" s="28" t="s">
        <v>1521</v>
      </c>
    </row>
    <row r="226" customFormat="false" ht="15" hidden="false" customHeight="false" outlineLevel="0" collapsed="false">
      <c r="A226" s="28" t="s">
        <v>1489</v>
      </c>
      <c r="B226" s="28" t="s">
        <v>914</v>
      </c>
      <c r="C226" s="19" t="n">
        <v>0.0434</v>
      </c>
      <c r="D226" s="28" t="s">
        <v>493</v>
      </c>
      <c r="E226" s="28" t="s">
        <v>1521</v>
      </c>
    </row>
    <row r="227" customFormat="false" ht="15" hidden="false" customHeight="false" outlineLevel="0" collapsed="false">
      <c r="A227" s="28" t="s">
        <v>1489</v>
      </c>
      <c r="B227" s="28" t="s">
        <v>905</v>
      </c>
      <c r="C227" s="19" t="n">
        <v>0.0546</v>
      </c>
      <c r="D227" s="28" t="s">
        <v>493</v>
      </c>
      <c r="E227" s="28" t="s">
        <v>1521</v>
      </c>
    </row>
    <row r="228" customFormat="false" ht="15" hidden="false" customHeight="false" outlineLevel="0" collapsed="false">
      <c r="A228" s="28" t="s">
        <v>1489</v>
      </c>
      <c r="B228" s="28" t="s">
        <v>909</v>
      </c>
      <c r="C228" s="19" t="n">
        <v>0.044</v>
      </c>
      <c r="D228" s="28" t="s">
        <v>493</v>
      </c>
      <c r="E228" s="28" t="s">
        <v>1521</v>
      </c>
    </row>
    <row r="229" customFormat="false" ht="15" hidden="false" customHeight="false" outlineLevel="0" collapsed="false">
      <c r="A229" s="28" t="s">
        <v>1489</v>
      </c>
      <c r="B229" s="28" t="s">
        <v>910</v>
      </c>
      <c r="C229" s="19" t="n">
        <v>0.0421</v>
      </c>
      <c r="D229" s="28" t="s">
        <v>493</v>
      </c>
      <c r="E229" s="28" t="s">
        <v>1521</v>
      </c>
    </row>
    <row r="230" customFormat="false" ht="15" hidden="false" customHeight="false" outlineLevel="0" collapsed="false">
      <c r="A230" s="28" t="s">
        <v>1489</v>
      </c>
      <c r="B230" s="28" t="s">
        <v>906</v>
      </c>
      <c r="C230" s="19" t="n">
        <v>0.0538</v>
      </c>
      <c r="D230" s="28" t="s">
        <v>493</v>
      </c>
      <c r="E230" s="28" t="s">
        <v>1521</v>
      </c>
    </row>
    <row r="231" customFormat="false" ht="15" hidden="false" customHeight="false" outlineLevel="0" collapsed="false">
      <c r="A231" s="28" t="s">
        <v>1489</v>
      </c>
      <c r="B231" s="28" t="s">
        <v>911</v>
      </c>
      <c r="C231" s="19" t="n">
        <v>0.0421</v>
      </c>
      <c r="D231" s="28" t="s">
        <v>493</v>
      </c>
      <c r="E231" s="28" t="s">
        <v>1521</v>
      </c>
    </row>
    <row r="232" customFormat="false" ht="15" hidden="false" customHeight="false" outlineLevel="0" collapsed="false">
      <c r="A232" s="28" t="s">
        <v>1489</v>
      </c>
      <c r="B232" s="28" t="s">
        <v>904</v>
      </c>
      <c r="C232" s="19" t="n">
        <v>0.0538</v>
      </c>
      <c r="D232" s="28" t="s">
        <v>493</v>
      </c>
      <c r="E232" s="28" t="s">
        <v>1523</v>
      </c>
    </row>
    <row r="233" customFormat="false" ht="15" hidden="false" customHeight="false" outlineLevel="0" collapsed="false">
      <c r="A233" s="28" t="s">
        <v>1489</v>
      </c>
      <c r="B233" s="28" t="s">
        <v>1524</v>
      </c>
      <c r="C233" s="19" t="n">
        <v>0.055</v>
      </c>
      <c r="D233" s="28" t="s">
        <v>497</v>
      </c>
      <c r="E233" s="28" t="s">
        <v>1525</v>
      </c>
    </row>
    <row r="234" customFormat="false" ht="15" hidden="false" customHeight="false" outlineLevel="0" collapsed="false">
      <c r="A234" s="28" t="s">
        <v>1489</v>
      </c>
      <c r="B234" s="28" t="s">
        <v>915</v>
      </c>
      <c r="C234" s="19" t="n">
        <v>0.0679</v>
      </c>
      <c r="D234" s="28" t="s">
        <v>493</v>
      </c>
      <c r="E234" s="28" t="s">
        <v>1528</v>
      </c>
    </row>
    <row r="235" customFormat="false" ht="15" hidden="false" customHeight="false" outlineLevel="0" collapsed="false">
      <c r="A235" s="28" t="s">
        <v>1489</v>
      </c>
      <c r="B235" s="28" t="s">
        <v>551</v>
      </c>
      <c r="C235" s="19" t="n">
        <v>0.085</v>
      </c>
      <c r="D235" s="28" t="s">
        <v>497</v>
      </c>
      <c r="E235" s="28" t="s">
        <v>1526</v>
      </c>
    </row>
    <row r="236" customFormat="false" ht="15" hidden="false" customHeight="false" outlineLevel="0" collapsed="false">
      <c r="A236" s="28" t="s">
        <v>1489</v>
      </c>
      <c r="B236" s="28" t="s">
        <v>451</v>
      </c>
      <c r="C236" s="19" t="n">
        <v>0.0536</v>
      </c>
      <c r="D236" s="28" t="s">
        <v>493</v>
      </c>
      <c r="E236" s="28" t="s">
        <v>1527</v>
      </c>
    </row>
    <row r="237" customFormat="false" ht="15" hidden="false" customHeight="false" outlineLevel="0" collapsed="false">
      <c r="A237" s="28" t="s">
        <v>1490</v>
      </c>
      <c r="B237" s="28" t="s">
        <v>912</v>
      </c>
      <c r="C237" s="19" t="n">
        <v>0.0436</v>
      </c>
      <c r="D237" s="28" t="s">
        <v>493</v>
      </c>
      <c r="E237" s="28" t="s">
        <v>1521</v>
      </c>
    </row>
    <row r="238" customFormat="false" ht="15" hidden="false" customHeight="false" outlineLevel="0" collapsed="false">
      <c r="A238" s="28" t="s">
        <v>1490</v>
      </c>
      <c r="B238" s="28" t="s">
        <v>1522</v>
      </c>
      <c r="C238" s="19" t="n">
        <v>0.0547</v>
      </c>
      <c r="D238" s="28" t="s">
        <v>493</v>
      </c>
      <c r="E238" s="28" t="s">
        <v>1521</v>
      </c>
    </row>
    <row r="239" customFormat="false" ht="15" hidden="false" customHeight="false" outlineLevel="0" collapsed="false">
      <c r="A239" s="28" t="s">
        <v>1490</v>
      </c>
      <c r="B239" s="28" t="s">
        <v>907</v>
      </c>
      <c r="C239" s="19" t="n">
        <v>0.0509</v>
      </c>
      <c r="D239" s="28" t="s">
        <v>493</v>
      </c>
      <c r="E239" s="28" t="s">
        <v>1521</v>
      </c>
    </row>
    <row r="240" customFormat="false" ht="15" hidden="false" customHeight="false" outlineLevel="0" collapsed="false">
      <c r="A240" s="28" t="s">
        <v>1490</v>
      </c>
      <c r="B240" s="28" t="s">
        <v>913</v>
      </c>
      <c r="C240" s="19" t="n">
        <v>0.0461</v>
      </c>
      <c r="D240" s="28" t="s">
        <v>493</v>
      </c>
      <c r="E240" s="28" t="s">
        <v>1521</v>
      </c>
    </row>
    <row r="241" customFormat="false" ht="15" hidden="false" customHeight="false" outlineLevel="0" collapsed="false">
      <c r="A241" s="28" t="s">
        <v>1490</v>
      </c>
      <c r="B241" s="28" t="s">
        <v>908</v>
      </c>
      <c r="C241" s="19" t="n">
        <v>0.0471</v>
      </c>
      <c r="D241" s="28" t="s">
        <v>493</v>
      </c>
      <c r="E241" s="28" t="s">
        <v>1521</v>
      </c>
    </row>
    <row r="242" customFormat="false" ht="15" hidden="false" customHeight="false" outlineLevel="0" collapsed="false">
      <c r="A242" s="28" t="s">
        <v>1490</v>
      </c>
      <c r="B242" s="28" t="s">
        <v>914</v>
      </c>
      <c r="C242" s="19" t="n">
        <v>0.0451</v>
      </c>
      <c r="D242" s="28" t="s">
        <v>493</v>
      </c>
      <c r="E242" s="28" t="s">
        <v>1521</v>
      </c>
    </row>
    <row r="243" customFormat="false" ht="15" hidden="false" customHeight="false" outlineLevel="0" collapsed="false">
      <c r="A243" s="28" t="s">
        <v>1490</v>
      </c>
      <c r="B243" s="28" t="s">
        <v>905</v>
      </c>
      <c r="C243" s="19" t="n">
        <v>0.0548</v>
      </c>
      <c r="D243" s="28" t="s">
        <v>493</v>
      </c>
      <c r="E243" s="28" t="s">
        <v>1521</v>
      </c>
    </row>
    <row r="244" customFormat="false" ht="15" hidden="false" customHeight="false" outlineLevel="0" collapsed="false">
      <c r="A244" s="28" t="s">
        <v>1490</v>
      </c>
      <c r="B244" s="28" t="s">
        <v>909</v>
      </c>
      <c r="C244" s="19" t="n">
        <v>0.0452</v>
      </c>
      <c r="D244" s="28" t="s">
        <v>493</v>
      </c>
      <c r="E244" s="28" t="s">
        <v>1521</v>
      </c>
    </row>
    <row r="245" customFormat="false" ht="15" hidden="false" customHeight="false" outlineLevel="0" collapsed="false">
      <c r="A245" s="28" t="s">
        <v>1490</v>
      </c>
      <c r="B245" s="28" t="s">
        <v>910</v>
      </c>
      <c r="C245" s="19" t="n">
        <v>0.0433</v>
      </c>
      <c r="D245" s="28" t="s">
        <v>493</v>
      </c>
      <c r="E245" s="28" t="s">
        <v>1521</v>
      </c>
    </row>
    <row r="246" customFormat="false" ht="15" hidden="false" customHeight="false" outlineLevel="0" collapsed="false">
      <c r="A246" s="28" t="s">
        <v>1490</v>
      </c>
      <c r="B246" s="28" t="s">
        <v>906</v>
      </c>
      <c r="C246" s="19" t="n">
        <v>0.0533</v>
      </c>
      <c r="D246" s="28" t="s">
        <v>493</v>
      </c>
      <c r="E246" s="28" t="s">
        <v>1521</v>
      </c>
    </row>
    <row r="247" customFormat="false" ht="15" hidden="false" customHeight="false" outlineLevel="0" collapsed="false">
      <c r="A247" s="28" t="s">
        <v>1490</v>
      </c>
      <c r="B247" s="28" t="s">
        <v>911</v>
      </c>
      <c r="C247" s="19" t="n">
        <v>0.0433</v>
      </c>
      <c r="D247" s="28" t="s">
        <v>493</v>
      </c>
      <c r="E247" s="28" t="s">
        <v>1521</v>
      </c>
    </row>
    <row r="248" customFormat="false" ht="15" hidden="false" customHeight="false" outlineLevel="0" collapsed="false">
      <c r="A248" s="28" t="s">
        <v>1490</v>
      </c>
      <c r="B248" s="28" t="s">
        <v>904</v>
      </c>
      <c r="C248" s="19" t="n">
        <v>0.0538</v>
      </c>
      <c r="D248" s="28" t="s">
        <v>493</v>
      </c>
      <c r="E248" s="28" t="s">
        <v>1523</v>
      </c>
    </row>
    <row r="249" customFormat="false" ht="15" hidden="false" customHeight="false" outlineLevel="0" collapsed="false">
      <c r="A249" s="28" t="s">
        <v>1490</v>
      </c>
      <c r="B249" s="28" t="s">
        <v>1524</v>
      </c>
      <c r="C249" s="19" t="n">
        <v>0.055</v>
      </c>
      <c r="D249" s="28" t="s">
        <v>497</v>
      </c>
      <c r="E249" s="28" t="s">
        <v>1525</v>
      </c>
    </row>
    <row r="250" customFormat="false" ht="15" hidden="false" customHeight="false" outlineLevel="0" collapsed="false">
      <c r="A250" s="28" t="s">
        <v>1490</v>
      </c>
      <c r="B250" s="28" t="s">
        <v>915</v>
      </c>
      <c r="C250" s="19" t="n">
        <v>0.0686</v>
      </c>
      <c r="D250" s="28" t="s">
        <v>493</v>
      </c>
      <c r="E250" s="28" t="s">
        <v>1528</v>
      </c>
    </row>
    <row r="251" customFormat="false" ht="15" hidden="false" customHeight="false" outlineLevel="0" collapsed="false">
      <c r="A251" s="28" t="s">
        <v>1490</v>
      </c>
      <c r="B251" s="28" t="s">
        <v>551</v>
      </c>
      <c r="C251" s="19" t="n">
        <v>0.085</v>
      </c>
      <c r="D251" s="28" t="s">
        <v>497</v>
      </c>
      <c r="E251" s="28" t="s">
        <v>1526</v>
      </c>
    </row>
    <row r="252" customFormat="false" ht="15" hidden="false" customHeight="false" outlineLevel="0" collapsed="false">
      <c r="A252" s="28" t="s">
        <v>1490</v>
      </c>
      <c r="B252" s="28" t="s">
        <v>451</v>
      </c>
      <c r="C252" s="19" t="n">
        <v>0.0536</v>
      </c>
      <c r="D252" s="28" t="s">
        <v>493</v>
      </c>
      <c r="E252" s="28" t="s">
        <v>1527</v>
      </c>
    </row>
    <row r="253" customFormat="false" ht="15" hidden="false" customHeight="false" outlineLevel="0" collapsed="false">
      <c r="A253" s="28" t="s">
        <v>1540</v>
      </c>
      <c r="B253" s="28" t="s">
        <v>1519</v>
      </c>
      <c r="C253" s="19" t="n">
        <v>0.05</v>
      </c>
      <c r="D253" s="28" t="s">
        <v>497</v>
      </c>
      <c r="E253" s="28" t="s">
        <v>1520</v>
      </c>
    </row>
    <row r="254" customFormat="false" ht="15" hidden="false" customHeight="false" outlineLevel="0" collapsed="false">
      <c r="A254" s="28" t="s">
        <v>995</v>
      </c>
      <c r="B254" s="28" t="s">
        <v>912</v>
      </c>
      <c r="C254" s="19" t="n">
        <v>0.0381</v>
      </c>
      <c r="D254" s="28" t="s">
        <v>493</v>
      </c>
      <c r="E254" s="28" t="s">
        <v>1521</v>
      </c>
    </row>
    <row r="255" customFormat="false" ht="15" hidden="false" customHeight="false" outlineLevel="0" collapsed="false">
      <c r="A255" s="28" t="s">
        <v>995</v>
      </c>
      <c r="B255" s="28" t="s">
        <v>1522</v>
      </c>
      <c r="C255" s="19" t="n">
        <v>0.0496</v>
      </c>
      <c r="D255" s="28" t="s">
        <v>493</v>
      </c>
      <c r="E255" s="28" t="s">
        <v>1521</v>
      </c>
    </row>
    <row r="256" customFormat="false" ht="15" hidden="false" customHeight="false" outlineLevel="0" collapsed="false">
      <c r="A256" s="28" t="s">
        <v>995</v>
      </c>
      <c r="B256" s="28" t="s">
        <v>907</v>
      </c>
      <c r="C256" s="19" t="n">
        <v>0.0398</v>
      </c>
      <c r="D256" s="28" t="s">
        <v>493</v>
      </c>
      <c r="E256" s="28" t="s">
        <v>1521</v>
      </c>
    </row>
    <row r="257" customFormat="false" ht="15" hidden="false" customHeight="false" outlineLevel="0" collapsed="false">
      <c r="A257" s="28" t="s">
        <v>995</v>
      </c>
      <c r="B257" s="28" t="s">
        <v>913</v>
      </c>
      <c r="C257" s="19" t="n">
        <v>0.0419</v>
      </c>
      <c r="D257" s="28" t="s">
        <v>493</v>
      </c>
      <c r="E257" s="28" t="s">
        <v>1521</v>
      </c>
    </row>
    <row r="258" customFormat="false" ht="15" hidden="false" customHeight="false" outlineLevel="0" collapsed="false">
      <c r="A258" s="28" t="s">
        <v>995</v>
      </c>
      <c r="B258" s="28" t="s">
        <v>908</v>
      </c>
      <c r="C258" s="19" t="n">
        <v>0.0366</v>
      </c>
      <c r="D258" s="28" t="s">
        <v>493</v>
      </c>
      <c r="E258" s="28" t="s">
        <v>1521</v>
      </c>
    </row>
    <row r="259" customFormat="false" ht="15" hidden="false" customHeight="false" outlineLevel="0" collapsed="false">
      <c r="A259" s="28" t="s">
        <v>995</v>
      </c>
      <c r="B259" s="28" t="s">
        <v>914</v>
      </c>
      <c r="C259" s="19" t="n">
        <v>0.0414</v>
      </c>
      <c r="D259" s="28" t="s">
        <v>493</v>
      </c>
      <c r="E259" s="28" t="s">
        <v>1521</v>
      </c>
    </row>
    <row r="260" customFormat="false" ht="15" hidden="false" customHeight="false" outlineLevel="0" collapsed="false">
      <c r="A260" s="28" t="s">
        <v>995</v>
      </c>
      <c r="B260" s="28" t="s">
        <v>905</v>
      </c>
      <c r="C260" s="19" t="n">
        <v>0.0473</v>
      </c>
      <c r="D260" s="28" t="s">
        <v>493</v>
      </c>
      <c r="E260" s="28" t="s">
        <v>1521</v>
      </c>
    </row>
    <row r="261" customFormat="false" ht="15" hidden="false" customHeight="false" outlineLevel="0" collapsed="false">
      <c r="A261" s="28" t="s">
        <v>995</v>
      </c>
      <c r="B261" s="28" t="s">
        <v>909</v>
      </c>
      <c r="C261" s="19" t="n">
        <v>0.0355</v>
      </c>
      <c r="D261" s="28" t="s">
        <v>493</v>
      </c>
      <c r="E261" s="28" t="s">
        <v>1521</v>
      </c>
    </row>
    <row r="262" customFormat="false" ht="15" hidden="false" customHeight="false" outlineLevel="0" collapsed="false">
      <c r="A262" s="28" t="s">
        <v>995</v>
      </c>
      <c r="B262" s="28" t="s">
        <v>910</v>
      </c>
      <c r="C262" s="19" t="n">
        <v>0.0358</v>
      </c>
      <c r="D262" s="28" t="s">
        <v>493</v>
      </c>
      <c r="E262" s="28" t="s">
        <v>1521</v>
      </c>
    </row>
    <row r="263" customFormat="false" ht="15" hidden="false" customHeight="false" outlineLevel="0" collapsed="false">
      <c r="A263" s="28" t="s">
        <v>995</v>
      </c>
      <c r="B263" s="28" t="s">
        <v>906</v>
      </c>
      <c r="C263" s="19" t="n">
        <v>0.0438</v>
      </c>
      <c r="D263" s="28" t="s">
        <v>493</v>
      </c>
      <c r="E263" s="28" t="s">
        <v>1521</v>
      </c>
    </row>
    <row r="264" customFormat="false" ht="15" hidden="false" customHeight="false" outlineLevel="0" collapsed="false">
      <c r="A264" s="28" t="s">
        <v>995</v>
      </c>
      <c r="B264" s="28" t="s">
        <v>911</v>
      </c>
      <c r="C264" s="19" t="n">
        <v>0.0367</v>
      </c>
      <c r="D264" s="28" t="s">
        <v>493</v>
      </c>
      <c r="E264" s="28" t="s">
        <v>1521</v>
      </c>
    </row>
    <row r="265" customFormat="false" ht="15" hidden="false" customHeight="false" outlineLevel="0" collapsed="false">
      <c r="A265" s="28" t="s">
        <v>995</v>
      </c>
      <c r="B265" s="28" t="s">
        <v>904</v>
      </c>
      <c r="C265" s="19" t="n">
        <v>0.0488</v>
      </c>
      <c r="D265" s="28" t="s">
        <v>493</v>
      </c>
      <c r="E265" s="28" t="s">
        <v>1523</v>
      </c>
    </row>
    <row r="266" customFormat="false" ht="15" hidden="false" customHeight="false" outlineLevel="0" collapsed="false">
      <c r="A266" s="28" t="s">
        <v>995</v>
      </c>
      <c r="B266" s="28" t="s">
        <v>1524</v>
      </c>
      <c r="C266" s="19" t="n">
        <v>0.05</v>
      </c>
      <c r="D266" s="28" t="s">
        <v>497</v>
      </c>
      <c r="E266" s="28" t="s">
        <v>1525</v>
      </c>
    </row>
    <row r="267" customFormat="false" ht="15" hidden="false" customHeight="false" outlineLevel="0" collapsed="false">
      <c r="A267" s="28" t="s">
        <v>995</v>
      </c>
      <c r="B267" s="28" t="s">
        <v>915</v>
      </c>
      <c r="C267" s="19" t="n">
        <v>0.0608</v>
      </c>
      <c r="D267" s="28" t="s">
        <v>493</v>
      </c>
      <c r="E267" s="28" t="s">
        <v>1528</v>
      </c>
    </row>
    <row r="268" customFormat="false" ht="15" hidden="false" customHeight="false" outlineLevel="0" collapsed="false">
      <c r="A268" s="28" t="s">
        <v>995</v>
      </c>
      <c r="B268" s="28" t="s">
        <v>551</v>
      </c>
      <c r="C268" s="19" t="n">
        <v>0.08</v>
      </c>
      <c r="D268" s="28" t="s">
        <v>497</v>
      </c>
      <c r="E268" s="28" t="s">
        <v>1526</v>
      </c>
    </row>
    <row r="269" customFormat="false" ht="15" hidden="false" customHeight="false" outlineLevel="0" collapsed="false">
      <c r="A269" s="28" t="s">
        <v>995</v>
      </c>
      <c r="B269" s="28" t="s">
        <v>451</v>
      </c>
      <c r="C269" s="19" t="n">
        <v>0.0486</v>
      </c>
      <c r="D269" s="28" t="s">
        <v>493</v>
      </c>
      <c r="E269" s="28" t="s">
        <v>1527</v>
      </c>
    </row>
    <row r="270" customFormat="false" ht="15" hidden="false" customHeight="false" outlineLevel="0" collapsed="false">
      <c r="A270" s="28" t="s">
        <v>1541</v>
      </c>
      <c r="B270" s="28" t="s">
        <v>1519</v>
      </c>
      <c r="C270" s="19" t="n">
        <v>0.0475</v>
      </c>
      <c r="D270" s="28" t="s">
        <v>497</v>
      </c>
      <c r="E270" s="28" t="s">
        <v>1520</v>
      </c>
    </row>
    <row r="271" customFormat="false" ht="15" hidden="false" customHeight="false" outlineLevel="0" collapsed="false">
      <c r="A271" s="28" t="s">
        <v>1542</v>
      </c>
      <c r="B271" s="28" t="s">
        <v>1519</v>
      </c>
      <c r="C271" s="19" t="n">
        <v>0.045</v>
      </c>
      <c r="D271" s="28" t="s">
        <v>497</v>
      </c>
      <c r="E271" s="28" t="s">
        <v>1520</v>
      </c>
    </row>
    <row r="272" customFormat="false" ht="15" hidden="false" customHeight="false" outlineLevel="0" collapsed="false">
      <c r="A272" s="28" t="s">
        <v>319</v>
      </c>
      <c r="B272" s="28" t="s">
        <v>912</v>
      </c>
      <c r="C272" s="19" t="n">
        <v>0.0458</v>
      </c>
      <c r="D272" s="28" t="s">
        <v>493</v>
      </c>
      <c r="E272" s="28" t="s">
        <v>1521</v>
      </c>
    </row>
    <row r="273" customFormat="false" ht="15" hidden="false" customHeight="false" outlineLevel="0" collapsed="false">
      <c r="A273" s="28" t="s">
        <v>319</v>
      </c>
      <c r="B273" s="28" t="s">
        <v>1522</v>
      </c>
      <c r="C273" s="19" t="n">
        <v>0.044</v>
      </c>
      <c r="D273" s="28" t="s">
        <v>493</v>
      </c>
      <c r="E273" s="28" t="s">
        <v>1521</v>
      </c>
    </row>
    <row r="274" customFormat="false" ht="15" hidden="false" customHeight="false" outlineLevel="0" collapsed="false">
      <c r="A274" s="28" t="s">
        <v>319</v>
      </c>
      <c r="B274" s="28" t="s">
        <v>907</v>
      </c>
      <c r="C274" s="19" t="n">
        <v>0.0416</v>
      </c>
      <c r="D274" s="28" t="s">
        <v>493</v>
      </c>
      <c r="E274" s="28" t="s">
        <v>1521</v>
      </c>
    </row>
    <row r="275" customFormat="false" ht="15" hidden="false" customHeight="false" outlineLevel="0" collapsed="false">
      <c r="A275" s="28" t="s">
        <v>319</v>
      </c>
      <c r="B275" s="28" t="s">
        <v>913</v>
      </c>
      <c r="C275" s="19" t="n">
        <v>0.0486</v>
      </c>
      <c r="D275" s="28" t="s">
        <v>493</v>
      </c>
      <c r="E275" s="28" t="s">
        <v>1521</v>
      </c>
    </row>
    <row r="276" customFormat="false" ht="15" hidden="false" customHeight="false" outlineLevel="0" collapsed="false">
      <c r="A276" s="28" t="s">
        <v>319</v>
      </c>
      <c r="B276" s="28" t="s">
        <v>908</v>
      </c>
      <c r="C276" s="19" t="n">
        <v>0.0425</v>
      </c>
      <c r="D276" s="28" t="s">
        <v>493</v>
      </c>
      <c r="E276" s="28" t="s">
        <v>1521</v>
      </c>
    </row>
    <row r="277" customFormat="false" ht="15" hidden="false" customHeight="false" outlineLevel="0" collapsed="false">
      <c r="A277" s="28" t="s">
        <v>319</v>
      </c>
      <c r="B277" s="28" t="s">
        <v>914</v>
      </c>
      <c r="C277" s="19" t="n">
        <v>0.0478</v>
      </c>
      <c r="D277" s="28" t="s">
        <v>493</v>
      </c>
      <c r="E277" s="28" t="s">
        <v>1521</v>
      </c>
    </row>
    <row r="278" customFormat="false" ht="15" hidden="false" customHeight="false" outlineLevel="0" collapsed="false">
      <c r="A278" s="28" t="s">
        <v>319</v>
      </c>
      <c r="B278" s="28" t="s">
        <v>905</v>
      </c>
      <c r="C278" s="19" t="n">
        <v>0.0437</v>
      </c>
      <c r="D278" s="28" t="s">
        <v>493</v>
      </c>
      <c r="E278" s="28" t="s">
        <v>1521</v>
      </c>
    </row>
    <row r="279" customFormat="false" ht="15" hidden="false" customHeight="false" outlineLevel="0" collapsed="false">
      <c r="A279" s="28" t="s">
        <v>319</v>
      </c>
      <c r="B279" s="28" t="s">
        <v>909</v>
      </c>
      <c r="C279" s="19" t="n">
        <v>0.0427</v>
      </c>
      <c r="D279" s="28" t="s">
        <v>493</v>
      </c>
      <c r="E279" s="28" t="s">
        <v>1521</v>
      </c>
    </row>
    <row r="280" customFormat="false" ht="15" hidden="false" customHeight="false" outlineLevel="0" collapsed="false">
      <c r="A280" s="28" t="s">
        <v>319</v>
      </c>
      <c r="B280" s="28" t="s">
        <v>910</v>
      </c>
      <c r="C280" s="19" t="n">
        <v>0.0438</v>
      </c>
      <c r="D280" s="28" t="s">
        <v>493</v>
      </c>
      <c r="E280" s="28" t="s">
        <v>1521</v>
      </c>
    </row>
    <row r="281" customFormat="false" ht="15" hidden="false" customHeight="false" outlineLevel="0" collapsed="false">
      <c r="A281" s="28" t="s">
        <v>319</v>
      </c>
      <c r="B281" s="28" t="s">
        <v>906</v>
      </c>
      <c r="C281" s="19" t="n">
        <v>0.0424</v>
      </c>
      <c r="D281" s="28" t="s">
        <v>493</v>
      </c>
      <c r="E281" s="28" t="s">
        <v>1521</v>
      </c>
    </row>
    <row r="282" customFormat="false" ht="15" hidden="false" customHeight="false" outlineLevel="0" collapsed="false">
      <c r="A282" s="28" t="s">
        <v>319</v>
      </c>
      <c r="B282" s="28" t="s">
        <v>911</v>
      </c>
      <c r="C282" s="19" t="n">
        <v>0.0448</v>
      </c>
      <c r="D282" s="28" t="s">
        <v>493</v>
      </c>
      <c r="E282" s="28" t="s">
        <v>1521</v>
      </c>
    </row>
    <row r="283" customFormat="false" ht="15" hidden="false" customHeight="false" outlineLevel="0" collapsed="false">
      <c r="A283" s="28" t="s">
        <v>319</v>
      </c>
      <c r="B283" s="28" t="s">
        <v>904</v>
      </c>
      <c r="C283" s="19" t="n">
        <v>0.0438</v>
      </c>
      <c r="D283" s="28" t="s">
        <v>493</v>
      </c>
      <c r="E283" s="28" t="s">
        <v>1523</v>
      </c>
    </row>
    <row r="284" customFormat="false" ht="15" hidden="false" customHeight="false" outlineLevel="0" collapsed="false">
      <c r="A284" s="28" t="s">
        <v>319</v>
      </c>
      <c r="B284" s="28" t="s">
        <v>1524</v>
      </c>
      <c r="C284" s="19" t="n">
        <v>0.045</v>
      </c>
      <c r="D284" s="28" t="s">
        <v>497</v>
      </c>
      <c r="E284" s="28" t="s">
        <v>1525</v>
      </c>
    </row>
    <row r="285" customFormat="false" ht="15" hidden="false" customHeight="false" outlineLevel="0" collapsed="false">
      <c r="A285" s="28" t="s">
        <v>319</v>
      </c>
      <c r="B285" s="28" t="s">
        <v>915</v>
      </c>
      <c r="C285" s="19" t="n">
        <v>0.0685</v>
      </c>
      <c r="D285" s="28" t="s">
        <v>493</v>
      </c>
      <c r="E285" s="28" t="s">
        <v>1528</v>
      </c>
    </row>
    <row r="286" customFormat="false" ht="15" hidden="false" customHeight="false" outlineLevel="0" collapsed="false">
      <c r="A286" s="28" t="s">
        <v>319</v>
      </c>
      <c r="B286" s="28" t="s">
        <v>551</v>
      </c>
      <c r="C286" s="19" t="n">
        <v>0.075</v>
      </c>
      <c r="D286" s="28" t="s">
        <v>497</v>
      </c>
      <c r="E286" s="28" t="s">
        <v>1526</v>
      </c>
    </row>
    <row r="287" customFormat="false" ht="15" hidden="false" customHeight="false" outlineLevel="0" collapsed="false">
      <c r="A287" s="28" t="s">
        <v>319</v>
      </c>
      <c r="B287" s="28" t="s">
        <v>451</v>
      </c>
      <c r="C287" s="19" t="n">
        <v>0.0436</v>
      </c>
      <c r="D287" s="28" t="s">
        <v>493</v>
      </c>
      <c r="E287" s="28" t="s">
        <v>1527</v>
      </c>
    </row>
    <row r="288" customFormat="false" ht="15" hidden="false" customHeight="false" outlineLevel="0" collapsed="false">
      <c r="A288" s="28" t="s">
        <v>694</v>
      </c>
      <c r="B288" s="28" t="s">
        <v>912</v>
      </c>
      <c r="C288" s="19" t="n">
        <v>0.0423</v>
      </c>
      <c r="D288" s="28" t="s">
        <v>497</v>
      </c>
      <c r="E288" s="28" t="s">
        <v>1543</v>
      </c>
    </row>
    <row r="289" customFormat="false" ht="15" hidden="false" customHeight="false" outlineLevel="0" collapsed="false">
      <c r="A289" s="28" t="s">
        <v>694</v>
      </c>
      <c r="B289" s="28" t="s">
        <v>1522</v>
      </c>
      <c r="C289" s="19" t="n">
        <v>0.0438</v>
      </c>
      <c r="D289" s="28" t="s">
        <v>497</v>
      </c>
      <c r="E289" s="28" t="s">
        <v>1543</v>
      </c>
    </row>
    <row r="290" customFormat="false" ht="15" hidden="false" customHeight="false" outlineLevel="0" collapsed="false">
      <c r="A290" s="28" t="s">
        <v>694</v>
      </c>
      <c r="B290" s="28" t="s">
        <v>907</v>
      </c>
      <c r="C290" s="19" t="n">
        <v>0.0403</v>
      </c>
      <c r="D290" s="28" t="s">
        <v>497</v>
      </c>
      <c r="E290" s="28" t="s">
        <v>1543</v>
      </c>
    </row>
    <row r="291" customFormat="false" ht="15" hidden="false" customHeight="false" outlineLevel="0" collapsed="false">
      <c r="A291" s="28" t="s">
        <v>694</v>
      </c>
      <c r="B291" s="28" t="s">
        <v>913</v>
      </c>
      <c r="C291" s="19" t="n">
        <v>0.0462</v>
      </c>
      <c r="D291" s="28" t="s">
        <v>497</v>
      </c>
      <c r="E291" s="28" t="s">
        <v>1543</v>
      </c>
    </row>
    <row r="292" customFormat="false" ht="15" hidden="false" customHeight="false" outlineLevel="0" collapsed="false">
      <c r="A292" s="28" t="s">
        <v>694</v>
      </c>
      <c r="B292" s="28" t="s">
        <v>908</v>
      </c>
      <c r="C292" s="19" t="n">
        <v>0.0389</v>
      </c>
      <c r="D292" s="28" t="s">
        <v>497</v>
      </c>
      <c r="E292" s="28" t="s">
        <v>1543</v>
      </c>
    </row>
    <row r="293" customFormat="false" ht="15" hidden="false" customHeight="false" outlineLevel="0" collapsed="false">
      <c r="A293" s="28" t="s">
        <v>694</v>
      </c>
      <c r="B293" s="28" t="s">
        <v>914</v>
      </c>
      <c r="C293" s="19" t="n">
        <v>0.0459</v>
      </c>
      <c r="D293" s="28" t="s">
        <v>497</v>
      </c>
      <c r="E293" s="28" t="s">
        <v>1543</v>
      </c>
    </row>
    <row r="294" customFormat="false" ht="15" hidden="false" customHeight="false" outlineLevel="0" collapsed="false">
      <c r="A294" s="28" t="s">
        <v>694</v>
      </c>
      <c r="B294" s="28" t="s">
        <v>905</v>
      </c>
      <c r="C294" s="19" t="n">
        <v>0.0432</v>
      </c>
      <c r="D294" s="28" t="s">
        <v>497</v>
      </c>
      <c r="E294" s="28" t="s">
        <v>1543</v>
      </c>
    </row>
    <row r="295" customFormat="false" ht="15" hidden="false" customHeight="false" outlineLevel="0" collapsed="false">
      <c r="A295" s="28" t="s">
        <v>694</v>
      </c>
      <c r="B295" s="28" t="s">
        <v>909</v>
      </c>
      <c r="C295" s="19" t="n">
        <v>0.0389</v>
      </c>
      <c r="D295" s="28" t="s">
        <v>497</v>
      </c>
      <c r="E295" s="28" t="s">
        <v>1543</v>
      </c>
    </row>
    <row r="296" customFormat="false" ht="15" hidden="false" customHeight="false" outlineLevel="0" collapsed="false">
      <c r="A296" s="28" t="s">
        <v>694</v>
      </c>
      <c r="B296" s="28" t="s">
        <v>910</v>
      </c>
      <c r="C296" s="19" t="n">
        <v>0.0396</v>
      </c>
      <c r="D296" s="28" t="s">
        <v>497</v>
      </c>
      <c r="E296" s="28" t="s">
        <v>1543</v>
      </c>
    </row>
    <row r="297" customFormat="false" ht="15" hidden="false" customHeight="false" outlineLevel="0" collapsed="false">
      <c r="A297" s="28" t="s">
        <v>694</v>
      </c>
      <c r="B297" s="28" t="s">
        <v>906</v>
      </c>
      <c r="C297" s="19" t="n">
        <v>0.0423</v>
      </c>
      <c r="D297" s="28" t="s">
        <v>497</v>
      </c>
      <c r="E297" s="28" t="s">
        <v>1543</v>
      </c>
    </row>
    <row r="298" customFormat="false" ht="15" hidden="false" customHeight="false" outlineLevel="0" collapsed="false">
      <c r="A298" s="28" t="s">
        <v>694</v>
      </c>
      <c r="B298" s="28" t="s">
        <v>911</v>
      </c>
      <c r="C298" s="19" t="n">
        <v>0.0409</v>
      </c>
      <c r="D298" s="28" t="s">
        <v>497</v>
      </c>
      <c r="E298" s="28" t="s">
        <v>1543</v>
      </c>
    </row>
    <row r="299" customFormat="false" ht="15" hidden="false" customHeight="false" outlineLevel="0" collapsed="false">
      <c r="A299" s="28" t="s">
        <v>694</v>
      </c>
      <c r="B299" s="28" t="s">
        <v>904</v>
      </c>
      <c r="C299" s="19" t="n">
        <v>0.0438</v>
      </c>
      <c r="D299" s="28" t="s">
        <v>493</v>
      </c>
      <c r="E299" s="28" t="s">
        <v>1523</v>
      </c>
    </row>
    <row r="300" customFormat="false" ht="15" hidden="false" customHeight="false" outlineLevel="0" collapsed="false">
      <c r="A300" s="28" t="s">
        <v>694</v>
      </c>
      <c r="B300" s="28" t="s">
        <v>1524</v>
      </c>
      <c r="C300" s="19" t="n">
        <v>0.045</v>
      </c>
      <c r="D300" s="28" t="s">
        <v>497</v>
      </c>
      <c r="E300" s="28" t="s">
        <v>1525</v>
      </c>
    </row>
    <row r="301" customFormat="false" ht="15" hidden="false" customHeight="false" outlineLevel="0" collapsed="false">
      <c r="A301" s="28" t="s">
        <v>694</v>
      </c>
      <c r="B301" s="28" t="s">
        <v>915</v>
      </c>
      <c r="C301" s="19" t="n">
        <v>0.0665</v>
      </c>
      <c r="D301" s="28" t="s">
        <v>493</v>
      </c>
      <c r="E301" s="28" t="s">
        <v>1528</v>
      </c>
    </row>
    <row r="302" customFormat="false" ht="15" hidden="false" customHeight="false" outlineLevel="0" collapsed="false">
      <c r="A302" s="28" t="s">
        <v>694</v>
      </c>
      <c r="B302" s="28" t="s">
        <v>551</v>
      </c>
      <c r="C302" s="19" t="n">
        <v>0.075</v>
      </c>
      <c r="D302" s="28" t="s">
        <v>497</v>
      </c>
      <c r="E302" s="28" t="s">
        <v>1526</v>
      </c>
    </row>
    <row r="303" customFormat="false" ht="15" hidden="false" customHeight="false" outlineLevel="0" collapsed="false">
      <c r="A303" s="28" t="s">
        <v>694</v>
      </c>
      <c r="B303" s="28" t="s">
        <v>451</v>
      </c>
      <c r="C303" s="19" t="n">
        <v>0.0436</v>
      </c>
      <c r="D303" s="28" t="s">
        <v>493</v>
      </c>
      <c r="E303" s="28" t="s">
        <v>1527</v>
      </c>
    </row>
    <row r="304" customFormat="false" ht="15" hidden="false" customHeight="false" outlineLevel="0" collapsed="false">
      <c r="A304" s="28" t="s">
        <v>702</v>
      </c>
      <c r="B304" s="28" t="s">
        <v>912</v>
      </c>
      <c r="C304" s="19" t="n">
        <v>0.0424</v>
      </c>
      <c r="D304" s="28" t="s">
        <v>493</v>
      </c>
      <c r="E304" s="28" t="s">
        <v>1521</v>
      </c>
    </row>
    <row r="305" customFormat="false" ht="15" hidden="false" customHeight="false" outlineLevel="0" collapsed="false">
      <c r="A305" s="28" t="s">
        <v>702</v>
      </c>
      <c r="B305" s="28" t="s">
        <v>1522</v>
      </c>
      <c r="C305" s="19" t="n">
        <v>0.0428</v>
      </c>
      <c r="D305" s="28" t="s">
        <v>493</v>
      </c>
      <c r="E305" s="28" t="s">
        <v>1521</v>
      </c>
    </row>
    <row r="306" customFormat="false" ht="15" hidden="false" customHeight="false" outlineLevel="0" collapsed="false">
      <c r="A306" s="28" t="s">
        <v>702</v>
      </c>
      <c r="B306" s="28" t="s">
        <v>907</v>
      </c>
      <c r="C306" s="19" t="n">
        <v>0.0396</v>
      </c>
      <c r="D306" s="28" t="s">
        <v>493</v>
      </c>
      <c r="E306" s="28" t="s">
        <v>1521</v>
      </c>
    </row>
    <row r="307" customFormat="false" ht="15" hidden="false" customHeight="false" outlineLevel="0" collapsed="false">
      <c r="A307" s="28" t="s">
        <v>702</v>
      </c>
      <c r="B307" s="28" t="s">
        <v>913</v>
      </c>
      <c r="C307" s="19" t="n">
        <v>0.0478</v>
      </c>
      <c r="D307" s="28" t="s">
        <v>493</v>
      </c>
      <c r="E307" s="28" t="s">
        <v>1521</v>
      </c>
    </row>
    <row r="308" customFormat="false" ht="15" hidden="false" customHeight="false" outlineLevel="0" collapsed="false">
      <c r="A308" s="28" t="s">
        <v>702</v>
      </c>
      <c r="B308" s="28" t="s">
        <v>908</v>
      </c>
      <c r="C308" s="19" t="n">
        <v>0.0372</v>
      </c>
      <c r="D308" s="28" t="s">
        <v>493</v>
      </c>
      <c r="E308" s="28" t="s">
        <v>1521</v>
      </c>
    </row>
    <row r="309" customFormat="false" ht="15" hidden="false" customHeight="false" outlineLevel="0" collapsed="false">
      <c r="A309" s="28" t="s">
        <v>702</v>
      </c>
      <c r="B309" s="28" t="s">
        <v>914</v>
      </c>
      <c r="C309" s="19" t="n">
        <v>0.0478</v>
      </c>
      <c r="D309" s="28" t="s">
        <v>493</v>
      </c>
      <c r="E309" s="28" t="s">
        <v>1521</v>
      </c>
    </row>
    <row r="310" customFormat="false" ht="15" hidden="false" customHeight="false" outlineLevel="0" collapsed="false">
      <c r="A310" s="28" t="s">
        <v>702</v>
      </c>
      <c r="B310" s="28" t="s">
        <v>905</v>
      </c>
      <c r="C310" s="19" t="n">
        <v>0.0441</v>
      </c>
      <c r="D310" s="28" t="s">
        <v>493</v>
      </c>
      <c r="E310" s="28" t="s">
        <v>1521</v>
      </c>
    </row>
    <row r="311" customFormat="false" ht="15" hidden="false" customHeight="false" outlineLevel="0" collapsed="false">
      <c r="A311" s="28" t="s">
        <v>702</v>
      </c>
      <c r="B311" s="28" t="s">
        <v>909</v>
      </c>
      <c r="C311" s="19" t="n">
        <v>0.0368</v>
      </c>
      <c r="D311" s="28" t="s">
        <v>493</v>
      </c>
      <c r="E311" s="28" t="s">
        <v>1521</v>
      </c>
    </row>
    <row r="312" customFormat="false" ht="15" hidden="false" customHeight="false" outlineLevel="0" collapsed="false">
      <c r="A312" s="28" t="s">
        <v>702</v>
      </c>
      <c r="B312" s="28" t="s">
        <v>910</v>
      </c>
      <c r="C312" s="19" t="n">
        <v>0.0379</v>
      </c>
      <c r="D312" s="28" t="s">
        <v>493</v>
      </c>
      <c r="E312" s="28" t="s">
        <v>1521</v>
      </c>
    </row>
    <row r="313" customFormat="false" ht="15" hidden="false" customHeight="false" outlineLevel="0" collapsed="false">
      <c r="A313" s="28" t="s">
        <v>702</v>
      </c>
      <c r="B313" s="28" t="s">
        <v>906</v>
      </c>
      <c r="C313" s="19" t="n">
        <v>0.0429</v>
      </c>
      <c r="D313" s="28" t="s">
        <v>493</v>
      </c>
      <c r="E313" s="28" t="s">
        <v>1521</v>
      </c>
    </row>
    <row r="314" customFormat="false" ht="15" hidden="false" customHeight="false" outlineLevel="0" collapsed="false">
      <c r="A314" s="28" t="s">
        <v>702</v>
      </c>
      <c r="B314" s="28" t="s">
        <v>911</v>
      </c>
      <c r="C314" s="19" t="n">
        <v>0.0398</v>
      </c>
      <c r="D314" s="28" t="s">
        <v>493</v>
      </c>
      <c r="E314" s="28" t="s">
        <v>1521</v>
      </c>
    </row>
    <row r="315" customFormat="false" ht="15" hidden="false" customHeight="false" outlineLevel="0" collapsed="false">
      <c r="A315" s="28" t="s">
        <v>702</v>
      </c>
      <c r="B315" s="28" t="s">
        <v>904</v>
      </c>
      <c r="C315" s="19" t="n">
        <v>0.0438</v>
      </c>
      <c r="D315" s="28" t="s">
        <v>493</v>
      </c>
      <c r="E315" s="28" t="s">
        <v>1523</v>
      </c>
    </row>
    <row r="316" customFormat="false" ht="15" hidden="false" customHeight="false" outlineLevel="0" collapsed="false">
      <c r="A316" s="28" t="s">
        <v>702</v>
      </c>
      <c r="B316" s="28" t="s">
        <v>1524</v>
      </c>
      <c r="C316" s="19" t="n">
        <v>0.045</v>
      </c>
      <c r="D316" s="28" t="s">
        <v>497</v>
      </c>
      <c r="E316" s="28" t="s">
        <v>1525</v>
      </c>
    </row>
    <row r="317" customFormat="false" ht="15" hidden="false" customHeight="false" outlineLevel="0" collapsed="false">
      <c r="A317" s="28" t="s">
        <v>702</v>
      </c>
      <c r="B317" s="28" t="s">
        <v>915</v>
      </c>
      <c r="C317" s="19" t="n">
        <v>0.0677</v>
      </c>
      <c r="D317" s="28" t="s">
        <v>493</v>
      </c>
      <c r="E317" s="28" t="s">
        <v>1528</v>
      </c>
    </row>
    <row r="318" customFormat="false" ht="15" hidden="false" customHeight="false" outlineLevel="0" collapsed="false">
      <c r="A318" s="28" t="s">
        <v>702</v>
      </c>
      <c r="B318" s="28" t="s">
        <v>551</v>
      </c>
      <c r="C318" s="19" t="n">
        <v>0.075</v>
      </c>
      <c r="D318" s="28" t="s">
        <v>497</v>
      </c>
      <c r="E318" s="28" t="s">
        <v>1526</v>
      </c>
    </row>
    <row r="319" customFormat="false" ht="15" hidden="false" customHeight="false" outlineLevel="0" collapsed="false">
      <c r="A319" s="28" t="s">
        <v>702</v>
      </c>
      <c r="B319" s="28" t="s">
        <v>451</v>
      </c>
      <c r="C319" s="19" t="n">
        <v>0.0436</v>
      </c>
      <c r="D319" s="28" t="s">
        <v>493</v>
      </c>
      <c r="E319" s="28" t="s">
        <v>1527</v>
      </c>
    </row>
    <row r="320" customFormat="false" ht="15" hidden="false" customHeight="false" outlineLevel="0" collapsed="false">
      <c r="A320" s="28" t="s">
        <v>1544</v>
      </c>
      <c r="B320" s="28" t="s">
        <v>1519</v>
      </c>
      <c r="C320" s="19" t="n">
        <v>0.0425</v>
      </c>
      <c r="D320" s="28" t="s">
        <v>497</v>
      </c>
      <c r="E320" s="28" t="s">
        <v>1520</v>
      </c>
    </row>
    <row r="321" customFormat="false" ht="15" hidden="false" customHeight="false" outlineLevel="0" collapsed="false">
      <c r="A321" s="28" t="s">
        <v>704</v>
      </c>
      <c r="B321" s="28" t="s">
        <v>912</v>
      </c>
      <c r="C321" s="19" t="n">
        <v>0.0416</v>
      </c>
      <c r="D321" s="28" t="s">
        <v>493</v>
      </c>
      <c r="E321" s="28" t="s">
        <v>1521</v>
      </c>
    </row>
    <row r="322" customFormat="false" ht="15" hidden="false" customHeight="false" outlineLevel="0" collapsed="false">
      <c r="A322" s="28" t="s">
        <v>704</v>
      </c>
      <c r="B322" s="28" t="s">
        <v>1522</v>
      </c>
      <c r="C322" s="19" t="n">
        <v>0.042</v>
      </c>
      <c r="D322" s="28" t="s">
        <v>493</v>
      </c>
      <c r="E322" s="28" t="s">
        <v>1521</v>
      </c>
    </row>
    <row r="323" customFormat="false" ht="15" hidden="false" customHeight="false" outlineLevel="0" collapsed="false">
      <c r="A323" s="28" t="s">
        <v>704</v>
      </c>
      <c r="B323" s="28" t="s">
        <v>907</v>
      </c>
      <c r="C323" s="19" t="n">
        <v>0.0368</v>
      </c>
      <c r="D323" s="28" t="s">
        <v>493</v>
      </c>
      <c r="E323" s="28" t="s">
        <v>1521</v>
      </c>
    </row>
    <row r="324" customFormat="false" ht="15" hidden="false" customHeight="false" outlineLevel="0" collapsed="false">
      <c r="A324" s="28" t="s">
        <v>704</v>
      </c>
      <c r="B324" s="28" t="s">
        <v>913</v>
      </c>
      <c r="C324" s="19" t="n">
        <v>0.0473</v>
      </c>
      <c r="D324" s="28" t="s">
        <v>493</v>
      </c>
      <c r="E324" s="28" t="s">
        <v>1521</v>
      </c>
    </row>
    <row r="325" customFormat="false" ht="15" hidden="false" customHeight="false" outlineLevel="0" collapsed="false">
      <c r="A325" s="28" t="s">
        <v>704</v>
      </c>
      <c r="B325" s="28" t="s">
        <v>908</v>
      </c>
      <c r="C325" s="19" t="n">
        <v>0.0361</v>
      </c>
      <c r="D325" s="28" t="s">
        <v>493</v>
      </c>
      <c r="E325" s="28" t="s">
        <v>1521</v>
      </c>
    </row>
    <row r="326" customFormat="false" ht="15" hidden="false" customHeight="false" outlineLevel="0" collapsed="false">
      <c r="A326" s="28" t="s">
        <v>704</v>
      </c>
      <c r="B326" s="28" t="s">
        <v>914</v>
      </c>
      <c r="C326" s="19" t="n">
        <v>0.0473</v>
      </c>
      <c r="D326" s="28" t="s">
        <v>493</v>
      </c>
      <c r="E326" s="28" t="s">
        <v>1521</v>
      </c>
    </row>
    <row r="327" customFormat="false" ht="15" hidden="false" customHeight="false" outlineLevel="0" collapsed="false">
      <c r="A327" s="28" t="s">
        <v>704</v>
      </c>
      <c r="B327" s="28" t="s">
        <v>905</v>
      </c>
      <c r="C327" s="19" t="n">
        <v>0.0402</v>
      </c>
      <c r="D327" s="28" t="s">
        <v>493</v>
      </c>
      <c r="E327" s="28" t="s">
        <v>1521</v>
      </c>
    </row>
    <row r="328" customFormat="false" ht="15" hidden="false" customHeight="false" outlineLevel="0" collapsed="false">
      <c r="A328" s="28" t="s">
        <v>704</v>
      </c>
      <c r="B328" s="28" t="s">
        <v>909</v>
      </c>
      <c r="C328" s="19" t="n">
        <v>0.036</v>
      </c>
      <c r="D328" s="28" t="s">
        <v>493</v>
      </c>
      <c r="E328" s="28" t="s">
        <v>1521</v>
      </c>
    </row>
    <row r="329" customFormat="false" ht="15" hidden="false" customHeight="false" outlineLevel="0" collapsed="false">
      <c r="A329" s="28" t="s">
        <v>704</v>
      </c>
      <c r="B329" s="28" t="s">
        <v>910</v>
      </c>
      <c r="C329" s="19" t="n">
        <v>0.0374</v>
      </c>
      <c r="D329" s="28" t="s">
        <v>493</v>
      </c>
      <c r="E329" s="28" t="s">
        <v>1521</v>
      </c>
    </row>
    <row r="330" customFormat="false" ht="15" hidden="false" customHeight="false" outlineLevel="0" collapsed="false">
      <c r="A330" s="28" t="s">
        <v>704</v>
      </c>
      <c r="B330" s="28" t="s">
        <v>906</v>
      </c>
      <c r="C330" s="19" t="n">
        <v>0.0384</v>
      </c>
      <c r="D330" s="28" t="s">
        <v>493</v>
      </c>
      <c r="E330" s="28" t="s">
        <v>1521</v>
      </c>
    </row>
    <row r="331" customFormat="false" ht="15" hidden="false" customHeight="false" outlineLevel="0" collapsed="false">
      <c r="A331" s="28" t="s">
        <v>704</v>
      </c>
      <c r="B331" s="28" t="s">
        <v>911</v>
      </c>
      <c r="C331" s="19" t="n">
        <v>0.0393</v>
      </c>
      <c r="D331" s="28" t="s">
        <v>493</v>
      </c>
      <c r="E331" s="28" t="s">
        <v>1521</v>
      </c>
    </row>
    <row r="332" customFormat="false" ht="15" hidden="false" customHeight="false" outlineLevel="0" collapsed="false">
      <c r="A332" s="28" t="s">
        <v>704</v>
      </c>
      <c r="B332" s="28" t="s">
        <v>904</v>
      </c>
      <c r="C332" s="19" t="n">
        <v>0.0413</v>
      </c>
      <c r="D332" s="28" t="s">
        <v>493</v>
      </c>
      <c r="E332" s="28" t="s">
        <v>1523</v>
      </c>
    </row>
    <row r="333" customFormat="false" ht="15" hidden="false" customHeight="false" outlineLevel="0" collapsed="false">
      <c r="A333" s="28" t="s">
        <v>704</v>
      </c>
      <c r="B333" s="28" t="s">
        <v>1524</v>
      </c>
      <c r="C333" s="19" t="n">
        <v>0.0425</v>
      </c>
      <c r="D333" s="28" t="s">
        <v>497</v>
      </c>
      <c r="E333" s="28" t="s">
        <v>1525</v>
      </c>
    </row>
    <row r="334" customFormat="false" ht="15" hidden="false" customHeight="false" outlineLevel="0" collapsed="false">
      <c r="A334" s="28" t="s">
        <v>704</v>
      </c>
      <c r="B334" s="28" t="s">
        <v>915</v>
      </c>
      <c r="C334" s="19" t="n">
        <v>0.063</v>
      </c>
      <c r="D334" s="28" t="s">
        <v>493</v>
      </c>
      <c r="E334" s="28" t="s">
        <v>1528</v>
      </c>
    </row>
    <row r="335" customFormat="false" ht="15" hidden="false" customHeight="false" outlineLevel="0" collapsed="false">
      <c r="A335" s="28" t="s">
        <v>704</v>
      </c>
      <c r="B335" s="28" t="s">
        <v>551</v>
      </c>
      <c r="C335" s="19" t="n">
        <v>0.0725</v>
      </c>
      <c r="D335" s="28" t="s">
        <v>497</v>
      </c>
      <c r="E335" s="28" t="s">
        <v>1526</v>
      </c>
    </row>
    <row r="336" customFormat="false" ht="15" hidden="false" customHeight="false" outlineLevel="0" collapsed="false">
      <c r="A336" s="28" t="s">
        <v>704</v>
      </c>
      <c r="B336" s="28" t="s">
        <v>451</v>
      </c>
      <c r="C336" s="19" t="n">
        <v>0.0411</v>
      </c>
      <c r="D336" s="28" t="s">
        <v>493</v>
      </c>
      <c r="E336" s="28" t="s">
        <v>1527</v>
      </c>
    </row>
    <row r="337" customFormat="false" ht="15" hidden="false" customHeight="false" outlineLevel="0" collapsed="false">
      <c r="A337" s="28" t="s">
        <v>1545</v>
      </c>
      <c r="B337" s="28" t="s">
        <v>1519</v>
      </c>
      <c r="C337" s="19" t="n">
        <v>0.04</v>
      </c>
      <c r="D337" s="28" t="s">
        <v>497</v>
      </c>
      <c r="E337" s="28" t="s">
        <v>1520</v>
      </c>
    </row>
    <row r="338" customFormat="false" ht="15" hidden="false" customHeight="false" outlineLevel="0" collapsed="false">
      <c r="A338" s="28" t="s">
        <v>1546</v>
      </c>
      <c r="B338" s="28" t="s">
        <v>1519</v>
      </c>
      <c r="C338" s="19" t="n">
        <v>0.0375</v>
      </c>
      <c r="D338" s="28" t="s">
        <v>497</v>
      </c>
      <c r="E338" s="28" t="s">
        <v>1520</v>
      </c>
    </row>
    <row r="339" customFormat="false" ht="15" hidden="false" customHeight="false" outlineLevel="0" collapsed="false">
      <c r="A339" s="28" t="s">
        <v>320</v>
      </c>
      <c r="B339" s="28" t="s">
        <v>912</v>
      </c>
      <c r="C339" s="19" t="n">
        <v>0.0417</v>
      </c>
      <c r="D339" s="28" t="s">
        <v>493</v>
      </c>
      <c r="E339" s="28" t="s">
        <v>1521</v>
      </c>
    </row>
    <row r="340" customFormat="false" ht="15" hidden="false" customHeight="false" outlineLevel="0" collapsed="false">
      <c r="A340" s="28" t="s">
        <v>320</v>
      </c>
      <c r="B340" s="28" t="s">
        <v>1522</v>
      </c>
      <c r="C340" s="19" t="n">
        <v>0.0372</v>
      </c>
      <c r="D340" s="28" t="s">
        <v>493</v>
      </c>
      <c r="E340" s="28" t="s">
        <v>1521</v>
      </c>
    </row>
    <row r="341" customFormat="false" ht="15" hidden="false" customHeight="false" outlineLevel="0" collapsed="false">
      <c r="A341" s="28" t="s">
        <v>320</v>
      </c>
      <c r="B341" s="28" t="s">
        <v>907</v>
      </c>
      <c r="C341" s="19" t="n">
        <v>0.0348</v>
      </c>
      <c r="D341" s="28" t="s">
        <v>493</v>
      </c>
      <c r="E341" s="28" t="s">
        <v>1521</v>
      </c>
    </row>
    <row r="342" customFormat="false" ht="15" hidden="false" customHeight="false" outlineLevel="0" collapsed="false">
      <c r="A342" s="28" t="s">
        <v>320</v>
      </c>
      <c r="B342" s="28" t="s">
        <v>913</v>
      </c>
      <c r="C342" s="19" t="n">
        <v>0.0479</v>
      </c>
      <c r="D342" s="28" t="s">
        <v>493</v>
      </c>
      <c r="E342" s="28" t="s">
        <v>1521</v>
      </c>
    </row>
    <row r="343" customFormat="false" ht="15" hidden="false" customHeight="false" outlineLevel="0" collapsed="false">
      <c r="A343" s="28" t="s">
        <v>320</v>
      </c>
      <c r="B343" s="28" t="s">
        <v>908</v>
      </c>
      <c r="C343" s="19" t="n">
        <v>0.0348</v>
      </c>
      <c r="D343" s="28" t="s">
        <v>493</v>
      </c>
      <c r="E343" s="28" t="s">
        <v>1521</v>
      </c>
    </row>
    <row r="344" customFormat="false" ht="15" hidden="false" customHeight="false" outlineLevel="0" collapsed="false">
      <c r="A344" s="28" t="s">
        <v>320</v>
      </c>
      <c r="B344" s="28" t="s">
        <v>914</v>
      </c>
      <c r="C344" s="19" t="n">
        <v>0.0484</v>
      </c>
      <c r="D344" s="28" t="s">
        <v>493</v>
      </c>
      <c r="E344" s="28" t="s">
        <v>1521</v>
      </c>
    </row>
    <row r="345" customFormat="false" ht="15" hidden="false" customHeight="false" outlineLevel="0" collapsed="false">
      <c r="A345" s="28" t="s">
        <v>320</v>
      </c>
      <c r="B345" s="28" t="s">
        <v>905</v>
      </c>
      <c r="C345" s="19" t="n">
        <v>0.0367</v>
      </c>
      <c r="D345" s="28" t="s">
        <v>493</v>
      </c>
      <c r="E345" s="28" t="s">
        <v>1521</v>
      </c>
    </row>
    <row r="346" customFormat="false" ht="15" hidden="false" customHeight="false" outlineLevel="0" collapsed="false">
      <c r="A346" s="28" t="s">
        <v>320</v>
      </c>
      <c r="B346" s="28" t="s">
        <v>909</v>
      </c>
      <c r="C346" s="19" t="n">
        <v>0.0355</v>
      </c>
      <c r="D346" s="28" t="s">
        <v>493</v>
      </c>
      <c r="E346" s="28" t="s">
        <v>1521</v>
      </c>
    </row>
    <row r="347" customFormat="false" ht="15" hidden="false" customHeight="false" outlineLevel="0" collapsed="false">
      <c r="A347" s="28" t="s">
        <v>320</v>
      </c>
      <c r="B347" s="28" t="s">
        <v>910</v>
      </c>
      <c r="C347" s="19" t="n">
        <v>0.0373</v>
      </c>
      <c r="D347" s="28" t="s">
        <v>493</v>
      </c>
      <c r="E347" s="28" t="s">
        <v>1521</v>
      </c>
    </row>
    <row r="348" customFormat="false" ht="15" hidden="false" customHeight="false" outlineLevel="0" collapsed="false">
      <c r="A348" s="28" t="s">
        <v>320</v>
      </c>
      <c r="B348" s="28" t="s">
        <v>906</v>
      </c>
      <c r="C348" s="19" t="n">
        <v>0.036</v>
      </c>
      <c r="D348" s="28" t="s">
        <v>493</v>
      </c>
      <c r="E348" s="28" t="s">
        <v>1521</v>
      </c>
    </row>
    <row r="349" customFormat="false" ht="15" hidden="false" customHeight="false" outlineLevel="0" collapsed="false">
      <c r="A349" s="28" t="s">
        <v>320</v>
      </c>
      <c r="B349" s="28" t="s">
        <v>911</v>
      </c>
      <c r="C349" s="19" t="n">
        <v>0.0394</v>
      </c>
      <c r="D349" s="28" t="s">
        <v>493</v>
      </c>
      <c r="E349" s="28" t="s">
        <v>1521</v>
      </c>
    </row>
    <row r="350" customFormat="false" ht="15" hidden="false" customHeight="false" outlineLevel="0" collapsed="false">
      <c r="A350" s="28" t="s">
        <v>320</v>
      </c>
      <c r="B350" s="28" t="s">
        <v>904</v>
      </c>
      <c r="C350" s="19" t="n">
        <v>0.0363</v>
      </c>
      <c r="D350" s="28" t="s">
        <v>493</v>
      </c>
      <c r="E350" s="28" t="s">
        <v>1523</v>
      </c>
    </row>
    <row r="351" customFormat="false" ht="15" hidden="false" customHeight="false" outlineLevel="0" collapsed="false">
      <c r="A351" s="28" t="s">
        <v>320</v>
      </c>
      <c r="B351" s="28" t="s">
        <v>1524</v>
      </c>
      <c r="C351" s="19" t="n">
        <v>0.0375</v>
      </c>
      <c r="D351" s="28" t="s">
        <v>497</v>
      </c>
      <c r="E351" s="28" t="s">
        <v>1525</v>
      </c>
    </row>
    <row r="352" customFormat="false" ht="15" hidden="false" customHeight="false" outlineLevel="0" collapsed="false">
      <c r="A352" s="28" t="s">
        <v>320</v>
      </c>
      <c r="B352" s="28" t="s">
        <v>915</v>
      </c>
      <c r="C352" s="19" t="n">
        <v>0.0615</v>
      </c>
      <c r="D352" s="28" t="s">
        <v>493</v>
      </c>
      <c r="E352" s="28" t="s">
        <v>1528</v>
      </c>
    </row>
    <row r="353" customFormat="false" ht="15" hidden="false" customHeight="false" outlineLevel="0" collapsed="false">
      <c r="A353" s="28" t="s">
        <v>320</v>
      </c>
      <c r="B353" s="28" t="s">
        <v>551</v>
      </c>
      <c r="C353" s="19" t="n">
        <v>0.0675</v>
      </c>
      <c r="D353" s="28" t="s">
        <v>497</v>
      </c>
      <c r="E353" s="28" t="s">
        <v>1526</v>
      </c>
    </row>
    <row r="354" customFormat="false" ht="15" hidden="false" customHeight="false" outlineLevel="0" collapsed="false">
      <c r="A354" s="28" t="s">
        <v>320</v>
      </c>
      <c r="B354" s="28" t="s">
        <v>451</v>
      </c>
      <c r="C354" s="19" t="n">
        <v>0.0361</v>
      </c>
      <c r="D354" s="28" t="s">
        <v>493</v>
      </c>
      <c r="E354" s="28" t="s">
        <v>1527</v>
      </c>
    </row>
    <row r="355" customFormat="false" ht="15" hidden="false" customHeight="false" outlineLevel="0" collapsed="false">
      <c r="A355" s="28" t="s">
        <v>1547</v>
      </c>
      <c r="B355" s="28" t="s">
        <v>1548</v>
      </c>
      <c r="C355" s="19" t="n">
        <v>0.0371</v>
      </c>
      <c r="D355" s="28" t="s">
        <v>497</v>
      </c>
      <c r="E355" s="28" t="s">
        <v>1543</v>
      </c>
    </row>
    <row r="356" customFormat="false" ht="15" hidden="false" customHeight="false" outlineLevel="0" collapsed="false">
      <c r="A356" s="28" t="s">
        <v>1547</v>
      </c>
      <c r="B356" s="28" t="s">
        <v>912</v>
      </c>
      <c r="C356" s="19" t="n">
        <v>0.0419</v>
      </c>
      <c r="D356" s="28" t="s">
        <v>497</v>
      </c>
      <c r="E356" s="28" t="s">
        <v>1543</v>
      </c>
    </row>
    <row r="357" customFormat="false" ht="15" hidden="false" customHeight="false" outlineLevel="0" collapsed="false">
      <c r="A357" s="28" t="s">
        <v>1547</v>
      </c>
      <c r="B357" s="28" t="s">
        <v>1522</v>
      </c>
      <c r="C357" s="19" t="n">
        <v>0.0372</v>
      </c>
      <c r="D357" s="28" t="s">
        <v>497</v>
      </c>
      <c r="E357" s="28" t="s">
        <v>1543</v>
      </c>
    </row>
    <row r="358" customFormat="false" ht="15" hidden="false" customHeight="false" outlineLevel="0" collapsed="false">
      <c r="A358" s="28" t="s">
        <v>1547</v>
      </c>
      <c r="B358" s="28" t="s">
        <v>907</v>
      </c>
      <c r="C358" s="19" t="n">
        <v>0.0347</v>
      </c>
      <c r="D358" s="28" t="s">
        <v>497</v>
      </c>
      <c r="E358" s="28" t="s">
        <v>1543</v>
      </c>
    </row>
    <row r="359" customFormat="false" ht="15" hidden="false" customHeight="false" outlineLevel="0" collapsed="false">
      <c r="A359" s="28" t="s">
        <v>1547</v>
      </c>
      <c r="B359" s="28" t="s">
        <v>913</v>
      </c>
      <c r="C359" s="19" t="n">
        <v>0.0481</v>
      </c>
      <c r="D359" s="28" t="s">
        <v>497</v>
      </c>
      <c r="E359" s="28" t="s">
        <v>1543</v>
      </c>
    </row>
    <row r="360" customFormat="false" ht="15" hidden="false" customHeight="false" outlineLevel="0" collapsed="false">
      <c r="A360" s="28" t="s">
        <v>1547</v>
      </c>
      <c r="B360" s="28" t="s">
        <v>1549</v>
      </c>
      <c r="C360" s="19" t="n">
        <v>0.0366</v>
      </c>
      <c r="D360" s="28" t="s">
        <v>497</v>
      </c>
      <c r="E360" s="28" t="s">
        <v>1543</v>
      </c>
    </row>
    <row r="361" customFormat="false" ht="15" hidden="false" customHeight="false" outlineLevel="0" collapsed="false">
      <c r="A361" s="28" t="s">
        <v>1547</v>
      </c>
      <c r="B361" s="28" t="s">
        <v>908</v>
      </c>
      <c r="C361" s="19" t="n">
        <v>0.0347</v>
      </c>
      <c r="D361" s="28" t="s">
        <v>497</v>
      </c>
      <c r="E361" s="28" t="s">
        <v>1543</v>
      </c>
    </row>
    <row r="362" customFormat="false" ht="15" hidden="false" customHeight="false" outlineLevel="0" collapsed="false">
      <c r="A362" s="28" t="s">
        <v>1547</v>
      </c>
      <c r="B362" s="28" t="s">
        <v>914</v>
      </c>
      <c r="C362" s="19" t="n">
        <v>0.0486</v>
      </c>
      <c r="D362" s="28" t="s">
        <v>497</v>
      </c>
      <c r="E362" s="28" t="s">
        <v>1543</v>
      </c>
    </row>
    <row r="363" customFormat="false" ht="15" hidden="false" customHeight="false" outlineLevel="0" collapsed="false">
      <c r="A363" s="28" t="s">
        <v>1547</v>
      </c>
      <c r="B363" s="28" t="s">
        <v>905</v>
      </c>
      <c r="C363" s="19" t="n">
        <v>0.0365</v>
      </c>
      <c r="D363" s="28" t="s">
        <v>497</v>
      </c>
      <c r="E363" s="28" t="s">
        <v>1543</v>
      </c>
    </row>
    <row r="364" customFormat="false" ht="15" hidden="false" customHeight="false" outlineLevel="0" collapsed="false">
      <c r="A364" s="28" t="s">
        <v>1547</v>
      </c>
      <c r="B364" s="28" t="s">
        <v>909</v>
      </c>
      <c r="C364" s="19" t="n">
        <v>0.0355</v>
      </c>
      <c r="D364" s="28" t="s">
        <v>497</v>
      </c>
      <c r="E364" s="28" t="s">
        <v>1543</v>
      </c>
    </row>
    <row r="365" customFormat="false" ht="15" hidden="false" customHeight="false" outlineLevel="0" collapsed="false">
      <c r="A365" s="28" t="s">
        <v>1547</v>
      </c>
      <c r="B365" s="28" t="s">
        <v>1550</v>
      </c>
      <c r="C365" s="19" t="n">
        <v>0.0362</v>
      </c>
      <c r="D365" s="28" t="s">
        <v>497</v>
      </c>
      <c r="E365" s="28" t="s">
        <v>1543</v>
      </c>
    </row>
    <row r="366" customFormat="false" ht="15" hidden="false" customHeight="false" outlineLevel="0" collapsed="false">
      <c r="A366" s="28" t="s">
        <v>1547</v>
      </c>
      <c r="B366" s="28" t="s">
        <v>910</v>
      </c>
      <c r="C366" s="19" t="n">
        <v>0.0374</v>
      </c>
      <c r="D366" s="28" t="s">
        <v>497</v>
      </c>
      <c r="E366" s="28" t="s">
        <v>1543</v>
      </c>
    </row>
    <row r="367" customFormat="false" ht="15" hidden="false" customHeight="false" outlineLevel="0" collapsed="false">
      <c r="A367" s="28" t="s">
        <v>1547</v>
      </c>
      <c r="B367" s="28" t="s">
        <v>906</v>
      </c>
      <c r="C367" s="19" t="n">
        <v>0.0358</v>
      </c>
      <c r="D367" s="28" t="s">
        <v>497</v>
      </c>
      <c r="E367" s="28" t="s">
        <v>1543</v>
      </c>
    </row>
    <row r="368" customFormat="false" ht="15" hidden="false" customHeight="false" outlineLevel="0" collapsed="false">
      <c r="A368" s="28" t="s">
        <v>1547</v>
      </c>
      <c r="B368" s="28" t="s">
        <v>911</v>
      </c>
      <c r="C368" s="19" t="n">
        <v>0.0395</v>
      </c>
      <c r="D368" s="28" t="s">
        <v>497</v>
      </c>
      <c r="E368" s="28" t="s">
        <v>1543</v>
      </c>
    </row>
    <row r="369" customFormat="false" ht="15" hidden="false" customHeight="false" outlineLevel="0" collapsed="false">
      <c r="A369" s="28" t="s">
        <v>1547</v>
      </c>
      <c r="B369" s="28" t="s">
        <v>904</v>
      </c>
      <c r="C369" s="19" t="n">
        <v>0.0363</v>
      </c>
      <c r="D369" s="28" t="s">
        <v>493</v>
      </c>
      <c r="E369" s="28" t="s">
        <v>1523</v>
      </c>
    </row>
    <row r="370" customFormat="false" ht="15" hidden="false" customHeight="false" outlineLevel="0" collapsed="false">
      <c r="A370" s="28" t="s">
        <v>1547</v>
      </c>
      <c r="B370" s="28" t="s">
        <v>1524</v>
      </c>
      <c r="C370" s="19" t="n">
        <v>0.0375</v>
      </c>
      <c r="D370" s="28" t="s">
        <v>497</v>
      </c>
      <c r="E370" s="28" t="s">
        <v>1525</v>
      </c>
    </row>
    <row r="371" customFormat="false" ht="15" hidden="false" customHeight="false" outlineLevel="0" collapsed="false">
      <c r="A371" s="28" t="s">
        <v>1547</v>
      </c>
      <c r="B371" s="28" t="s">
        <v>915</v>
      </c>
      <c r="C371" s="19" t="n">
        <v>0.0615</v>
      </c>
      <c r="D371" s="28" t="s">
        <v>493</v>
      </c>
      <c r="E371" s="28" t="s">
        <v>1528</v>
      </c>
    </row>
    <row r="372" customFormat="false" ht="15" hidden="false" customHeight="false" outlineLevel="0" collapsed="false">
      <c r="A372" s="28" t="s">
        <v>1547</v>
      </c>
      <c r="B372" s="28" t="s">
        <v>551</v>
      </c>
      <c r="C372" s="19" t="n">
        <v>0.0675</v>
      </c>
      <c r="D372" s="28" t="s">
        <v>497</v>
      </c>
      <c r="E372" s="28" t="s">
        <v>1526</v>
      </c>
    </row>
    <row r="373" customFormat="false" ht="15" hidden="false" customHeight="false" outlineLevel="0" collapsed="false">
      <c r="A373" s="28" t="s">
        <v>1547</v>
      </c>
      <c r="B373" s="28" t="s">
        <v>451</v>
      </c>
      <c r="C373" s="19" t="n">
        <v>0.0361</v>
      </c>
      <c r="D373" s="28" t="s">
        <v>493</v>
      </c>
      <c r="E373" s="28" t="s">
        <v>1527</v>
      </c>
    </row>
    <row r="374" customFormat="false" ht="15" hidden="false" customHeight="false" outlineLevel="0" collapsed="false">
      <c r="A374" s="28" t="s">
        <v>1551</v>
      </c>
      <c r="B374" s="28" t="s">
        <v>1548</v>
      </c>
      <c r="C374" s="19" t="n">
        <v>0.0373</v>
      </c>
      <c r="D374" s="28" t="s">
        <v>497</v>
      </c>
      <c r="E374" s="28" t="s">
        <v>1543</v>
      </c>
    </row>
    <row r="375" customFormat="false" ht="15" hidden="false" customHeight="false" outlineLevel="0" collapsed="false">
      <c r="A375" s="28" t="s">
        <v>1551</v>
      </c>
      <c r="B375" s="28" t="s">
        <v>912</v>
      </c>
      <c r="C375" s="19" t="n">
        <v>0.0426</v>
      </c>
      <c r="D375" s="28" t="s">
        <v>497</v>
      </c>
      <c r="E375" s="28" t="s">
        <v>1543</v>
      </c>
    </row>
    <row r="376" customFormat="false" ht="15" hidden="false" customHeight="false" outlineLevel="0" collapsed="false">
      <c r="A376" s="28" t="s">
        <v>1551</v>
      </c>
      <c r="B376" s="28" t="s">
        <v>1522</v>
      </c>
      <c r="C376" s="19" t="n">
        <v>0.0372</v>
      </c>
      <c r="D376" s="28" t="s">
        <v>497</v>
      </c>
      <c r="E376" s="28" t="s">
        <v>1543</v>
      </c>
    </row>
    <row r="377" customFormat="false" ht="15" hidden="false" customHeight="false" outlineLevel="0" collapsed="false">
      <c r="A377" s="28" t="s">
        <v>1551</v>
      </c>
      <c r="B377" s="28" t="s">
        <v>907</v>
      </c>
      <c r="C377" s="19" t="n">
        <v>0.0348</v>
      </c>
      <c r="D377" s="28" t="s">
        <v>497</v>
      </c>
      <c r="E377" s="28" t="s">
        <v>1543</v>
      </c>
    </row>
    <row r="378" customFormat="false" ht="15" hidden="false" customHeight="false" outlineLevel="0" collapsed="false">
      <c r="A378" s="28" t="s">
        <v>1551</v>
      </c>
      <c r="B378" s="28" t="s">
        <v>913</v>
      </c>
      <c r="C378" s="19" t="n">
        <v>0.0482</v>
      </c>
      <c r="D378" s="28" t="s">
        <v>497</v>
      </c>
      <c r="E378" s="28" t="s">
        <v>1543</v>
      </c>
    </row>
    <row r="379" customFormat="false" ht="15" hidden="false" customHeight="false" outlineLevel="0" collapsed="false">
      <c r="A379" s="28" t="s">
        <v>1551</v>
      </c>
      <c r="B379" s="28" t="s">
        <v>1549</v>
      </c>
      <c r="C379" s="19" t="n">
        <v>0.0375</v>
      </c>
      <c r="D379" s="28" t="s">
        <v>497</v>
      </c>
      <c r="E379" s="28" t="s">
        <v>1543</v>
      </c>
    </row>
    <row r="380" customFormat="false" ht="15" hidden="false" customHeight="false" outlineLevel="0" collapsed="false">
      <c r="A380" s="28" t="s">
        <v>1551</v>
      </c>
      <c r="B380" s="28" t="s">
        <v>908</v>
      </c>
      <c r="C380" s="19" t="n">
        <v>0.0352</v>
      </c>
      <c r="D380" s="28" t="s">
        <v>497</v>
      </c>
      <c r="E380" s="28" t="s">
        <v>1543</v>
      </c>
    </row>
    <row r="381" customFormat="false" ht="15" hidden="false" customHeight="false" outlineLevel="0" collapsed="false">
      <c r="A381" s="28" t="s">
        <v>1551</v>
      </c>
      <c r="B381" s="28" t="s">
        <v>914</v>
      </c>
      <c r="C381" s="19" t="n">
        <v>0.0487</v>
      </c>
      <c r="D381" s="28" t="s">
        <v>497</v>
      </c>
      <c r="E381" s="28" t="s">
        <v>1543</v>
      </c>
    </row>
    <row r="382" customFormat="false" ht="15" hidden="false" customHeight="false" outlineLevel="0" collapsed="false">
      <c r="A382" s="28" t="s">
        <v>1551</v>
      </c>
      <c r="B382" s="28" t="s">
        <v>905</v>
      </c>
      <c r="C382" s="19" t="n">
        <v>0.0367</v>
      </c>
      <c r="D382" s="28" t="s">
        <v>497</v>
      </c>
      <c r="E382" s="28" t="s">
        <v>1543</v>
      </c>
    </row>
    <row r="383" customFormat="false" ht="15" hidden="false" customHeight="false" outlineLevel="0" collapsed="false">
      <c r="A383" s="28" t="s">
        <v>1551</v>
      </c>
      <c r="B383" s="28" t="s">
        <v>909</v>
      </c>
      <c r="C383" s="19" t="n">
        <v>0.036</v>
      </c>
      <c r="D383" s="28" t="s">
        <v>497</v>
      </c>
      <c r="E383" s="28" t="s">
        <v>1543</v>
      </c>
    </row>
    <row r="384" customFormat="false" ht="15" hidden="false" customHeight="false" outlineLevel="0" collapsed="false">
      <c r="A384" s="28" t="s">
        <v>1551</v>
      </c>
      <c r="B384" s="28" t="s">
        <v>1550</v>
      </c>
      <c r="C384" s="19" t="n">
        <v>0.0369</v>
      </c>
      <c r="D384" s="28" t="s">
        <v>497</v>
      </c>
      <c r="E384" s="28" t="s">
        <v>1543</v>
      </c>
    </row>
    <row r="385" customFormat="false" ht="15" hidden="false" customHeight="false" outlineLevel="0" collapsed="false">
      <c r="A385" s="28" t="s">
        <v>1551</v>
      </c>
      <c r="B385" s="28" t="s">
        <v>910</v>
      </c>
      <c r="C385" s="19" t="n">
        <v>0.0379</v>
      </c>
      <c r="D385" s="28" t="s">
        <v>497</v>
      </c>
      <c r="E385" s="28" t="s">
        <v>1543</v>
      </c>
    </row>
    <row r="386" customFormat="false" ht="15" hidden="false" customHeight="false" outlineLevel="0" collapsed="false">
      <c r="A386" s="28" t="s">
        <v>1551</v>
      </c>
      <c r="B386" s="28" t="s">
        <v>906</v>
      </c>
      <c r="C386" s="19" t="n">
        <v>0.0361</v>
      </c>
      <c r="D386" s="28" t="s">
        <v>497</v>
      </c>
      <c r="E386" s="28" t="s">
        <v>1543</v>
      </c>
    </row>
    <row r="387" customFormat="false" ht="15" hidden="false" customHeight="false" outlineLevel="0" collapsed="false">
      <c r="A387" s="28" t="s">
        <v>1551</v>
      </c>
      <c r="B387" s="28" t="s">
        <v>911</v>
      </c>
      <c r="C387" s="19" t="n">
        <v>0.0401</v>
      </c>
      <c r="D387" s="28" t="s">
        <v>497</v>
      </c>
      <c r="E387" s="28" t="s">
        <v>1543</v>
      </c>
    </row>
    <row r="388" customFormat="false" ht="15" hidden="false" customHeight="false" outlineLevel="0" collapsed="false">
      <c r="A388" s="28" t="s">
        <v>1551</v>
      </c>
      <c r="B388" s="28" t="s">
        <v>904</v>
      </c>
      <c r="C388" s="19" t="n">
        <v>0.0363</v>
      </c>
      <c r="D388" s="28" t="s">
        <v>493</v>
      </c>
      <c r="E388" s="28" t="s">
        <v>1523</v>
      </c>
    </row>
    <row r="389" customFormat="false" ht="15" hidden="false" customHeight="false" outlineLevel="0" collapsed="false">
      <c r="A389" s="28" t="s">
        <v>1551</v>
      </c>
      <c r="B389" s="28" t="s">
        <v>1524</v>
      </c>
      <c r="C389" s="19" t="n">
        <v>0.0375</v>
      </c>
      <c r="D389" s="28" t="s">
        <v>497</v>
      </c>
      <c r="E389" s="28" t="s">
        <v>1525</v>
      </c>
    </row>
    <row r="390" customFormat="false" ht="15" hidden="false" customHeight="false" outlineLevel="0" collapsed="false">
      <c r="A390" s="28" t="s">
        <v>1551</v>
      </c>
      <c r="B390" s="28" t="s">
        <v>551</v>
      </c>
      <c r="C390" s="19" t="n">
        <v>0.0675</v>
      </c>
      <c r="D390" s="28" t="s">
        <v>497</v>
      </c>
      <c r="E390" s="28" t="s">
        <v>1526</v>
      </c>
    </row>
    <row r="391" customFormat="false" ht="15" hidden="false" customHeight="false" outlineLevel="0" collapsed="false">
      <c r="A391" s="28" t="s">
        <v>1551</v>
      </c>
      <c r="B391" s="28" t="s">
        <v>451</v>
      </c>
      <c r="C391" s="19" t="n">
        <v>0.0361</v>
      </c>
      <c r="D391" s="28" t="s">
        <v>493</v>
      </c>
      <c r="E391" s="28" t="s">
        <v>1527</v>
      </c>
    </row>
    <row r="392" customFormat="false" ht="15" hidden="false" customHeight="false" outlineLevel="0" collapsed="false">
      <c r="A392" s="28" t="s">
        <v>1552</v>
      </c>
      <c r="B392" s="28" t="s">
        <v>1548</v>
      </c>
      <c r="C392" s="19" t="n">
        <v>0.0373</v>
      </c>
      <c r="D392" s="28" t="s">
        <v>497</v>
      </c>
      <c r="E392" s="28" t="s">
        <v>1543</v>
      </c>
    </row>
    <row r="393" customFormat="false" ht="15" hidden="false" customHeight="false" outlineLevel="0" collapsed="false">
      <c r="A393" s="28" t="s">
        <v>1552</v>
      </c>
      <c r="B393" s="28" t="s">
        <v>912</v>
      </c>
      <c r="C393" s="19" t="n">
        <v>0.0397</v>
      </c>
      <c r="D393" s="28" t="s">
        <v>497</v>
      </c>
      <c r="E393" s="28" t="s">
        <v>1543</v>
      </c>
    </row>
    <row r="394" customFormat="false" ht="15" hidden="false" customHeight="false" outlineLevel="0" collapsed="false">
      <c r="A394" s="28" t="s">
        <v>1552</v>
      </c>
      <c r="B394" s="28" t="s">
        <v>1522</v>
      </c>
      <c r="C394" s="19" t="n">
        <v>0.0374</v>
      </c>
      <c r="D394" s="28" t="s">
        <v>497</v>
      </c>
      <c r="E394" s="28" t="s">
        <v>1543</v>
      </c>
    </row>
    <row r="395" customFormat="false" ht="15" hidden="false" customHeight="false" outlineLevel="0" collapsed="false">
      <c r="A395" s="28" t="s">
        <v>1552</v>
      </c>
      <c r="B395" s="28" t="s">
        <v>907</v>
      </c>
      <c r="C395" s="19" t="n">
        <v>0.0348</v>
      </c>
      <c r="D395" s="28" t="s">
        <v>497</v>
      </c>
      <c r="E395" s="28" t="s">
        <v>1543</v>
      </c>
    </row>
    <row r="396" customFormat="false" ht="15" hidden="false" customHeight="false" outlineLevel="0" collapsed="false">
      <c r="A396" s="28" t="s">
        <v>1552</v>
      </c>
      <c r="B396" s="28" t="s">
        <v>913</v>
      </c>
      <c r="C396" s="19" t="n">
        <v>0.0457</v>
      </c>
      <c r="D396" s="28" t="s">
        <v>497</v>
      </c>
      <c r="E396" s="28" t="s">
        <v>1543</v>
      </c>
    </row>
    <row r="397" customFormat="false" ht="15" hidden="false" customHeight="false" outlineLevel="0" collapsed="false">
      <c r="A397" s="28" t="s">
        <v>1552</v>
      </c>
      <c r="B397" s="28" t="s">
        <v>1549</v>
      </c>
      <c r="C397" s="19" t="n">
        <v>0.0373</v>
      </c>
      <c r="D397" s="28" t="s">
        <v>497</v>
      </c>
      <c r="E397" s="28" t="s">
        <v>1543</v>
      </c>
    </row>
    <row r="398" customFormat="false" ht="15" hidden="false" customHeight="false" outlineLevel="0" collapsed="false">
      <c r="A398" s="28" t="s">
        <v>1552</v>
      </c>
      <c r="B398" s="28" t="s">
        <v>908</v>
      </c>
      <c r="C398" s="19" t="n">
        <v>0.0338</v>
      </c>
      <c r="D398" s="28" t="s">
        <v>497</v>
      </c>
      <c r="E398" s="28" t="s">
        <v>1543</v>
      </c>
    </row>
    <row r="399" customFormat="false" ht="15" hidden="false" customHeight="false" outlineLevel="0" collapsed="false">
      <c r="A399" s="28" t="s">
        <v>1552</v>
      </c>
      <c r="B399" s="28" t="s">
        <v>914</v>
      </c>
      <c r="C399" s="19" t="n">
        <v>0.0464</v>
      </c>
      <c r="D399" s="28" t="s">
        <v>497</v>
      </c>
      <c r="E399" s="28" t="s">
        <v>1543</v>
      </c>
    </row>
    <row r="400" customFormat="false" ht="15" hidden="false" customHeight="false" outlineLevel="0" collapsed="false">
      <c r="A400" s="28" t="s">
        <v>1552</v>
      </c>
      <c r="B400" s="28" t="s">
        <v>905</v>
      </c>
      <c r="C400" s="19" t="n">
        <v>0.0367</v>
      </c>
      <c r="D400" s="28" t="s">
        <v>497</v>
      </c>
      <c r="E400" s="28" t="s">
        <v>1543</v>
      </c>
    </row>
    <row r="401" customFormat="false" ht="15" hidden="false" customHeight="false" outlineLevel="0" collapsed="false">
      <c r="A401" s="28" t="s">
        <v>1552</v>
      </c>
      <c r="B401" s="28" t="s">
        <v>909</v>
      </c>
      <c r="C401" s="19" t="n">
        <v>0.0339</v>
      </c>
      <c r="D401" s="28" t="s">
        <v>497</v>
      </c>
      <c r="E401" s="28" t="s">
        <v>1543</v>
      </c>
    </row>
    <row r="402" customFormat="false" ht="15" hidden="false" customHeight="false" outlineLevel="0" collapsed="false">
      <c r="A402" s="28" t="s">
        <v>1552</v>
      </c>
      <c r="B402" s="28" t="s">
        <v>1550</v>
      </c>
      <c r="C402" s="19" t="n">
        <v>0.0367</v>
      </c>
      <c r="D402" s="28" t="s">
        <v>497</v>
      </c>
      <c r="E402" s="28" t="s">
        <v>1543</v>
      </c>
    </row>
    <row r="403" customFormat="false" ht="15" hidden="false" customHeight="false" outlineLevel="0" collapsed="false">
      <c r="A403" s="28" t="s">
        <v>1552</v>
      </c>
      <c r="B403" s="28" t="s">
        <v>910</v>
      </c>
      <c r="C403" s="19" t="n">
        <v>0.0351</v>
      </c>
      <c r="D403" s="28" t="s">
        <v>497</v>
      </c>
      <c r="E403" s="28" t="s">
        <v>1543</v>
      </c>
    </row>
    <row r="404" customFormat="false" ht="15" hidden="false" customHeight="false" outlineLevel="0" collapsed="false">
      <c r="A404" s="28" t="s">
        <v>1552</v>
      </c>
      <c r="B404" s="28" t="s">
        <v>906</v>
      </c>
      <c r="C404" s="19" t="n">
        <v>0.036</v>
      </c>
      <c r="D404" s="28" t="s">
        <v>497</v>
      </c>
      <c r="E404" s="28" t="s">
        <v>1543</v>
      </c>
    </row>
    <row r="405" customFormat="false" ht="15" hidden="false" customHeight="false" outlineLevel="0" collapsed="false">
      <c r="A405" s="28" t="s">
        <v>1552</v>
      </c>
      <c r="B405" s="28" t="s">
        <v>911</v>
      </c>
      <c r="C405" s="19" t="n">
        <v>0.0372</v>
      </c>
      <c r="D405" s="28" t="s">
        <v>497</v>
      </c>
      <c r="E405" s="28" t="s">
        <v>1543</v>
      </c>
    </row>
    <row r="406" customFormat="false" ht="15" hidden="false" customHeight="false" outlineLevel="0" collapsed="false">
      <c r="A406" s="28" t="s">
        <v>1552</v>
      </c>
      <c r="B406" s="28" t="s">
        <v>904</v>
      </c>
      <c r="C406" s="19" t="n">
        <v>0.0363</v>
      </c>
      <c r="D406" s="28" t="s">
        <v>493</v>
      </c>
      <c r="E406" s="28" t="s">
        <v>1523</v>
      </c>
    </row>
    <row r="407" customFormat="false" ht="15" hidden="false" customHeight="false" outlineLevel="0" collapsed="false">
      <c r="A407" s="28" t="s">
        <v>1552</v>
      </c>
      <c r="B407" s="28" t="s">
        <v>1524</v>
      </c>
      <c r="C407" s="19" t="n">
        <v>0.0375</v>
      </c>
      <c r="D407" s="28" t="s">
        <v>497</v>
      </c>
      <c r="E407" s="28" t="s">
        <v>1525</v>
      </c>
    </row>
    <row r="408" customFormat="false" ht="15" hidden="false" customHeight="false" outlineLevel="0" collapsed="false">
      <c r="A408" s="28" t="s">
        <v>1552</v>
      </c>
      <c r="B408" s="28" t="s">
        <v>551</v>
      </c>
      <c r="C408" s="19" t="n">
        <v>0.0675</v>
      </c>
      <c r="D408" s="28" t="s">
        <v>497</v>
      </c>
      <c r="E408" s="28" t="s">
        <v>1526</v>
      </c>
    </row>
    <row r="409" customFormat="false" ht="15" hidden="false" customHeight="false" outlineLevel="0" collapsed="false">
      <c r="A409" s="28" t="s">
        <v>1552</v>
      </c>
      <c r="B409" s="28" t="s">
        <v>451</v>
      </c>
      <c r="C409" s="19" t="n">
        <v>0.0361</v>
      </c>
      <c r="D409" s="28" t="s">
        <v>493</v>
      </c>
      <c r="E409" s="28" t="s">
        <v>1527</v>
      </c>
    </row>
    <row r="410" customFormat="false" ht="15" hidden="false" customHeight="false" outlineLevel="0" collapsed="false">
      <c r="A410" s="28" t="s">
        <v>321</v>
      </c>
      <c r="B410" s="28" t="s">
        <v>1548</v>
      </c>
      <c r="C410" s="19" t="n">
        <v>0.0373</v>
      </c>
      <c r="D410" s="28" t="s">
        <v>497</v>
      </c>
      <c r="E410" s="28" t="s">
        <v>1543</v>
      </c>
    </row>
    <row r="411" customFormat="false" ht="15" hidden="false" customHeight="false" outlineLevel="0" collapsed="false">
      <c r="A411" s="28" t="s">
        <v>321</v>
      </c>
      <c r="B411" s="28" t="s">
        <v>912</v>
      </c>
      <c r="C411" s="19" t="n">
        <v>0.043</v>
      </c>
      <c r="D411" s="28" t="s">
        <v>497</v>
      </c>
      <c r="E411" s="28" t="s">
        <v>1543</v>
      </c>
    </row>
    <row r="412" customFormat="false" ht="15" hidden="false" customHeight="false" outlineLevel="0" collapsed="false">
      <c r="A412" s="28" t="s">
        <v>321</v>
      </c>
      <c r="B412" s="28" t="s">
        <v>1522</v>
      </c>
      <c r="C412" s="19" t="n">
        <v>0.0374</v>
      </c>
      <c r="D412" s="28" t="s">
        <v>497</v>
      </c>
      <c r="E412" s="28" t="s">
        <v>1543</v>
      </c>
    </row>
    <row r="413" customFormat="false" ht="15" hidden="false" customHeight="false" outlineLevel="0" collapsed="false">
      <c r="A413" s="28" t="s">
        <v>321</v>
      </c>
      <c r="B413" s="28" t="s">
        <v>907</v>
      </c>
      <c r="C413" s="19" t="n">
        <v>0.0368</v>
      </c>
      <c r="D413" s="28" t="s">
        <v>497</v>
      </c>
      <c r="E413" s="28" t="s">
        <v>1543</v>
      </c>
    </row>
    <row r="414" customFormat="false" ht="15" hidden="false" customHeight="false" outlineLevel="0" collapsed="false">
      <c r="A414" s="28" t="s">
        <v>321</v>
      </c>
      <c r="B414" s="28" t="s">
        <v>913</v>
      </c>
      <c r="C414" s="19" t="n">
        <v>0.0488</v>
      </c>
      <c r="D414" s="28" t="s">
        <v>497</v>
      </c>
      <c r="E414" s="28" t="s">
        <v>1543</v>
      </c>
    </row>
    <row r="415" customFormat="false" ht="15" hidden="false" customHeight="false" outlineLevel="0" collapsed="false">
      <c r="A415" s="28" t="s">
        <v>321</v>
      </c>
      <c r="B415" s="28" t="s">
        <v>1549</v>
      </c>
      <c r="C415" s="19" t="n">
        <v>0.0372</v>
      </c>
      <c r="D415" s="28" t="s">
        <v>497</v>
      </c>
      <c r="E415" s="28" t="s">
        <v>1543</v>
      </c>
    </row>
    <row r="416" customFormat="false" ht="15" hidden="false" customHeight="false" outlineLevel="0" collapsed="false">
      <c r="A416" s="28" t="s">
        <v>321</v>
      </c>
      <c r="B416" s="28" t="s">
        <v>908</v>
      </c>
      <c r="C416" s="19" t="n">
        <v>0.0379</v>
      </c>
      <c r="D416" s="28" t="s">
        <v>497</v>
      </c>
      <c r="E416" s="28" t="s">
        <v>1543</v>
      </c>
    </row>
    <row r="417" customFormat="false" ht="15" hidden="false" customHeight="false" outlineLevel="0" collapsed="false">
      <c r="A417" s="28" t="s">
        <v>321</v>
      </c>
      <c r="B417" s="28" t="s">
        <v>914</v>
      </c>
      <c r="C417" s="19" t="n">
        <v>0.0488</v>
      </c>
      <c r="D417" s="28" t="s">
        <v>497</v>
      </c>
      <c r="E417" s="28" t="s">
        <v>1543</v>
      </c>
    </row>
    <row r="418" customFormat="false" ht="15" hidden="false" customHeight="false" outlineLevel="0" collapsed="false">
      <c r="A418" s="28" t="s">
        <v>321</v>
      </c>
      <c r="B418" s="28" t="s">
        <v>905</v>
      </c>
      <c r="C418" s="19" t="n">
        <v>0.037</v>
      </c>
      <c r="D418" s="28" t="s">
        <v>497</v>
      </c>
      <c r="E418" s="28" t="s">
        <v>1543</v>
      </c>
    </row>
    <row r="419" customFormat="false" ht="15" hidden="false" customHeight="false" outlineLevel="0" collapsed="false">
      <c r="A419" s="28" t="s">
        <v>321</v>
      </c>
      <c r="B419" s="28" t="s">
        <v>909</v>
      </c>
      <c r="C419" s="19" t="n">
        <v>0.0381</v>
      </c>
      <c r="D419" s="28" t="s">
        <v>497</v>
      </c>
      <c r="E419" s="28" t="s">
        <v>1543</v>
      </c>
    </row>
    <row r="420" customFormat="false" ht="15" hidden="false" customHeight="false" outlineLevel="0" collapsed="false">
      <c r="A420" s="28" t="s">
        <v>321</v>
      </c>
      <c r="B420" s="28" t="s">
        <v>1550</v>
      </c>
      <c r="C420" s="19" t="n">
        <v>0.037</v>
      </c>
      <c r="D420" s="28" t="s">
        <v>497</v>
      </c>
      <c r="E420" s="28" t="s">
        <v>1543</v>
      </c>
    </row>
    <row r="421" customFormat="false" ht="15" hidden="false" customHeight="false" outlineLevel="0" collapsed="false">
      <c r="A421" s="28" t="s">
        <v>321</v>
      </c>
      <c r="B421" s="28" t="s">
        <v>910</v>
      </c>
      <c r="C421" s="19" t="n">
        <v>0.0392</v>
      </c>
      <c r="D421" s="28" t="s">
        <v>497</v>
      </c>
      <c r="E421" s="28" t="s">
        <v>1543</v>
      </c>
    </row>
    <row r="422" customFormat="false" ht="15" hidden="false" customHeight="false" outlineLevel="0" collapsed="false">
      <c r="A422" s="28" t="s">
        <v>321</v>
      </c>
      <c r="B422" s="28" t="s">
        <v>906</v>
      </c>
      <c r="C422" s="19" t="n">
        <v>0.0372</v>
      </c>
      <c r="D422" s="28" t="s">
        <v>497</v>
      </c>
      <c r="E422" s="28" t="s">
        <v>1543</v>
      </c>
    </row>
    <row r="423" customFormat="false" ht="15" hidden="false" customHeight="false" outlineLevel="0" collapsed="false">
      <c r="A423" s="28" t="s">
        <v>321</v>
      </c>
      <c r="B423" s="28" t="s">
        <v>911</v>
      </c>
      <c r="C423" s="19" t="n">
        <v>0.0411</v>
      </c>
      <c r="D423" s="28" t="s">
        <v>497</v>
      </c>
      <c r="E423" s="28" t="s">
        <v>1543</v>
      </c>
    </row>
    <row r="424" customFormat="false" ht="15" hidden="false" customHeight="false" outlineLevel="0" collapsed="false">
      <c r="A424" s="28" t="s">
        <v>321</v>
      </c>
      <c r="B424" s="28" t="s">
        <v>904</v>
      </c>
      <c r="C424" s="19" t="n">
        <v>0.0363</v>
      </c>
      <c r="D424" s="28" t="s">
        <v>493</v>
      </c>
      <c r="E424" s="28" t="s">
        <v>1523</v>
      </c>
    </row>
    <row r="425" customFormat="false" ht="15" hidden="false" customHeight="false" outlineLevel="0" collapsed="false">
      <c r="A425" s="28" t="s">
        <v>321</v>
      </c>
      <c r="B425" s="28" t="s">
        <v>1524</v>
      </c>
      <c r="C425" s="19" t="n">
        <v>0.0375</v>
      </c>
      <c r="D425" s="28" t="s">
        <v>497</v>
      </c>
      <c r="E425" s="28" t="s">
        <v>1525</v>
      </c>
    </row>
    <row r="426" customFormat="false" ht="15" hidden="false" customHeight="false" outlineLevel="0" collapsed="false">
      <c r="A426" s="28" t="s">
        <v>321</v>
      </c>
      <c r="B426" s="28" t="s">
        <v>915</v>
      </c>
      <c r="C426" s="19" t="n">
        <v>0.0635</v>
      </c>
      <c r="D426" s="28" t="s">
        <v>493</v>
      </c>
      <c r="E426" s="28" t="s">
        <v>1528</v>
      </c>
    </row>
    <row r="427" customFormat="false" ht="15" hidden="false" customHeight="false" outlineLevel="0" collapsed="false">
      <c r="A427" s="28" t="s">
        <v>321</v>
      </c>
      <c r="B427" s="28" t="s">
        <v>551</v>
      </c>
      <c r="C427" s="19" t="n">
        <v>0.0675</v>
      </c>
      <c r="D427" s="28" t="s">
        <v>497</v>
      </c>
      <c r="E427" s="28" t="s">
        <v>1526</v>
      </c>
    </row>
    <row r="428" customFormat="false" ht="15" hidden="false" customHeight="false" outlineLevel="0" collapsed="false">
      <c r="A428" s="28" t="s">
        <v>321</v>
      </c>
      <c r="B428" s="28" t="s">
        <v>451</v>
      </c>
      <c r="C428" s="19" t="n">
        <v>0.0361</v>
      </c>
      <c r="D428" s="28" t="s">
        <v>493</v>
      </c>
      <c r="E428" s="28" t="s">
        <v>1527</v>
      </c>
    </row>
    <row r="429" customFormat="false" ht="15" hidden="false" customHeight="false" outlineLevel="0" collapsed="false">
      <c r="A429" s="28" t="s">
        <v>1553</v>
      </c>
      <c r="B429" s="28" t="s">
        <v>1548</v>
      </c>
      <c r="C429" s="19" t="n">
        <v>0.0371</v>
      </c>
      <c r="D429" s="28" t="s">
        <v>497</v>
      </c>
      <c r="E429" s="28" t="s">
        <v>1543</v>
      </c>
    </row>
    <row r="430" customFormat="false" ht="15" hidden="false" customHeight="false" outlineLevel="0" collapsed="false">
      <c r="A430" s="28" t="s">
        <v>1553</v>
      </c>
      <c r="B430" s="28" t="s">
        <v>912</v>
      </c>
      <c r="C430" s="19" t="n">
        <v>0.044</v>
      </c>
      <c r="D430" s="28" t="s">
        <v>497</v>
      </c>
      <c r="E430" s="28" t="s">
        <v>1543</v>
      </c>
    </row>
    <row r="431" customFormat="false" ht="15" hidden="false" customHeight="false" outlineLevel="0" collapsed="false">
      <c r="A431" s="28" t="s">
        <v>1553</v>
      </c>
      <c r="B431" s="28" t="s">
        <v>1522</v>
      </c>
      <c r="C431" s="19" t="n">
        <v>0.0372</v>
      </c>
      <c r="D431" s="28" t="s">
        <v>497</v>
      </c>
      <c r="E431" s="28" t="s">
        <v>1543</v>
      </c>
    </row>
    <row r="432" customFormat="false" ht="15" hidden="false" customHeight="false" outlineLevel="0" collapsed="false">
      <c r="A432" s="28" t="s">
        <v>1553</v>
      </c>
      <c r="B432" s="28" t="s">
        <v>907</v>
      </c>
      <c r="C432" s="19" t="n">
        <v>0.0372</v>
      </c>
      <c r="D432" s="28" t="s">
        <v>497</v>
      </c>
      <c r="E432" s="28" t="s">
        <v>1543</v>
      </c>
    </row>
    <row r="433" customFormat="false" ht="15" hidden="false" customHeight="false" outlineLevel="0" collapsed="false">
      <c r="A433" s="28" t="s">
        <v>1553</v>
      </c>
      <c r="B433" s="28" t="s">
        <v>913</v>
      </c>
      <c r="C433" s="19" t="n">
        <v>0.0497</v>
      </c>
      <c r="D433" s="28" t="s">
        <v>497</v>
      </c>
      <c r="E433" s="28" t="s">
        <v>1543</v>
      </c>
    </row>
    <row r="434" customFormat="false" ht="15" hidden="false" customHeight="false" outlineLevel="0" collapsed="false">
      <c r="A434" s="28" t="s">
        <v>1553</v>
      </c>
      <c r="B434" s="28" t="s">
        <v>1549</v>
      </c>
      <c r="C434" s="19" t="n">
        <v>0.0371</v>
      </c>
      <c r="D434" s="28" t="s">
        <v>497</v>
      </c>
      <c r="E434" s="28" t="s">
        <v>1543</v>
      </c>
    </row>
    <row r="435" customFormat="false" ht="15" hidden="false" customHeight="false" outlineLevel="0" collapsed="false">
      <c r="A435" s="28" t="s">
        <v>1553</v>
      </c>
      <c r="B435" s="28" t="s">
        <v>908</v>
      </c>
      <c r="C435" s="19" t="n">
        <v>0.0388</v>
      </c>
      <c r="D435" s="28" t="s">
        <v>497</v>
      </c>
      <c r="E435" s="28" t="s">
        <v>1543</v>
      </c>
    </row>
    <row r="436" customFormat="false" ht="15" hidden="false" customHeight="false" outlineLevel="0" collapsed="false">
      <c r="A436" s="28" t="s">
        <v>1553</v>
      </c>
      <c r="B436" s="28" t="s">
        <v>914</v>
      </c>
      <c r="C436" s="19" t="n">
        <v>0.0498</v>
      </c>
      <c r="D436" s="28" t="s">
        <v>497</v>
      </c>
      <c r="E436" s="28" t="s">
        <v>1543</v>
      </c>
    </row>
    <row r="437" customFormat="false" ht="15" hidden="false" customHeight="false" outlineLevel="0" collapsed="false">
      <c r="A437" s="28" t="s">
        <v>1553</v>
      </c>
      <c r="B437" s="28" t="s">
        <v>905</v>
      </c>
      <c r="C437" s="19" t="n">
        <v>0.0368</v>
      </c>
      <c r="D437" s="28" t="s">
        <v>497</v>
      </c>
      <c r="E437" s="28" t="s">
        <v>1543</v>
      </c>
    </row>
    <row r="438" customFormat="false" ht="15" hidden="false" customHeight="false" outlineLevel="0" collapsed="false">
      <c r="A438" s="28" t="s">
        <v>1553</v>
      </c>
      <c r="B438" s="28" t="s">
        <v>909</v>
      </c>
      <c r="C438" s="19" t="n">
        <v>0.0391</v>
      </c>
      <c r="D438" s="28" t="s">
        <v>497</v>
      </c>
      <c r="E438" s="28" t="s">
        <v>1543</v>
      </c>
    </row>
    <row r="439" customFormat="false" ht="15" hidden="false" customHeight="false" outlineLevel="0" collapsed="false">
      <c r="A439" s="28" t="s">
        <v>1553</v>
      </c>
      <c r="B439" s="28" t="s">
        <v>1550</v>
      </c>
      <c r="C439" s="19" t="n">
        <v>0.0376</v>
      </c>
      <c r="D439" s="28" t="s">
        <v>497</v>
      </c>
      <c r="E439" s="28" t="s">
        <v>1543</v>
      </c>
    </row>
    <row r="440" customFormat="false" ht="15" hidden="false" customHeight="false" outlineLevel="0" collapsed="false">
      <c r="A440" s="28" t="s">
        <v>1553</v>
      </c>
      <c r="B440" s="28" t="s">
        <v>910</v>
      </c>
      <c r="C440" s="19" t="n">
        <v>0.0402</v>
      </c>
      <c r="D440" s="28" t="s">
        <v>497</v>
      </c>
      <c r="E440" s="28" t="s">
        <v>1543</v>
      </c>
    </row>
    <row r="441" customFormat="false" ht="15" hidden="false" customHeight="false" outlineLevel="0" collapsed="false">
      <c r="A441" s="28" t="s">
        <v>1553</v>
      </c>
      <c r="B441" s="28" t="s">
        <v>906</v>
      </c>
      <c r="C441" s="19" t="n">
        <v>0.0371</v>
      </c>
      <c r="D441" s="28" t="s">
        <v>497</v>
      </c>
      <c r="E441" s="28" t="s">
        <v>1543</v>
      </c>
    </row>
    <row r="442" customFormat="false" ht="15" hidden="false" customHeight="false" outlineLevel="0" collapsed="false">
      <c r="A442" s="28" t="s">
        <v>1553</v>
      </c>
      <c r="B442" s="28" t="s">
        <v>911</v>
      </c>
      <c r="C442" s="19" t="n">
        <v>0.042</v>
      </c>
      <c r="D442" s="28" t="s">
        <v>497</v>
      </c>
      <c r="E442" s="28" t="s">
        <v>1543</v>
      </c>
    </row>
    <row r="443" customFormat="false" ht="15" hidden="false" customHeight="false" outlineLevel="0" collapsed="false">
      <c r="A443" s="28" t="s">
        <v>1553</v>
      </c>
      <c r="B443" s="28" t="s">
        <v>904</v>
      </c>
      <c r="C443" s="19" t="n">
        <v>0.0363</v>
      </c>
      <c r="D443" s="28" t="s">
        <v>493</v>
      </c>
      <c r="E443" s="28" t="s">
        <v>1523</v>
      </c>
    </row>
    <row r="444" customFormat="false" ht="15" hidden="false" customHeight="false" outlineLevel="0" collapsed="false">
      <c r="A444" s="28" t="s">
        <v>1553</v>
      </c>
      <c r="B444" s="28" t="s">
        <v>1524</v>
      </c>
      <c r="C444" s="19" t="n">
        <v>0.0375</v>
      </c>
      <c r="D444" s="28" t="s">
        <v>497</v>
      </c>
      <c r="E444" s="28" t="s">
        <v>1525</v>
      </c>
    </row>
    <row r="445" customFormat="false" ht="15" hidden="false" customHeight="false" outlineLevel="0" collapsed="false">
      <c r="A445" s="28" t="s">
        <v>1553</v>
      </c>
      <c r="B445" s="28" t="s">
        <v>551</v>
      </c>
      <c r="C445" s="19" t="n">
        <v>0.0675</v>
      </c>
      <c r="D445" s="28" t="s">
        <v>497</v>
      </c>
      <c r="E445" s="28" t="s">
        <v>1526</v>
      </c>
    </row>
    <row r="446" customFormat="false" ht="15" hidden="false" customHeight="false" outlineLevel="0" collapsed="false">
      <c r="A446" s="28" t="s">
        <v>1553</v>
      </c>
      <c r="B446" s="28" t="s">
        <v>451</v>
      </c>
      <c r="C446" s="19" t="n">
        <v>0.0361</v>
      </c>
      <c r="D446" s="28" t="s">
        <v>493</v>
      </c>
      <c r="E446" s="28" t="s">
        <v>1527</v>
      </c>
    </row>
    <row r="447" customFormat="false" ht="15" hidden="false" customHeight="false" outlineLevel="0" collapsed="false">
      <c r="A447" s="28" t="s">
        <v>1554</v>
      </c>
      <c r="B447" s="28" t="s">
        <v>1548</v>
      </c>
      <c r="C447" s="19" t="n">
        <v>0.0371</v>
      </c>
      <c r="D447" s="28" t="s">
        <v>497</v>
      </c>
      <c r="E447" s="28" t="s">
        <v>1543</v>
      </c>
    </row>
    <row r="448" customFormat="false" ht="15" hidden="false" customHeight="false" outlineLevel="0" collapsed="false">
      <c r="A448" s="28" t="s">
        <v>1554</v>
      </c>
      <c r="B448" s="28" t="s">
        <v>912</v>
      </c>
      <c r="C448" s="19" t="n">
        <v>0.0445</v>
      </c>
      <c r="D448" s="28" t="s">
        <v>497</v>
      </c>
      <c r="E448" s="28" t="s">
        <v>1543</v>
      </c>
    </row>
    <row r="449" customFormat="false" ht="15" hidden="false" customHeight="false" outlineLevel="0" collapsed="false">
      <c r="A449" s="28" t="s">
        <v>1554</v>
      </c>
      <c r="B449" s="28" t="s">
        <v>1522</v>
      </c>
      <c r="C449" s="19" t="n">
        <v>0.0372</v>
      </c>
      <c r="D449" s="28" t="s">
        <v>497</v>
      </c>
      <c r="E449" s="28" t="s">
        <v>1543</v>
      </c>
    </row>
    <row r="450" customFormat="false" ht="15" hidden="false" customHeight="false" outlineLevel="0" collapsed="false">
      <c r="A450" s="28" t="s">
        <v>1554</v>
      </c>
      <c r="B450" s="28" t="s">
        <v>907</v>
      </c>
      <c r="C450" s="19" t="n">
        <v>0.0379</v>
      </c>
      <c r="D450" s="28" t="s">
        <v>497</v>
      </c>
      <c r="E450" s="28" t="s">
        <v>1543</v>
      </c>
    </row>
    <row r="451" customFormat="false" ht="15" hidden="false" customHeight="false" outlineLevel="0" collapsed="false">
      <c r="A451" s="28" t="s">
        <v>1554</v>
      </c>
      <c r="B451" s="28" t="s">
        <v>913</v>
      </c>
      <c r="C451" s="19" t="n">
        <v>0.0498</v>
      </c>
      <c r="D451" s="28" t="s">
        <v>497</v>
      </c>
      <c r="E451" s="28" t="s">
        <v>1543</v>
      </c>
    </row>
    <row r="452" customFormat="false" ht="15" hidden="false" customHeight="false" outlineLevel="0" collapsed="false">
      <c r="A452" s="28" t="s">
        <v>1554</v>
      </c>
      <c r="B452" s="28" t="s">
        <v>1549</v>
      </c>
      <c r="C452" s="19" t="n">
        <v>0.0371</v>
      </c>
      <c r="D452" s="28" t="s">
        <v>497</v>
      </c>
      <c r="E452" s="28" t="s">
        <v>1543</v>
      </c>
    </row>
    <row r="453" customFormat="false" ht="15" hidden="false" customHeight="false" outlineLevel="0" collapsed="false">
      <c r="A453" s="28" t="s">
        <v>1554</v>
      </c>
      <c r="B453" s="28" t="s">
        <v>908</v>
      </c>
      <c r="C453" s="19" t="n">
        <v>0.0398</v>
      </c>
      <c r="D453" s="28" t="s">
        <v>497</v>
      </c>
      <c r="E453" s="28" t="s">
        <v>1543</v>
      </c>
    </row>
    <row r="454" customFormat="false" ht="15" hidden="false" customHeight="false" outlineLevel="0" collapsed="false">
      <c r="A454" s="28" t="s">
        <v>1554</v>
      </c>
      <c r="B454" s="28" t="s">
        <v>914</v>
      </c>
      <c r="C454" s="19" t="n">
        <v>0.0499</v>
      </c>
      <c r="D454" s="28" t="s">
        <v>497</v>
      </c>
      <c r="E454" s="28" t="s">
        <v>1543</v>
      </c>
    </row>
    <row r="455" customFormat="false" ht="15" hidden="false" customHeight="false" outlineLevel="0" collapsed="false">
      <c r="A455" s="28" t="s">
        <v>1554</v>
      </c>
      <c r="B455" s="28" t="s">
        <v>905</v>
      </c>
      <c r="C455" s="19" t="n">
        <v>0.0369</v>
      </c>
      <c r="D455" s="28" t="s">
        <v>497</v>
      </c>
      <c r="E455" s="28" t="s">
        <v>1543</v>
      </c>
    </row>
    <row r="456" customFormat="false" ht="15" hidden="false" customHeight="false" outlineLevel="0" collapsed="false">
      <c r="A456" s="28" t="s">
        <v>1554</v>
      </c>
      <c r="B456" s="28" t="s">
        <v>909</v>
      </c>
      <c r="C456" s="19" t="n">
        <v>0.0406</v>
      </c>
      <c r="D456" s="28" t="s">
        <v>497</v>
      </c>
      <c r="E456" s="28" t="s">
        <v>1543</v>
      </c>
    </row>
    <row r="457" customFormat="false" ht="15" hidden="false" customHeight="false" outlineLevel="0" collapsed="false">
      <c r="A457" s="28" t="s">
        <v>1554</v>
      </c>
      <c r="B457" s="28" t="s">
        <v>1550</v>
      </c>
      <c r="C457" s="19" t="n">
        <v>0.0378</v>
      </c>
      <c r="D457" s="28" t="s">
        <v>497</v>
      </c>
      <c r="E457" s="28" t="s">
        <v>1543</v>
      </c>
    </row>
    <row r="458" customFormat="false" ht="15" hidden="false" customHeight="false" outlineLevel="0" collapsed="false">
      <c r="A458" s="28" t="s">
        <v>1554</v>
      </c>
      <c r="B458" s="28" t="s">
        <v>910</v>
      </c>
      <c r="C458" s="19" t="n">
        <v>0.0413</v>
      </c>
      <c r="D458" s="28" t="s">
        <v>497</v>
      </c>
      <c r="E458" s="28" t="s">
        <v>1543</v>
      </c>
    </row>
    <row r="459" customFormat="false" ht="15" hidden="false" customHeight="false" outlineLevel="0" collapsed="false">
      <c r="A459" s="28" t="s">
        <v>1554</v>
      </c>
      <c r="B459" s="28" t="s">
        <v>906</v>
      </c>
      <c r="C459" s="19" t="n">
        <v>0.0378</v>
      </c>
      <c r="D459" s="28" t="s">
        <v>497</v>
      </c>
      <c r="E459" s="28" t="s">
        <v>1543</v>
      </c>
    </row>
    <row r="460" customFormat="false" ht="15" hidden="false" customHeight="false" outlineLevel="0" collapsed="false">
      <c r="A460" s="28" t="s">
        <v>1554</v>
      </c>
      <c r="B460" s="28" t="s">
        <v>911</v>
      </c>
      <c r="C460" s="19" t="n">
        <v>0.0427</v>
      </c>
      <c r="D460" s="28" t="s">
        <v>497</v>
      </c>
      <c r="E460" s="28" t="s">
        <v>1543</v>
      </c>
    </row>
    <row r="461" customFormat="false" ht="15" hidden="false" customHeight="false" outlineLevel="0" collapsed="false">
      <c r="A461" s="28" t="s">
        <v>1554</v>
      </c>
      <c r="B461" s="28" t="s">
        <v>904</v>
      </c>
      <c r="C461" s="19" t="n">
        <v>0.0363</v>
      </c>
      <c r="D461" s="28" t="s">
        <v>493</v>
      </c>
      <c r="E461" s="28" t="s">
        <v>1523</v>
      </c>
    </row>
    <row r="462" customFormat="false" ht="15" hidden="false" customHeight="false" outlineLevel="0" collapsed="false">
      <c r="A462" s="28" t="s">
        <v>1554</v>
      </c>
      <c r="B462" s="28" t="s">
        <v>1524</v>
      </c>
      <c r="C462" s="19" t="n">
        <v>0.0375</v>
      </c>
      <c r="D462" s="28" t="s">
        <v>497</v>
      </c>
      <c r="E462" s="28" t="s">
        <v>1525</v>
      </c>
    </row>
    <row r="463" customFormat="false" ht="15" hidden="false" customHeight="false" outlineLevel="0" collapsed="false">
      <c r="A463" s="28" t="s">
        <v>1554</v>
      </c>
      <c r="B463" s="28" t="s">
        <v>551</v>
      </c>
      <c r="C463" s="19" t="n">
        <v>0.0675</v>
      </c>
      <c r="D463" s="28" t="s">
        <v>497</v>
      </c>
      <c r="E463" s="28" t="s">
        <v>1526</v>
      </c>
    </row>
    <row r="464" customFormat="false" ht="15" hidden="false" customHeight="false" outlineLevel="0" collapsed="false">
      <c r="A464" s="28" t="s">
        <v>1554</v>
      </c>
      <c r="B464" s="28" t="s">
        <v>451</v>
      </c>
      <c r="C464" s="19" t="n">
        <v>0.0361</v>
      </c>
      <c r="D464" s="28" t="s">
        <v>493</v>
      </c>
      <c r="E464" s="28" t="s">
        <v>1527</v>
      </c>
    </row>
    <row r="465" customFormat="false" ht="15" hidden="false" customHeight="false" outlineLevel="0" collapsed="false">
      <c r="A465" s="28" t="s">
        <v>322</v>
      </c>
      <c r="B465" s="28" t="s">
        <v>1548</v>
      </c>
      <c r="C465" s="19" t="n">
        <v>0.0374</v>
      </c>
      <c r="D465" s="28" t="s">
        <v>497</v>
      </c>
      <c r="E465" s="28" t="s">
        <v>1543</v>
      </c>
    </row>
    <row r="466" customFormat="false" ht="15" hidden="false" customHeight="false" outlineLevel="0" collapsed="false">
      <c r="A466" s="28" t="s">
        <v>322</v>
      </c>
      <c r="B466" s="28" t="s">
        <v>912</v>
      </c>
      <c r="C466" s="19" t="n">
        <v>0.0444</v>
      </c>
      <c r="D466" s="28" t="s">
        <v>497</v>
      </c>
      <c r="E466" s="28" t="s">
        <v>1543</v>
      </c>
    </row>
    <row r="467" customFormat="false" ht="15" hidden="false" customHeight="false" outlineLevel="0" collapsed="false">
      <c r="A467" s="28" t="s">
        <v>322</v>
      </c>
      <c r="B467" s="28" t="s">
        <v>1522</v>
      </c>
      <c r="C467" s="19" t="n">
        <v>0.037</v>
      </c>
      <c r="D467" s="28" t="s">
        <v>497</v>
      </c>
      <c r="E467" s="28" t="s">
        <v>1543</v>
      </c>
    </row>
    <row r="468" customFormat="false" ht="15" hidden="false" customHeight="false" outlineLevel="0" collapsed="false">
      <c r="A468" s="28" t="s">
        <v>322</v>
      </c>
      <c r="B468" s="28" t="s">
        <v>907</v>
      </c>
      <c r="C468" s="19" t="n">
        <v>0.0398</v>
      </c>
      <c r="D468" s="28" t="s">
        <v>497</v>
      </c>
      <c r="E468" s="28" t="s">
        <v>1543</v>
      </c>
    </row>
    <row r="469" customFormat="false" ht="15" hidden="false" customHeight="false" outlineLevel="0" collapsed="false">
      <c r="A469" s="28" t="s">
        <v>322</v>
      </c>
      <c r="B469" s="28" t="s">
        <v>913</v>
      </c>
      <c r="C469" s="19" t="n">
        <v>0.0493</v>
      </c>
      <c r="D469" s="28" t="s">
        <v>497</v>
      </c>
      <c r="E469" s="28" t="s">
        <v>1543</v>
      </c>
    </row>
    <row r="470" customFormat="false" ht="15" hidden="false" customHeight="false" outlineLevel="0" collapsed="false">
      <c r="A470" s="28" t="s">
        <v>322</v>
      </c>
      <c r="B470" s="28" t="s">
        <v>1549</v>
      </c>
      <c r="C470" s="19" t="n">
        <v>0.0377</v>
      </c>
      <c r="D470" s="28" t="s">
        <v>497</v>
      </c>
      <c r="E470" s="28" t="s">
        <v>1543</v>
      </c>
    </row>
    <row r="471" customFormat="false" ht="15" hidden="false" customHeight="false" outlineLevel="0" collapsed="false">
      <c r="A471" s="28" t="s">
        <v>322</v>
      </c>
      <c r="B471" s="28" t="s">
        <v>908</v>
      </c>
      <c r="C471" s="19" t="n">
        <v>0.0414</v>
      </c>
      <c r="D471" s="28" t="s">
        <v>497</v>
      </c>
      <c r="E471" s="28" t="s">
        <v>1543</v>
      </c>
    </row>
    <row r="472" customFormat="false" ht="15" hidden="false" customHeight="false" outlineLevel="0" collapsed="false">
      <c r="A472" s="28" t="s">
        <v>322</v>
      </c>
      <c r="B472" s="28" t="s">
        <v>914</v>
      </c>
      <c r="C472" s="19" t="n">
        <v>0.0491</v>
      </c>
      <c r="D472" s="28" t="s">
        <v>497</v>
      </c>
      <c r="E472" s="28" t="s">
        <v>1543</v>
      </c>
    </row>
    <row r="473" customFormat="false" ht="15" hidden="false" customHeight="false" outlineLevel="0" collapsed="false">
      <c r="A473" s="28" t="s">
        <v>322</v>
      </c>
      <c r="B473" s="28" t="s">
        <v>905</v>
      </c>
      <c r="C473" s="19" t="n">
        <v>0.0387</v>
      </c>
      <c r="D473" s="28" t="s">
        <v>497</v>
      </c>
      <c r="E473" s="28" t="s">
        <v>1543</v>
      </c>
    </row>
    <row r="474" customFormat="false" ht="15" hidden="false" customHeight="false" outlineLevel="0" collapsed="false">
      <c r="A474" s="28" t="s">
        <v>322</v>
      </c>
      <c r="B474" s="28" t="s">
        <v>909</v>
      </c>
      <c r="C474" s="19" t="n">
        <v>0.0415</v>
      </c>
      <c r="D474" s="28" t="s">
        <v>497</v>
      </c>
      <c r="E474" s="28" t="s">
        <v>1543</v>
      </c>
    </row>
    <row r="475" customFormat="false" ht="15" hidden="false" customHeight="false" outlineLevel="0" collapsed="false">
      <c r="A475" s="28" t="s">
        <v>322</v>
      </c>
      <c r="B475" s="28" t="s">
        <v>1550</v>
      </c>
      <c r="C475" s="19" t="n">
        <v>0.0392</v>
      </c>
      <c r="D475" s="28" t="s">
        <v>497</v>
      </c>
      <c r="E475" s="28" t="s">
        <v>1543</v>
      </c>
    </row>
    <row r="476" customFormat="false" ht="15" hidden="false" customHeight="false" outlineLevel="0" collapsed="false">
      <c r="A476" s="28" t="s">
        <v>322</v>
      </c>
      <c r="B476" s="28" t="s">
        <v>910</v>
      </c>
      <c r="C476" s="19" t="n">
        <v>0.0419</v>
      </c>
      <c r="D476" s="28" t="s">
        <v>497</v>
      </c>
      <c r="E476" s="28" t="s">
        <v>1543</v>
      </c>
    </row>
    <row r="477" customFormat="false" ht="15" hidden="false" customHeight="false" outlineLevel="0" collapsed="false">
      <c r="A477" s="28" t="s">
        <v>322</v>
      </c>
      <c r="B477" s="28" t="s">
        <v>906</v>
      </c>
      <c r="C477" s="19" t="n">
        <v>0.0401</v>
      </c>
      <c r="D477" s="28" t="s">
        <v>497</v>
      </c>
      <c r="E477" s="28" t="s">
        <v>1543</v>
      </c>
    </row>
    <row r="478" customFormat="false" ht="15" hidden="false" customHeight="false" outlineLevel="0" collapsed="false">
      <c r="A478" s="28" t="s">
        <v>322</v>
      </c>
      <c r="B478" s="28" t="s">
        <v>911</v>
      </c>
      <c r="C478" s="19" t="n">
        <v>0.043</v>
      </c>
      <c r="D478" s="28" t="s">
        <v>497</v>
      </c>
      <c r="E478" s="28" t="s">
        <v>1543</v>
      </c>
    </row>
    <row r="479" customFormat="false" ht="15" hidden="false" customHeight="false" outlineLevel="0" collapsed="false">
      <c r="A479" s="28" t="s">
        <v>322</v>
      </c>
      <c r="B479" s="28" t="s">
        <v>904</v>
      </c>
      <c r="C479" s="19" t="n">
        <v>0.0363</v>
      </c>
      <c r="D479" s="28" t="s">
        <v>493</v>
      </c>
      <c r="E479" s="28" t="s">
        <v>1523</v>
      </c>
    </row>
    <row r="480" customFormat="false" ht="15" hidden="false" customHeight="false" outlineLevel="0" collapsed="false">
      <c r="A480" s="28" t="s">
        <v>322</v>
      </c>
      <c r="B480" s="28" t="s">
        <v>1524</v>
      </c>
      <c r="C480" s="19" t="n">
        <v>0.0375</v>
      </c>
      <c r="D480" s="28" t="s">
        <v>497</v>
      </c>
      <c r="E480" s="28" t="s">
        <v>1525</v>
      </c>
    </row>
    <row r="481" customFormat="false" ht="15" hidden="false" customHeight="false" outlineLevel="0" collapsed="false">
      <c r="A481" s="28" t="s">
        <v>322</v>
      </c>
      <c r="B481" s="28" t="s">
        <v>915</v>
      </c>
      <c r="C481" s="19" t="n">
        <v>0.065</v>
      </c>
      <c r="D481" s="28" t="s">
        <v>493</v>
      </c>
      <c r="E481" s="28" t="s">
        <v>1528</v>
      </c>
    </row>
    <row r="482" customFormat="false" ht="15" hidden="false" customHeight="false" outlineLevel="0" collapsed="false">
      <c r="A482" s="28" t="s">
        <v>322</v>
      </c>
      <c r="B482" s="28" t="s">
        <v>551</v>
      </c>
      <c r="C482" s="19" t="n">
        <v>0.0675</v>
      </c>
      <c r="D482" s="28" t="s">
        <v>497</v>
      </c>
      <c r="E482" s="28" t="s">
        <v>1526</v>
      </c>
    </row>
    <row r="483" customFormat="false" ht="15" hidden="false" customHeight="false" outlineLevel="0" collapsed="false">
      <c r="A483" s="28" t="s">
        <v>322</v>
      </c>
      <c r="B483" s="28" t="s">
        <v>451</v>
      </c>
      <c r="C483" s="19" t="n">
        <v>0.0361</v>
      </c>
      <c r="D483" s="28" t="s">
        <v>493</v>
      </c>
      <c r="E483" s="28" t="s">
        <v>1527</v>
      </c>
    </row>
    <row r="484" customFormat="false" ht="15" hidden="false" customHeight="false" outlineLevel="0" collapsed="false">
      <c r="A484" s="28" t="s">
        <v>783</v>
      </c>
      <c r="B484" s="28" t="s">
        <v>1548</v>
      </c>
      <c r="C484" s="19" t="n">
        <v>0.038</v>
      </c>
      <c r="D484" s="28" t="s">
        <v>497</v>
      </c>
      <c r="E484" s="28" t="s">
        <v>1543</v>
      </c>
    </row>
    <row r="485" customFormat="false" ht="15" hidden="false" customHeight="false" outlineLevel="0" collapsed="false">
      <c r="A485" s="28" t="s">
        <v>783</v>
      </c>
      <c r="B485" s="28" t="s">
        <v>912</v>
      </c>
      <c r="C485" s="19" t="n">
        <v>0.0475</v>
      </c>
      <c r="D485" s="28" t="s">
        <v>497</v>
      </c>
      <c r="E485" s="28" t="s">
        <v>1543</v>
      </c>
    </row>
    <row r="486" customFormat="false" ht="15" hidden="false" customHeight="false" outlineLevel="0" collapsed="false">
      <c r="A486" s="28" t="s">
        <v>783</v>
      </c>
      <c r="B486" s="28" t="s">
        <v>1522</v>
      </c>
      <c r="C486" s="19" t="n">
        <v>0.0378</v>
      </c>
      <c r="D486" s="28" t="s">
        <v>497</v>
      </c>
      <c r="E486" s="28" t="s">
        <v>1543</v>
      </c>
    </row>
    <row r="487" customFormat="false" ht="15" hidden="false" customHeight="false" outlineLevel="0" collapsed="false">
      <c r="A487" s="28" t="s">
        <v>783</v>
      </c>
      <c r="B487" s="28" t="s">
        <v>907</v>
      </c>
      <c r="C487" s="19" t="n">
        <v>0.0408</v>
      </c>
      <c r="D487" s="28" t="s">
        <v>497</v>
      </c>
      <c r="E487" s="28" t="s">
        <v>1543</v>
      </c>
    </row>
    <row r="488" customFormat="false" ht="15" hidden="false" customHeight="false" outlineLevel="0" collapsed="false">
      <c r="A488" s="28" t="s">
        <v>783</v>
      </c>
      <c r="B488" s="28" t="s">
        <v>913</v>
      </c>
      <c r="C488" s="19" t="n">
        <v>0.0528</v>
      </c>
      <c r="D488" s="28" t="s">
        <v>497</v>
      </c>
      <c r="E488" s="28" t="s">
        <v>1543</v>
      </c>
    </row>
    <row r="489" customFormat="false" ht="15" hidden="false" customHeight="false" outlineLevel="0" collapsed="false">
      <c r="A489" s="28" t="s">
        <v>783</v>
      </c>
      <c r="B489" s="28" t="s">
        <v>1549</v>
      </c>
      <c r="C489" s="19" t="n">
        <v>0.0385</v>
      </c>
      <c r="D489" s="28" t="s">
        <v>497</v>
      </c>
      <c r="E489" s="28" t="s">
        <v>1543</v>
      </c>
    </row>
    <row r="490" customFormat="false" ht="15" hidden="false" customHeight="false" outlineLevel="0" collapsed="false">
      <c r="A490" s="28" t="s">
        <v>783</v>
      </c>
      <c r="B490" s="28" t="s">
        <v>908</v>
      </c>
      <c r="C490" s="19" t="n">
        <v>0.0428</v>
      </c>
      <c r="D490" s="28" t="s">
        <v>497</v>
      </c>
      <c r="E490" s="28" t="s">
        <v>1543</v>
      </c>
    </row>
    <row r="491" customFormat="false" ht="15" hidden="false" customHeight="false" outlineLevel="0" collapsed="false">
      <c r="A491" s="28" t="s">
        <v>783</v>
      </c>
      <c r="B491" s="28" t="s">
        <v>914</v>
      </c>
      <c r="C491" s="19" t="n">
        <v>0.0527</v>
      </c>
      <c r="D491" s="28" t="s">
        <v>497</v>
      </c>
      <c r="E491" s="28" t="s">
        <v>1543</v>
      </c>
    </row>
    <row r="492" customFormat="false" ht="15" hidden="false" customHeight="false" outlineLevel="0" collapsed="false">
      <c r="A492" s="28" t="s">
        <v>783</v>
      </c>
      <c r="B492" s="28" t="s">
        <v>905</v>
      </c>
      <c r="C492" s="19" t="n">
        <v>0.0383</v>
      </c>
      <c r="D492" s="28" t="s">
        <v>497</v>
      </c>
      <c r="E492" s="28" t="s">
        <v>1543</v>
      </c>
    </row>
    <row r="493" customFormat="false" ht="15" hidden="false" customHeight="false" outlineLevel="0" collapsed="false">
      <c r="A493" s="28" t="s">
        <v>783</v>
      </c>
      <c r="B493" s="28" t="s">
        <v>909</v>
      </c>
      <c r="C493" s="19" t="n">
        <v>0.0434</v>
      </c>
      <c r="D493" s="28" t="s">
        <v>497</v>
      </c>
      <c r="E493" s="28" t="s">
        <v>1543</v>
      </c>
    </row>
    <row r="494" customFormat="false" ht="15" hidden="false" customHeight="false" outlineLevel="0" collapsed="false">
      <c r="A494" s="28" t="s">
        <v>783</v>
      </c>
      <c r="B494" s="28" t="s">
        <v>1550</v>
      </c>
      <c r="C494" s="19" t="n">
        <v>0.0392</v>
      </c>
      <c r="D494" s="28" t="s">
        <v>497</v>
      </c>
      <c r="E494" s="28" t="s">
        <v>1543</v>
      </c>
    </row>
    <row r="495" customFormat="false" ht="15" hidden="false" customHeight="false" outlineLevel="0" collapsed="false">
      <c r="A495" s="28" t="s">
        <v>783</v>
      </c>
      <c r="B495" s="28" t="s">
        <v>910</v>
      </c>
      <c r="C495" s="19" t="n">
        <v>0.0445</v>
      </c>
      <c r="D495" s="28" t="s">
        <v>497</v>
      </c>
      <c r="E495" s="28" t="s">
        <v>1543</v>
      </c>
    </row>
    <row r="496" customFormat="false" ht="15" hidden="false" customHeight="false" outlineLevel="0" collapsed="false">
      <c r="A496" s="28" t="s">
        <v>783</v>
      </c>
      <c r="B496" s="28" t="s">
        <v>906</v>
      </c>
      <c r="C496" s="19" t="n">
        <v>0.0398</v>
      </c>
      <c r="D496" s="28" t="s">
        <v>497</v>
      </c>
      <c r="E496" s="28" t="s">
        <v>1543</v>
      </c>
    </row>
    <row r="497" customFormat="false" ht="15" hidden="false" customHeight="false" outlineLevel="0" collapsed="false">
      <c r="A497" s="28" t="s">
        <v>783</v>
      </c>
      <c r="B497" s="28" t="s">
        <v>911</v>
      </c>
      <c r="C497" s="19" t="n">
        <v>0.0459</v>
      </c>
      <c r="D497" s="28" t="s">
        <v>497</v>
      </c>
      <c r="E497" s="28" t="s">
        <v>1543</v>
      </c>
    </row>
    <row r="498" customFormat="false" ht="15" hidden="false" customHeight="false" outlineLevel="0" collapsed="false">
      <c r="A498" s="28" t="s">
        <v>783</v>
      </c>
      <c r="B498" s="28" t="s">
        <v>904</v>
      </c>
      <c r="C498" s="19" t="n">
        <v>0.0363</v>
      </c>
      <c r="D498" s="28" t="s">
        <v>493</v>
      </c>
      <c r="E498" s="28" t="s">
        <v>1523</v>
      </c>
    </row>
    <row r="499" customFormat="false" ht="15" hidden="false" customHeight="false" outlineLevel="0" collapsed="false">
      <c r="A499" s="28" t="s">
        <v>783</v>
      </c>
      <c r="B499" s="28" t="s">
        <v>1524</v>
      </c>
      <c r="C499" s="19" t="n">
        <v>0.0375</v>
      </c>
      <c r="D499" s="28" t="s">
        <v>497</v>
      </c>
      <c r="E499" s="28" t="s">
        <v>1525</v>
      </c>
    </row>
    <row r="500" customFormat="false" ht="15" hidden="false" customHeight="false" outlineLevel="0" collapsed="false">
      <c r="A500" s="28" t="s">
        <v>783</v>
      </c>
      <c r="B500" s="28" t="s">
        <v>551</v>
      </c>
      <c r="C500" s="19" t="n">
        <v>0.0675</v>
      </c>
      <c r="D500" s="28" t="s">
        <v>497</v>
      </c>
      <c r="E500" s="28" t="s">
        <v>1526</v>
      </c>
    </row>
    <row r="501" customFormat="false" ht="15" hidden="false" customHeight="false" outlineLevel="0" collapsed="false">
      <c r="A501" s="28" t="s">
        <v>783</v>
      </c>
      <c r="B501" s="28" t="s">
        <v>451</v>
      </c>
      <c r="C501" s="19" t="n">
        <v>0.0361</v>
      </c>
      <c r="D501" s="28" t="s">
        <v>493</v>
      </c>
      <c r="E501" s="28" t="s">
        <v>1527</v>
      </c>
    </row>
    <row r="502" customFormat="false" ht="15" hidden="false" customHeight="false" outlineLevel="0" collapsed="false">
      <c r="A502" s="28" t="s">
        <v>784</v>
      </c>
      <c r="B502" s="28" t="s">
        <v>1548</v>
      </c>
      <c r="C502" s="19" t="n">
        <v>0.0386</v>
      </c>
      <c r="D502" s="28" t="s">
        <v>497</v>
      </c>
      <c r="E502" s="28" t="s">
        <v>1543</v>
      </c>
    </row>
    <row r="503" customFormat="false" ht="15" hidden="false" customHeight="false" outlineLevel="0" collapsed="false">
      <c r="A503" s="28" t="s">
        <v>784</v>
      </c>
      <c r="B503" s="28" t="s">
        <v>912</v>
      </c>
      <c r="C503" s="19" t="n">
        <v>0.0475</v>
      </c>
      <c r="D503" s="28" t="s">
        <v>497</v>
      </c>
      <c r="E503" s="28" t="s">
        <v>1543</v>
      </c>
    </row>
    <row r="504" customFormat="false" ht="15" hidden="false" customHeight="false" outlineLevel="0" collapsed="false">
      <c r="A504" s="28" t="s">
        <v>784</v>
      </c>
      <c r="B504" s="28" t="s">
        <v>1522</v>
      </c>
      <c r="C504" s="19" t="n">
        <v>0.0385</v>
      </c>
      <c r="D504" s="28" t="s">
        <v>497</v>
      </c>
      <c r="E504" s="28" t="s">
        <v>1543</v>
      </c>
    </row>
    <row r="505" customFormat="false" ht="15" hidden="false" customHeight="false" outlineLevel="0" collapsed="false">
      <c r="A505" s="28" t="s">
        <v>784</v>
      </c>
      <c r="B505" s="28" t="s">
        <v>907</v>
      </c>
      <c r="C505" s="19" t="n">
        <v>0.0416</v>
      </c>
      <c r="D505" s="28" t="s">
        <v>497</v>
      </c>
      <c r="E505" s="28" t="s">
        <v>1543</v>
      </c>
    </row>
    <row r="506" customFormat="false" ht="15" hidden="false" customHeight="false" outlineLevel="0" collapsed="false">
      <c r="A506" s="28" t="s">
        <v>784</v>
      </c>
      <c r="B506" s="28" t="s">
        <v>913</v>
      </c>
      <c r="C506" s="19" t="n">
        <v>0.0524</v>
      </c>
      <c r="D506" s="28" t="s">
        <v>497</v>
      </c>
      <c r="E506" s="28" t="s">
        <v>1543</v>
      </c>
    </row>
    <row r="507" customFormat="false" ht="15" hidden="false" customHeight="false" outlineLevel="0" collapsed="false">
      <c r="A507" s="28" t="s">
        <v>784</v>
      </c>
      <c r="B507" s="28" t="s">
        <v>1549</v>
      </c>
      <c r="C507" s="19" t="n">
        <v>0.0388</v>
      </c>
      <c r="D507" s="28" t="s">
        <v>497</v>
      </c>
      <c r="E507" s="28" t="s">
        <v>1543</v>
      </c>
    </row>
    <row r="508" customFormat="false" ht="15" hidden="false" customHeight="false" outlineLevel="0" collapsed="false">
      <c r="A508" s="28" t="s">
        <v>784</v>
      </c>
      <c r="B508" s="28" t="s">
        <v>908</v>
      </c>
      <c r="C508" s="19" t="n">
        <v>0.0434</v>
      </c>
      <c r="D508" s="28" t="s">
        <v>497</v>
      </c>
      <c r="E508" s="28" t="s">
        <v>1543</v>
      </c>
    </row>
    <row r="509" customFormat="false" ht="15" hidden="false" customHeight="false" outlineLevel="0" collapsed="false">
      <c r="A509" s="28" t="s">
        <v>784</v>
      </c>
      <c r="B509" s="28" t="s">
        <v>914</v>
      </c>
      <c r="C509" s="19" t="n">
        <v>0.0525</v>
      </c>
      <c r="D509" s="28" t="s">
        <v>497</v>
      </c>
      <c r="E509" s="28" t="s">
        <v>1543</v>
      </c>
    </row>
    <row r="510" customFormat="false" ht="15" hidden="false" customHeight="false" outlineLevel="0" collapsed="false">
      <c r="A510" s="28" t="s">
        <v>784</v>
      </c>
      <c r="B510" s="28" t="s">
        <v>905</v>
      </c>
      <c r="C510" s="19" t="n">
        <v>0.0391</v>
      </c>
      <c r="D510" s="28" t="s">
        <v>497</v>
      </c>
      <c r="E510" s="28" t="s">
        <v>1543</v>
      </c>
    </row>
    <row r="511" customFormat="false" ht="15" hidden="false" customHeight="false" outlineLevel="0" collapsed="false">
      <c r="A511" s="28" t="s">
        <v>784</v>
      </c>
      <c r="B511" s="28" t="s">
        <v>909</v>
      </c>
      <c r="C511" s="19" t="n">
        <v>0.044</v>
      </c>
      <c r="D511" s="28" t="s">
        <v>497</v>
      </c>
      <c r="E511" s="28" t="s">
        <v>1543</v>
      </c>
    </row>
    <row r="512" customFormat="false" ht="15" hidden="false" customHeight="false" outlineLevel="0" collapsed="false">
      <c r="A512" s="28" t="s">
        <v>784</v>
      </c>
      <c r="B512" s="28" t="s">
        <v>1550</v>
      </c>
      <c r="C512" s="19" t="n">
        <v>0.0396</v>
      </c>
      <c r="D512" s="28" t="s">
        <v>497</v>
      </c>
      <c r="E512" s="28" t="s">
        <v>1543</v>
      </c>
    </row>
    <row r="513" customFormat="false" ht="15" hidden="false" customHeight="false" outlineLevel="0" collapsed="false">
      <c r="A513" s="28" t="s">
        <v>784</v>
      </c>
      <c r="B513" s="28" t="s">
        <v>910</v>
      </c>
      <c r="C513" s="19" t="n">
        <v>0.0449</v>
      </c>
      <c r="D513" s="28" t="s">
        <v>497</v>
      </c>
      <c r="E513" s="28" t="s">
        <v>1543</v>
      </c>
    </row>
    <row r="514" customFormat="false" ht="15" hidden="false" customHeight="false" outlineLevel="0" collapsed="false">
      <c r="A514" s="28" t="s">
        <v>784</v>
      </c>
      <c r="B514" s="28" t="s">
        <v>906</v>
      </c>
      <c r="C514" s="19" t="n">
        <v>0.0399</v>
      </c>
      <c r="D514" s="28" t="s">
        <v>497</v>
      </c>
      <c r="E514" s="28" t="s">
        <v>1543</v>
      </c>
    </row>
    <row r="515" customFormat="false" ht="15" hidden="false" customHeight="false" outlineLevel="0" collapsed="false">
      <c r="A515" s="28" t="s">
        <v>784</v>
      </c>
      <c r="B515" s="28" t="s">
        <v>911</v>
      </c>
      <c r="C515" s="19" t="n">
        <v>0.0462</v>
      </c>
      <c r="D515" s="28" t="s">
        <v>497</v>
      </c>
      <c r="E515" s="28" t="s">
        <v>1543</v>
      </c>
    </row>
    <row r="516" customFormat="false" ht="15" hidden="false" customHeight="false" outlineLevel="0" collapsed="false">
      <c r="A516" s="28" t="s">
        <v>784</v>
      </c>
      <c r="B516" s="28" t="s">
        <v>904</v>
      </c>
      <c r="C516" s="19" t="n">
        <v>0.0363</v>
      </c>
      <c r="D516" s="28" t="s">
        <v>493</v>
      </c>
      <c r="E516" s="28" t="s">
        <v>1523</v>
      </c>
    </row>
    <row r="517" customFormat="false" ht="15" hidden="false" customHeight="false" outlineLevel="0" collapsed="false">
      <c r="A517" s="28" t="s">
        <v>784</v>
      </c>
      <c r="B517" s="28" t="s">
        <v>1524</v>
      </c>
      <c r="C517" s="19" t="n">
        <v>0.0375</v>
      </c>
      <c r="D517" s="28" t="s">
        <v>497</v>
      </c>
      <c r="E517" s="28" t="s">
        <v>1525</v>
      </c>
    </row>
    <row r="518" customFormat="false" ht="15" hidden="false" customHeight="false" outlineLevel="0" collapsed="false">
      <c r="A518" s="28" t="s">
        <v>784</v>
      </c>
      <c r="B518" s="28" t="s">
        <v>915</v>
      </c>
      <c r="C518" s="19" t="n">
        <v>0.0671</v>
      </c>
      <c r="D518" s="28" t="s">
        <v>497</v>
      </c>
      <c r="E518" s="28" t="s">
        <v>1555</v>
      </c>
    </row>
    <row r="519" customFormat="false" ht="15" hidden="false" customHeight="false" outlineLevel="0" collapsed="false">
      <c r="A519" s="28" t="s">
        <v>784</v>
      </c>
      <c r="B519" s="28" t="s">
        <v>551</v>
      </c>
      <c r="C519" s="19" t="n">
        <v>0.0675</v>
      </c>
      <c r="D519" s="28" t="s">
        <v>497</v>
      </c>
      <c r="E519" s="28" t="s">
        <v>1526</v>
      </c>
    </row>
    <row r="520" customFormat="false" ht="15" hidden="false" customHeight="false" outlineLevel="0" collapsed="false">
      <c r="A520" s="28" t="s">
        <v>784</v>
      </c>
      <c r="B520" s="28" t="s">
        <v>451</v>
      </c>
      <c r="C520" s="19" t="n">
        <v>0.0361</v>
      </c>
      <c r="D520" s="28" t="s">
        <v>493</v>
      </c>
      <c r="E520" s="28" t="s">
        <v>1527</v>
      </c>
    </row>
    <row r="521" customFormat="false" ht="15" hidden="false" customHeight="false" outlineLevel="0" collapsed="false">
      <c r="A521" s="28" t="s">
        <v>1556</v>
      </c>
      <c r="B521" s="28" t="s">
        <v>1548</v>
      </c>
      <c r="C521" s="19" t="n">
        <v>0.04</v>
      </c>
      <c r="D521" s="28" t="s">
        <v>497</v>
      </c>
      <c r="E521" s="28" t="s">
        <v>1543</v>
      </c>
    </row>
    <row r="522" customFormat="false" ht="15" hidden="false" customHeight="false" outlineLevel="0" collapsed="false">
      <c r="A522" s="28" t="s">
        <v>1556</v>
      </c>
      <c r="B522" s="28" t="s">
        <v>912</v>
      </c>
      <c r="C522" s="19" t="n">
        <v>0.05</v>
      </c>
      <c r="D522" s="28" t="s">
        <v>497</v>
      </c>
      <c r="E522" s="28" t="s">
        <v>1543</v>
      </c>
    </row>
    <row r="523" customFormat="false" ht="15" hidden="false" customHeight="false" outlineLevel="0" collapsed="false">
      <c r="A523" s="28" t="s">
        <v>1556</v>
      </c>
      <c r="B523" s="28" t="s">
        <v>1522</v>
      </c>
      <c r="C523" s="19" t="n">
        <v>0.0393</v>
      </c>
      <c r="D523" s="28" t="s">
        <v>497</v>
      </c>
      <c r="E523" s="28" t="s">
        <v>1543</v>
      </c>
    </row>
    <row r="524" customFormat="false" ht="15" hidden="false" customHeight="false" outlineLevel="0" collapsed="false">
      <c r="A524" s="28" t="s">
        <v>1556</v>
      </c>
      <c r="B524" s="28" t="s">
        <v>907</v>
      </c>
      <c r="C524" s="19" t="n">
        <v>0.0439</v>
      </c>
      <c r="D524" s="28" t="s">
        <v>497</v>
      </c>
      <c r="E524" s="28" t="s">
        <v>1543</v>
      </c>
    </row>
    <row r="525" customFormat="false" ht="15" hidden="false" customHeight="false" outlineLevel="0" collapsed="false">
      <c r="A525" s="28" t="s">
        <v>1556</v>
      </c>
      <c r="B525" s="28" t="s">
        <v>913</v>
      </c>
      <c r="C525" s="19" t="n">
        <v>0.054</v>
      </c>
      <c r="D525" s="28" t="s">
        <v>497</v>
      </c>
      <c r="E525" s="28" t="s">
        <v>1543</v>
      </c>
    </row>
    <row r="526" customFormat="false" ht="15" hidden="false" customHeight="false" outlineLevel="0" collapsed="false">
      <c r="A526" s="28" t="s">
        <v>1556</v>
      </c>
      <c r="B526" s="28" t="s">
        <v>1549</v>
      </c>
      <c r="C526" s="19" t="n">
        <v>0.0406</v>
      </c>
      <c r="D526" s="28" t="s">
        <v>497</v>
      </c>
      <c r="E526" s="28" t="s">
        <v>1543</v>
      </c>
    </row>
    <row r="527" customFormat="false" ht="15" hidden="false" customHeight="false" outlineLevel="0" collapsed="false">
      <c r="A527" s="28" t="s">
        <v>1556</v>
      </c>
      <c r="B527" s="28" t="s">
        <v>908</v>
      </c>
      <c r="C527" s="19" t="n">
        <v>0.0467</v>
      </c>
      <c r="D527" s="28" t="s">
        <v>497</v>
      </c>
      <c r="E527" s="28" t="s">
        <v>1543</v>
      </c>
    </row>
    <row r="528" customFormat="false" ht="15" hidden="false" customHeight="false" outlineLevel="0" collapsed="false">
      <c r="A528" s="28" t="s">
        <v>1556</v>
      </c>
      <c r="B528" s="28" t="s">
        <v>914</v>
      </c>
      <c r="C528" s="19" t="n">
        <v>0.0536</v>
      </c>
      <c r="D528" s="28" t="s">
        <v>497</v>
      </c>
      <c r="E528" s="28" t="s">
        <v>1543</v>
      </c>
    </row>
    <row r="529" customFormat="false" ht="15" hidden="false" customHeight="false" outlineLevel="0" collapsed="false">
      <c r="A529" s="28" t="s">
        <v>1556</v>
      </c>
      <c r="B529" s="28" t="s">
        <v>905</v>
      </c>
      <c r="C529" s="19" t="n">
        <v>0.0411</v>
      </c>
      <c r="D529" s="28" t="s">
        <v>497</v>
      </c>
      <c r="E529" s="28" t="s">
        <v>1543</v>
      </c>
    </row>
    <row r="530" customFormat="false" ht="15" hidden="false" customHeight="false" outlineLevel="0" collapsed="false">
      <c r="A530" s="28" t="s">
        <v>1556</v>
      </c>
      <c r="B530" s="28" t="s">
        <v>909</v>
      </c>
      <c r="C530" s="19" t="n">
        <v>0.0476</v>
      </c>
      <c r="D530" s="28" t="s">
        <v>497</v>
      </c>
      <c r="E530" s="28" t="s">
        <v>1543</v>
      </c>
    </row>
    <row r="531" customFormat="false" ht="15" hidden="false" customHeight="false" outlineLevel="0" collapsed="false">
      <c r="A531" s="28" t="s">
        <v>1556</v>
      </c>
      <c r="B531" s="28" t="s">
        <v>1550</v>
      </c>
      <c r="C531" s="19" t="n">
        <v>0.0419</v>
      </c>
      <c r="D531" s="28" t="s">
        <v>497</v>
      </c>
      <c r="E531" s="28" t="s">
        <v>1543</v>
      </c>
    </row>
    <row r="532" customFormat="false" ht="15" hidden="false" customHeight="false" outlineLevel="0" collapsed="false">
      <c r="A532" s="28" t="s">
        <v>1556</v>
      </c>
      <c r="B532" s="28" t="s">
        <v>910</v>
      </c>
      <c r="C532" s="19" t="n">
        <v>0.0483</v>
      </c>
      <c r="D532" s="28" t="s">
        <v>497</v>
      </c>
      <c r="E532" s="28" t="s">
        <v>1543</v>
      </c>
    </row>
    <row r="533" customFormat="false" ht="15" hidden="false" customHeight="false" outlineLevel="0" collapsed="false">
      <c r="A533" s="28" t="s">
        <v>1556</v>
      </c>
      <c r="B533" s="28" t="s">
        <v>906</v>
      </c>
      <c r="C533" s="19" t="n">
        <v>0.0417</v>
      </c>
      <c r="D533" s="28" t="s">
        <v>497</v>
      </c>
      <c r="E533" s="28" t="s">
        <v>1543</v>
      </c>
    </row>
    <row r="534" customFormat="false" ht="15" hidden="false" customHeight="false" outlineLevel="0" collapsed="false">
      <c r="A534" s="28" t="s">
        <v>1556</v>
      </c>
      <c r="B534" s="28" t="s">
        <v>911</v>
      </c>
      <c r="C534" s="19" t="n">
        <v>0.0491</v>
      </c>
      <c r="D534" s="28" t="s">
        <v>497</v>
      </c>
      <c r="E534" s="28" t="s">
        <v>1543</v>
      </c>
    </row>
    <row r="535" customFormat="false" ht="15" hidden="false" customHeight="false" outlineLevel="0" collapsed="false">
      <c r="A535" s="28" t="s">
        <v>1556</v>
      </c>
      <c r="B535" s="28" t="s">
        <v>904</v>
      </c>
      <c r="C535" s="19" t="n">
        <v>0.0363</v>
      </c>
      <c r="D535" s="28" t="s">
        <v>493</v>
      </c>
      <c r="E535" s="28" t="s">
        <v>1523</v>
      </c>
    </row>
    <row r="536" customFormat="false" ht="15" hidden="false" customHeight="false" outlineLevel="0" collapsed="false">
      <c r="A536" s="28" t="s">
        <v>1556</v>
      </c>
      <c r="B536" s="28" t="s">
        <v>1524</v>
      </c>
      <c r="C536" s="19" t="n">
        <v>0.0375</v>
      </c>
      <c r="D536" s="28" t="s">
        <v>497</v>
      </c>
      <c r="E536" s="28" t="s">
        <v>1525</v>
      </c>
    </row>
    <row r="537" customFormat="false" ht="15" hidden="false" customHeight="false" outlineLevel="0" collapsed="false">
      <c r="A537" s="28" t="s">
        <v>1556</v>
      </c>
      <c r="B537" s="28" t="s">
        <v>915</v>
      </c>
      <c r="C537" s="19" t="n">
        <v>0.0671</v>
      </c>
      <c r="D537" s="28" t="s">
        <v>497</v>
      </c>
      <c r="E537" s="28" t="s">
        <v>1555</v>
      </c>
    </row>
    <row r="538" customFormat="false" ht="15" hidden="false" customHeight="false" outlineLevel="0" collapsed="false">
      <c r="A538" s="28" t="s">
        <v>1556</v>
      </c>
      <c r="B538" s="28" t="s">
        <v>551</v>
      </c>
      <c r="C538" s="19" t="n">
        <v>0.0675</v>
      </c>
      <c r="D538" s="28" t="s">
        <v>497</v>
      </c>
      <c r="E538" s="28" t="s">
        <v>1526</v>
      </c>
    </row>
    <row r="539" customFormat="false" ht="15" hidden="false" customHeight="false" outlineLevel="0" collapsed="false">
      <c r="A539" s="28" t="s">
        <v>1556</v>
      </c>
      <c r="B539" s="28" t="s">
        <v>451</v>
      </c>
      <c r="C539" s="19" t="n">
        <v>0.0361</v>
      </c>
      <c r="D539" s="28" t="s">
        <v>493</v>
      </c>
      <c r="E539" s="28" t="s">
        <v>1527</v>
      </c>
    </row>
    <row r="540" customFormat="false" ht="15" hidden="false" customHeight="false" outlineLevel="0" collapsed="false">
      <c r="A540" s="28" t="s">
        <v>1557</v>
      </c>
      <c r="B540" s="28" t="s">
        <v>1519</v>
      </c>
      <c r="C540" s="19" t="n">
        <v>0.04</v>
      </c>
      <c r="D540" s="28" t="s">
        <v>497</v>
      </c>
      <c r="E540" s="28" t="s">
        <v>1520</v>
      </c>
    </row>
    <row r="541" customFormat="false" ht="15" hidden="false" customHeight="false" outlineLevel="0" collapsed="false">
      <c r="A541" s="28" t="s">
        <v>1558</v>
      </c>
      <c r="B541" s="28" t="s">
        <v>1548</v>
      </c>
      <c r="C541" s="19" t="n">
        <v>0.0414</v>
      </c>
      <c r="D541" s="28" t="s">
        <v>497</v>
      </c>
      <c r="E541" s="28" t="s">
        <v>1543</v>
      </c>
    </row>
    <row r="542" customFormat="false" ht="15" hidden="false" customHeight="false" outlineLevel="0" collapsed="false">
      <c r="A542" s="28" t="s">
        <v>1558</v>
      </c>
      <c r="B542" s="28" t="s">
        <v>912</v>
      </c>
      <c r="C542" s="19" t="n">
        <v>0.0524</v>
      </c>
      <c r="D542" s="28" t="s">
        <v>497</v>
      </c>
      <c r="E542" s="28" t="s">
        <v>1543</v>
      </c>
    </row>
    <row r="543" customFormat="false" ht="15" hidden="false" customHeight="false" outlineLevel="0" collapsed="false">
      <c r="A543" s="28" t="s">
        <v>1558</v>
      </c>
      <c r="B543" s="28" t="s">
        <v>1522</v>
      </c>
      <c r="C543" s="19" t="n">
        <v>0.0404</v>
      </c>
      <c r="D543" s="28" t="s">
        <v>497</v>
      </c>
      <c r="E543" s="28" t="s">
        <v>1543</v>
      </c>
    </row>
    <row r="544" customFormat="false" ht="15" hidden="false" customHeight="false" outlineLevel="0" collapsed="false">
      <c r="A544" s="28" t="s">
        <v>1558</v>
      </c>
      <c r="B544" s="28" t="s">
        <v>907</v>
      </c>
      <c r="C544" s="19" t="n">
        <v>0.0459</v>
      </c>
      <c r="D544" s="28" t="s">
        <v>497</v>
      </c>
      <c r="E544" s="28" t="s">
        <v>1543</v>
      </c>
    </row>
    <row r="545" customFormat="false" ht="15" hidden="false" customHeight="false" outlineLevel="0" collapsed="false">
      <c r="A545" s="28" t="s">
        <v>1558</v>
      </c>
      <c r="B545" s="28" t="s">
        <v>913</v>
      </c>
      <c r="C545" s="19" t="n">
        <v>0.056</v>
      </c>
      <c r="D545" s="28" t="s">
        <v>497</v>
      </c>
      <c r="E545" s="28" t="s">
        <v>1543</v>
      </c>
    </row>
    <row r="546" customFormat="false" ht="15" hidden="false" customHeight="false" outlineLevel="0" collapsed="false">
      <c r="A546" s="28" t="s">
        <v>1558</v>
      </c>
      <c r="B546" s="28" t="s">
        <v>1549</v>
      </c>
      <c r="C546" s="19" t="n">
        <v>0.042</v>
      </c>
      <c r="D546" s="28" t="s">
        <v>497</v>
      </c>
      <c r="E546" s="28" t="s">
        <v>1543</v>
      </c>
    </row>
    <row r="547" customFormat="false" ht="15" hidden="false" customHeight="false" outlineLevel="0" collapsed="false">
      <c r="A547" s="28" t="s">
        <v>1558</v>
      </c>
      <c r="B547" s="28" t="s">
        <v>908</v>
      </c>
      <c r="C547" s="19" t="n">
        <v>0.0492</v>
      </c>
      <c r="D547" s="28" t="s">
        <v>497</v>
      </c>
      <c r="E547" s="28" t="s">
        <v>1543</v>
      </c>
    </row>
    <row r="548" customFormat="false" ht="15" hidden="false" customHeight="false" outlineLevel="0" collapsed="false">
      <c r="A548" s="28" t="s">
        <v>1558</v>
      </c>
      <c r="B548" s="28" t="s">
        <v>914</v>
      </c>
      <c r="C548" s="19" t="n">
        <v>0.0556</v>
      </c>
      <c r="D548" s="28" t="s">
        <v>497</v>
      </c>
      <c r="E548" s="28" t="s">
        <v>1543</v>
      </c>
    </row>
    <row r="549" customFormat="false" ht="15" hidden="false" customHeight="false" outlineLevel="0" collapsed="false">
      <c r="A549" s="28" t="s">
        <v>1558</v>
      </c>
      <c r="B549" s="28" t="s">
        <v>905</v>
      </c>
      <c r="C549" s="19" t="n">
        <v>0.0428</v>
      </c>
      <c r="D549" s="28" t="s">
        <v>497</v>
      </c>
      <c r="E549" s="28" t="s">
        <v>1543</v>
      </c>
    </row>
    <row r="550" customFormat="false" ht="15" hidden="false" customHeight="false" outlineLevel="0" collapsed="false">
      <c r="A550" s="28" t="s">
        <v>1558</v>
      </c>
      <c r="B550" s="28" t="s">
        <v>909</v>
      </c>
      <c r="C550" s="19" t="n">
        <v>0.0501</v>
      </c>
      <c r="D550" s="28" t="s">
        <v>497</v>
      </c>
      <c r="E550" s="28" t="s">
        <v>1543</v>
      </c>
    </row>
    <row r="551" customFormat="false" ht="15" hidden="false" customHeight="false" outlineLevel="0" collapsed="false">
      <c r="A551" s="28" t="s">
        <v>1558</v>
      </c>
      <c r="B551" s="28" t="s">
        <v>1550</v>
      </c>
      <c r="C551" s="19" t="n">
        <v>0.0433</v>
      </c>
      <c r="D551" s="28" t="s">
        <v>497</v>
      </c>
      <c r="E551" s="28" t="s">
        <v>1543</v>
      </c>
    </row>
    <row r="552" customFormat="false" ht="15" hidden="false" customHeight="false" outlineLevel="0" collapsed="false">
      <c r="A552" s="28" t="s">
        <v>1558</v>
      </c>
      <c r="B552" s="28" t="s">
        <v>910</v>
      </c>
      <c r="C552" s="19" t="n">
        <v>0.0506</v>
      </c>
      <c r="D552" s="28" t="s">
        <v>497</v>
      </c>
      <c r="E552" s="28" t="s">
        <v>1543</v>
      </c>
    </row>
    <row r="553" customFormat="false" ht="15" hidden="false" customHeight="false" outlineLevel="0" collapsed="false">
      <c r="A553" s="28" t="s">
        <v>1558</v>
      </c>
      <c r="B553" s="28" t="s">
        <v>906</v>
      </c>
      <c r="C553" s="19" t="n">
        <v>0.0441</v>
      </c>
      <c r="D553" s="28" t="s">
        <v>497</v>
      </c>
      <c r="E553" s="28" t="s">
        <v>1543</v>
      </c>
    </row>
    <row r="554" customFormat="false" ht="15" hidden="false" customHeight="false" outlineLevel="0" collapsed="false">
      <c r="A554" s="28" t="s">
        <v>1558</v>
      </c>
      <c r="B554" s="28" t="s">
        <v>911</v>
      </c>
      <c r="C554" s="19" t="n">
        <v>0.0515</v>
      </c>
      <c r="D554" s="28" t="s">
        <v>497</v>
      </c>
      <c r="E554" s="28" t="s">
        <v>1543</v>
      </c>
    </row>
    <row r="555" customFormat="false" ht="15" hidden="false" customHeight="false" outlineLevel="0" collapsed="false">
      <c r="A555" s="28" t="s">
        <v>1558</v>
      </c>
      <c r="B555" s="28" t="s">
        <v>904</v>
      </c>
      <c r="C555" s="19" t="n">
        <v>0.0388</v>
      </c>
      <c r="D555" s="28" t="s">
        <v>493</v>
      </c>
      <c r="E555" s="28" t="s">
        <v>1523</v>
      </c>
    </row>
    <row r="556" customFormat="false" ht="15" hidden="false" customHeight="false" outlineLevel="0" collapsed="false">
      <c r="A556" s="28" t="s">
        <v>1558</v>
      </c>
      <c r="B556" s="28" t="s">
        <v>1524</v>
      </c>
      <c r="C556" s="19" t="n">
        <v>0.04</v>
      </c>
      <c r="D556" s="28" t="s">
        <v>497</v>
      </c>
      <c r="E556" s="28" t="s">
        <v>1525</v>
      </c>
    </row>
    <row r="557" customFormat="false" ht="15" hidden="false" customHeight="false" outlineLevel="0" collapsed="false">
      <c r="A557" s="28" t="s">
        <v>1558</v>
      </c>
      <c r="B557" s="28" t="s">
        <v>915</v>
      </c>
      <c r="C557" s="19" t="n">
        <v>0.0705</v>
      </c>
      <c r="D557" s="28" t="s">
        <v>493</v>
      </c>
      <c r="E557" s="28" t="s">
        <v>1528</v>
      </c>
    </row>
    <row r="558" customFormat="false" ht="15" hidden="false" customHeight="false" outlineLevel="0" collapsed="false">
      <c r="A558" s="28" t="s">
        <v>1558</v>
      </c>
      <c r="B558" s="28" t="s">
        <v>551</v>
      </c>
      <c r="C558" s="19" t="n">
        <v>0.07</v>
      </c>
      <c r="D558" s="28" t="s">
        <v>497</v>
      </c>
      <c r="E558" s="28" t="s">
        <v>1526</v>
      </c>
    </row>
    <row r="559" customFormat="false" ht="15" hidden="false" customHeight="false" outlineLevel="0" collapsed="false">
      <c r="A559" s="28" t="s">
        <v>1558</v>
      </c>
      <c r="B559" s="28" t="s">
        <v>451</v>
      </c>
      <c r="C559" s="19" t="n">
        <v>0.0386</v>
      </c>
      <c r="D559" s="28" t="s">
        <v>493</v>
      </c>
      <c r="E559" s="28" t="s">
        <v>1527</v>
      </c>
    </row>
    <row r="560" customFormat="false" ht="15" hidden="false" customHeight="false" outlineLevel="0" collapsed="false">
      <c r="A560" s="28" t="s">
        <v>396</v>
      </c>
      <c r="B560" s="28" t="s">
        <v>1548</v>
      </c>
      <c r="C560" s="19" t="n">
        <v>0.0414</v>
      </c>
      <c r="D560" s="28" t="s">
        <v>497</v>
      </c>
      <c r="E560" s="28" t="s">
        <v>1543</v>
      </c>
    </row>
    <row r="561" customFormat="false" ht="15" hidden="false" customHeight="false" outlineLevel="0" collapsed="false">
      <c r="A561" s="28" t="s">
        <v>396</v>
      </c>
      <c r="B561" s="28" t="s">
        <v>912</v>
      </c>
      <c r="C561" s="19" t="n">
        <v>0.0526</v>
      </c>
      <c r="D561" s="28" t="s">
        <v>497</v>
      </c>
      <c r="E561" s="28" t="s">
        <v>1543</v>
      </c>
    </row>
    <row r="562" customFormat="false" ht="15" hidden="false" customHeight="false" outlineLevel="0" collapsed="false">
      <c r="A562" s="28" t="s">
        <v>396</v>
      </c>
      <c r="B562" s="28" t="s">
        <v>1522</v>
      </c>
      <c r="C562" s="19" t="n">
        <v>0.0404</v>
      </c>
      <c r="D562" s="28" t="s">
        <v>497</v>
      </c>
      <c r="E562" s="28" t="s">
        <v>1543</v>
      </c>
    </row>
    <row r="563" customFormat="false" ht="15" hidden="false" customHeight="false" outlineLevel="0" collapsed="false">
      <c r="A563" s="28" t="s">
        <v>396</v>
      </c>
      <c r="B563" s="28" t="s">
        <v>907</v>
      </c>
      <c r="C563" s="19" t="n">
        <v>0.0458</v>
      </c>
      <c r="D563" s="28" t="s">
        <v>497</v>
      </c>
      <c r="E563" s="28" t="s">
        <v>1543</v>
      </c>
    </row>
    <row r="564" customFormat="false" ht="15" hidden="false" customHeight="false" outlineLevel="0" collapsed="false">
      <c r="A564" s="28" t="s">
        <v>396</v>
      </c>
      <c r="B564" s="28" t="s">
        <v>913</v>
      </c>
      <c r="C564" s="19" t="n">
        <v>0.0564</v>
      </c>
      <c r="D564" s="28" t="s">
        <v>497</v>
      </c>
      <c r="E564" s="28" t="s">
        <v>1543</v>
      </c>
    </row>
    <row r="565" customFormat="false" ht="15" hidden="false" customHeight="false" outlineLevel="0" collapsed="false">
      <c r="A565" s="28" t="s">
        <v>396</v>
      </c>
      <c r="B565" s="28" t="s">
        <v>1549</v>
      </c>
      <c r="C565" s="19" t="n">
        <v>0.0418</v>
      </c>
      <c r="D565" s="28" t="s">
        <v>497</v>
      </c>
      <c r="E565" s="28" t="s">
        <v>1543</v>
      </c>
    </row>
    <row r="566" customFormat="false" ht="15" hidden="false" customHeight="false" outlineLevel="0" collapsed="false">
      <c r="A566" s="28" t="s">
        <v>396</v>
      </c>
      <c r="B566" s="28" t="s">
        <v>908</v>
      </c>
      <c r="C566" s="19" t="n">
        <v>0.0489</v>
      </c>
      <c r="D566" s="28" t="s">
        <v>497</v>
      </c>
      <c r="E566" s="28" t="s">
        <v>1543</v>
      </c>
    </row>
    <row r="567" customFormat="false" ht="15" hidden="false" customHeight="false" outlineLevel="0" collapsed="false">
      <c r="A567" s="28" t="s">
        <v>396</v>
      </c>
      <c r="B567" s="28" t="s">
        <v>914</v>
      </c>
      <c r="C567" s="19" t="n">
        <v>0.0559</v>
      </c>
      <c r="D567" s="28" t="s">
        <v>497</v>
      </c>
      <c r="E567" s="28" t="s">
        <v>1543</v>
      </c>
    </row>
    <row r="568" customFormat="false" ht="15" hidden="false" customHeight="false" outlineLevel="0" collapsed="false">
      <c r="A568" s="28" t="s">
        <v>396</v>
      </c>
      <c r="B568" s="28" t="s">
        <v>905</v>
      </c>
      <c r="C568" s="19" t="n">
        <v>0.0425</v>
      </c>
      <c r="D568" s="28" t="s">
        <v>497</v>
      </c>
      <c r="E568" s="28" t="s">
        <v>1543</v>
      </c>
    </row>
    <row r="569" customFormat="false" ht="15" hidden="false" customHeight="false" outlineLevel="0" collapsed="false">
      <c r="A569" s="28" t="s">
        <v>396</v>
      </c>
      <c r="B569" s="28" t="s">
        <v>909</v>
      </c>
      <c r="C569" s="19" t="n">
        <v>0.0498</v>
      </c>
      <c r="D569" s="28" t="s">
        <v>497</v>
      </c>
      <c r="E569" s="28" t="s">
        <v>1543</v>
      </c>
    </row>
    <row r="570" customFormat="false" ht="15" hidden="false" customHeight="false" outlineLevel="0" collapsed="false">
      <c r="A570" s="28" t="s">
        <v>396</v>
      </c>
      <c r="B570" s="28" t="s">
        <v>1550</v>
      </c>
      <c r="C570" s="19" t="n">
        <v>0.043</v>
      </c>
      <c r="D570" s="28" t="s">
        <v>497</v>
      </c>
      <c r="E570" s="28" t="s">
        <v>1543</v>
      </c>
    </row>
    <row r="571" customFormat="false" ht="15" hidden="false" customHeight="false" outlineLevel="0" collapsed="false">
      <c r="A571" s="28" t="s">
        <v>396</v>
      </c>
      <c r="B571" s="28" t="s">
        <v>910</v>
      </c>
      <c r="C571" s="19" t="n">
        <v>0.0506</v>
      </c>
      <c r="D571" s="28" t="s">
        <v>497</v>
      </c>
      <c r="E571" s="28" t="s">
        <v>1543</v>
      </c>
    </row>
    <row r="572" customFormat="false" ht="15" hidden="false" customHeight="false" outlineLevel="0" collapsed="false">
      <c r="A572" s="28" t="s">
        <v>396</v>
      </c>
      <c r="B572" s="28" t="s">
        <v>906</v>
      </c>
      <c r="C572" s="19" t="n">
        <v>0.0436</v>
      </c>
      <c r="D572" s="28" t="s">
        <v>497</v>
      </c>
      <c r="E572" s="28" t="s">
        <v>1543</v>
      </c>
    </row>
    <row r="573" customFormat="false" ht="15" hidden="false" customHeight="false" outlineLevel="0" collapsed="false">
      <c r="A573" s="28" t="s">
        <v>396</v>
      </c>
      <c r="B573" s="28" t="s">
        <v>911</v>
      </c>
      <c r="C573" s="19" t="n">
        <v>0.0516</v>
      </c>
      <c r="D573" s="28" t="s">
        <v>497</v>
      </c>
      <c r="E573" s="28" t="s">
        <v>1543</v>
      </c>
    </row>
    <row r="574" customFormat="false" ht="15" hidden="false" customHeight="false" outlineLevel="0" collapsed="false">
      <c r="A574" s="28" t="s">
        <v>396</v>
      </c>
      <c r="B574" s="28" t="s">
        <v>904</v>
      </c>
      <c r="C574" s="19" t="n">
        <v>0.0388</v>
      </c>
      <c r="D574" s="28" t="s">
        <v>493</v>
      </c>
      <c r="E574" s="28" t="s">
        <v>1523</v>
      </c>
    </row>
    <row r="575" customFormat="false" ht="15" hidden="false" customHeight="false" outlineLevel="0" collapsed="false">
      <c r="A575" s="28" t="s">
        <v>396</v>
      </c>
      <c r="B575" s="28" t="s">
        <v>1524</v>
      </c>
      <c r="C575" s="19" t="n">
        <v>0.04</v>
      </c>
      <c r="D575" s="28" t="s">
        <v>497</v>
      </c>
      <c r="E575" s="28" t="s">
        <v>1525</v>
      </c>
    </row>
    <row r="576" customFormat="false" ht="15" hidden="false" customHeight="false" outlineLevel="0" collapsed="false">
      <c r="A576" s="28" t="s">
        <v>396</v>
      </c>
      <c r="B576" s="28" t="s">
        <v>915</v>
      </c>
      <c r="C576" s="19" t="n">
        <v>0.0705</v>
      </c>
      <c r="D576" s="28" t="s">
        <v>493</v>
      </c>
      <c r="E576" s="28" t="s">
        <v>1528</v>
      </c>
    </row>
    <row r="577" customFormat="false" ht="15" hidden="false" customHeight="false" outlineLevel="0" collapsed="false">
      <c r="A577" s="28" t="s">
        <v>396</v>
      </c>
      <c r="B577" s="28" t="s">
        <v>551</v>
      </c>
      <c r="C577" s="19" t="n">
        <v>0.07</v>
      </c>
      <c r="D577" s="28" t="s">
        <v>497</v>
      </c>
      <c r="E577" s="28" t="s">
        <v>1526</v>
      </c>
    </row>
    <row r="578" customFormat="false" ht="15" hidden="false" customHeight="false" outlineLevel="0" collapsed="false">
      <c r="A578" s="28" t="s">
        <v>396</v>
      </c>
      <c r="B578" s="28" t="s">
        <v>451</v>
      </c>
      <c r="C578" s="19" t="n">
        <v>0.0386</v>
      </c>
      <c r="D578" s="28" t="s">
        <v>493</v>
      </c>
      <c r="E578" s="28" t="s">
        <v>1527</v>
      </c>
    </row>
  </sheetData>
  <autoFilter ref="A1:E5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9"/>
    <col collapsed="false" customWidth="true" hidden="false" outlineLevel="0" max="3" min="3" style="0" width="20"/>
    <col collapsed="false" customWidth="true" hidden="false" outlineLevel="0" max="4" min="4" style="0" width="19"/>
    <col collapsed="false" customWidth="true" hidden="false" outlineLevel="0" max="7" min="5" style="0" width="14"/>
    <col collapsed="false" customWidth="true" hidden="false" outlineLevel="0" max="9" min="8" style="0" width="20"/>
    <col collapsed="false" customWidth="true" hidden="false" outlineLevel="0" max="10" min="10" style="0" width="25"/>
    <col collapsed="false" customWidth="true" hidden="false" outlineLevel="0" max="11" min="11" style="0" width="22"/>
    <col collapsed="false" customWidth="true" hidden="false" outlineLevel="0" max="12" min="12" style="0" width="20"/>
    <col collapsed="false" customWidth="true" hidden="false" outlineLevel="0" max="14" min="13" style="0" width="23"/>
    <col collapsed="false" customWidth="true" hidden="false" outlineLevel="0" max="15" min="15" style="0" width="5"/>
    <col collapsed="false" customWidth="true" hidden="false" outlineLevel="0" max="16" min="16" style="0" width="23"/>
    <col collapsed="false" customWidth="true" hidden="false" outlineLevel="0" max="17" min="17" style="0" width="22"/>
    <col collapsed="false" customWidth="true" hidden="false" outlineLevel="0" max="19" min="18" style="0" width="21"/>
    <col collapsed="false" customWidth="true" hidden="false" outlineLevel="0" max="20" min="20" style="0" width="14"/>
    <col collapsed="false" customWidth="true" hidden="false" outlineLevel="0" max="21" min="21" style="0" width="20"/>
    <col collapsed="false" customWidth="true" hidden="false" outlineLevel="0" max="23" min="22" style="0" width="22"/>
    <col collapsed="false" customWidth="true" hidden="false" outlineLevel="0" max="24" min="24" style="0" width="14"/>
    <col collapsed="false" customWidth="true" hidden="false" outlineLevel="0" max="25" min="25" style="0" width="20"/>
    <col collapsed="false" customWidth="true" hidden="false" outlineLevel="0" max="26" min="26" style="0" width="21"/>
    <col collapsed="false" customWidth="true" hidden="false" outlineLevel="0" max="27" min="27" style="0" width="20"/>
    <col collapsed="false" customWidth="true" hidden="false" outlineLevel="0" max="28" min="28" style="0" width="12"/>
    <col collapsed="false" customWidth="true" hidden="false" outlineLevel="0" max="29" min="29" style="0" width="110"/>
    <col collapsed="false" customWidth="true" hidden="false" outlineLevel="0" max="30" min="30" style="0" width="17"/>
    <col collapsed="false" customWidth="true" hidden="false" outlineLevel="0" max="31" min="31" style="0" width="15"/>
    <col collapsed="false" customWidth="true" hidden="false" outlineLevel="0" max="32" min="32" style="0" width="14"/>
  </cols>
  <sheetData>
    <row r="1" customFormat="false" ht="30" hidden="false" customHeight="true" outlineLevel="0" collapsed="false">
      <c r="A1" s="27" t="s">
        <v>430</v>
      </c>
      <c r="B1" s="27" t="s">
        <v>240</v>
      </c>
      <c r="C1" s="27" t="s">
        <v>68</v>
      </c>
      <c r="D1" s="27" t="s">
        <v>242</v>
      </c>
      <c r="E1" s="27" t="s">
        <v>1559</v>
      </c>
      <c r="F1" s="27" t="s">
        <v>1560</v>
      </c>
      <c r="G1" s="27" t="s">
        <v>1561</v>
      </c>
      <c r="H1" s="27" t="s">
        <v>621</v>
      </c>
      <c r="I1" s="27" t="s">
        <v>1562</v>
      </c>
      <c r="J1" s="27" t="s">
        <v>251</v>
      </c>
      <c r="K1" s="27" t="s">
        <v>255</v>
      </c>
      <c r="L1" s="27" t="s">
        <v>257</v>
      </c>
      <c r="M1" s="27" t="s">
        <v>259</v>
      </c>
      <c r="N1" s="27" t="s">
        <v>261</v>
      </c>
      <c r="O1" s="27" t="s">
        <v>244</v>
      </c>
      <c r="P1" s="27" t="s">
        <v>263</v>
      </c>
      <c r="Q1" s="27" t="s">
        <v>1563</v>
      </c>
      <c r="R1" s="27" t="s">
        <v>1469</v>
      </c>
      <c r="S1" s="27" t="s">
        <v>245</v>
      </c>
      <c r="T1" s="27" t="s">
        <v>1564</v>
      </c>
      <c r="U1" s="27" t="s">
        <v>1467</v>
      </c>
      <c r="V1" s="27" t="s">
        <v>1565</v>
      </c>
      <c r="W1" s="27" t="s">
        <v>253</v>
      </c>
      <c r="X1" s="27" t="s">
        <v>472</v>
      </c>
      <c r="Y1" s="27" t="s">
        <v>488</v>
      </c>
      <c r="Z1" s="27" t="s">
        <v>1566</v>
      </c>
      <c r="AA1" s="27" t="s">
        <v>1567</v>
      </c>
      <c r="AB1" s="27" t="s">
        <v>442</v>
      </c>
      <c r="AC1" s="27" t="s">
        <v>443</v>
      </c>
      <c r="AD1" s="27" t="s">
        <v>247</v>
      </c>
      <c r="AE1" s="27" t="s">
        <v>1568</v>
      </c>
      <c r="AF1" s="27" t="s">
        <v>1569</v>
      </c>
    </row>
    <row r="2" customFormat="false" ht="15" hidden="false" customHeight="false" outlineLevel="0" collapsed="false">
      <c r="A2" s="28" t="s">
        <v>315</v>
      </c>
      <c r="B2" s="23" t="n">
        <v>6637949.766</v>
      </c>
      <c r="C2" s="23" t="n">
        <v>2370205.049</v>
      </c>
      <c r="D2" s="23" t="n">
        <v>5599005.794</v>
      </c>
      <c r="E2" s="23" t="n">
        <v>362500</v>
      </c>
      <c r="F2" s="23" t="n">
        <v>1065</v>
      </c>
      <c r="G2" s="23" t="n">
        <v>46</v>
      </c>
      <c r="H2" s="23" t="n">
        <v>42541.4749999998</v>
      </c>
      <c r="I2" s="23" t="n">
        <v>132733.629</v>
      </c>
      <c r="L2" s="19" t="n">
        <v>0.758959698697388</v>
      </c>
      <c r="M2" s="22" t="n">
        <v>0.0035</v>
      </c>
      <c r="O2" s="14" t="n">
        <f aca="false">C2/D2</f>
        <v>0.42332605755471</v>
      </c>
      <c r="R2" s="23" t="n">
        <v>39342.022</v>
      </c>
      <c r="S2" s="19" t="n">
        <v>0.115337427319526</v>
      </c>
      <c r="T2" s="23" t="n">
        <v>9000</v>
      </c>
      <c r="U2" s="23" t="n">
        <v>720511.46</v>
      </c>
      <c r="X2" s="23" t="n">
        <v>205000</v>
      </c>
      <c r="Y2" s="23" t="n">
        <v>36500</v>
      </c>
      <c r="Z2" s="23" t="n">
        <v>13133.373</v>
      </c>
      <c r="AB2" s="28" t="s">
        <v>452</v>
      </c>
      <c r="AC2" s="28" t="s">
        <v>1570</v>
      </c>
      <c r="AD2" s="14" t="n">
        <f aca="false">U2/B2</f>
        <v>0.108544277284306</v>
      </c>
      <c r="AE2" s="15" t="n">
        <f aca="false">VALUE(LEFT(A2,4))*4+VALUE(MID(A2,6,2))/3</f>
        <v>8084</v>
      </c>
    </row>
    <row r="3" customFormat="false" ht="15" hidden="false" customHeight="false" outlineLevel="0" collapsed="false">
      <c r="A3" s="28" t="s">
        <v>1480</v>
      </c>
      <c r="B3" s="23" t="n">
        <v>7150000</v>
      </c>
      <c r="C3" s="23" t="n">
        <v>2390000</v>
      </c>
      <c r="D3" s="23" t="n">
        <v>6150000</v>
      </c>
      <c r="E3" s="23" t="n">
        <v>367890</v>
      </c>
      <c r="F3" s="23" t="n">
        <v>1084</v>
      </c>
      <c r="G3" s="23" t="n">
        <v>46</v>
      </c>
      <c r="H3" s="23" t="n">
        <v>2607.23458492264</v>
      </c>
      <c r="I3" s="23" t="n">
        <v>31798.3532911358</v>
      </c>
      <c r="J3" s="19" t="n">
        <v>0.00151276129035623</v>
      </c>
      <c r="K3" s="19" t="n">
        <v>0.018449938580164</v>
      </c>
      <c r="L3" s="19" t="n">
        <v>0.755907080947967</v>
      </c>
      <c r="M3" s="22" t="n">
        <v>0.00325342465753425</v>
      </c>
      <c r="N3" s="22" t="n">
        <v>0.00138130856387822</v>
      </c>
      <c r="O3" s="14" t="n">
        <f aca="false">C3/D3</f>
        <v>0.388617886178862</v>
      </c>
      <c r="P3" s="19" t="n">
        <v>0.00329945807621334</v>
      </c>
      <c r="Q3" s="19" t="n">
        <v>0.0381024972219619</v>
      </c>
      <c r="R3" s="23" t="n">
        <v>-8013.62108865</v>
      </c>
      <c r="S3" s="19" t="n">
        <v>0.109406168176456</v>
      </c>
      <c r="T3" s="23" t="n">
        <v>14000</v>
      </c>
      <c r="U3" s="23" t="n">
        <v>723118.694584923</v>
      </c>
      <c r="V3" s="19" t="n">
        <v>0.0103269034733649</v>
      </c>
      <c r="W3" s="19" t="n">
        <v>0.0096357963971553</v>
      </c>
      <c r="X3" s="23" t="n">
        <v>200000</v>
      </c>
      <c r="Y3" s="23" t="n">
        <v>36181.4922740934</v>
      </c>
      <c r="Z3" s="23" t="n">
        <v>503.40627409341</v>
      </c>
      <c r="AA3" s="23" t="n">
        <v>821.914000000004</v>
      </c>
      <c r="AB3" s="28" t="s">
        <v>493</v>
      </c>
      <c r="AC3" s="28" t="s">
        <v>1571</v>
      </c>
      <c r="AD3" s="14" t="n">
        <f aca="false">U3/B3</f>
        <v>0.101135481760129</v>
      </c>
      <c r="AE3" s="15" t="n">
        <f aca="false">VALUE(LEFT(A3,4))*4+VALUE(MID(A3,6,2))/3</f>
        <v>8085</v>
      </c>
      <c r="AF3" s="15" t="n">
        <f aca="false">AE3-AE2</f>
        <v>1</v>
      </c>
    </row>
    <row r="4" customFormat="false" ht="15" hidden="false" customHeight="false" outlineLevel="0" collapsed="false">
      <c r="A4" s="28" t="s">
        <v>1481</v>
      </c>
      <c r="B4" s="23" t="n">
        <v>7500000</v>
      </c>
      <c r="C4" s="23" t="n">
        <v>2480000</v>
      </c>
      <c r="D4" s="23" t="n">
        <v>6500000</v>
      </c>
      <c r="E4" s="23" t="n">
        <v>373421</v>
      </c>
      <c r="F4" s="23" t="n">
        <v>1104</v>
      </c>
      <c r="G4" s="23" t="n">
        <v>47</v>
      </c>
      <c r="H4" s="23" t="n">
        <v>42226.3610840418</v>
      </c>
      <c r="I4" s="23" t="n">
        <v>65553.8702057044</v>
      </c>
      <c r="J4" s="19" t="n">
        <v>0.0118788763413675</v>
      </c>
      <c r="K4" s="19" t="n">
        <v>0.0184412366559785</v>
      </c>
      <c r="L4" s="19" t="n">
        <v>0.654065651258645</v>
      </c>
      <c r="M4" s="22" t="n">
        <v>0.0030041095890411</v>
      </c>
      <c r="N4" s="22" t="n">
        <v>0.00136556012391093</v>
      </c>
      <c r="O4" s="14" t="n">
        <f aca="false">C4/D4</f>
        <v>0.381538461538462</v>
      </c>
      <c r="P4" s="19" t="n">
        <v>0.00302111977133903</v>
      </c>
      <c r="Q4" s="19" t="n">
        <v>0.0379839880973563</v>
      </c>
      <c r="R4" s="23" t="n">
        <v>-3396.9499114</v>
      </c>
      <c r="S4" s="19" t="n">
        <v>0.109991953625783</v>
      </c>
      <c r="T4" s="23" t="n">
        <v>14000</v>
      </c>
      <c r="U4" s="23" t="n">
        <v>762737.821084042</v>
      </c>
      <c r="V4" s="19" t="n">
        <v>0.0145028374070318</v>
      </c>
      <c r="W4" s="19" t="n">
        <v>0.0158172755903142</v>
      </c>
      <c r="X4" s="23" t="n">
        <v>200000</v>
      </c>
      <c r="Y4" s="23" t="n">
        <v>34991.0001884267</v>
      </c>
      <c r="Z4" s="23" t="n">
        <v>134.828188426653</v>
      </c>
      <c r="AA4" s="23" t="n">
        <v>1643.82800000001</v>
      </c>
      <c r="AB4" s="28" t="s">
        <v>493</v>
      </c>
      <c r="AC4" s="28" t="s">
        <v>1571</v>
      </c>
      <c r="AD4" s="14" t="n">
        <f aca="false">U4/B4</f>
        <v>0.101698376144539</v>
      </c>
      <c r="AE4" s="15" t="n">
        <f aca="false">VALUE(LEFT(A4,4))*4+VALUE(MID(A4,6,2))/3</f>
        <v>8086</v>
      </c>
      <c r="AF4" s="15" t="n">
        <f aca="false">AE4-AE3</f>
        <v>1</v>
      </c>
    </row>
    <row r="5" customFormat="false" ht="15" hidden="false" customHeight="false" outlineLevel="0" collapsed="false">
      <c r="A5" s="28" t="s">
        <v>1482</v>
      </c>
      <c r="B5" s="23" t="n">
        <v>7800000</v>
      </c>
      <c r="C5" s="23" t="n">
        <v>2580000</v>
      </c>
      <c r="D5" s="23" t="n">
        <v>6850000</v>
      </c>
      <c r="E5" s="23" t="n">
        <v>379097</v>
      </c>
      <c r="F5" s="23" t="n">
        <v>1110</v>
      </c>
      <c r="G5" s="23" t="n">
        <v>47</v>
      </c>
      <c r="H5" s="23" t="n">
        <v>63646.2319636317</v>
      </c>
      <c r="I5" s="23" t="n">
        <v>102246.058327218</v>
      </c>
      <c r="J5" s="19" t="n">
        <v>0.0116413745599219</v>
      </c>
      <c r="K5" s="19" t="n">
        <v>0.0187015731417205</v>
      </c>
      <c r="L5" s="19" t="n">
        <v>0.676517403423069</v>
      </c>
      <c r="M5" s="22" t="n">
        <v>0.00275205479452055</v>
      </c>
      <c r="N5" s="22" t="n">
        <v>0.00134279514371672</v>
      </c>
      <c r="O5" s="14" t="n">
        <f aca="false">C5/D5</f>
        <v>0.376642335766423</v>
      </c>
      <c r="P5" s="19" t="n">
        <v>0.00296506304142212</v>
      </c>
      <c r="Q5" s="19" t="n">
        <v>0.0378850063664891</v>
      </c>
      <c r="R5" s="23" t="n">
        <v>-12412.36116455</v>
      </c>
      <c r="S5" s="19" t="n">
        <v>0.107832652114961</v>
      </c>
      <c r="T5" s="23" t="n">
        <v>14000</v>
      </c>
      <c r="U5" s="23" t="n">
        <v>784157.691963632</v>
      </c>
      <c r="V5" s="19" t="n">
        <v>0.0161408678366204</v>
      </c>
      <c r="W5" s="19" t="n">
        <v>0.014202079865022</v>
      </c>
      <c r="X5" s="23" t="n">
        <v>200000</v>
      </c>
      <c r="Y5" s="23" t="n">
        <v>33161.9307229357</v>
      </c>
      <c r="Z5" s="23" t="n">
        <v>-872.327277064255</v>
      </c>
      <c r="AA5" s="23" t="n">
        <v>2465.74200000001</v>
      </c>
      <c r="AB5" s="28" t="s">
        <v>493</v>
      </c>
      <c r="AC5" s="28" t="s">
        <v>1572</v>
      </c>
      <c r="AD5" s="14" t="n">
        <f aca="false">U5/B5</f>
        <v>0.100533037431235</v>
      </c>
      <c r="AE5" s="15" t="n">
        <f aca="false">VALUE(LEFT(A5,4))*4+VALUE(MID(A5,6,2))/3</f>
        <v>8087</v>
      </c>
      <c r="AF5" s="15" t="n">
        <f aca="false">AE5-AE4</f>
        <v>1</v>
      </c>
    </row>
    <row r="6" customFormat="false" ht="15" hidden="false" customHeight="false" outlineLevel="0" collapsed="false">
      <c r="A6" s="28" t="s">
        <v>316</v>
      </c>
      <c r="B6" s="23" t="n">
        <v>8206373.35</v>
      </c>
      <c r="C6" s="23" t="n">
        <v>2732948.283</v>
      </c>
      <c r="D6" s="23" t="n">
        <v>7140001.976</v>
      </c>
      <c r="E6" s="23" t="n">
        <v>386442</v>
      </c>
      <c r="F6" s="23" t="n">
        <v>1116</v>
      </c>
      <c r="G6" s="23" t="n">
        <v>47</v>
      </c>
      <c r="H6" s="23" t="n">
        <v>87441.822</v>
      </c>
      <c r="I6" s="23" t="n">
        <v>143032.572</v>
      </c>
      <c r="J6" s="19" t="n">
        <v>0.0117088041091666</v>
      </c>
      <c r="K6" s="19" t="n">
        <v>0.0191526243217836</v>
      </c>
      <c r="L6" s="19" t="n">
        <v>0.684106477961587</v>
      </c>
      <c r="M6" s="22" t="n">
        <v>0.0025</v>
      </c>
      <c r="N6" s="22" t="n">
        <v>0.00131485509126827</v>
      </c>
      <c r="O6" s="14" t="n">
        <f aca="false">C6/D6</f>
        <v>0.382765760035694</v>
      </c>
      <c r="P6" s="19" t="n">
        <v>0.00304039772750656</v>
      </c>
      <c r="Q6" s="19" t="n">
        <v>0.0378954695501607</v>
      </c>
      <c r="R6" s="23" t="n">
        <v>-35911.86</v>
      </c>
      <c r="S6" s="19" t="n">
        <v>0.105420595290343</v>
      </c>
      <c r="T6" s="23" t="n">
        <v>14000</v>
      </c>
      <c r="U6" s="23" t="n">
        <v>807953.282</v>
      </c>
      <c r="V6" s="19" t="n">
        <v>0.0172779692222097</v>
      </c>
      <c r="W6" s="19" t="n">
        <v>0.0135834592087405</v>
      </c>
      <c r="X6" s="23" t="n">
        <v>200000</v>
      </c>
      <c r="Y6" s="23" t="n">
        <v>31000</v>
      </c>
      <c r="Z6" s="23" t="n">
        <v>-2212.34399999999</v>
      </c>
      <c r="AA6" s="23" t="n">
        <v>3287.65600000002</v>
      </c>
      <c r="AB6" s="28" t="s">
        <v>452</v>
      </c>
      <c r="AC6" s="28" t="s">
        <v>1573</v>
      </c>
      <c r="AD6" s="14" t="n">
        <f aca="false">U6/B6</f>
        <v>0.0984543655937857</v>
      </c>
      <c r="AE6" s="15" t="n">
        <f aca="false">VALUE(LEFT(A6,4))*4+VALUE(MID(A6,6,2))/3</f>
        <v>8088</v>
      </c>
      <c r="AF6" s="15" t="n">
        <f aca="false">AE6-AE5</f>
        <v>1</v>
      </c>
    </row>
    <row r="7" customFormat="false" ht="15" hidden="false" customHeight="false" outlineLevel="0" collapsed="false">
      <c r="A7" s="28" t="s">
        <v>1483</v>
      </c>
      <c r="B7" s="23" t="n">
        <v>8420000</v>
      </c>
      <c r="C7" s="23" t="n">
        <v>2950000</v>
      </c>
      <c r="D7" s="23" t="n">
        <v>7480000</v>
      </c>
      <c r="E7" s="23" t="n">
        <v>393765</v>
      </c>
      <c r="F7" s="23" t="n">
        <v>1121</v>
      </c>
      <c r="G7" s="23" t="n">
        <v>47</v>
      </c>
      <c r="H7" s="23" t="n">
        <v>10391.6878767046</v>
      </c>
      <c r="I7" s="23" t="n">
        <v>44844.8920864783</v>
      </c>
      <c r="J7" s="19" t="n">
        <v>0.00500009841374316</v>
      </c>
      <c r="K7" s="19" t="n">
        <v>0.0215777144624162</v>
      </c>
      <c r="L7" s="19" t="n">
        <v>0.694245355242227</v>
      </c>
      <c r="M7" s="22" t="n">
        <v>0.00262328767123288</v>
      </c>
      <c r="N7" s="22" t="n">
        <v>0.00105849775511674</v>
      </c>
      <c r="O7" s="14" t="n">
        <f aca="false">C7/D7</f>
        <v>0.394385026737968</v>
      </c>
      <c r="P7" s="19" t="n">
        <v>0.0041267572765346</v>
      </c>
      <c r="Q7" s="19" t="n">
        <v>0.0383430682436986</v>
      </c>
      <c r="R7" s="23" t="n">
        <v>-193278.649876363</v>
      </c>
      <c r="S7" s="19" t="n">
        <v>0.102529023375805</v>
      </c>
      <c r="T7" s="23" t="n">
        <v>15000</v>
      </c>
      <c r="U7" s="23" t="n">
        <v>818344.969876705</v>
      </c>
      <c r="V7" s="19" t="n">
        <v>0.0143602655651797</v>
      </c>
      <c r="W7" s="19" t="n">
        <v>0.0122175473109797</v>
      </c>
      <c r="X7" s="23" t="n">
        <v>200000</v>
      </c>
      <c r="Y7" s="23" t="n">
        <v>28956.5029542114</v>
      </c>
      <c r="Z7" s="23" t="n">
        <v>-1291.57354578865</v>
      </c>
      <c r="AA7" s="23" t="n">
        <v>751.923500000002</v>
      </c>
      <c r="AB7" s="28" t="s">
        <v>493</v>
      </c>
      <c r="AC7" s="28" t="s">
        <v>1571</v>
      </c>
      <c r="AD7" s="14" t="n">
        <f aca="false">U7/B7</f>
        <v>0.0971906139996086</v>
      </c>
      <c r="AE7" s="15" t="n">
        <f aca="false">VALUE(LEFT(A7,4))*4+VALUE(MID(A7,6,2))/3</f>
        <v>8089</v>
      </c>
      <c r="AF7" s="15" t="n">
        <f aca="false">AE7-AE6</f>
        <v>1</v>
      </c>
    </row>
    <row r="8" customFormat="false" ht="15" hidden="false" customHeight="false" outlineLevel="0" collapsed="false">
      <c r="A8" s="28" t="s">
        <v>1484</v>
      </c>
      <c r="B8" s="23" t="n">
        <v>8300000</v>
      </c>
      <c r="C8" s="23" t="n">
        <v>3250000</v>
      </c>
      <c r="D8" s="23" t="n">
        <v>7500000</v>
      </c>
      <c r="E8" s="23" t="n">
        <v>401310</v>
      </c>
      <c r="F8" s="23" t="n">
        <v>1127</v>
      </c>
      <c r="G8" s="23" t="n">
        <v>48</v>
      </c>
      <c r="H8" s="23" t="n">
        <v>37083.007537328</v>
      </c>
      <c r="I8" s="23" t="n">
        <v>93600.3504800424</v>
      </c>
      <c r="J8" s="19" t="n">
        <v>0.00889644151658921</v>
      </c>
      <c r="K8" s="19" t="n">
        <v>0.0224552995907826</v>
      </c>
      <c r="L8" s="19" t="n">
        <v>0.68766684473305</v>
      </c>
      <c r="M8" s="22" t="n">
        <v>0.00274794520547945</v>
      </c>
      <c r="N8" s="22" t="n">
        <v>0.00101244032318238</v>
      </c>
      <c r="O8" s="14" t="n">
        <f aca="false">C8/D8</f>
        <v>0.433333333333333</v>
      </c>
      <c r="P8" s="19" t="n">
        <v>0.00457568954329335</v>
      </c>
      <c r="Q8" s="19" t="n">
        <v>0.0386471165927709</v>
      </c>
      <c r="R8" s="23" t="n">
        <v>-279037.185350575</v>
      </c>
      <c r="S8" s="19" t="n">
        <v>0.103285051539306</v>
      </c>
      <c r="T8" s="23" t="n">
        <v>15000</v>
      </c>
      <c r="U8" s="23" t="n">
        <v>845036.289537328</v>
      </c>
      <c r="V8" s="19" t="n">
        <v>0.0188567073618619</v>
      </c>
      <c r="W8" s="19" t="n">
        <v>0.01249503374551</v>
      </c>
      <c r="X8" s="23" t="n">
        <v>150000</v>
      </c>
      <c r="Y8" s="23" t="n">
        <v>27421.6210021435</v>
      </c>
      <c r="Z8" s="23" t="n">
        <v>-2074.53199785648</v>
      </c>
      <c r="AA8" s="23" t="n">
        <v>1503.847</v>
      </c>
      <c r="AB8" s="28" t="s">
        <v>493</v>
      </c>
      <c r="AC8" s="28" t="s">
        <v>1571</v>
      </c>
      <c r="AD8" s="14" t="n">
        <f aca="false">U8/B8</f>
        <v>0.101811601149076</v>
      </c>
      <c r="AE8" s="15" t="n">
        <f aca="false">VALUE(LEFT(A8,4))*4+VALUE(MID(A8,6,2))/3</f>
        <v>8090</v>
      </c>
      <c r="AF8" s="15" t="n">
        <f aca="false">AE8-AE7</f>
        <v>1</v>
      </c>
    </row>
    <row r="9" customFormat="false" ht="15" hidden="false" customHeight="false" outlineLevel="0" collapsed="false">
      <c r="A9" s="28" t="s">
        <v>1485</v>
      </c>
      <c r="B9" s="23" t="n">
        <v>8150000</v>
      </c>
      <c r="C9" s="23" t="n">
        <v>3540000</v>
      </c>
      <c r="D9" s="23" t="n">
        <v>7470000</v>
      </c>
      <c r="E9" s="23" t="n">
        <v>409086</v>
      </c>
      <c r="F9" s="23" t="n">
        <v>1137</v>
      </c>
      <c r="G9" s="23" t="n">
        <v>48</v>
      </c>
      <c r="H9" s="23" t="n">
        <v>69217.5423445583</v>
      </c>
      <c r="I9" s="23" t="n">
        <v>145178.617658789</v>
      </c>
      <c r="J9" s="19" t="n">
        <v>0.0111200937237825</v>
      </c>
      <c r="K9" s="19" t="n">
        <v>0.023323564812784</v>
      </c>
      <c r="L9" s="19" t="n">
        <v>0.669218476356287</v>
      </c>
      <c r="M9" s="22" t="n">
        <v>0.00287397260273973</v>
      </c>
      <c r="N9" s="22" t="n">
        <v>0.000966433566167449</v>
      </c>
      <c r="O9" s="14" t="n">
        <f aca="false">C9/D9</f>
        <v>0.473895582329317</v>
      </c>
      <c r="P9" s="19" t="n">
        <v>0.00510774876840242</v>
      </c>
      <c r="Q9" s="19" t="n">
        <v>0.0391445688545931</v>
      </c>
      <c r="R9" s="23" t="n">
        <v>-422584.838412487</v>
      </c>
      <c r="S9" s="19" t="n">
        <v>0.10607823476446</v>
      </c>
      <c r="T9" s="23" t="n">
        <v>15000</v>
      </c>
      <c r="U9" s="23" t="n">
        <v>877170.824344558</v>
      </c>
      <c r="V9" s="19" t="n">
        <v>0.0209137507655527</v>
      </c>
      <c r="W9" s="19" t="n">
        <v>0.0135299077710137</v>
      </c>
      <c r="X9" s="23" t="n">
        <v>50000</v>
      </c>
      <c r="Y9" s="23" t="n">
        <v>26832.2722997897</v>
      </c>
      <c r="Z9" s="23" t="n">
        <v>-1911.95720021033</v>
      </c>
      <c r="AA9" s="23" t="n">
        <v>2255.77050000001</v>
      </c>
      <c r="AB9" s="28" t="s">
        <v>493</v>
      </c>
      <c r="AC9" s="28" t="s">
        <v>1571</v>
      </c>
      <c r="AD9" s="14" t="n">
        <f aca="false">U9/B9</f>
        <v>0.107628322005467</v>
      </c>
      <c r="AE9" s="15" t="n">
        <f aca="false">VALUE(LEFT(A9,4))*4+VALUE(MID(A9,6,2))/3</f>
        <v>8091</v>
      </c>
      <c r="AF9" s="15" t="n">
        <f aca="false">AE9-AE8</f>
        <v>1</v>
      </c>
    </row>
    <row r="10" customFormat="false" ht="15" hidden="false" customHeight="false" outlineLevel="0" collapsed="false">
      <c r="A10" s="28" t="s">
        <v>317</v>
      </c>
      <c r="B10" s="23" t="n">
        <v>8192281.897</v>
      </c>
      <c r="C10" s="23" t="n">
        <v>3773477.166</v>
      </c>
      <c r="D10" s="23" t="n">
        <v>7556395.91</v>
      </c>
      <c r="E10" s="23" t="n">
        <v>417012</v>
      </c>
      <c r="F10" s="23" t="n">
        <v>1148</v>
      </c>
      <c r="G10" s="23" t="n">
        <v>48</v>
      </c>
      <c r="H10" s="23" t="n">
        <v>86022.8670000001</v>
      </c>
      <c r="I10" s="23" t="n">
        <v>198276.016</v>
      </c>
      <c r="J10" s="19" t="n">
        <v>0.0104051546471565</v>
      </c>
      <c r="K10" s="19" t="n">
        <v>0.0239830719580884</v>
      </c>
      <c r="L10" s="19" t="n">
        <v>0.695130897319167</v>
      </c>
      <c r="M10" s="22" t="n">
        <v>0.003</v>
      </c>
      <c r="N10" s="22" t="n">
        <v>0.000925927732816596</v>
      </c>
      <c r="O10" s="14" t="n">
        <f aca="false">C10/D10</f>
        <v>0.499375259176964</v>
      </c>
      <c r="P10" s="19" t="n">
        <v>0.00569561881630821</v>
      </c>
      <c r="Q10" s="19" t="n">
        <v>0.0399581026654807</v>
      </c>
      <c r="R10" s="23" t="n">
        <v>-425428.553</v>
      </c>
      <c r="S10" s="19" t="n">
        <v>0.108156618080389</v>
      </c>
      <c r="T10" s="23" t="n">
        <v>15000</v>
      </c>
      <c r="U10" s="23" t="n">
        <v>893976.149</v>
      </c>
      <c r="V10" s="19" t="n">
        <v>0.0221687018359283</v>
      </c>
      <c r="W10" s="19" t="n">
        <v>0.0122195247693165</v>
      </c>
      <c r="X10" s="23" t="n">
        <v>0</v>
      </c>
      <c r="Y10" s="23" t="n">
        <v>27500</v>
      </c>
      <c r="Z10" s="23" t="n">
        <v>-492.305999999994</v>
      </c>
      <c r="AA10" s="23" t="n">
        <v>3007.69400000001</v>
      </c>
      <c r="AB10" s="28" t="s">
        <v>452</v>
      </c>
      <c r="AC10" s="28" t="s">
        <v>1574</v>
      </c>
      <c r="AD10" s="14" t="n">
        <f aca="false">U10/B10</f>
        <v>0.109124192775565</v>
      </c>
      <c r="AE10" s="15" t="n">
        <f aca="false">VALUE(LEFT(A10,4))*4+VALUE(MID(A10,6,2))/3</f>
        <v>8092</v>
      </c>
      <c r="AF10" s="15" t="n">
        <f aca="false">AE10-AE9</f>
        <v>1</v>
      </c>
    </row>
    <row r="11" customFormat="false" ht="15" hidden="false" customHeight="false" outlineLevel="0" collapsed="false">
      <c r="A11" s="28" t="s">
        <v>1486</v>
      </c>
      <c r="B11" s="23" t="n">
        <v>8300000</v>
      </c>
      <c r="C11" s="23" t="n">
        <v>3850000</v>
      </c>
      <c r="D11" s="23" t="n">
        <v>7620000</v>
      </c>
      <c r="E11" s="23" t="n">
        <v>424914</v>
      </c>
      <c r="F11" s="23" t="n">
        <v>1158</v>
      </c>
      <c r="G11" s="23" t="n">
        <v>48</v>
      </c>
      <c r="H11" s="23" t="n">
        <v>8540.98600084457</v>
      </c>
      <c r="I11" s="23" t="n">
        <v>53480.3056314786</v>
      </c>
      <c r="J11" s="19" t="n">
        <v>0.00414302207744737</v>
      </c>
      <c r="K11" s="19" t="n">
        <v>0.0259419798742134</v>
      </c>
      <c r="L11" s="19" t="n">
        <v>0.677193147674034</v>
      </c>
      <c r="M11" s="22" t="n">
        <v>0.0031972602739726</v>
      </c>
      <c r="N11" s="22" t="n">
        <v>0.00289883232005472</v>
      </c>
      <c r="O11" s="14" t="n">
        <f aca="false">C11/D11</f>
        <v>0.505249343832021</v>
      </c>
      <c r="P11" s="19" t="n">
        <v>0.00887900433170414</v>
      </c>
      <c r="Q11" s="19" t="n">
        <v>0.0453169399620327</v>
      </c>
      <c r="R11" s="23" t="n">
        <v>-371719.308028638</v>
      </c>
      <c r="S11" s="19" t="n">
        <v>0.107256353857052</v>
      </c>
      <c r="T11" s="23" t="n">
        <v>17000</v>
      </c>
      <c r="U11" s="23" t="n">
        <v>883317.261000845</v>
      </c>
      <c r="V11" s="19" t="n">
        <v>0.0176956983196434</v>
      </c>
      <c r="W11" s="19" t="n">
        <v>0.0123893036320174</v>
      </c>
      <c r="X11" s="23" t="n">
        <v>50000</v>
      </c>
      <c r="Y11" s="23" t="n">
        <v>33498.3767599194</v>
      </c>
      <c r="Z11" s="23" t="n">
        <v>2760.77450991935</v>
      </c>
      <c r="AA11" s="23" t="n">
        <v>2762.39775</v>
      </c>
      <c r="AB11" s="28" t="s">
        <v>493</v>
      </c>
      <c r="AC11" s="28" t="s">
        <v>1571</v>
      </c>
      <c r="AD11" s="14" t="n">
        <f aca="false">U11/B11</f>
        <v>0.106423766385644</v>
      </c>
      <c r="AE11" s="15" t="n">
        <f aca="false">VALUE(LEFT(A11,4))*4+VALUE(MID(A11,6,2))/3</f>
        <v>8093</v>
      </c>
      <c r="AF11" s="15" t="n">
        <f aca="false">AE11-AE10</f>
        <v>1</v>
      </c>
    </row>
    <row r="12" customFormat="false" ht="15" hidden="false" customHeight="false" outlineLevel="0" collapsed="false">
      <c r="A12" s="28" t="s">
        <v>1487</v>
      </c>
      <c r="B12" s="23" t="n">
        <v>8350000</v>
      </c>
      <c r="C12" s="23" t="n">
        <v>3920000</v>
      </c>
      <c r="D12" s="23" t="n">
        <v>7450000</v>
      </c>
      <c r="E12" s="23" t="n">
        <v>433057</v>
      </c>
      <c r="F12" s="23" t="n">
        <v>1168</v>
      </c>
      <c r="G12" s="23" t="n">
        <v>48</v>
      </c>
      <c r="H12" s="23" t="n">
        <v>32489.9270965405</v>
      </c>
      <c r="I12" s="23" t="n">
        <v>106758.122282886</v>
      </c>
      <c r="J12" s="19" t="n">
        <v>0.00784253231506824</v>
      </c>
      <c r="K12" s="19" t="n">
        <v>0.0257696492027121</v>
      </c>
      <c r="L12" s="19" t="n">
        <v>0.681904450661045</v>
      </c>
      <c r="M12" s="22" t="n">
        <v>0.00339671232876712</v>
      </c>
      <c r="N12" s="22" t="n">
        <v>0.00287123978054952</v>
      </c>
      <c r="O12" s="14" t="n">
        <f aca="false">C12/D12</f>
        <v>0.526174496644295</v>
      </c>
      <c r="P12" s="19" t="n">
        <v>0.009764119519755</v>
      </c>
      <c r="Q12" s="19" t="n">
        <v>0.0472166422611773</v>
      </c>
      <c r="R12" s="23" t="n">
        <v>-408702.093762675</v>
      </c>
      <c r="S12" s="19" t="n">
        <v>0.109997387259114</v>
      </c>
      <c r="T12" s="23" t="n">
        <v>17000</v>
      </c>
      <c r="U12" s="23" t="n">
        <v>907266.202096541</v>
      </c>
      <c r="V12" s="19" t="n">
        <v>0.0216661297038839</v>
      </c>
      <c r="W12" s="19" t="n">
        <v>0.0119460518138964</v>
      </c>
      <c r="X12" s="23" t="n">
        <v>250000</v>
      </c>
      <c r="Y12" s="23" t="n">
        <v>34592.3062484248</v>
      </c>
      <c r="Z12" s="23" t="n">
        <v>6617.10174842481</v>
      </c>
      <c r="AA12" s="23" t="n">
        <v>5524.7955</v>
      </c>
      <c r="AB12" s="28" t="s">
        <v>493</v>
      </c>
      <c r="AC12" s="28" t="s">
        <v>1571</v>
      </c>
      <c r="AD12" s="14" t="n">
        <f aca="false">U12/B12</f>
        <v>0.108654634981622</v>
      </c>
      <c r="AE12" s="15" t="n">
        <f aca="false">VALUE(LEFT(A12,4))*4+VALUE(MID(A12,6,2))/3</f>
        <v>8094</v>
      </c>
      <c r="AF12" s="15" t="n">
        <f aca="false">AE12-AE11</f>
        <v>1</v>
      </c>
    </row>
    <row r="13" customFormat="false" ht="15" hidden="false" customHeight="false" outlineLevel="0" collapsed="false">
      <c r="A13" s="28" t="s">
        <v>1488</v>
      </c>
      <c r="B13" s="23" t="n">
        <v>8550000</v>
      </c>
      <c r="C13" s="23" t="n">
        <v>3980000</v>
      </c>
      <c r="D13" s="23" t="n">
        <v>7330000</v>
      </c>
      <c r="E13" s="23" t="n">
        <v>441447</v>
      </c>
      <c r="F13" s="23" t="n">
        <v>1184</v>
      </c>
      <c r="G13" s="23" t="n">
        <v>48</v>
      </c>
      <c r="H13" s="23" t="n">
        <v>54690.0164835324</v>
      </c>
      <c r="I13" s="23" t="n">
        <v>159682.514690171</v>
      </c>
      <c r="J13" s="19" t="n">
        <v>0.00874300921706146</v>
      </c>
      <c r="K13" s="19" t="n">
        <v>0.0255276152304707</v>
      </c>
      <c r="L13" s="19" t="n">
        <v>0.687878397627951</v>
      </c>
      <c r="M13" s="22" t="n">
        <v>0.00359835616438356</v>
      </c>
      <c r="N13" s="22" t="n">
        <v>0.00284618502972026</v>
      </c>
      <c r="O13" s="14" t="n">
        <f aca="false">C13/D13</f>
        <v>0.542974079126876</v>
      </c>
      <c r="P13" s="19" t="n">
        <v>0.010774477737572</v>
      </c>
      <c r="Q13" s="19" t="n">
        <v>0.048912666546214</v>
      </c>
      <c r="R13" s="23" t="n">
        <v>-439770.181842012</v>
      </c>
      <c r="S13" s="19" t="n">
        <v>0.111339056653931</v>
      </c>
      <c r="T13" s="23" t="n">
        <v>17000</v>
      </c>
      <c r="U13" s="23" t="n">
        <v>929466.291483533</v>
      </c>
      <c r="V13" s="19" t="n">
        <v>0.0228099134222294</v>
      </c>
      <c r="W13" s="19" t="n">
        <v>0.0114607110253028</v>
      </c>
      <c r="X13" s="23" t="n">
        <v>450000</v>
      </c>
      <c r="Y13" s="23" t="n">
        <v>36350.5247885651</v>
      </c>
      <c r="Z13" s="23" t="n">
        <v>11137.7180385651</v>
      </c>
      <c r="AA13" s="23" t="n">
        <v>8287.19324999999</v>
      </c>
      <c r="AB13" s="28" t="s">
        <v>493</v>
      </c>
      <c r="AC13" s="28" t="s">
        <v>1571</v>
      </c>
      <c r="AD13" s="14" t="n">
        <f aca="false">U13/B13</f>
        <v>0.108709507775852</v>
      </c>
      <c r="AE13" s="15" t="n">
        <f aca="false">VALUE(LEFT(A13,4))*4+VALUE(MID(A13,6,2))/3</f>
        <v>8095</v>
      </c>
      <c r="AF13" s="15" t="n">
        <f aca="false">AE13-AE12</f>
        <v>1</v>
      </c>
    </row>
    <row r="14" customFormat="false" ht="15" hidden="false" customHeight="false" outlineLevel="0" collapsed="false">
      <c r="A14" s="28" t="s">
        <v>318</v>
      </c>
      <c r="B14" s="23" t="n">
        <v>8710563.794</v>
      </c>
      <c r="C14" s="23" t="n">
        <v>4018583.976</v>
      </c>
      <c r="D14" s="23" t="n">
        <v>7303801.275</v>
      </c>
      <c r="E14" s="23" t="n">
        <v>450000</v>
      </c>
      <c r="F14" s="23" t="n">
        <v>1200</v>
      </c>
      <c r="G14" s="23" t="n">
        <v>48</v>
      </c>
      <c r="H14" s="23" t="n">
        <v>85294.4180000001</v>
      </c>
      <c r="I14" s="23" t="n">
        <v>212420.642</v>
      </c>
      <c r="J14" s="19" t="n">
        <v>0.0101385808726844</v>
      </c>
      <c r="K14" s="19" t="n">
        <v>0.0252495287316989</v>
      </c>
      <c r="L14" s="19" t="n">
        <v>0.675566448788581</v>
      </c>
      <c r="M14" s="22" t="n">
        <v>0.0038</v>
      </c>
      <c r="N14" s="22" t="n">
        <v>0.00282489311262895</v>
      </c>
      <c r="O14" s="14" t="n">
        <f aca="false">C14/D14</f>
        <v>0.550204451722299</v>
      </c>
      <c r="P14" s="19" t="n">
        <v>0.0118503931230608</v>
      </c>
      <c r="Q14" s="19" t="n">
        <v>0.0504181921683145</v>
      </c>
      <c r="R14" s="23" t="n">
        <v>-349586.968</v>
      </c>
      <c r="S14" s="19" t="n">
        <v>0.113247387903338</v>
      </c>
      <c r="T14" s="23" t="n">
        <v>17000</v>
      </c>
      <c r="U14" s="23" t="n">
        <v>960070.693</v>
      </c>
      <c r="V14" s="19" t="n">
        <v>0.0232288117976126</v>
      </c>
      <c r="W14" s="19" t="n">
        <v>0.0121592978067707</v>
      </c>
      <c r="X14" s="23" t="n">
        <v>600000</v>
      </c>
      <c r="Y14" s="23" t="n">
        <v>38300</v>
      </c>
      <c r="Z14" s="23" t="n">
        <v>15849.591</v>
      </c>
      <c r="AA14" s="23" t="n">
        <v>11049.591</v>
      </c>
      <c r="AB14" s="28" t="s">
        <v>452</v>
      </c>
      <c r="AC14" s="28" t="s">
        <v>1575</v>
      </c>
      <c r="AD14" s="14" t="n">
        <f aca="false">U14/B14</f>
        <v>0.110219121942636</v>
      </c>
      <c r="AE14" s="15" t="n">
        <f aca="false">VALUE(LEFT(A14,4))*4+VALUE(MID(A14,6,2))/3</f>
        <v>8096</v>
      </c>
      <c r="AF14" s="15" t="n">
        <f aca="false">AE14-AE13</f>
        <v>1</v>
      </c>
    </row>
    <row r="15" customFormat="false" ht="15" hidden="false" customHeight="false" outlineLevel="0" collapsed="false">
      <c r="A15" s="28" t="s">
        <v>1489</v>
      </c>
      <c r="B15" s="23" t="n">
        <v>8933000</v>
      </c>
      <c r="C15" s="23" t="n">
        <v>4070000</v>
      </c>
      <c r="D15" s="23" t="n">
        <v>7560000</v>
      </c>
      <c r="E15" s="23" t="n">
        <v>459909</v>
      </c>
      <c r="F15" s="23" t="n">
        <v>1216</v>
      </c>
      <c r="G15" s="23" t="n">
        <v>49</v>
      </c>
      <c r="H15" s="23" t="n">
        <v>-984.667679402314</v>
      </c>
      <c r="I15" s="23" t="n">
        <v>52920.7491741894</v>
      </c>
      <c r="J15" s="19" t="n">
        <v>-0.000446471105678624</v>
      </c>
      <c r="K15" s="19" t="n">
        <v>0.0239954919729702</v>
      </c>
      <c r="L15" s="19" t="n">
        <v>0.733064550427208</v>
      </c>
      <c r="M15" s="22" t="n">
        <v>0.00389945355191257</v>
      </c>
      <c r="N15" s="22" t="n">
        <v>0.00388424946730132</v>
      </c>
      <c r="O15" s="14" t="n">
        <f aca="false">C15/D15</f>
        <v>0.538359788359788</v>
      </c>
      <c r="P15" s="19" t="n">
        <v>0.0170582556148982</v>
      </c>
      <c r="Q15" s="19" t="n">
        <v>0.0568893791912558</v>
      </c>
      <c r="R15" s="23" t="n">
        <v>-370446.65050885</v>
      </c>
      <c r="S15" s="19" t="n">
        <v>0.111058144555101</v>
      </c>
      <c r="T15" s="23" t="n">
        <v>20000</v>
      </c>
      <c r="U15" s="23" t="n">
        <v>959086.025320598</v>
      </c>
      <c r="V15" s="19" t="n">
        <v>0.0149270292820931</v>
      </c>
      <c r="W15" s="19" t="n">
        <v>0.00862199158519853</v>
      </c>
      <c r="X15" s="23" t="n">
        <v>500000</v>
      </c>
      <c r="Y15" s="23" t="n">
        <v>38904.9931914397</v>
      </c>
      <c r="Z15" s="23" t="n">
        <v>4532.2529414397</v>
      </c>
      <c r="AA15" s="23" t="n">
        <v>3927.25975</v>
      </c>
      <c r="AB15" s="28" t="s">
        <v>493</v>
      </c>
      <c r="AC15" s="28" t="s">
        <v>1576</v>
      </c>
      <c r="AD15" s="14" t="n">
        <f aca="false">U15/B15</f>
        <v>0.107364382102384</v>
      </c>
      <c r="AE15" s="15" t="n">
        <f aca="false">VALUE(LEFT(A15,4))*4+VALUE(MID(A15,6,2))/3</f>
        <v>8097</v>
      </c>
      <c r="AF15" s="15" t="n">
        <f aca="false">AE15-AE14</f>
        <v>1</v>
      </c>
    </row>
    <row r="16" customFormat="false" ht="15" hidden="false" customHeight="false" outlineLevel="0" collapsed="false">
      <c r="A16" s="28" t="s">
        <v>1490</v>
      </c>
      <c r="B16" s="23" t="n">
        <v>8880000</v>
      </c>
      <c r="C16" s="23" t="n">
        <v>4150000</v>
      </c>
      <c r="D16" s="23" t="n">
        <v>7640000</v>
      </c>
      <c r="E16" s="23" t="n">
        <v>464849</v>
      </c>
      <c r="F16" s="23" t="n">
        <v>1232</v>
      </c>
      <c r="G16" s="23" t="n">
        <v>49</v>
      </c>
      <c r="H16" s="23" t="n">
        <v>38142.8081511929</v>
      </c>
      <c r="I16" s="23" t="n">
        <v>106478.368394132</v>
      </c>
      <c r="J16" s="19" t="n">
        <v>0.00860609242853872</v>
      </c>
      <c r="K16" s="19" t="n">
        <v>0.0240245205965843</v>
      </c>
      <c r="L16" s="19" t="n">
        <v>0.661628243758269</v>
      </c>
      <c r="M16" s="22" t="n">
        <v>0.00399890710382514</v>
      </c>
      <c r="N16" s="22" t="n">
        <v>0.00385294983871505</v>
      </c>
      <c r="O16" s="14" t="n">
        <f aca="false">C16/D16</f>
        <v>0.543193717277487</v>
      </c>
      <c r="P16" s="19" t="n">
        <v>0.017958186638279</v>
      </c>
      <c r="Q16" s="19" t="n">
        <v>0.0577222773038595</v>
      </c>
      <c r="R16" s="23" t="n">
        <v>-368336.0335402</v>
      </c>
      <c r="S16" s="19" t="n">
        <v>0.113842266729902</v>
      </c>
      <c r="T16" s="23" t="n">
        <v>20000</v>
      </c>
      <c r="U16" s="23" t="n">
        <v>998213.501151193</v>
      </c>
      <c r="V16" s="19" t="n">
        <v>0.0195119569728336</v>
      </c>
      <c r="W16" s="19" t="n">
        <v>0.0131186560522894</v>
      </c>
      <c r="X16" s="23" t="n">
        <v>300000</v>
      </c>
      <c r="Y16" s="23" t="n">
        <v>39205.5697530842</v>
      </c>
      <c r="Z16" s="23" t="n">
        <v>8760.08925308425</v>
      </c>
      <c r="AA16" s="23" t="n">
        <v>7854.5195</v>
      </c>
      <c r="AB16" s="28" t="s">
        <v>493</v>
      </c>
      <c r="AC16" s="28" t="s">
        <v>1571</v>
      </c>
      <c r="AD16" s="14" t="n">
        <f aca="false">U16/B16</f>
        <v>0.112411430309819</v>
      </c>
      <c r="AE16" s="15" t="n">
        <f aca="false">VALUE(LEFT(A16,4))*4+VALUE(MID(A16,6,2))/3</f>
        <v>8098</v>
      </c>
      <c r="AF16" s="15" t="n">
        <f aca="false">AE16-AE15</f>
        <v>1</v>
      </c>
    </row>
    <row r="17" customFormat="false" ht="15" hidden="false" customHeight="false" outlineLevel="0" collapsed="false">
      <c r="A17" s="28" t="s">
        <v>995</v>
      </c>
      <c r="B17" s="23" t="n">
        <v>8800000</v>
      </c>
      <c r="C17" s="23" t="n">
        <v>4240000</v>
      </c>
      <c r="D17" s="23" t="n">
        <v>7780000</v>
      </c>
      <c r="E17" s="23" t="n">
        <v>469897</v>
      </c>
      <c r="F17" s="23" t="n">
        <v>1260</v>
      </c>
      <c r="G17" s="23" t="n">
        <v>49</v>
      </c>
      <c r="H17" s="23" t="n">
        <v>55240.0220085478</v>
      </c>
      <c r="I17" s="23" t="n">
        <v>161205.307428343</v>
      </c>
      <c r="J17" s="19" t="n">
        <v>0.00831668712680819</v>
      </c>
      <c r="K17" s="19" t="n">
        <v>0.024270339806436</v>
      </c>
      <c r="L17" s="19" t="n">
        <v>0.693251672421599</v>
      </c>
      <c r="M17" s="22" t="n">
        <v>0.00409945355191257</v>
      </c>
      <c r="N17" s="22" t="n">
        <v>0.0038161796680971</v>
      </c>
      <c r="O17" s="14" t="n">
        <f aca="false">C17/D17</f>
        <v>0.544987146529563</v>
      </c>
      <c r="P17" s="19" t="n">
        <v>0.0187043838688819</v>
      </c>
      <c r="Q17" s="19" t="n">
        <v>0.0585002159017962</v>
      </c>
      <c r="R17" s="23" t="n">
        <v>-277064.948968602</v>
      </c>
      <c r="S17" s="19" t="n">
        <v>0.114972625177871</v>
      </c>
      <c r="T17" s="23" t="n">
        <v>20000</v>
      </c>
      <c r="U17" s="23" t="n">
        <v>1015310.71500855</v>
      </c>
      <c r="V17" s="19" t="n">
        <v>0.0212592305329744</v>
      </c>
      <c r="W17" s="19" t="n">
        <v>0.0113277964002698</v>
      </c>
      <c r="X17" s="23" t="n">
        <v>100000</v>
      </c>
      <c r="Y17" s="23" t="n">
        <v>39264.4999974173</v>
      </c>
      <c r="Z17" s="23" t="n">
        <v>12746.2792474173</v>
      </c>
      <c r="AA17" s="23" t="n">
        <v>11781.77925</v>
      </c>
      <c r="AB17" s="28" t="s">
        <v>493</v>
      </c>
      <c r="AC17" s="28" t="s">
        <v>1571</v>
      </c>
      <c r="AD17" s="14" t="n">
        <f aca="false">U17/B17</f>
        <v>0.115376217614608</v>
      </c>
      <c r="AE17" s="15" t="n">
        <f aca="false">VALUE(LEFT(A17,4))*4+VALUE(MID(A17,6,2))/3</f>
        <v>8099</v>
      </c>
      <c r="AF17" s="15" t="n">
        <f aca="false">AE17-AE16</f>
        <v>1</v>
      </c>
    </row>
    <row r="18" customFormat="false" ht="15" hidden="false" customHeight="false" outlineLevel="0" collapsed="false">
      <c r="A18" s="28" t="s">
        <v>319</v>
      </c>
      <c r="B18" s="23" t="n">
        <v>8783626.77</v>
      </c>
      <c r="C18" s="23" t="n">
        <v>4319422.904</v>
      </c>
      <c r="D18" s="23" t="n">
        <v>7963194.519</v>
      </c>
      <c r="E18" s="23" t="n">
        <v>475000</v>
      </c>
      <c r="F18" s="23" t="n">
        <v>1287</v>
      </c>
      <c r="G18" s="23" t="n">
        <v>49</v>
      </c>
      <c r="H18" s="23" t="n">
        <v>72217.1080000002</v>
      </c>
      <c r="I18" s="23" t="n">
        <v>217705.058</v>
      </c>
      <c r="J18" s="19" t="n">
        <v>0.00816933409529156</v>
      </c>
      <c r="K18" s="19" t="n">
        <v>0.0246272026434072</v>
      </c>
      <c r="L18" s="19" t="n">
        <v>0.711904637225667</v>
      </c>
      <c r="M18" s="22" t="n">
        <v>0.0042</v>
      </c>
      <c r="N18" s="22" t="n">
        <v>0.00377870846119688</v>
      </c>
      <c r="O18" s="14" t="n">
        <f aca="false">C18/D18</f>
        <v>0.542423382185875</v>
      </c>
      <c r="P18" s="19" t="n">
        <v>0.0191624237603086</v>
      </c>
      <c r="Q18" s="19" t="n">
        <v>0.0593119942249529</v>
      </c>
      <c r="R18" s="23" t="n">
        <v>-346657.372</v>
      </c>
      <c r="S18" s="19" t="n">
        <v>0.116653805200998</v>
      </c>
      <c r="T18" s="23" t="n">
        <v>20000</v>
      </c>
      <c r="U18" s="23" t="n">
        <v>1032287.801</v>
      </c>
      <c r="V18" s="19" t="n">
        <v>0.0223647653009173</v>
      </c>
      <c r="W18" s="19" t="n">
        <v>0.0104317714377815</v>
      </c>
      <c r="X18" s="23" t="n">
        <v>0</v>
      </c>
      <c r="Y18" s="23" t="n">
        <v>39273.608</v>
      </c>
      <c r="Z18" s="23" t="n">
        <v>16682.647</v>
      </c>
      <c r="AA18" s="23" t="n">
        <v>15709.039</v>
      </c>
      <c r="AB18" s="28" t="s">
        <v>452</v>
      </c>
      <c r="AC18" s="28" t="s">
        <v>1577</v>
      </c>
      <c r="AD18" s="14" t="n">
        <f aca="false">U18/B18</f>
        <v>0.117524096598198</v>
      </c>
      <c r="AE18" s="15" t="n">
        <f aca="false">VALUE(LEFT(A18,4))*4+VALUE(MID(A18,6,2))/3</f>
        <v>8100</v>
      </c>
      <c r="AF18" s="15" t="n">
        <f aca="false">AE18-AE17</f>
        <v>1</v>
      </c>
    </row>
    <row r="19" customFormat="false" ht="15" hidden="false" customHeight="false" outlineLevel="0" collapsed="false">
      <c r="A19" s="28" t="s">
        <v>694</v>
      </c>
      <c r="B19" s="23" t="n">
        <v>9084800</v>
      </c>
      <c r="C19" s="23" t="n">
        <v>4440000</v>
      </c>
      <c r="D19" s="23" t="n">
        <v>8250000</v>
      </c>
      <c r="E19" s="23" t="n">
        <v>482062</v>
      </c>
      <c r="F19" s="23" t="n">
        <v>1315</v>
      </c>
      <c r="G19" s="23" t="n">
        <v>49</v>
      </c>
      <c r="H19" s="23" t="n">
        <v>1683.19560314508</v>
      </c>
      <c r="I19" s="23" t="n">
        <v>58939.9361544889</v>
      </c>
      <c r="J19" s="19" t="n">
        <v>0.000753595433917468</v>
      </c>
      <c r="K19" s="19" t="n">
        <v>0.0263884165799959</v>
      </c>
      <c r="L19" s="19" t="n">
        <v>0.768725103242097</v>
      </c>
      <c r="M19" s="22" t="n">
        <v>0.00425372063252727</v>
      </c>
      <c r="N19" s="22" t="n">
        <v>0.00328344918554694</v>
      </c>
      <c r="O19" s="14" t="n">
        <f aca="false">C19/D19</f>
        <v>0.538181818181818</v>
      </c>
      <c r="P19" s="19" t="n">
        <v>0.0197796618997717</v>
      </c>
      <c r="Q19" s="19" t="n">
        <v>0.0631666641428632</v>
      </c>
      <c r="R19" s="23" t="n">
        <v>-296561.257116601</v>
      </c>
      <c r="S19" s="19" t="n">
        <v>0.116345063965051</v>
      </c>
      <c r="T19" s="23" t="n">
        <v>16000</v>
      </c>
      <c r="U19" s="23" t="n">
        <v>1033970.99660315</v>
      </c>
      <c r="V19" s="19" t="n">
        <v>0.0192249431725383</v>
      </c>
      <c r="W19" s="19" t="n">
        <v>0.00791706884137515</v>
      </c>
      <c r="X19" s="23" t="n">
        <v>0</v>
      </c>
      <c r="Y19" s="23" t="n">
        <v>39827.3781902645</v>
      </c>
      <c r="Z19" s="23" t="n">
        <v>4148.91019026448</v>
      </c>
      <c r="AA19" s="23" t="n">
        <v>3595.14</v>
      </c>
      <c r="AB19" s="28" t="s">
        <v>493</v>
      </c>
      <c r="AC19" s="28" t="s">
        <v>1578</v>
      </c>
      <c r="AD19" s="14" t="n">
        <f aca="false">U19/B19</f>
        <v>0.113813292158677</v>
      </c>
      <c r="AE19" s="15" t="n">
        <f aca="false">VALUE(LEFT(A19,4))*4+VALUE(MID(A19,6,2))/3</f>
        <v>8101</v>
      </c>
      <c r="AF19" s="15" t="n">
        <f aca="false">AE19-AE18</f>
        <v>1</v>
      </c>
    </row>
    <row r="20" customFormat="false" ht="15" hidden="false" customHeight="false" outlineLevel="0" collapsed="false">
      <c r="A20" s="28" t="s">
        <v>702</v>
      </c>
      <c r="B20" s="23" t="n">
        <v>9044400</v>
      </c>
      <c r="C20" s="23" t="n">
        <v>4610000</v>
      </c>
      <c r="D20" s="23" t="n">
        <v>8210000</v>
      </c>
      <c r="E20" s="23" t="n">
        <v>489308</v>
      </c>
      <c r="F20" s="23" t="n">
        <v>1342</v>
      </c>
      <c r="G20" s="23" t="n">
        <v>49</v>
      </c>
      <c r="H20" s="23" t="n">
        <v>25389.8804455161</v>
      </c>
      <c r="I20" s="23" t="n">
        <v>121044.154626944</v>
      </c>
      <c r="J20" s="19" t="n">
        <v>0.00564256762985848</v>
      </c>
      <c r="K20" s="19" t="n">
        <v>0.0269004743896774</v>
      </c>
      <c r="L20" s="19" t="n">
        <v>0.745707082505288</v>
      </c>
      <c r="M20" s="22" t="n">
        <v>0.00430803816097151</v>
      </c>
      <c r="N20" s="22" t="n">
        <v>0.00322987669561604</v>
      </c>
      <c r="O20" s="14" t="n">
        <f aca="false">C20/D20</f>
        <v>0.561510353227771</v>
      </c>
      <c r="P20" s="19" t="n">
        <v>0.0193037351216309</v>
      </c>
      <c r="Q20" s="19" t="n">
        <v>0.0635439991802835</v>
      </c>
      <c r="R20" s="23" t="n">
        <v>-280475.135174252</v>
      </c>
      <c r="S20" s="19" t="n">
        <v>0.118464739658637</v>
      </c>
      <c r="T20" s="23" t="n">
        <v>16000</v>
      </c>
      <c r="U20" s="23" t="n">
        <v>1057677.68144552</v>
      </c>
      <c r="V20" s="19" t="n">
        <v>0.0233446844255825</v>
      </c>
      <c r="W20" s="19" t="n">
        <v>0.00919835759395338</v>
      </c>
      <c r="X20" s="23" t="n">
        <v>0</v>
      </c>
      <c r="Y20" s="23" t="n">
        <v>40868.0829423079</v>
      </c>
      <c r="Z20" s="23" t="n">
        <v>8784.75494230793</v>
      </c>
      <c r="AA20" s="23" t="n">
        <v>7190.28000000001</v>
      </c>
      <c r="AB20" s="28" t="s">
        <v>493</v>
      </c>
      <c r="AC20" s="28" t="s">
        <v>1579</v>
      </c>
      <c r="AD20" s="14" t="n">
        <f aca="false">U20/B20</f>
        <v>0.116942824448887</v>
      </c>
      <c r="AE20" s="15" t="n">
        <f aca="false">VALUE(LEFT(A20,4))*4+VALUE(MID(A20,6,2))/3</f>
        <v>8102</v>
      </c>
      <c r="AF20" s="15" t="n">
        <f aca="false">AE20-AE19</f>
        <v>1</v>
      </c>
    </row>
    <row r="21" customFormat="false" ht="15" hidden="false" customHeight="false" outlineLevel="0" collapsed="false">
      <c r="A21" s="28" t="s">
        <v>704</v>
      </c>
      <c r="B21" s="23" t="n">
        <v>9200000</v>
      </c>
      <c r="C21" s="23" t="n">
        <v>4800000</v>
      </c>
      <c r="D21" s="23" t="n">
        <v>8330000</v>
      </c>
      <c r="E21" s="23" t="n">
        <v>496746</v>
      </c>
      <c r="F21" s="23" t="n">
        <v>1348</v>
      </c>
      <c r="G21" s="23" t="n">
        <v>49</v>
      </c>
      <c r="H21" s="23" t="n">
        <v>47848.1257866247</v>
      </c>
      <c r="I21" s="23" t="n">
        <v>187013.167189743</v>
      </c>
      <c r="J21" s="19" t="n">
        <v>0.00705698199508848</v>
      </c>
      <c r="K21" s="19" t="n">
        <v>0.0275820323577106</v>
      </c>
      <c r="L21" s="19" t="n">
        <v>0.741165370064267</v>
      </c>
      <c r="M21" s="22" t="n">
        <v>0.00436295258533272</v>
      </c>
      <c r="N21" s="22" t="n">
        <v>0.00316991878572563</v>
      </c>
      <c r="O21" s="14" t="n">
        <f aca="false">C21/D21</f>
        <v>0.576230492196879</v>
      </c>
      <c r="P21" s="19" t="n">
        <v>0.0188479542507254</v>
      </c>
      <c r="Q21" s="19" t="n">
        <v>0.0636866511090423</v>
      </c>
      <c r="R21" s="23" t="n">
        <v>-260172.759046093</v>
      </c>
      <c r="S21" s="19" t="n">
        <v>0.119640141566977</v>
      </c>
      <c r="T21" s="23" t="n">
        <v>16000</v>
      </c>
      <c r="U21" s="23" t="n">
        <v>1080135.92678663</v>
      </c>
      <c r="V21" s="19" t="n">
        <v>0.0252222385295272</v>
      </c>
      <c r="W21" s="19" t="n">
        <v>0.0094167758232718</v>
      </c>
      <c r="X21" s="23" t="n">
        <v>0</v>
      </c>
      <c r="Y21" s="23" t="n">
        <v>42573.4358496516</v>
      </c>
      <c r="Z21" s="23" t="n">
        <v>14085.2478496516</v>
      </c>
      <c r="AA21" s="23" t="n">
        <v>10785.42</v>
      </c>
      <c r="AB21" s="28" t="s">
        <v>493</v>
      </c>
      <c r="AC21" s="28" t="s">
        <v>1580</v>
      </c>
      <c r="AD21" s="14" t="n">
        <f aca="false">U21/B21</f>
        <v>0.117406078998546</v>
      </c>
      <c r="AE21" s="15" t="n">
        <f aca="false">VALUE(LEFT(A21,4))*4+VALUE(MID(A21,6,2))/3</f>
        <v>8103</v>
      </c>
      <c r="AF21" s="15" t="n">
        <f aca="false">AE21-AE20</f>
        <v>1</v>
      </c>
    </row>
    <row r="22" customFormat="false" ht="15" hidden="false" customHeight="false" outlineLevel="0" collapsed="false">
      <c r="A22" s="28" t="s">
        <v>320</v>
      </c>
      <c r="B22" s="23" t="n">
        <v>9535159.326</v>
      </c>
      <c r="C22" s="23" t="n">
        <v>4998963.516</v>
      </c>
      <c r="D22" s="23" t="n">
        <v>8537116.754</v>
      </c>
      <c r="E22" s="23" t="n">
        <v>504296</v>
      </c>
      <c r="F22" s="23" t="n">
        <v>1353</v>
      </c>
      <c r="G22" s="23" t="n">
        <v>49</v>
      </c>
      <c r="H22" s="23" t="n">
        <v>74570.2440000004</v>
      </c>
      <c r="I22" s="23" t="n">
        <v>257443.593</v>
      </c>
      <c r="J22" s="19" t="n">
        <v>0.0081746362653013</v>
      </c>
      <c r="K22" s="19" t="n">
        <v>0.0282218163535479</v>
      </c>
      <c r="L22" s="19" t="n">
        <v>0.730677919097555</v>
      </c>
      <c r="M22" s="22" t="n">
        <v>0.00441786700969394</v>
      </c>
      <c r="N22" s="22" t="n">
        <v>0.00310776592730808</v>
      </c>
      <c r="O22" s="14" t="n">
        <f aca="false">C22/D22</f>
        <v>0.585556419110442</v>
      </c>
      <c r="P22" s="19" t="n">
        <v>0.0183241894699542</v>
      </c>
      <c r="Q22" s="19" t="n">
        <v>0.063665587507258</v>
      </c>
      <c r="R22" s="23" t="n">
        <v>-247262.171</v>
      </c>
      <c r="S22" s="19" t="n">
        <v>0.120100613734995</v>
      </c>
      <c r="T22" s="23" t="n">
        <v>16000</v>
      </c>
      <c r="U22" s="23" t="n">
        <v>1106858.045</v>
      </c>
      <c r="V22" s="19" t="n">
        <v>0.0264678435457773</v>
      </c>
      <c r="W22" s="19" t="n">
        <v>0.00992860907307192</v>
      </c>
      <c r="X22" s="23" t="n">
        <v>0</v>
      </c>
      <c r="Y22" s="23" t="n">
        <v>44915.766</v>
      </c>
      <c r="Z22" s="23" t="n">
        <v>20022.718</v>
      </c>
      <c r="AA22" s="23" t="n">
        <v>14380.56</v>
      </c>
      <c r="AB22" s="28" t="s">
        <v>452</v>
      </c>
      <c r="AC22" s="28" t="s">
        <v>1581</v>
      </c>
      <c r="AD22" s="14" t="n">
        <f aca="false">U22/B22</f>
        <v>0.116081756702468</v>
      </c>
      <c r="AE22" s="15" t="n">
        <f aca="false">VALUE(LEFT(A22,4))*4+VALUE(MID(A22,6,2))/3</f>
        <v>8104</v>
      </c>
      <c r="AF22" s="15" t="n">
        <f aca="false">AE22-AE21</f>
        <v>1</v>
      </c>
    </row>
    <row r="23" customFormat="false" ht="15" hidden="false" customHeight="false" outlineLevel="0" collapsed="false">
      <c r="A23" s="28" t="s">
        <v>321</v>
      </c>
      <c r="B23" s="23" t="n">
        <v>9791191.351</v>
      </c>
      <c r="C23" s="23" t="n">
        <v>5170195.915</v>
      </c>
      <c r="D23" s="23" t="n">
        <v>8801479.659</v>
      </c>
      <c r="E23" s="23" t="n">
        <v>511369</v>
      </c>
      <c r="F23" s="23" t="n">
        <v>1359</v>
      </c>
      <c r="G23" s="23" t="n">
        <v>51</v>
      </c>
      <c r="H23" s="23" t="n">
        <v>21206.147</v>
      </c>
      <c r="I23" s="23" t="n">
        <v>77032.4582619855</v>
      </c>
      <c r="J23" s="19" t="n">
        <v>0.00877812779222188</v>
      </c>
      <c r="K23" s="19" t="n">
        <v>0.031887016664211</v>
      </c>
      <c r="L23" s="19" t="n">
        <v>0.635467179782362</v>
      </c>
      <c r="M23" s="22" t="n">
        <v>0.0038</v>
      </c>
      <c r="N23" s="22" t="n">
        <v>0.00345868586667849</v>
      </c>
      <c r="O23" s="14" t="n">
        <f aca="false">C23/D23</f>
        <v>0.587423491879935</v>
      </c>
      <c r="P23" s="19" t="n">
        <v>0.015585015553694</v>
      </c>
      <c r="Q23" s="19" t="n">
        <v>0.0632393160397287</v>
      </c>
      <c r="R23" s="23" t="n">
        <v>-249237.973094215</v>
      </c>
      <c r="S23" s="19" t="n">
        <v>0.120100255829126</v>
      </c>
      <c r="T23" s="23" t="n">
        <v>16000</v>
      </c>
      <c r="U23" s="23" t="n">
        <v>1128064.192</v>
      </c>
      <c r="V23" s="19" t="n">
        <v>0.0252639349381648</v>
      </c>
      <c r="W23" s="19" t="n">
        <v>0.0154012095182681</v>
      </c>
      <c r="X23" s="23" t="n">
        <v>0</v>
      </c>
      <c r="Y23" s="23" t="n">
        <v>46751.961</v>
      </c>
      <c r="Z23" s="23" t="n">
        <v>6232.686</v>
      </c>
      <c r="AA23" s="23" t="n">
        <v>4396.491</v>
      </c>
      <c r="AB23" s="28" t="s">
        <v>497</v>
      </c>
      <c r="AC23" s="28" t="s">
        <v>1582</v>
      </c>
      <c r="AD23" s="14" t="n">
        <f aca="false">U23/B23</f>
        <v>0.115212148507831</v>
      </c>
      <c r="AE23" s="15" t="n">
        <f aca="false">VALUE(LEFT(A23,4))*4+VALUE(MID(A23,6,2))/3</f>
        <v>8105</v>
      </c>
      <c r="AF23" s="15" t="n">
        <f aca="false">AE23-AE22</f>
        <v>1</v>
      </c>
    </row>
    <row r="24" customFormat="false" ht="15" hidden="false" customHeight="false" outlineLevel="0" collapsed="false">
      <c r="A24" s="28" t="s">
        <v>322</v>
      </c>
      <c r="B24" s="23" t="n">
        <v>9887845.027</v>
      </c>
      <c r="C24" s="23" t="n">
        <v>5305440.524</v>
      </c>
      <c r="D24" s="23" t="n">
        <v>8855600.325</v>
      </c>
      <c r="E24" s="23" t="n">
        <v>517794</v>
      </c>
      <c r="F24" s="23" t="n">
        <v>1364</v>
      </c>
      <c r="G24" s="23" t="n">
        <v>50</v>
      </c>
      <c r="H24" s="23" t="n">
        <v>54770.0590000001</v>
      </c>
      <c r="I24" s="23" t="n">
        <v>155630.259</v>
      </c>
      <c r="J24" s="19" t="n">
        <v>0.0112333322415739</v>
      </c>
      <c r="K24" s="19" t="n">
        <v>0.0319197466299825</v>
      </c>
      <c r="L24" s="19" t="n">
        <v>0.651840561573343</v>
      </c>
      <c r="M24" s="22" t="n">
        <v>0.00465889154504449</v>
      </c>
      <c r="N24" s="22" t="n">
        <v>0.00362698514780713</v>
      </c>
      <c r="O24" s="14" t="n">
        <f aca="false">C24/D24</f>
        <v>0.599105687846182</v>
      </c>
      <c r="P24" s="19" t="n">
        <v>0.0150716261636599</v>
      </c>
      <c r="Q24" s="19" t="n">
        <v>0.0632333959715728</v>
      </c>
      <c r="R24" s="23" t="n">
        <v>-253801.598</v>
      </c>
      <c r="S24" s="19" t="n">
        <v>0.120958211693501</v>
      </c>
      <c r="T24" s="23" t="n">
        <v>16000</v>
      </c>
      <c r="U24" s="23" t="n">
        <v>1161628.104</v>
      </c>
      <c r="V24" s="19" t="n">
        <v>0.0286381486338003</v>
      </c>
      <c r="W24" s="19" t="n">
        <v>0.0145149302377561</v>
      </c>
      <c r="X24" s="23" t="n">
        <v>0</v>
      </c>
      <c r="Y24" s="23" t="n">
        <v>47552</v>
      </c>
      <c r="Z24" s="23" t="n">
        <v>11996.03</v>
      </c>
      <c r="AA24" s="23" t="n">
        <v>9359.796</v>
      </c>
      <c r="AB24" s="28" t="s">
        <v>497</v>
      </c>
      <c r="AC24" s="28" t="s">
        <v>1583</v>
      </c>
      <c r="AD24" s="14" t="n">
        <f aca="false">U24/B24</f>
        <v>0.117480411639546</v>
      </c>
      <c r="AE24" s="15" t="n">
        <f aca="false">VALUE(LEFT(A24,4))*4+VALUE(MID(A24,6,2))/3</f>
        <v>8106</v>
      </c>
      <c r="AF24" s="15" t="n">
        <f aca="false">AE24-AE23</f>
        <v>1</v>
      </c>
    </row>
  </sheetData>
  <autoFilter ref="A1:AF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44"/>
    <col collapsed="false" customWidth="true" hidden="false" outlineLevel="0" max="5" min="4" style="0" width="12"/>
    <col collapsed="false" customWidth="true" hidden="false" outlineLevel="0" max="6" min="6" style="0" width="60"/>
    <col collapsed="false" customWidth="true" hidden="false" outlineLevel="0" max="7" min="7" style="0" width="14"/>
    <col collapsed="false" customWidth="true" hidden="false" outlineLevel="0" max="8" min="8" style="0" width="70"/>
  </cols>
  <sheetData>
    <row r="1" customFormat="false" ht="30" hidden="false" customHeight="true" outlineLevel="0" collapsed="false">
      <c r="A1" s="27" t="s">
        <v>1584</v>
      </c>
      <c r="B1" s="27" t="s">
        <v>430</v>
      </c>
      <c r="C1" s="27" t="s">
        <v>236</v>
      </c>
      <c r="D1" s="27" t="s">
        <v>238</v>
      </c>
      <c r="E1" s="27" t="s">
        <v>1585</v>
      </c>
      <c r="F1" s="27" t="s">
        <v>237</v>
      </c>
      <c r="G1" s="27" t="s">
        <v>442</v>
      </c>
      <c r="H1" s="27" t="s">
        <v>443</v>
      </c>
    </row>
    <row r="2" customFormat="false" ht="15" hidden="false" customHeight="false" outlineLevel="0" collapsed="false">
      <c r="A2" s="28" t="s">
        <v>1586</v>
      </c>
      <c r="B2" s="28" t="s">
        <v>322</v>
      </c>
      <c r="C2" s="28" t="s">
        <v>251</v>
      </c>
      <c r="D2" s="19" t="n">
        <v>0.0091</v>
      </c>
      <c r="F2" s="28" t="s">
        <v>1587</v>
      </c>
      <c r="G2" s="28" t="s">
        <v>497</v>
      </c>
      <c r="H2" s="28" t="s">
        <v>1588</v>
      </c>
    </row>
    <row r="3" customFormat="false" ht="15" hidden="false" customHeight="false" outlineLevel="0" collapsed="false">
      <c r="A3" s="28" t="s">
        <v>1586</v>
      </c>
      <c r="B3" s="28" t="s">
        <v>322</v>
      </c>
      <c r="C3" s="28" t="s">
        <v>255</v>
      </c>
      <c r="D3" s="19" t="n">
        <v>0.0349</v>
      </c>
      <c r="F3" s="28" t="s">
        <v>1589</v>
      </c>
      <c r="G3" s="28" t="s">
        <v>497</v>
      </c>
      <c r="H3" s="28" t="s">
        <v>1588</v>
      </c>
    </row>
    <row r="4" customFormat="false" ht="15" hidden="false" customHeight="false" outlineLevel="0" collapsed="false">
      <c r="A4" s="28" t="s">
        <v>1586</v>
      </c>
      <c r="B4" s="28" t="s">
        <v>322</v>
      </c>
      <c r="C4" s="28" t="s">
        <v>1590</v>
      </c>
      <c r="D4" s="19" t="n">
        <v>0.0375</v>
      </c>
      <c r="F4" s="28" t="s">
        <v>1591</v>
      </c>
      <c r="G4" s="28" t="s">
        <v>497</v>
      </c>
      <c r="H4" s="28" t="s">
        <v>1588</v>
      </c>
    </row>
    <row r="5" customFormat="false" ht="15" hidden="false" customHeight="false" outlineLevel="0" collapsed="false">
      <c r="A5" s="28" t="s">
        <v>1586</v>
      </c>
      <c r="B5" s="28" t="s">
        <v>322</v>
      </c>
      <c r="C5" s="28" t="s">
        <v>1592</v>
      </c>
      <c r="D5" s="19" t="n">
        <v>0.0071</v>
      </c>
      <c r="F5" s="28" t="s">
        <v>1591</v>
      </c>
      <c r="G5" s="28" t="s">
        <v>497</v>
      </c>
      <c r="H5" s="28" t="s">
        <v>1588</v>
      </c>
    </row>
    <row r="6" customFormat="false" ht="15" hidden="false" customHeight="false" outlineLevel="0" collapsed="false">
      <c r="A6" s="28" t="s">
        <v>1586</v>
      </c>
      <c r="B6" s="28" t="s">
        <v>322</v>
      </c>
      <c r="C6" s="28" t="s">
        <v>244</v>
      </c>
      <c r="D6" s="19" t="n">
        <v>0.829</v>
      </c>
      <c r="F6" s="28" t="s">
        <v>1593</v>
      </c>
      <c r="G6" s="28" t="s">
        <v>497</v>
      </c>
      <c r="H6" s="28" t="s">
        <v>1588</v>
      </c>
    </row>
    <row r="7" customFormat="false" ht="15" hidden="false" customHeight="false" outlineLevel="0" collapsed="false">
      <c r="A7" s="28" t="s">
        <v>1586</v>
      </c>
      <c r="B7" s="28" t="s">
        <v>322</v>
      </c>
      <c r="C7" s="28" t="s">
        <v>1594</v>
      </c>
      <c r="D7" s="19" t="n">
        <v>0.69</v>
      </c>
      <c r="F7" s="28" t="s">
        <v>1591</v>
      </c>
      <c r="G7" s="28" t="s">
        <v>497</v>
      </c>
      <c r="H7" s="28" t="s">
        <v>1588</v>
      </c>
    </row>
    <row r="8" customFormat="false" ht="15" hidden="false" customHeight="false" outlineLevel="0" collapsed="false">
      <c r="A8" s="28" t="s">
        <v>1586</v>
      </c>
      <c r="B8" s="28" t="s">
        <v>322</v>
      </c>
      <c r="C8" s="28" t="s">
        <v>1595</v>
      </c>
      <c r="D8" s="19" t="n">
        <v>0.0096</v>
      </c>
      <c r="F8" s="28" t="s">
        <v>1596</v>
      </c>
      <c r="G8" s="28" t="s">
        <v>497</v>
      </c>
      <c r="H8" s="28" t="s">
        <v>1588</v>
      </c>
    </row>
    <row r="9" customFormat="false" ht="15" hidden="false" customHeight="false" outlineLevel="0" collapsed="false">
      <c r="A9" s="28" t="s">
        <v>1586</v>
      </c>
      <c r="B9" s="28" t="s">
        <v>322</v>
      </c>
      <c r="C9" s="28" t="s">
        <v>1597</v>
      </c>
      <c r="D9" s="19" t="n">
        <v>0.0069</v>
      </c>
      <c r="F9" s="28" t="s">
        <v>1591</v>
      </c>
      <c r="G9" s="28" t="s">
        <v>497</v>
      </c>
      <c r="H9" s="28" t="s">
        <v>1588</v>
      </c>
    </row>
    <row r="10" customFormat="false" ht="15" hidden="false" customHeight="false" outlineLevel="0" collapsed="false">
      <c r="A10" s="28" t="s">
        <v>1586</v>
      </c>
      <c r="B10" s="28" t="s">
        <v>322</v>
      </c>
      <c r="C10" s="28" t="s">
        <v>261</v>
      </c>
      <c r="D10" s="19" t="n">
        <v>0.0078</v>
      </c>
      <c r="F10" s="28" t="s">
        <v>1598</v>
      </c>
      <c r="G10" s="28" t="s">
        <v>497</v>
      </c>
      <c r="H10" s="28" t="s">
        <v>1588</v>
      </c>
    </row>
    <row r="11" customFormat="false" ht="15" hidden="false" customHeight="false" outlineLevel="0" collapsed="false">
      <c r="A11" s="28" t="s">
        <v>1586</v>
      </c>
      <c r="B11" s="28" t="s">
        <v>322</v>
      </c>
      <c r="C11" s="28" t="s">
        <v>1599</v>
      </c>
      <c r="D11" s="19" t="n">
        <v>0.05</v>
      </c>
      <c r="F11" s="28" t="s">
        <v>1600</v>
      </c>
      <c r="G11" s="28" t="s">
        <v>497</v>
      </c>
      <c r="H11" s="28" t="s">
        <v>1588</v>
      </c>
    </row>
    <row r="12" customFormat="false" ht="15" hidden="false" customHeight="false" outlineLevel="0" collapsed="false">
      <c r="A12" s="28" t="s">
        <v>1586</v>
      </c>
      <c r="B12" s="28" t="s">
        <v>322</v>
      </c>
      <c r="C12" s="28" t="s">
        <v>1601</v>
      </c>
      <c r="D12" s="19" t="n">
        <v>0.049</v>
      </c>
      <c r="F12" s="28" t="s">
        <v>1600</v>
      </c>
      <c r="G12" s="28" t="s">
        <v>497</v>
      </c>
      <c r="H12" s="28" t="s">
        <v>1588</v>
      </c>
    </row>
    <row r="13" customFormat="false" ht="15" hidden="false" customHeight="false" outlineLevel="0" collapsed="false">
      <c r="A13" s="28" t="s">
        <v>1586</v>
      </c>
      <c r="B13" s="28" t="s">
        <v>322</v>
      </c>
      <c r="C13" s="28" t="s">
        <v>1602</v>
      </c>
      <c r="D13" s="19" t="n">
        <v>0.043</v>
      </c>
      <c r="F13" s="28" t="s">
        <v>1603</v>
      </c>
      <c r="G13" s="28" t="s">
        <v>497</v>
      </c>
      <c r="H13" s="28" t="s">
        <v>1588</v>
      </c>
    </row>
    <row r="14" customFormat="false" ht="15" hidden="false" customHeight="false" outlineLevel="0" collapsed="false">
      <c r="A14" s="28" t="s">
        <v>1586</v>
      </c>
      <c r="B14" s="28" t="s">
        <v>322</v>
      </c>
      <c r="C14" s="28" t="s">
        <v>1604</v>
      </c>
      <c r="D14" s="19" t="n">
        <v>0.0083</v>
      </c>
      <c r="F14" s="28" t="s">
        <v>1605</v>
      </c>
      <c r="G14" s="28" t="s">
        <v>497</v>
      </c>
      <c r="H14" s="28" t="s">
        <v>1588</v>
      </c>
    </row>
    <row r="15" customFormat="false" ht="15" hidden="false" customHeight="false" outlineLevel="0" collapsed="false">
      <c r="A15" s="28" t="s">
        <v>1586</v>
      </c>
      <c r="B15" s="28" t="s">
        <v>322</v>
      </c>
      <c r="C15" s="28" t="s">
        <v>1606</v>
      </c>
      <c r="D15" s="19" t="n">
        <v>0.0081</v>
      </c>
      <c r="F15" s="28" t="s">
        <v>1607</v>
      </c>
      <c r="G15" s="28" t="s">
        <v>497</v>
      </c>
      <c r="H15" s="28" t="s">
        <v>1588</v>
      </c>
    </row>
    <row r="16" customFormat="false" ht="15" hidden="false" customHeight="false" outlineLevel="0" collapsed="false">
      <c r="A16" s="28" t="s">
        <v>1586</v>
      </c>
      <c r="B16" s="28" t="s">
        <v>322</v>
      </c>
      <c r="C16" s="28" t="s">
        <v>1608</v>
      </c>
      <c r="D16" s="19" t="n">
        <v>0.0123</v>
      </c>
      <c r="F16" s="28" t="s">
        <v>1609</v>
      </c>
      <c r="G16" s="28" t="s">
        <v>497</v>
      </c>
      <c r="H16" s="28" t="s">
        <v>1588</v>
      </c>
    </row>
    <row r="17" customFormat="false" ht="15" hidden="false" customHeight="false" outlineLevel="0" collapsed="false">
      <c r="A17" s="28" t="s">
        <v>1586</v>
      </c>
      <c r="B17" s="28" t="s">
        <v>322</v>
      </c>
      <c r="C17" s="28" t="s">
        <v>1610</v>
      </c>
      <c r="D17" s="19" t="n">
        <v>0.0191</v>
      </c>
      <c r="F17" s="28" t="s">
        <v>1611</v>
      </c>
      <c r="G17" s="28" t="s">
        <v>497</v>
      </c>
      <c r="H17" s="28" t="s">
        <v>1588</v>
      </c>
    </row>
    <row r="18" customFormat="false" ht="15" hidden="false" customHeight="false" outlineLevel="0" collapsed="false">
      <c r="A18" s="28" t="s">
        <v>1586</v>
      </c>
      <c r="B18" s="28" t="s">
        <v>321</v>
      </c>
      <c r="C18" s="28" t="s">
        <v>255</v>
      </c>
      <c r="D18" s="19" t="n">
        <v>0.0344</v>
      </c>
      <c r="F18" s="28" t="s">
        <v>1612</v>
      </c>
      <c r="G18" s="28" t="s">
        <v>497</v>
      </c>
      <c r="H18" s="28" t="s">
        <v>1613</v>
      </c>
    </row>
    <row r="19" customFormat="false" ht="15" hidden="false" customHeight="false" outlineLevel="0" collapsed="false">
      <c r="A19" s="28" t="s">
        <v>1586</v>
      </c>
      <c r="B19" s="28" t="s">
        <v>321</v>
      </c>
      <c r="C19" s="28" t="s">
        <v>251</v>
      </c>
      <c r="D19" s="19" t="n">
        <v>0.0083</v>
      </c>
      <c r="F19" s="28" t="s">
        <v>1614</v>
      </c>
      <c r="G19" s="28" t="s">
        <v>497</v>
      </c>
      <c r="H19" s="28" t="s">
        <v>1613</v>
      </c>
    </row>
    <row r="20" customFormat="false" ht="15" hidden="false" customHeight="false" outlineLevel="0" collapsed="false">
      <c r="A20" s="28" t="s">
        <v>1586</v>
      </c>
      <c r="B20" s="28" t="s">
        <v>321</v>
      </c>
      <c r="C20" s="28" t="s">
        <v>1590</v>
      </c>
      <c r="D20" s="19" t="n">
        <v>0.0369</v>
      </c>
      <c r="F20" s="28" t="s">
        <v>1615</v>
      </c>
      <c r="G20" s="28" t="s">
        <v>497</v>
      </c>
      <c r="H20" s="28" t="s">
        <v>1613</v>
      </c>
    </row>
    <row r="21" customFormat="false" ht="15" hidden="false" customHeight="false" outlineLevel="0" collapsed="false">
      <c r="A21" s="28" t="s">
        <v>1586</v>
      </c>
      <c r="B21" s="28" t="s">
        <v>321</v>
      </c>
      <c r="C21" s="28" t="s">
        <v>1592</v>
      </c>
      <c r="D21" s="19" t="n">
        <v>0.0066</v>
      </c>
      <c r="F21" s="28" t="s">
        <v>1615</v>
      </c>
      <c r="G21" s="28" t="s">
        <v>497</v>
      </c>
      <c r="H21" s="28" t="s">
        <v>1613</v>
      </c>
    </row>
    <row r="22" customFormat="false" ht="15" hidden="false" customHeight="false" outlineLevel="0" collapsed="false">
      <c r="A22" s="28" t="s">
        <v>1586</v>
      </c>
      <c r="B22" s="28" t="s">
        <v>321</v>
      </c>
      <c r="C22" s="28" t="s">
        <v>1616</v>
      </c>
      <c r="D22" s="19" t="n">
        <v>0.0105</v>
      </c>
      <c r="F22" s="28" t="s">
        <v>1617</v>
      </c>
      <c r="G22" s="28" t="s">
        <v>497</v>
      </c>
      <c r="H22" s="28" t="s">
        <v>1613</v>
      </c>
    </row>
    <row r="23" customFormat="false" ht="15" hidden="false" customHeight="false" outlineLevel="0" collapsed="false">
      <c r="A23" s="28" t="s">
        <v>1586</v>
      </c>
      <c r="B23" s="28" t="s">
        <v>321</v>
      </c>
      <c r="C23" s="28" t="s">
        <v>1618</v>
      </c>
      <c r="D23" s="19" t="n">
        <v>0.0622</v>
      </c>
      <c r="F23" s="28" t="s">
        <v>1619</v>
      </c>
      <c r="G23" s="28" t="s">
        <v>497</v>
      </c>
      <c r="H23" s="28" t="s">
        <v>1613</v>
      </c>
    </row>
    <row r="24" customFormat="false" ht="15" hidden="false" customHeight="false" outlineLevel="0" collapsed="false">
      <c r="A24" s="28" t="s">
        <v>1586</v>
      </c>
      <c r="B24" s="28" t="s">
        <v>702</v>
      </c>
      <c r="C24" s="28" t="s">
        <v>245</v>
      </c>
      <c r="D24" s="19" t="n">
        <v>0.1111</v>
      </c>
      <c r="F24" s="28" t="s">
        <v>1620</v>
      </c>
      <c r="G24" s="28" t="s">
        <v>497</v>
      </c>
      <c r="H24" s="28" t="s">
        <v>1621</v>
      </c>
    </row>
    <row r="25" customFormat="false" ht="15" hidden="false" customHeight="false" outlineLevel="0" collapsed="false">
      <c r="A25" s="28" t="s">
        <v>1586</v>
      </c>
      <c r="B25" s="28" t="s">
        <v>702</v>
      </c>
      <c r="C25" s="28" t="s">
        <v>244</v>
      </c>
      <c r="D25" s="19" t="n">
        <v>0.831</v>
      </c>
      <c r="F25" s="28" t="s">
        <v>1593</v>
      </c>
      <c r="G25" s="28" t="s">
        <v>497</v>
      </c>
      <c r="H25" s="28" t="s">
        <v>1621</v>
      </c>
    </row>
    <row r="26" customFormat="false" ht="15" hidden="false" customHeight="false" outlineLevel="0" collapsed="false">
      <c r="A26" s="28" t="s">
        <v>1586</v>
      </c>
      <c r="B26" s="28" t="s">
        <v>702</v>
      </c>
      <c r="C26" s="28" t="s">
        <v>251</v>
      </c>
      <c r="D26" s="19" t="n">
        <v>0.0076</v>
      </c>
      <c r="F26" s="28" t="s">
        <v>1614</v>
      </c>
      <c r="G26" s="28" t="s">
        <v>497</v>
      </c>
      <c r="H26" s="28" t="s">
        <v>1621</v>
      </c>
    </row>
    <row r="27" customFormat="false" ht="15" hidden="false" customHeight="false" outlineLevel="0" collapsed="false">
      <c r="A27" s="28" t="s">
        <v>388</v>
      </c>
      <c r="B27" s="28" t="s">
        <v>322</v>
      </c>
      <c r="C27" s="28" t="s">
        <v>251</v>
      </c>
      <c r="D27" s="19" t="n">
        <v>0.0085</v>
      </c>
      <c r="F27" s="28" t="s">
        <v>1622</v>
      </c>
      <c r="G27" s="28" t="s">
        <v>1221</v>
      </c>
      <c r="H27" s="28" t="s">
        <v>1623</v>
      </c>
    </row>
    <row r="28" customFormat="false" ht="15" hidden="false" customHeight="false" outlineLevel="0" collapsed="false">
      <c r="A28" s="28" t="s">
        <v>388</v>
      </c>
      <c r="B28" s="28" t="s">
        <v>322</v>
      </c>
      <c r="C28" s="28" t="s">
        <v>255</v>
      </c>
      <c r="D28" s="19" t="n">
        <v>0.033</v>
      </c>
      <c r="F28" s="28" t="s">
        <v>1622</v>
      </c>
      <c r="G28" s="28" t="s">
        <v>1221</v>
      </c>
      <c r="H28" s="28" t="s">
        <v>1623</v>
      </c>
    </row>
    <row r="29" customFormat="false" ht="15" hidden="false" customHeight="false" outlineLevel="0" collapsed="false">
      <c r="A29" s="28" t="s">
        <v>388</v>
      </c>
      <c r="B29" s="28" t="s">
        <v>322</v>
      </c>
      <c r="C29" s="28" t="s">
        <v>244</v>
      </c>
      <c r="D29" s="19" t="n">
        <v>0.85</v>
      </c>
      <c r="F29" s="28" t="s">
        <v>1622</v>
      </c>
      <c r="G29" s="28" t="s">
        <v>1221</v>
      </c>
      <c r="H29" s="28" t="s">
        <v>1623</v>
      </c>
    </row>
    <row r="30" customFormat="false" ht="15" hidden="false" customHeight="false" outlineLevel="0" collapsed="false">
      <c r="A30" s="28" t="s">
        <v>388</v>
      </c>
      <c r="B30" s="28" t="s">
        <v>322</v>
      </c>
      <c r="C30" s="28" t="s">
        <v>259</v>
      </c>
      <c r="D30" s="19" t="n">
        <v>0.0082</v>
      </c>
      <c r="F30" s="28" t="s">
        <v>1622</v>
      </c>
      <c r="G30" s="28" t="s">
        <v>1221</v>
      </c>
      <c r="H30" s="28" t="s">
        <v>1623</v>
      </c>
    </row>
    <row r="31" customFormat="false" ht="15" hidden="false" customHeight="false" outlineLevel="0" collapsed="false">
      <c r="A31" s="28" t="s">
        <v>388</v>
      </c>
      <c r="B31" s="28" t="s">
        <v>322</v>
      </c>
      <c r="C31" s="28" t="s">
        <v>261</v>
      </c>
      <c r="D31" s="19" t="n">
        <v>0.0068</v>
      </c>
      <c r="F31" s="28" t="s">
        <v>1622</v>
      </c>
      <c r="G31" s="28" t="s">
        <v>1221</v>
      </c>
      <c r="H31" s="28" t="s">
        <v>1623</v>
      </c>
    </row>
    <row r="32" customFormat="false" ht="15" hidden="false" customHeight="false" outlineLevel="0" collapsed="false">
      <c r="A32" s="28" t="s">
        <v>388</v>
      </c>
      <c r="B32" s="28" t="s">
        <v>322</v>
      </c>
      <c r="C32" s="28" t="s">
        <v>245</v>
      </c>
      <c r="D32" s="19" t="n">
        <v>0.106</v>
      </c>
      <c r="F32" s="28" t="s">
        <v>1622</v>
      </c>
      <c r="G32" s="28" t="s">
        <v>1221</v>
      </c>
      <c r="H32" s="28" t="s">
        <v>1623</v>
      </c>
    </row>
    <row r="33" customFormat="false" ht="15" hidden="false" customHeight="false" outlineLevel="0" collapsed="false">
      <c r="A33" s="28" t="s">
        <v>388</v>
      </c>
      <c r="B33" s="28" t="s">
        <v>322</v>
      </c>
      <c r="C33" s="28" t="s">
        <v>263</v>
      </c>
      <c r="D33" s="19" t="n">
        <v>0.019</v>
      </c>
      <c r="F33" s="28" t="s">
        <v>1622</v>
      </c>
      <c r="G33" s="28" t="s">
        <v>1221</v>
      </c>
      <c r="H33" s="28" t="s">
        <v>1623</v>
      </c>
    </row>
    <row r="34" customFormat="false" ht="15" hidden="false" customHeight="false" outlineLevel="0" collapsed="false">
      <c r="A34" s="28" t="s">
        <v>388</v>
      </c>
      <c r="B34" s="28" t="s">
        <v>322</v>
      </c>
      <c r="C34" s="28" t="s">
        <v>1563</v>
      </c>
      <c r="D34" s="19" t="n">
        <v>0.064</v>
      </c>
      <c r="F34" s="28" t="s">
        <v>1622</v>
      </c>
      <c r="G34" s="28" t="s">
        <v>1221</v>
      </c>
      <c r="H34" s="28" t="s">
        <v>1623</v>
      </c>
    </row>
    <row r="35" customFormat="false" ht="15" hidden="false" customHeight="false" outlineLevel="0" collapsed="false">
      <c r="A35" s="28" t="s">
        <v>388</v>
      </c>
      <c r="B35" s="28" t="s">
        <v>322</v>
      </c>
      <c r="C35" s="28" t="s">
        <v>257</v>
      </c>
      <c r="D35" s="19" t="n">
        <v>0.72</v>
      </c>
      <c r="F35" s="28" t="s">
        <v>1622</v>
      </c>
      <c r="G35" s="28" t="s">
        <v>1221</v>
      </c>
      <c r="H35" s="28" t="s">
        <v>1623</v>
      </c>
    </row>
    <row r="36" customFormat="false" ht="15" hidden="false" customHeight="false" outlineLevel="0" collapsed="false">
      <c r="A36" s="28" t="s">
        <v>388</v>
      </c>
      <c r="B36" s="28" t="s">
        <v>322</v>
      </c>
      <c r="C36" s="28" t="s">
        <v>1599</v>
      </c>
      <c r="D36" s="19" t="n">
        <v>0.045</v>
      </c>
      <c r="F36" s="28" t="s">
        <v>1622</v>
      </c>
      <c r="G36" s="28" t="s">
        <v>1221</v>
      </c>
      <c r="H36" s="28" t="s">
        <v>1623</v>
      </c>
    </row>
    <row r="37" customFormat="false" ht="15" hidden="false" customHeight="false" outlineLevel="0" collapsed="false">
      <c r="A37" s="28" t="s">
        <v>388</v>
      </c>
      <c r="B37" s="28" t="s">
        <v>322</v>
      </c>
      <c r="C37" s="28" t="s">
        <v>1601</v>
      </c>
      <c r="D37" s="19" t="n">
        <v>0.05</v>
      </c>
      <c r="F37" s="28" t="s">
        <v>1622</v>
      </c>
      <c r="G37" s="28" t="s">
        <v>1221</v>
      </c>
      <c r="H37" s="28" t="s">
        <v>1623</v>
      </c>
    </row>
    <row r="38" customFormat="false" ht="15" hidden="false" customHeight="false" outlineLevel="0" collapsed="false">
      <c r="A38" s="28" t="s">
        <v>388</v>
      </c>
      <c r="B38" s="28" t="s">
        <v>322</v>
      </c>
      <c r="C38" s="28" t="s">
        <v>1602</v>
      </c>
      <c r="D38" s="19" t="n">
        <v>0.045</v>
      </c>
      <c r="F38" s="28" t="s">
        <v>1622</v>
      </c>
      <c r="G38" s="28" t="s">
        <v>1221</v>
      </c>
      <c r="H38" s="28" t="s">
        <v>1623</v>
      </c>
    </row>
    <row r="39" customFormat="false" ht="15" hidden="false" customHeight="false" outlineLevel="0" collapsed="false">
      <c r="A39" s="28" t="s">
        <v>388</v>
      </c>
      <c r="B39" s="28" t="s">
        <v>322</v>
      </c>
      <c r="C39" s="28" t="s">
        <v>249</v>
      </c>
      <c r="D39" s="19" t="n">
        <v>0.16</v>
      </c>
      <c r="F39" s="28" t="s">
        <v>1622</v>
      </c>
      <c r="G39" s="28" t="s">
        <v>1221</v>
      </c>
      <c r="H39" s="28" t="s">
        <v>1623</v>
      </c>
    </row>
    <row r="40" customFormat="false" ht="15" hidden="false" customHeight="false" outlineLevel="0" collapsed="false">
      <c r="A40" s="28" t="s">
        <v>1624</v>
      </c>
      <c r="B40" s="28" t="s">
        <v>322</v>
      </c>
      <c r="C40" s="28" t="s">
        <v>1625</v>
      </c>
      <c r="D40" s="23" t="n">
        <v>25000000</v>
      </c>
      <c r="F40" s="28" t="s">
        <v>1626</v>
      </c>
      <c r="G40" s="28" t="s">
        <v>497</v>
      </c>
      <c r="H40" s="28" t="s">
        <v>1627</v>
      </c>
    </row>
    <row r="41" customFormat="false" ht="15" hidden="false" customHeight="false" outlineLevel="0" collapsed="false">
      <c r="A41" s="28" t="s">
        <v>1624</v>
      </c>
      <c r="B41" s="28" t="s">
        <v>322</v>
      </c>
      <c r="C41" s="28" t="s">
        <v>1628</v>
      </c>
      <c r="D41" s="23" t="n">
        <v>1500000</v>
      </c>
      <c r="F41" s="28" t="s">
        <v>1629</v>
      </c>
      <c r="G41" s="28" t="s">
        <v>497</v>
      </c>
      <c r="H41" s="28" t="s">
        <v>1627</v>
      </c>
    </row>
    <row r="42" customFormat="false" ht="15" hidden="false" customHeight="false" outlineLevel="0" collapsed="false">
      <c r="A42" s="28" t="s">
        <v>1624</v>
      </c>
      <c r="B42" s="28" t="s">
        <v>322</v>
      </c>
      <c r="C42" s="28" t="s">
        <v>1630</v>
      </c>
      <c r="D42" s="23" t="n">
        <v>21900000</v>
      </c>
      <c r="F42" s="28" t="s">
        <v>1631</v>
      </c>
      <c r="G42" s="28" t="s">
        <v>497</v>
      </c>
      <c r="H42" s="28" t="s">
        <v>1632</v>
      </c>
    </row>
    <row r="43" customFormat="false" ht="15" hidden="false" customHeight="false" outlineLevel="0" collapsed="false">
      <c r="A43" s="28" t="s">
        <v>1624</v>
      </c>
      <c r="B43" s="28" t="s">
        <v>322</v>
      </c>
      <c r="C43" s="28" t="s">
        <v>1633</v>
      </c>
      <c r="D43" s="23" t="n">
        <v>1400000</v>
      </c>
      <c r="F43" s="28" t="s">
        <v>1634</v>
      </c>
      <c r="G43" s="28" t="s">
        <v>497</v>
      </c>
      <c r="H43" s="28" t="s">
        <v>1632</v>
      </c>
    </row>
    <row r="44" customFormat="false" ht="15" hidden="false" customHeight="false" outlineLevel="0" collapsed="false">
      <c r="A44" s="28" t="s">
        <v>1624</v>
      </c>
      <c r="B44" s="28" t="s">
        <v>322</v>
      </c>
      <c r="C44" s="28" t="s">
        <v>1635</v>
      </c>
      <c r="D44" s="23" t="n">
        <v>3400000</v>
      </c>
      <c r="F44" s="28" t="s">
        <v>1636</v>
      </c>
      <c r="G44" s="28" t="s">
        <v>497</v>
      </c>
      <c r="H44" s="28" t="s">
        <v>1637</v>
      </c>
    </row>
    <row r="45" customFormat="false" ht="15" hidden="false" customHeight="false" outlineLevel="0" collapsed="false">
      <c r="A45" s="28" t="s">
        <v>1624</v>
      </c>
      <c r="B45" s="28" t="s">
        <v>322</v>
      </c>
      <c r="C45" s="28" t="s">
        <v>1638</v>
      </c>
      <c r="D45" s="23" t="n">
        <v>185000</v>
      </c>
      <c r="F45" s="28" t="s">
        <v>1639</v>
      </c>
      <c r="G45" s="28" t="s">
        <v>497</v>
      </c>
      <c r="H45" s="28" t="s">
        <v>1637</v>
      </c>
    </row>
  </sheetData>
  <autoFilter ref="A1:H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1"/>
    <col collapsed="false" customWidth="true" hidden="false" outlineLevel="0" max="4" min="2" style="0" width="14"/>
    <col collapsed="false" customWidth="true" hidden="false" outlineLevel="0" max="5" min="5" style="0" width="9"/>
    <col collapsed="false" customWidth="true" hidden="false" outlineLevel="0" max="6" min="6" style="0" width="15"/>
    <col collapsed="false" customWidth="true" hidden="false" outlineLevel="0" max="7" min="7" style="0" width="11"/>
    <col collapsed="false" customWidth="true" hidden="false" outlineLevel="0" max="8" min="8" style="0" width="12"/>
    <col collapsed="false" customWidth="true" hidden="false" outlineLevel="0" max="9" min="9" style="0" width="90"/>
    <col collapsed="false" customWidth="true" hidden="false" outlineLevel="0" max="10" min="10" style="0" width="70"/>
    <col collapsed="false" customWidth="true" hidden="false" outlineLevel="0" max="11" min="11" style="0" width="15"/>
    <col collapsed="false" customWidth="true" hidden="false" outlineLevel="0" max="12" min="12" style="0" width="12"/>
  </cols>
  <sheetData>
    <row r="1" customFormat="false" ht="30" hidden="false" customHeight="true" outlineLevel="0" collapsed="false">
      <c r="A1" s="27" t="s">
        <v>1640</v>
      </c>
      <c r="B1" s="27" t="s">
        <v>221</v>
      </c>
      <c r="C1" s="27" t="s">
        <v>1641</v>
      </c>
      <c r="D1" s="27" t="s">
        <v>1642</v>
      </c>
      <c r="E1" s="27" t="s">
        <v>1643</v>
      </c>
      <c r="F1" s="27" t="s">
        <v>1644</v>
      </c>
      <c r="G1" s="27" t="s">
        <v>1645</v>
      </c>
      <c r="H1" s="27" t="s">
        <v>1646</v>
      </c>
      <c r="I1" s="27" t="s">
        <v>145</v>
      </c>
      <c r="J1" s="27" t="s">
        <v>443</v>
      </c>
      <c r="K1" s="27" t="s">
        <v>1647</v>
      </c>
      <c r="L1" s="27" t="s">
        <v>442</v>
      </c>
    </row>
    <row r="2" customFormat="false" ht="15" hidden="false" customHeight="false" outlineLevel="0" collapsed="false">
      <c r="A2" s="28" t="s">
        <v>1648</v>
      </c>
      <c r="B2" s="23" t="n">
        <v>25000000</v>
      </c>
      <c r="C2" s="23" t="n">
        <v>150000</v>
      </c>
      <c r="I2" s="28" t="s">
        <v>1649</v>
      </c>
      <c r="J2" s="28" t="s">
        <v>1627</v>
      </c>
      <c r="K2" s="23" t="n">
        <v>1500000</v>
      </c>
      <c r="L2" s="28" t="s">
        <v>497</v>
      </c>
    </row>
    <row r="3" customFormat="false" ht="15" hidden="false" customHeight="false" outlineLevel="0" collapsed="false">
      <c r="A3" s="28" t="s">
        <v>1650</v>
      </c>
      <c r="B3" s="23" t="n">
        <v>21900000</v>
      </c>
      <c r="I3" s="28" t="s">
        <v>1651</v>
      </c>
      <c r="J3" s="28" t="s">
        <v>1632</v>
      </c>
      <c r="K3" s="23" t="n">
        <v>1400000</v>
      </c>
      <c r="L3" s="28" t="s">
        <v>497</v>
      </c>
    </row>
    <row r="4" customFormat="false" ht="15" hidden="false" customHeight="false" outlineLevel="0" collapsed="false">
      <c r="A4" s="28" t="s">
        <v>1652</v>
      </c>
      <c r="B4" s="23" t="n">
        <v>3400000</v>
      </c>
      <c r="C4" s="23" t="n">
        <v>185000</v>
      </c>
      <c r="I4" s="28" t="s">
        <v>1653</v>
      </c>
      <c r="J4" s="28" t="s">
        <v>1637</v>
      </c>
      <c r="K4" s="23" t="n">
        <v>185000</v>
      </c>
      <c r="L4" s="28" t="s">
        <v>497</v>
      </c>
    </row>
  </sheetData>
  <autoFilter ref="A1:L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 collapsed="false" customWidth="true" hidden="false" outlineLevel="0" max="4" min="4" style="0" width="18"/>
    <col collapsed="false" customWidth="true" hidden="false" outlineLevel="0" max="5" min="5" style="0" width="90"/>
    <col collapsed="false" customWidth="true" hidden="false" outlineLevel="0" max="6" min="6" style="0" width="26"/>
    <col collapsed="false" customWidth="true" hidden="false" outlineLevel="0" max="7" min="7" style="0" width="14"/>
    <col collapsed="false" customWidth="true" hidden="false" outlineLevel="0" max="8" min="8" style="0" width="12"/>
    <col collapsed="false" customWidth="true" hidden="false" outlineLevel="0" max="9" min="9" style="0" width="60"/>
    <col collapsed="false" customWidth="true" hidden="false" outlineLevel="0" max="10" min="10" style="0" width="14"/>
    <col collapsed="false" customWidth="true" hidden="false" outlineLevel="0" max="11" min="11" style="0" width="22"/>
  </cols>
  <sheetData>
    <row r="1" customFormat="false" ht="30" hidden="false" customHeight="true" outlineLevel="0" collapsed="false">
      <c r="A1" s="27" t="s">
        <v>1654</v>
      </c>
      <c r="B1" s="27" t="s">
        <v>1655</v>
      </c>
      <c r="C1" s="27" t="s">
        <v>1656</v>
      </c>
      <c r="D1" s="27" t="s">
        <v>1657</v>
      </c>
      <c r="E1" s="27" t="s">
        <v>1658</v>
      </c>
      <c r="F1" s="27" t="s">
        <v>1659</v>
      </c>
      <c r="G1" s="27" t="s">
        <v>1660</v>
      </c>
      <c r="H1" s="27" t="s">
        <v>442</v>
      </c>
      <c r="I1" s="27" t="s">
        <v>443</v>
      </c>
      <c r="J1" s="27" t="s">
        <v>1661</v>
      </c>
      <c r="K1" s="27" t="s">
        <v>1662</v>
      </c>
    </row>
    <row r="2" customFormat="false" ht="15" hidden="false" customHeight="false" outlineLevel="0" collapsed="false">
      <c r="A2" s="28" t="s">
        <v>319</v>
      </c>
      <c r="B2" s="23" t="n">
        <v>191951.574717622</v>
      </c>
      <c r="C2" s="23" t="n">
        <v>217705.058</v>
      </c>
      <c r="D2" s="23" t="n">
        <v>4</v>
      </c>
      <c r="E2" s="28" t="s">
        <v>1663</v>
      </c>
      <c r="F2" s="23" t="n">
        <v>194804.438956649</v>
      </c>
      <c r="G2" s="28" t="s">
        <v>318</v>
      </c>
      <c r="H2" s="28" t="s">
        <v>493</v>
      </c>
      <c r="I2" s="28" t="s">
        <v>1664</v>
      </c>
      <c r="J2" s="14" t="n">
        <f aca="false">B2/C2-1</f>
        <v>-0.118295291432217</v>
      </c>
      <c r="K2" s="14" t="n">
        <f aca="false">F2/C2-1</f>
        <v>-0.105191028879776</v>
      </c>
    </row>
    <row r="3" customFormat="false" ht="15" hidden="false" customHeight="false" outlineLevel="0" collapsed="false">
      <c r="A3" s="28" t="s">
        <v>320</v>
      </c>
      <c r="B3" s="23" t="n">
        <v>229668.322735207</v>
      </c>
      <c r="C3" s="23" t="n">
        <v>257443.593</v>
      </c>
      <c r="D3" s="23" t="n">
        <v>4</v>
      </c>
      <c r="E3" s="28" t="s">
        <v>1665</v>
      </c>
      <c r="F3" s="23" t="n">
        <v>238519.753392871</v>
      </c>
      <c r="G3" s="28" t="s">
        <v>319</v>
      </c>
      <c r="H3" s="28" t="s">
        <v>493</v>
      </c>
      <c r="I3" s="28" t="s">
        <v>1664</v>
      </c>
      <c r="J3" s="14" t="n">
        <f aca="false">B3/C3-1</f>
        <v>-0.107888760955853</v>
      </c>
      <c r="K3" s="14" t="n">
        <f aca="false">F3/C3-1</f>
        <v>-0.0735067413665591</v>
      </c>
    </row>
    <row r="4" customFormat="false" ht="15" hidden="false" customHeight="false" outlineLevel="0" collapsed="false">
      <c r="A4" s="28" t="s">
        <v>322</v>
      </c>
      <c r="B4" s="23" t="n">
        <v>145478.46618201</v>
      </c>
      <c r="C4" s="23" t="n">
        <v>155630.259</v>
      </c>
      <c r="D4" s="23" t="n">
        <v>2</v>
      </c>
      <c r="E4" s="28" t="s">
        <v>1666</v>
      </c>
      <c r="F4" s="23" t="n">
        <v>148776.850170826</v>
      </c>
      <c r="G4" s="28" t="s">
        <v>320</v>
      </c>
      <c r="H4" s="28" t="s">
        <v>493</v>
      </c>
      <c r="I4" s="28" t="s">
        <v>1667</v>
      </c>
      <c r="J4" s="14" t="n">
        <f aca="false">B4/C4-1</f>
        <v>-0.0652301993405409</v>
      </c>
      <c r="K4" s="14" t="n">
        <f aca="false">F4/C4-1</f>
        <v>-0.0440364802655369</v>
      </c>
    </row>
  </sheetData>
  <autoFilter ref="A1:K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3"/>
    <col collapsed="false" customWidth="true" hidden="false" outlineLevel="0" max="4" min="4" style="0" width="25"/>
    <col collapsed="false" customWidth="true" hidden="false" outlineLevel="0" max="5" min="5" style="0" width="21"/>
    <col collapsed="false" customWidth="true" hidden="false" outlineLevel="0" max="6" min="6" style="0" width="36"/>
    <col collapsed="false" customWidth="true" hidden="false" outlineLevel="0" max="8" min="7" style="0" width="12"/>
    <col collapsed="false" customWidth="true" hidden="false" outlineLevel="0" max="9" min="9" style="0" width="80"/>
  </cols>
  <sheetData>
    <row r="1" customFormat="false" ht="30" hidden="false" customHeight="true" outlineLevel="0" collapsed="false">
      <c r="A1" s="27" t="s">
        <v>712</v>
      </c>
      <c r="B1" s="27" t="s">
        <v>1668</v>
      </c>
      <c r="C1" s="27" t="s">
        <v>1669</v>
      </c>
      <c r="D1" s="27" t="s">
        <v>1670</v>
      </c>
      <c r="E1" s="27" t="s">
        <v>1391</v>
      </c>
      <c r="F1" s="27" t="s">
        <v>1671</v>
      </c>
      <c r="G1" s="27" t="s">
        <v>1672</v>
      </c>
      <c r="H1" s="27" t="s">
        <v>442</v>
      </c>
      <c r="I1" s="27" t="s">
        <v>443</v>
      </c>
    </row>
    <row r="2" customFormat="false" ht="15" hidden="false" customHeight="false" outlineLevel="0" collapsed="false">
      <c r="A2" s="28" t="s">
        <v>1673</v>
      </c>
      <c r="B2" s="28" t="s">
        <v>1674</v>
      </c>
      <c r="C2" s="19" t="n">
        <v>0.0511132075471698</v>
      </c>
      <c r="D2" s="19" t="n">
        <v>0.0152521077978544</v>
      </c>
      <c r="E2" s="32" t="n">
        <v>0.298398565258872</v>
      </c>
      <c r="F2" s="28" t="s">
        <v>1675</v>
      </c>
      <c r="H2" s="28" t="s">
        <v>493</v>
      </c>
      <c r="I2" s="28" t="s">
        <v>1676</v>
      </c>
    </row>
    <row r="3" customFormat="false" ht="15" hidden="false" customHeight="false" outlineLevel="0" collapsed="false">
      <c r="A3" s="28" t="s">
        <v>1673</v>
      </c>
      <c r="B3" s="28" t="s">
        <v>1677</v>
      </c>
      <c r="C3" s="19" t="n">
        <v>-0.0156132075471698</v>
      </c>
      <c r="D3" s="19" t="n">
        <v>-0.00269144559735209</v>
      </c>
      <c r="E3" s="32" t="n">
        <v>0.172382618319832</v>
      </c>
      <c r="F3" s="28" t="s">
        <v>1678</v>
      </c>
      <c r="H3" s="28" t="s">
        <v>493</v>
      </c>
      <c r="I3" s="28" t="s">
        <v>1679</v>
      </c>
    </row>
    <row r="4" customFormat="false" ht="15" hidden="false" customHeight="false" outlineLevel="0" collapsed="false">
      <c r="A4" s="28" t="s">
        <v>1673</v>
      </c>
      <c r="B4" s="28" t="s">
        <v>1680</v>
      </c>
      <c r="C4" s="19" t="n">
        <v>0.0025</v>
      </c>
      <c r="F4" s="28" t="s">
        <v>1681</v>
      </c>
      <c r="H4" s="28" t="s">
        <v>497</v>
      </c>
      <c r="I4" s="28" t="s">
        <v>1682</v>
      </c>
    </row>
    <row r="5" customFormat="false" ht="15" hidden="false" customHeight="false" outlineLevel="0" collapsed="false">
      <c r="A5" s="28" t="s">
        <v>764</v>
      </c>
      <c r="B5" s="28" t="s">
        <v>1674</v>
      </c>
      <c r="C5" s="19" t="n">
        <v>0.0511132075471698</v>
      </c>
      <c r="D5" s="19" t="n">
        <v>0.0194230188679245</v>
      </c>
      <c r="E5" s="32" t="n">
        <v>0.38</v>
      </c>
      <c r="F5" s="28" t="s">
        <v>1675</v>
      </c>
      <c r="G5" s="32" t="n">
        <v>0.427</v>
      </c>
      <c r="H5" s="28" t="s">
        <v>493</v>
      </c>
      <c r="I5" s="28" t="s">
        <v>1683</v>
      </c>
    </row>
    <row r="6" customFormat="false" ht="15" hidden="false" customHeight="false" outlineLevel="0" collapsed="false">
      <c r="A6" s="28" t="s">
        <v>764</v>
      </c>
      <c r="B6" s="28" t="s">
        <v>1677</v>
      </c>
      <c r="C6" s="19" t="n">
        <v>-0.0156132075471698</v>
      </c>
      <c r="D6" s="19" t="n">
        <v>-0.00468396226415094</v>
      </c>
      <c r="E6" s="32" t="n">
        <v>0.3</v>
      </c>
      <c r="F6" s="28" t="s">
        <v>1678</v>
      </c>
      <c r="G6" s="32" t="n">
        <v>0.341</v>
      </c>
      <c r="H6" s="28" t="s">
        <v>493</v>
      </c>
      <c r="I6" s="28" t="s">
        <v>1684</v>
      </c>
    </row>
    <row r="7" customFormat="false" ht="15" hidden="false" customHeight="false" outlineLevel="0" collapsed="false">
      <c r="A7" s="28" t="s">
        <v>773</v>
      </c>
      <c r="B7" s="28" t="s">
        <v>1674</v>
      </c>
      <c r="C7" s="19" t="n">
        <v>0.0511132075471698</v>
      </c>
      <c r="D7" s="19" t="n">
        <v>0.0316901886792453</v>
      </c>
      <c r="E7" s="32" t="n">
        <v>0.62</v>
      </c>
      <c r="F7" s="28" t="s">
        <v>1675</v>
      </c>
      <c r="G7" s="32" t="n">
        <v>1</v>
      </c>
      <c r="H7" s="28" t="s">
        <v>493</v>
      </c>
      <c r="I7" s="28" t="s">
        <v>1683</v>
      </c>
    </row>
    <row r="8" customFormat="false" ht="15" hidden="false" customHeight="false" outlineLevel="0" collapsed="false">
      <c r="A8" s="28" t="s">
        <v>773</v>
      </c>
      <c r="B8" s="28" t="s">
        <v>1677</v>
      </c>
      <c r="C8" s="19" t="n">
        <v>-0.0156132075471698</v>
      </c>
      <c r="D8" s="19" t="n">
        <v>-0.00655754716981132</v>
      </c>
      <c r="E8" s="32" t="n">
        <v>0.42</v>
      </c>
      <c r="F8" s="28" t="s">
        <v>1678</v>
      </c>
      <c r="G8" s="32" t="n">
        <v>1</v>
      </c>
      <c r="H8" s="28" t="s">
        <v>493</v>
      </c>
      <c r="I8" s="28" t="s">
        <v>1684</v>
      </c>
    </row>
    <row r="9" customFormat="false" ht="15" hidden="false" customHeight="false" outlineLevel="0" collapsed="false">
      <c r="A9" s="28" t="s">
        <v>759</v>
      </c>
      <c r="B9" s="28" t="s">
        <v>1674</v>
      </c>
      <c r="C9" s="19" t="n">
        <v>0.0511132075471698</v>
      </c>
      <c r="D9" s="19" t="n">
        <v>0.000511132075471698</v>
      </c>
      <c r="E9" s="32" t="n">
        <v>0.01</v>
      </c>
      <c r="F9" s="28" t="s">
        <v>1675</v>
      </c>
      <c r="G9" s="32" t="n">
        <v>0.036</v>
      </c>
      <c r="H9" s="28" t="s">
        <v>493</v>
      </c>
      <c r="I9" s="28" t="s">
        <v>1683</v>
      </c>
    </row>
    <row r="10" customFormat="false" ht="15" hidden="false" customHeight="false" outlineLevel="0" collapsed="false">
      <c r="A10" s="28" t="s">
        <v>759</v>
      </c>
      <c r="B10" s="28" t="s">
        <v>1677</v>
      </c>
      <c r="C10" s="19" t="n">
        <v>-0.0156132075471698</v>
      </c>
      <c r="D10" s="19" t="n">
        <v>-0.000156132075471698</v>
      </c>
      <c r="E10" s="32" t="n">
        <v>0.01</v>
      </c>
      <c r="F10" s="28" t="s">
        <v>1678</v>
      </c>
      <c r="G10" s="32" t="n">
        <v>0.03</v>
      </c>
      <c r="H10" s="28" t="s">
        <v>493</v>
      </c>
      <c r="I10" s="28" t="s">
        <v>1684</v>
      </c>
    </row>
    <row r="11" customFormat="false" ht="15" hidden="false" customHeight="false" outlineLevel="0" collapsed="false">
      <c r="A11" s="28" t="s">
        <v>763</v>
      </c>
      <c r="B11" s="28" t="s">
        <v>1674</v>
      </c>
      <c r="C11" s="19" t="n">
        <v>0.0511132075471698</v>
      </c>
      <c r="D11" s="19" t="n">
        <v>0.00153339622641509</v>
      </c>
      <c r="E11" s="32" t="n">
        <v>0.03</v>
      </c>
      <c r="F11" s="28" t="s">
        <v>1675</v>
      </c>
      <c r="G11" s="32" t="n">
        <v>0.051</v>
      </c>
      <c r="H11" s="28" t="s">
        <v>493</v>
      </c>
      <c r="I11" s="28" t="s">
        <v>1683</v>
      </c>
    </row>
    <row r="12" customFormat="false" ht="15" hidden="false" customHeight="false" outlineLevel="0" collapsed="false">
      <c r="A12" s="28" t="s">
        <v>763</v>
      </c>
      <c r="B12" s="28" t="s">
        <v>1677</v>
      </c>
      <c r="C12" s="19" t="n">
        <v>-0.0156132075471698</v>
      </c>
      <c r="D12" s="19" t="n">
        <v>-0.000468396226415094</v>
      </c>
      <c r="E12" s="32" t="n">
        <v>0.03</v>
      </c>
      <c r="F12" s="28" t="s">
        <v>1678</v>
      </c>
      <c r="G12" s="32" t="n">
        <v>0.051</v>
      </c>
      <c r="H12" s="28" t="s">
        <v>493</v>
      </c>
      <c r="I12" s="28" t="s">
        <v>1684</v>
      </c>
    </row>
  </sheetData>
  <autoFilter ref="A1:I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22"/>
    <col collapsed="false" customWidth="true" hidden="false" outlineLevel="0" max="4" min="4" style="0" width="14"/>
    <col collapsed="false" customWidth="true" hidden="false" outlineLevel="0" max="5" min="5" style="0" width="36"/>
    <col collapsed="false" customWidth="true" hidden="false" outlineLevel="0" max="6" min="6" style="0" width="80"/>
  </cols>
  <sheetData>
    <row r="1" customFormat="false" ht="30" hidden="false" customHeight="true" outlineLevel="0" collapsed="false">
      <c r="A1" s="27" t="s">
        <v>1491</v>
      </c>
      <c r="B1" s="27" t="s">
        <v>236</v>
      </c>
      <c r="C1" s="27" t="s">
        <v>238</v>
      </c>
      <c r="D1" s="27" t="s">
        <v>442</v>
      </c>
      <c r="E1" s="27" t="s">
        <v>237</v>
      </c>
      <c r="F1" s="27" t="s">
        <v>443</v>
      </c>
    </row>
    <row r="2" customFormat="false" ht="15" hidden="false" customHeight="false" outlineLevel="0" collapsed="false">
      <c r="A2" s="28" t="s">
        <v>1513</v>
      </c>
      <c r="B2" s="28" t="s">
        <v>1559</v>
      </c>
      <c r="C2" s="23" t="n">
        <v>504296</v>
      </c>
      <c r="D2" s="28" t="s">
        <v>497</v>
      </c>
      <c r="E2" s="28" t="s">
        <v>1685</v>
      </c>
      <c r="F2" s="28" t="s">
        <v>1686</v>
      </c>
    </row>
    <row r="3" customFormat="false" ht="15" hidden="false" customHeight="false" outlineLevel="0" collapsed="false">
      <c r="A3" s="28" t="s">
        <v>1513</v>
      </c>
      <c r="B3" s="28" t="s">
        <v>240</v>
      </c>
      <c r="C3" s="23" t="n">
        <v>9535159.326</v>
      </c>
      <c r="D3" s="28" t="s">
        <v>452</v>
      </c>
      <c r="E3" s="28" t="s">
        <v>19</v>
      </c>
      <c r="F3" s="28" t="s">
        <v>1687</v>
      </c>
    </row>
    <row r="4" customFormat="false" ht="15" hidden="false" customHeight="false" outlineLevel="0" collapsed="false">
      <c r="A4" s="28" t="s">
        <v>1513</v>
      </c>
      <c r="B4" s="28" t="s">
        <v>68</v>
      </c>
      <c r="C4" s="23" t="n">
        <v>4998963.516</v>
      </c>
      <c r="D4" s="28" t="s">
        <v>452</v>
      </c>
      <c r="E4" s="28" t="s">
        <v>241</v>
      </c>
      <c r="F4" s="28" t="s">
        <v>1687</v>
      </c>
    </row>
    <row r="5" customFormat="false" ht="15" hidden="false" customHeight="false" outlineLevel="0" collapsed="false">
      <c r="A5" s="28" t="s">
        <v>1513</v>
      </c>
      <c r="B5" s="28" t="s">
        <v>242</v>
      </c>
      <c r="C5" s="23" t="n">
        <v>8537116.754</v>
      </c>
      <c r="D5" s="28" t="s">
        <v>452</v>
      </c>
      <c r="E5" s="28" t="s">
        <v>243</v>
      </c>
      <c r="F5" s="28" t="s">
        <v>1687</v>
      </c>
    </row>
    <row r="6" customFormat="false" ht="15" hidden="false" customHeight="false" outlineLevel="0" collapsed="false">
      <c r="A6" s="28" t="s">
        <v>1513</v>
      </c>
      <c r="B6" s="28" t="s">
        <v>244</v>
      </c>
      <c r="C6" s="19" t="n">
        <v>0.585556419110442</v>
      </c>
      <c r="D6" s="28" t="s">
        <v>452</v>
      </c>
      <c r="E6" s="28" t="s">
        <v>23</v>
      </c>
      <c r="F6" s="28" t="s">
        <v>1687</v>
      </c>
    </row>
    <row r="7" customFormat="false" ht="15" hidden="false" customHeight="false" outlineLevel="0" collapsed="false">
      <c r="A7" s="28" t="s">
        <v>1513</v>
      </c>
      <c r="B7" s="28" t="s">
        <v>251</v>
      </c>
      <c r="C7" s="19" t="n">
        <v>0.0081746362653013</v>
      </c>
      <c r="D7" s="28" t="s">
        <v>493</v>
      </c>
      <c r="E7" s="28" t="s">
        <v>1688</v>
      </c>
      <c r="F7" s="28" t="s">
        <v>1689</v>
      </c>
    </row>
    <row r="8" customFormat="false" ht="15" hidden="false" customHeight="false" outlineLevel="0" collapsed="false">
      <c r="A8" s="28" t="s">
        <v>1513</v>
      </c>
      <c r="B8" s="28" t="s">
        <v>255</v>
      </c>
      <c r="C8" s="19" t="n">
        <v>0.0282218163535479</v>
      </c>
      <c r="D8" s="28" t="s">
        <v>493</v>
      </c>
      <c r="E8" s="28" t="s">
        <v>1690</v>
      </c>
      <c r="F8" s="28" t="s">
        <v>1691</v>
      </c>
    </row>
    <row r="9" customFormat="false" ht="15" hidden="false" customHeight="false" outlineLevel="0" collapsed="false">
      <c r="A9" s="28" t="s">
        <v>1513</v>
      </c>
      <c r="B9" s="28" t="s">
        <v>245</v>
      </c>
      <c r="C9" s="19" t="n">
        <v>0.120100613734995</v>
      </c>
      <c r="D9" s="28" t="s">
        <v>493</v>
      </c>
      <c r="E9" s="28" t="s">
        <v>21</v>
      </c>
      <c r="F9" s="28" t="s">
        <v>1692</v>
      </c>
    </row>
    <row r="10" customFormat="false" ht="15" hidden="false" customHeight="false" outlineLevel="0" collapsed="false">
      <c r="A10" s="28" t="s">
        <v>1513</v>
      </c>
      <c r="B10" s="28" t="s">
        <v>1564</v>
      </c>
      <c r="C10" s="23" t="n">
        <v>16000</v>
      </c>
      <c r="D10" s="28" t="s">
        <v>497</v>
      </c>
      <c r="E10" s="28" t="s">
        <v>1693</v>
      </c>
      <c r="F10" s="28" t="s">
        <v>1694</v>
      </c>
    </row>
    <row r="11" customFormat="false" ht="15" hidden="false" customHeight="false" outlineLevel="0" collapsed="false">
      <c r="A11" s="28" t="s">
        <v>1513</v>
      </c>
      <c r="B11" s="28" t="s">
        <v>1561</v>
      </c>
      <c r="C11" s="23" t="n">
        <v>49</v>
      </c>
      <c r="D11" s="28" t="s">
        <v>497</v>
      </c>
      <c r="E11" s="28" t="s">
        <v>1695</v>
      </c>
      <c r="F11" s="28" t="s">
        <v>1696</v>
      </c>
    </row>
    <row r="12" customFormat="false" ht="15" hidden="false" customHeight="false" outlineLevel="0" collapsed="false">
      <c r="A12" s="28" t="s">
        <v>1513</v>
      </c>
      <c r="B12" s="28" t="s">
        <v>1697</v>
      </c>
      <c r="C12" s="23" t="n">
        <v>4700</v>
      </c>
      <c r="D12" s="28" t="s">
        <v>497</v>
      </c>
      <c r="E12" s="28" t="s">
        <v>1698</v>
      </c>
      <c r="F12" s="28" t="s">
        <v>1699</v>
      </c>
    </row>
    <row r="13" customFormat="false" ht="15" hidden="false" customHeight="false" outlineLevel="0" collapsed="false">
      <c r="A13" s="28" t="s">
        <v>1513</v>
      </c>
      <c r="B13" s="28" t="s">
        <v>1700</v>
      </c>
      <c r="C13" s="23" t="n">
        <v>9945</v>
      </c>
      <c r="D13" s="28" t="s">
        <v>497</v>
      </c>
      <c r="E13" s="28" t="s">
        <v>1701</v>
      </c>
      <c r="F13" s="28" t="s">
        <v>1702</v>
      </c>
    </row>
    <row r="14" customFormat="false" ht="15" hidden="false" customHeight="false" outlineLevel="0" collapsed="false">
      <c r="A14" s="28" t="s">
        <v>1513</v>
      </c>
      <c r="B14" s="28" t="s">
        <v>1703</v>
      </c>
      <c r="C14" s="23" t="n">
        <v>92000</v>
      </c>
      <c r="D14" s="28" t="s">
        <v>497</v>
      </c>
      <c r="E14" s="28" t="s">
        <v>1704</v>
      </c>
      <c r="F14" s="28" t="s">
        <v>1702</v>
      </c>
    </row>
    <row r="15" customFormat="false" ht="15" hidden="false" customHeight="false" outlineLevel="0" collapsed="false">
      <c r="A15" s="28" t="s">
        <v>1513</v>
      </c>
      <c r="B15" s="28" t="s">
        <v>1705</v>
      </c>
      <c r="C15" s="23" t="n">
        <v>15653</v>
      </c>
      <c r="D15" s="28" t="s">
        <v>497</v>
      </c>
      <c r="E15" s="28" t="s">
        <v>1706</v>
      </c>
      <c r="F15" s="28" t="s">
        <v>1702</v>
      </c>
    </row>
    <row r="16" customFormat="false" ht="15" hidden="false" customHeight="false" outlineLevel="0" collapsed="false">
      <c r="A16" s="28" t="s">
        <v>1513</v>
      </c>
      <c r="B16" s="28" t="s">
        <v>1707</v>
      </c>
      <c r="C16" s="23" t="n">
        <v>7500</v>
      </c>
      <c r="D16" s="28" t="s">
        <v>497</v>
      </c>
      <c r="E16" s="28" t="s">
        <v>1708</v>
      </c>
      <c r="F16" s="28" t="s">
        <v>1702</v>
      </c>
    </row>
    <row r="17" customFormat="false" ht="15" hidden="false" customHeight="false" outlineLevel="0" collapsed="false">
      <c r="A17" s="28" t="s">
        <v>1513</v>
      </c>
      <c r="B17" s="28" t="s">
        <v>1709</v>
      </c>
      <c r="C17" s="23" t="n">
        <v>34401</v>
      </c>
      <c r="D17" s="28" t="s">
        <v>497</v>
      </c>
      <c r="E17" s="28" t="s">
        <v>1710</v>
      </c>
      <c r="F17" s="28" t="s">
        <v>1702</v>
      </c>
    </row>
    <row r="18" customFormat="false" ht="15" hidden="false" customHeight="false" outlineLevel="0" collapsed="false">
      <c r="A18" s="28" t="s">
        <v>1515</v>
      </c>
      <c r="B18" s="28" t="s">
        <v>1559</v>
      </c>
      <c r="C18" s="23" t="n">
        <v>534357</v>
      </c>
      <c r="D18" s="28" t="s">
        <v>1221</v>
      </c>
      <c r="E18" s="28" t="s">
        <v>1685</v>
      </c>
      <c r="F18" s="28" t="s">
        <v>1711</v>
      </c>
    </row>
    <row r="19" customFormat="false" ht="15" hidden="false" customHeight="false" outlineLevel="0" collapsed="false">
      <c r="A19" s="28" t="s">
        <v>1515</v>
      </c>
      <c r="B19" s="28" t="s">
        <v>240</v>
      </c>
      <c r="C19" s="23" t="n">
        <v>10255167.0635763</v>
      </c>
      <c r="D19" s="28" t="s">
        <v>1221</v>
      </c>
      <c r="E19" s="28" t="s">
        <v>19</v>
      </c>
      <c r="F19" s="28" t="s">
        <v>1711</v>
      </c>
    </row>
    <row r="20" customFormat="false" ht="15" hidden="false" customHeight="false" outlineLevel="0" collapsed="false">
      <c r="A20" s="28" t="s">
        <v>1515</v>
      </c>
      <c r="B20" s="28" t="s">
        <v>68</v>
      </c>
      <c r="C20" s="23" t="n">
        <v>5564392.96501169</v>
      </c>
      <c r="D20" s="28" t="s">
        <v>1221</v>
      </c>
      <c r="E20" s="28" t="s">
        <v>241</v>
      </c>
      <c r="F20" s="28" t="s">
        <v>1711</v>
      </c>
    </row>
    <row r="21" customFormat="false" ht="15" hidden="false" customHeight="false" outlineLevel="0" collapsed="false">
      <c r="A21" s="28" t="s">
        <v>1515</v>
      </c>
      <c r="B21" s="28" t="s">
        <v>242</v>
      </c>
      <c r="C21" s="23" t="n">
        <v>9117398.56226043</v>
      </c>
      <c r="D21" s="28" t="s">
        <v>1221</v>
      </c>
      <c r="E21" s="28" t="s">
        <v>243</v>
      </c>
      <c r="F21" s="28" t="s">
        <v>1711</v>
      </c>
    </row>
    <row r="22" customFormat="false" ht="15" hidden="false" customHeight="false" outlineLevel="0" collapsed="false">
      <c r="A22" s="28" t="s">
        <v>1515</v>
      </c>
      <c r="B22" s="28" t="s">
        <v>244</v>
      </c>
      <c r="C22" s="19" t="n">
        <v>0.610304894210102</v>
      </c>
      <c r="D22" s="28" t="s">
        <v>1221</v>
      </c>
      <c r="E22" s="28" t="s">
        <v>23</v>
      </c>
      <c r="F22" s="28" t="s">
        <v>1711</v>
      </c>
    </row>
    <row r="23" customFormat="false" ht="15" hidden="false" customHeight="false" outlineLevel="0" collapsed="false">
      <c r="A23" s="28" t="s">
        <v>1515</v>
      </c>
      <c r="B23" s="28" t="s">
        <v>251</v>
      </c>
      <c r="C23" s="19" t="n">
        <v>0.01381</v>
      </c>
      <c r="D23" s="28" t="s">
        <v>1221</v>
      </c>
      <c r="E23" s="28" t="s">
        <v>1688</v>
      </c>
      <c r="F23" s="28" t="s">
        <v>1711</v>
      </c>
    </row>
    <row r="24" customFormat="false" ht="15" hidden="false" customHeight="false" outlineLevel="0" collapsed="false">
      <c r="A24" s="28" t="s">
        <v>1515</v>
      </c>
      <c r="B24" s="28" t="s">
        <v>245</v>
      </c>
      <c r="C24" s="19" t="n">
        <v>0.12125</v>
      </c>
      <c r="D24" s="28" t="s">
        <v>1221</v>
      </c>
      <c r="E24" s="28" t="s">
        <v>21</v>
      </c>
      <c r="F24" s="28" t="s">
        <v>1712</v>
      </c>
    </row>
    <row r="25" customFormat="false" ht="15" hidden="false" customHeight="false" outlineLevel="0" collapsed="false">
      <c r="A25" s="28" t="s">
        <v>1515</v>
      </c>
      <c r="B25" s="28" t="s">
        <v>1564</v>
      </c>
      <c r="C25" s="23" t="n">
        <v>16000</v>
      </c>
      <c r="D25" s="28" t="s">
        <v>1221</v>
      </c>
      <c r="E25" s="28" t="s">
        <v>1693</v>
      </c>
      <c r="F25" s="28" t="s">
        <v>1711</v>
      </c>
    </row>
    <row r="26" customFormat="false" ht="15" hidden="false" customHeight="false" outlineLevel="0" collapsed="false">
      <c r="A26" s="28" t="s">
        <v>1515</v>
      </c>
      <c r="B26" s="28" t="s">
        <v>1561</v>
      </c>
      <c r="C26" s="23" t="n">
        <v>51</v>
      </c>
      <c r="D26" s="28" t="s">
        <v>1221</v>
      </c>
      <c r="E26" s="28" t="s">
        <v>1695</v>
      </c>
      <c r="F26" s="28" t="s">
        <v>1711</v>
      </c>
    </row>
    <row r="27" customFormat="false" ht="15" hidden="false" customHeight="false" outlineLevel="0" collapsed="false">
      <c r="A27" s="28" t="s">
        <v>1713</v>
      </c>
      <c r="B27" s="28" t="s">
        <v>1559</v>
      </c>
      <c r="C27" s="23" t="n">
        <v>569091</v>
      </c>
      <c r="D27" s="28" t="s">
        <v>1221</v>
      </c>
      <c r="E27" s="28" t="s">
        <v>1685</v>
      </c>
      <c r="F27" s="28" t="s">
        <v>1711</v>
      </c>
    </row>
    <row r="28" customFormat="false" ht="15" hidden="false" customHeight="false" outlineLevel="0" collapsed="false">
      <c r="A28" s="28" t="s">
        <v>1713</v>
      </c>
      <c r="B28" s="28" t="s">
        <v>240</v>
      </c>
      <c r="C28" s="23" t="n">
        <v>10991725.7760112</v>
      </c>
      <c r="D28" s="28" t="s">
        <v>1221</v>
      </c>
      <c r="E28" s="28" t="s">
        <v>19</v>
      </c>
      <c r="F28" s="28" t="s">
        <v>1711</v>
      </c>
    </row>
    <row r="29" customFormat="false" ht="15" hidden="false" customHeight="false" outlineLevel="0" collapsed="false">
      <c r="A29" s="28" t="s">
        <v>1713</v>
      </c>
      <c r="B29" s="28" t="s">
        <v>68</v>
      </c>
      <c r="C29" s="23" t="n">
        <v>6120832.26151285</v>
      </c>
      <c r="D29" s="28" t="s">
        <v>1221</v>
      </c>
      <c r="E29" s="28" t="s">
        <v>241</v>
      </c>
      <c r="F29" s="28" t="s">
        <v>1711</v>
      </c>
    </row>
    <row r="30" customFormat="false" ht="15" hidden="false" customHeight="false" outlineLevel="0" collapsed="false">
      <c r="A30" s="28" t="s">
        <v>1713</v>
      </c>
      <c r="B30" s="28" t="s">
        <v>242</v>
      </c>
      <c r="C30" s="23" t="n">
        <v>9664442.47599605</v>
      </c>
      <c r="D30" s="28" t="s">
        <v>1221</v>
      </c>
      <c r="E30" s="28" t="s">
        <v>243</v>
      </c>
      <c r="F30" s="28" t="s">
        <v>1711</v>
      </c>
    </row>
    <row r="31" customFormat="false" ht="15" hidden="false" customHeight="false" outlineLevel="0" collapsed="false">
      <c r="A31" s="28" t="s">
        <v>1713</v>
      </c>
      <c r="B31" s="28" t="s">
        <v>244</v>
      </c>
      <c r="C31" s="19" t="n">
        <v>0.633335267576521</v>
      </c>
      <c r="D31" s="28" t="s">
        <v>1221</v>
      </c>
      <c r="E31" s="28" t="s">
        <v>23</v>
      </c>
      <c r="F31" s="28" t="s">
        <v>1711</v>
      </c>
    </row>
    <row r="32" customFormat="false" ht="15" hidden="false" customHeight="false" outlineLevel="0" collapsed="false">
      <c r="A32" s="28" t="s">
        <v>1713</v>
      </c>
      <c r="B32" s="28" t="s">
        <v>251</v>
      </c>
      <c r="C32" s="19" t="n">
        <v>0.0123</v>
      </c>
      <c r="D32" s="28" t="s">
        <v>1221</v>
      </c>
      <c r="E32" s="28" t="s">
        <v>1688</v>
      </c>
      <c r="F32" s="28" t="s">
        <v>1711</v>
      </c>
    </row>
    <row r="33" customFormat="false" ht="15" hidden="false" customHeight="false" outlineLevel="0" collapsed="false">
      <c r="A33" s="28" t="s">
        <v>1713</v>
      </c>
      <c r="B33" s="28" t="s">
        <v>245</v>
      </c>
      <c r="C33" s="19" t="n">
        <v>0.12501</v>
      </c>
      <c r="D33" s="28" t="s">
        <v>1221</v>
      </c>
      <c r="E33" s="28" t="s">
        <v>21</v>
      </c>
      <c r="F33" s="28" t="s">
        <v>1712</v>
      </c>
    </row>
    <row r="34" customFormat="false" ht="15" hidden="false" customHeight="false" outlineLevel="0" collapsed="false">
      <c r="A34" s="28" t="s">
        <v>1713</v>
      </c>
      <c r="B34" s="28" t="s">
        <v>1564</v>
      </c>
      <c r="C34" s="23" t="n">
        <v>16000</v>
      </c>
      <c r="D34" s="28" t="s">
        <v>1221</v>
      </c>
      <c r="E34" s="28" t="s">
        <v>1693</v>
      </c>
      <c r="F34" s="28" t="s">
        <v>1711</v>
      </c>
    </row>
    <row r="35" customFormat="false" ht="15" hidden="false" customHeight="false" outlineLevel="0" collapsed="false">
      <c r="A35" s="28" t="s">
        <v>1713</v>
      </c>
      <c r="B35" s="28" t="s">
        <v>1561</v>
      </c>
      <c r="C35" s="23" t="n">
        <v>53</v>
      </c>
      <c r="D35" s="28" t="s">
        <v>1221</v>
      </c>
      <c r="E35" s="28" t="s">
        <v>1695</v>
      </c>
      <c r="F35" s="28" t="s">
        <v>1711</v>
      </c>
    </row>
    <row r="36" customFormat="false" ht="15" hidden="false" customHeight="false" outlineLevel="0" collapsed="false">
      <c r="A36" s="28" t="s">
        <v>1714</v>
      </c>
      <c r="B36" s="28" t="s">
        <v>1559</v>
      </c>
      <c r="C36" s="23" t="n">
        <v>606082</v>
      </c>
      <c r="D36" s="28" t="s">
        <v>1221</v>
      </c>
      <c r="E36" s="28" t="s">
        <v>1685</v>
      </c>
      <c r="F36" s="28" t="s">
        <v>1711</v>
      </c>
    </row>
    <row r="37" customFormat="false" ht="15" hidden="false" customHeight="false" outlineLevel="0" collapsed="false">
      <c r="A37" s="28" t="s">
        <v>1714</v>
      </c>
      <c r="B37" s="28" t="s">
        <v>240</v>
      </c>
      <c r="C37" s="23" t="n">
        <v>11739529.4827189</v>
      </c>
      <c r="D37" s="28" t="s">
        <v>1221</v>
      </c>
      <c r="E37" s="28" t="s">
        <v>19</v>
      </c>
      <c r="F37" s="28" t="s">
        <v>1711</v>
      </c>
    </row>
    <row r="38" customFormat="false" ht="15" hidden="false" customHeight="false" outlineLevel="0" collapsed="false">
      <c r="A38" s="28" t="s">
        <v>1714</v>
      </c>
      <c r="B38" s="28" t="s">
        <v>68</v>
      </c>
      <c r="C38" s="23" t="n">
        <v>6732915.48766414</v>
      </c>
      <c r="D38" s="28" t="s">
        <v>1221</v>
      </c>
      <c r="E38" s="28" t="s">
        <v>241</v>
      </c>
      <c r="F38" s="28" t="s">
        <v>1711</v>
      </c>
    </row>
    <row r="39" customFormat="false" ht="15" hidden="false" customHeight="false" outlineLevel="0" collapsed="false">
      <c r="A39" s="28" t="s">
        <v>1714</v>
      </c>
      <c r="B39" s="28" t="s">
        <v>242</v>
      </c>
      <c r="C39" s="23" t="n">
        <v>10244309.0245558</v>
      </c>
      <c r="D39" s="28" t="s">
        <v>1221</v>
      </c>
      <c r="E39" s="28" t="s">
        <v>243</v>
      </c>
      <c r="F39" s="28" t="s">
        <v>1711</v>
      </c>
    </row>
    <row r="40" customFormat="false" ht="15" hidden="false" customHeight="false" outlineLevel="0" collapsed="false">
      <c r="A40" s="28" t="s">
        <v>1714</v>
      </c>
      <c r="B40" s="28" t="s">
        <v>244</v>
      </c>
      <c r="C40" s="19" t="n">
        <v>0.657234711636012</v>
      </c>
      <c r="D40" s="28" t="s">
        <v>1221</v>
      </c>
      <c r="E40" s="28" t="s">
        <v>23</v>
      </c>
      <c r="F40" s="28" t="s">
        <v>1711</v>
      </c>
    </row>
    <row r="41" customFormat="false" ht="15" hidden="false" customHeight="false" outlineLevel="0" collapsed="false">
      <c r="A41" s="28" t="s">
        <v>1714</v>
      </c>
      <c r="B41" s="28" t="s">
        <v>251</v>
      </c>
      <c r="C41" s="19" t="n">
        <v>0.01161</v>
      </c>
      <c r="D41" s="28" t="s">
        <v>1221</v>
      </c>
      <c r="E41" s="28" t="s">
        <v>1688</v>
      </c>
      <c r="F41" s="28" t="s">
        <v>1711</v>
      </c>
    </row>
    <row r="42" customFormat="false" ht="15" hidden="false" customHeight="false" outlineLevel="0" collapsed="false">
      <c r="A42" s="28" t="s">
        <v>1714</v>
      </c>
      <c r="B42" s="28" t="s">
        <v>245</v>
      </c>
      <c r="C42" s="19" t="n">
        <v>0.12829</v>
      </c>
      <c r="D42" s="28" t="s">
        <v>1221</v>
      </c>
      <c r="E42" s="28" t="s">
        <v>21</v>
      </c>
      <c r="F42" s="28" t="s">
        <v>1712</v>
      </c>
    </row>
    <row r="43" customFormat="false" ht="15" hidden="false" customHeight="false" outlineLevel="0" collapsed="false">
      <c r="A43" s="28" t="s">
        <v>1714</v>
      </c>
      <c r="B43" s="28" t="s">
        <v>1564</v>
      </c>
      <c r="C43" s="23" t="n">
        <v>18000</v>
      </c>
      <c r="D43" s="28" t="s">
        <v>1221</v>
      </c>
      <c r="E43" s="28" t="s">
        <v>1693</v>
      </c>
      <c r="F43" s="28" t="s">
        <v>1711</v>
      </c>
    </row>
    <row r="44" customFormat="false" ht="15" hidden="false" customHeight="false" outlineLevel="0" collapsed="false">
      <c r="A44" s="28" t="s">
        <v>1714</v>
      </c>
      <c r="B44" s="28" t="s">
        <v>1561</v>
      </c>
      <c r="C44" s="23" t="n">
        <v>55</v>
      </c>
      <c r="D44" s="28" t="s">
        <v>1221</v>
      </c>
      <c r="E44" s="28" t="s">
        <v>1695</v>
      </c>
      <c r="F44" s="28" t="s">
        <v>1711</v>
      </c>
    </row>
    <row r="45" customFormat="false" ht="15" hidden="false" customHeight="false" outlineLevel="0" collapsed="false">
      <c r="A45" s="28" t="s">
        <v>1715</v>
      </c>
      <c r="B45" s="28" t="s">
        <v>1559</v>
      </c>
      <c r="C45" s="23" t="n">
        <v>645477</v>
      </c>
      <c r="D45" s="28" t="s">
        <v>1221</v>
      </c>
      <c r="E45" s="28" t="s">
        <v>1685</v>
      </c>
      <c r="F45" s="28" t="s">
        <v>1711</v>
      </c>
    </row>
    <row r="46" customFormat="false" ht="15" hidden="false" customHeight="false" outlineLevel="0" collapsed="false">
      <c r="A46" s="28" t="s">
        <v>1715</v>
      </c>
      <c r="B46" s="28" t="s">
        <v>240</v>
      </c>
      <c r="C46" s="23" t="n">
        <v>12532025.5222991</v>
      </c>
      <c r="D46" s="28" t="s">
        <v>1221</v>
      </c>
      <c r="E46" s="28" t="s">
        <v>19</v>
      </c>
      <c r="F46" s="28" t="s">
        <v>1711</v>
      </c>
    </row>
    <row r="47" customFormat="false" ht="15" hidden="false" customHeight="false" outlineLevel="0" collapsed="false">
      <c r="A47" s="28" t="s">
        <v>1715</v>
      </c>
      <c r="B47" s="28" t="s">
        <v>68</v>
      </c>
      <c r="C47" s="23" t="n">
        <v>7406207.03643056</v>
      </c>
      <c r="D47" s="28" t="s">
        <v>1221</v>
      </c>
      <c r="E47" s="28" t="s">
        <v>241</v>
      </c>
      <c r="F47" s="28" t="s">
        <v>1711</v>
      </c>
    </row>
    <row r="48" customFormat="false" ht="15" hidden="false" customHeight="false" outlineLevel="0" collapsed="false">
      <c r="A48" s="28" t="s">
        <v>1715</v>
      </c>
      <c r="B48" s="28" t="s">
        <v>242</v>
      </c>
      <c r="C48" s="23" t="n">
        <v>10858967.5660292</v>
      </c>
      <c r="D48" s="28" t="s">
        <v>1221</v>
      </c>
      <c r="E48" s="28" t="s">
        <v>243</v>
      </c>
      <c r="F48" s="28" t="s">
        <v>1711</v>
      </c>
    </row>
    <row r="49" customFormat="false" ht="15" hidden="false" customHeight="false" outlineLevel="0" collapsed="false">
      <c r="A49" s="28" t="s">
        <v>1715</v>
      </c>
      <c r="B49" s="28" t="s">
        <v>244</v>
      </c>
      <c r="C49" s="19" t="n">
        <v>0.68203602150907</v>
      </c>
      <c r="D49" s="28" t="s">
        <v>1221</v>
      </c>
      <c r="E49" s="28" t="s">
        <v>23</v>
      </c>
      <c r="F49" s="28" t="s">
        <v>1711</v>
      </c>
    </row>
    <row r="50" customFormat="false" ht="15" hidden="false" customHeight="false" outlineLevel="0" collapsed="false">
      <c r="A50" s="28" t="s">
        <v>1715</v>
      </c>
      <c r="B50" s="28" t="s">
        <v>251</v>
      </c>
      <c r="C50" s="19" t="n">
        <v>0.01199</v>
      </c>
      <c r="D50" s="28" t="s">
        <v>1221</v>
      </c>
      <c r="E50" s="28" t="s">
        <v>1688</v>
      </c>
      <c r="F50" s="28" t="s">
        <v>1711</v>
      </c>
    </row>
    <row r="51" customFormat="false" ht="15" hidden="false" customHeight="false" outlineLevel="0" collapsed="false">
      <c r="A51" s="28" t="s">
        <v>1715</v>
      </c>
      <c r="B51" s="28" t="s">
        <v>245</v>
      </c>
      <c r="C51" s="19" t="n">
        <v>0.13179</v>
      </c>
      <c r="D51" s="28" t="s">
        <v>1221</v>
      </c>
      <c r="E51" s="28" t="s">
        <v>21</v>
      </c>
      <c r="F51" s="28" t="s">
        <v>1712</v>
      </c>
    </row>
    <row r="52" customFormat="false" ht="15" hidden="false" customHeight="false" outlineLevel="0" collapsed="false">
      <c r="A52" s="28" t="s">
        <v>1715</v>
      </c>
      <c r="B52" s="28" t="s">
        <v>1564</v>
      </c>
      <c r="C52" s="23" t="n">
        <v>18000</v>
      </c>
      <c r="D52" s="28" t="s">
        <v>1221</v>
      </c>
      <c r="E52" s="28" t="s">
        <v>1693</v>
      </c>
      <c r="F52" s="28" t="s">
        <v>1711</v>
      </c>
    </row>
    <row r="53" customFormat="false" ht="15" hidden="false" customHeight="false" outlineLevel="0" collapsed="false">
      <c r="A53" s="28" t="s">
        <v>1715</v>
      </c>
      <c r="B53" s="28" t="s">
        <v>1561</v>
      </c>
      <c r="C53" s="23" t="n">
        <v>57</v>
      </c>
      <c r="D53" s="28" t="s">
        <v>1221</v>
      </c>
      <c r="E53" s="28" t="s">
        <v>1695</v>
      </c>
      <c r="F53" s="28" t="s">
        <v>1711</v>
      </c>
    </row>
    <row r="54" customFormat="false" ht="15" hidden="false" customHeight="false" outlineLevel="0" collapsed="false">
      <c r="A54" s="28" t="s">
        <v>1716</v>
      </c>
      <c r="B54" s="28" t="s">
        <v>1559</v>
      </c>
      <c r="C54" s="23" t="n">
        <v>687433</v>
      </c>
      <c r="D54" s="28" t="s">
        <v>1221</v>
      </c>
      <c r="E54" s="28" t="s">
        <v>1685</v>
      </c>
      <c r="F54" s="28" t="s">
        <v>1711</v>
      </c>
    </row>
    <row r="55" customFormat="false" ht="15" hidden="false" customHeight="false" outlineLevel="0" collapsed="false">
      <c r="A55" s="28" t="s">
        <v>1716</v>
      </c>
      <c r="B55" s="28" t="s">
        <v>240</v>
      </c>
      <c r="C55" s="23" t="n">
        <v>13373379.2360326</v>
      </c>
      <c r="D55" s="28" t="s">
        <v>1221</v>
      </c>
      <c r="E55" s="28" t="s">
        <v>19</v>
      </c>
      <c r="F55" s="28" t="s">
        <v>1711</v>
      </c>
    </row>
    <row r="56" customFormat="false" ht="15" hidden="false" customHeight="false" outlineLevel="0" collapsed="false">
      <c r="A56" s="28" t="s">
        <v>1716</v>
      </c>
      <c r="B56" s="28" t="s">
        <v>68</v>
      </c>
      <c r="C56" s="23" t="n">
        <v>8146827.74007361</v>
      </c>
      <c r="D56" s="28" t="s">
        <v>1221</v>
      </c>
      <c r="E56" s="28" t="s">
        <v>241</v>
      </c>
      <c r="F56" s="28" t="s">
        <v>1711</v>
      </c>
    </row>
    <row r="57" customFormat="false" ht="15" hidden="false" customHeight="false" outlineLevel="0" collapsed="false">
      <c r="A57" s="28" t="s">
        <v>1716</v>
      </c>
      <c r="B57" s="28" t="s">
        <v>242</v>
      </c>
      <c r="C57" s="23" t="n">
        <v>11510505.6199909</v>
      </c>
      <c r="D57" s="28" t="s">
        <v>1221</v>
      </c>
      <c r="E57" s="28" t="s">
        <v>243</v>
      </c>
      <c r="F57" s="28" t="s">
        <v>1711</v>
      </c>
    </row>
    <row r="58" customFormat="false" ht="15" hidden="false" customHeight="false" outlineLevel="0" collapsed="false">
      <c r="A58" s="28" t="s">
        <v>1716</v>
      </c>
      <c r="B58" s="28" t="s">
        <v>244</v>
      </c>
      <c r="C58" s="19" t="n">
        <v>0.707773229867902</v>
      </c>
      <c r="D58" s="28" t="s">
        <v>1221</v>
      </c>
      <c r="E58" s="28" t="s">
        <v>23</v>
      </c>
      <c r="F58" s="28" t="s">
        <v>1711</v>
      </c>
    </row>
    <row r="59" customFormat="false" ht="15" hidden="false" customHeight="false" outlineLevel="0" collapsed="false">
      <c r="A59" s="28" t="s">
        <v>1716</v>
      </c>
      <c r="B59" s="28" t="s">
        <v>251</v>
      </c>
      <c r="C59" s="19" t="n">
        <v>0.0124</v>
      </c>
      <c r="D59" s="28" t="s">
        <v>1221</v>
      </c>
      <c r="E59" s="28" t="s">
        <v>1688</v>
      </c>
      <c r="F59" s="28" t="s">
        <v>1711</v>
      </c>
    </row>
    <row r="60" customFormat="false" ht="15" hidden="false" customHeight="false" outlineLevel="0" collapsed="false">
      <c r="A60" s="28" t="s">
        <v>1716</v>
      </c>
      <c r="B60" s="28" t="s">
        <v>245</v>
      </c>
      <c r="C60" s="19" t="n">
        <v>0.13551</v>
      </c>
      <c r="D60" s="28" t="s">
        <v>1221</v>
      </c>
      <c r="E60" s="28" t="s">
        <v>21</v>
      </c>
      <c r="F60" s="28" t="s">
        <v>1712</v>
      </c>
    </row>
    <row r="61" customFormat="false" ht="15" hidden="false" customHeight="false" outlineLevel="0" collapsed="false">
      <c r="A61" s="28" t="s">
        <v>1716</v>
      </c>
      <c r="B61" s="28" t="s">
        <v>1564</v>
      </c>
      <c r="C61" s="23" t="n">
        <v>20000</v>
      </c>
      <c r="D61" s="28" t="s">
        <v>1221</v>
      </c>
      <c r="E61" s="28" t="s">
        <v>1693</v>
      </c>
      <c r="F61" s="28" t="s">
        <v>1711</v>
      </c>
    </row>
    <row r="62" customFormat="false" ht="15" hidden="false" customHeight="false" outlineLevel="0" collapsed="false">
      <c r="A62" s="28" t="s">
        <v>1716</v>
      </c>
      <c r="B62" s="28" t="s">
        <v>1561</v>
      </c>
      <c r="C62" s="23" t="n">
        <v>59</v>
      </c>
      <c r="D62" s="28" t="s">
        <v>1221</v>
      </c>
      <c r="E62" s="28" t="s">
        <v>1695</v>
      </c>
      <c r="F62" s="28" t="s">
        <v>1711</v>
      </c>
    </row>
    <row r="63" customFormat="false" ht="15" hidden="false" customHeight="false" outlineLevel="0" collapsed="false">
      <c r="A63" s="28" t="s">
        <v>1515</v>
      </c>
      <c r="B63" s="28" t="s">
        <v>1697</v>
      </c>
      <c r="C63" s="23" t="n">
        <v>5000</v>
      </c>
      <c r="D63" s="28" t="s">
        <v>1221</v>
      </c>
      <c r="E63" s="28" t="s">
        <v>1698</v>
      </c>
      <c r="F63" s="28" t="s">
        <v>1717</v>
      </c>
    </row>
    <row r="64" customFormat="false" ht="15" hidden="false" customHeight="false" outlineLevel="0" collapsed="false">
      <c r="A64" s="28" t="s">
        <v>1515</v>
      </c>
      <c r="B64" s="28" t="s">
        <v>1700</v>
      </c>
      <c r="C64" s="23" t="n">
        <v>10500</v>
      </c>
      <c r="D64" s="28" t="s">
        <v>1221</v>
      </c>
      <c r="E64" s="28" t="s">
        <v>1701</v>
      </c>
      <c r="F64" s="28" t="s">
        <v>1717</v>
      </c>
    </row>
    <row r="65" customFormat="false" ht="15" hidden="false" customHeight="false" outlineLevel="0" collapsed="false">
      <c r="A65" s="28" t="s">
        <v>1515</v>
      </c>
      <c r="B65" s="28" t="s">
        <v>1703</v>
      </c>
      <c r="C65" s="23" t="n">
        <v>110000</v>
      </c>
      <c r="D65" s="28" t="s">
        <v>1221</v>
      </c>
      <c r="E65" s="28" t="s">
        <v>1704</v>
      </c>
      <c r="F65" s="28" t="s">
        <v>1717</v>
      </c>
    </row>
    <row r="66" customFormat="false" ht="15" hidden="false" customHeight="false" outlineLevel="0" collapsed="false">
      <c r="A66" s="28" t="s">
        <v>1515</v>
      </c>
      <c r="B66" s="28" t="s">
        <v>1705</v>
      </c>
      <c r="C66" s="23" t="n">
        <v>20000</v>
      </c>
      <c r="D66" s="28" t="s">
        <v>1221</v>
      </c>
      <c r="E66" s="28" t="s">
        <v>1706</v>
      </c>
      <c r="F66" s="28" t="s">
        <v>1717</v>
      </c>
    </row>
    <row r="67" customFormat="false" ht="15" hidden="false" customHeight="false" outlineLevel="0" collapsed="false">
      <c r="A67" s="28" t="s">
        <v>1515</v>
      </c>
      <c r="B67" s="28" t="s">
        <v>1707</v>
      </c>
      <c r="C67" s="23" t="n">
        <v>10000</v>
      </c>
      <c r="D67" s="28" t="s">
        <v>1221</v>
      </c>
      <c r="E67" s="28" t="s">
        <v>1708</v>
      </c>
      <c r="F67" s="28" t="s">
        <v>1717</v>
      </c>
    </row>
    <row r="68" customFormat="false" ht="15" hidden="false" customHeight="false" outlineLevel="0" collapsed="false">
      <c r="A68" s="28" t="s">
        <v>1515</v>
      </c>
      <c r="B68" s="28" t="s">
        <v>1718</v>
      </c>
      <c r="C68" s="15" t="s">
        <v>1719</v>
      </c>
      <c r="D68" s="28" t="s">
        <v>1221</v>
      </c>
      <c r="E68" s="28" t="s">
        <v>1720</v>
      </c>
      <c r="F68" s="28" t="s">
        <v>1717</v>
      </c>
    </row>
    <row r="69" customFormat="false" ht="15" hidden="false" customHeight="false" outlineLevel="0" collapsed="false">
      <c r="A69" s="28" t="s">
        <v>1515</v>
      </c>
      <c r="B69" s="28" t="s">
        <v>1721</v>
      </c>
      <c r="C69" s="19" t="n">
        <v>0.0095</v>
      </c>
      <c r="D69" s="28" t="s">
        <v>1221</v>
      </c>
      <c r="E69" s="28" t="s">
        <v>1722</v>
      </c>
      <c r="F69" s="28" t="s">
        <v>1717</v>
      </c>
    </row>
    <row r="70" customFormat="false" ht="15" hidden="false" customHeight="false" outlineLevel="0" collapsed="false">
      <c r="A70" s="28" t="s">
        <v>1515</v>
      </c>
      <c r="B70" s="28" t="s">
        <v>1723</v>
      </c>
      <c r="C70" s="19" t="n">
        <v>0.11</v>
      </c>
      <c r="D70" s="28" t="s">
        <v>1221</v>
      </c>
      <c r="E70" s="28" t="s">
        <v>1724</v>
      </c>
      <c r="F70" s="28" t="s">
        <v>1717</v>
      </c>
    </row>
    <row r="71" customFormat="false" ht="15" hidden="false" customHeight="false" outlineLevel="0" collapsed="false">
      <c r="A71" s="28" t="s">
        <v>1515</v>
      </c>
      <c r="B71" s="28" t="s">
        <v>1725</v>
      </c>
      <c r="C71" s="19" t="n">
        <v>0.7</v>
      </c>
      <c r="D71" s="28" t="s">
        <v>1221</v>
      </c>
      <c r="E71" s="28" t="s">
        <v>1726</v>
      </c>
      <c r="F71" s="28" t="s">
        <v>1717</v>
      </c>
    </row>
    <row r="72" customFormat="false" ht="15" hidden="false" customHeight="false" outlineLevel="0" collapsed="false">
      <c r="A72" s="28" t="s">
        <v>1713</v>
      </c>
      <c r="B72" s="28" t="s">
        <v>1697</v>
      </c>
      <c r="C72" s="23" t="n">
        <v>5200</v>
      </c>
      <c r="D72" s="28" t="s">
        <v>1221</v>
      </c>
      <c r="E72" s="28" t="s">
        <v>1698</v>
      </c>
      <c r="F72" s="28" t="s">
        <v>1717</v>
      </c>
    </row>
    <row r="73" customFormat="false" ht="15" hidden="false" customHeight="false" outlineLevel="0" collapsed="false">
      <c r="A73" s="28" t="s">
        <v>1713</v>
      </c>
      <c r="B73" s="28" t="s">
        <v>1700</v>
      </c>
      <c r="C73" s="23" t="n">
        <v>11000</v>
      </c>
      <c r="D73" s="28" t="s">
        <v>1221</v>
      </c>
      <c r="E73" s="28" t="s">
        <v>1701</v>
      </c>
      <c r="F73" s="28" t="s">
        <v>1717</v>
      </c>
    </row>
    <row r="74" customFormat="false" ht="15" hidden="false" customHeight="false" outlineLevel="0" collapsed="false">
      <c r="A74" s="28" t="s">
        <v>1713</v>
      </c>
      <c r="B74" s="28" t="s">
        <v>1703</v>
      </c>
      <c r="C74" s="23" t="n">
        <v>125000</v>
      </c>
      <c r="D74" s="28" t="s">
        <v>1221</v>
      </c>
      <c r="E74" s="28" t="s">
        <v>1704</v>
      </c>
      <c r="F74" s="28" t="s">
        <v>1717</v>
      </c>
    </row>
    <row r="75" customFormat="false" ht="15" hidden="false" customHeight="false" outlineLevel="0" collapsed="false">
      <c r="A75" s="28" t="s">
        <v>1713</v>
      </c>
      <c r="B75" s="28" t="s">
        <v>1705</v>
      </c>
      <c r="C75" s="23" t="n">
        <v>22000</v>
      </c>
      <c r="D75" s="28" t="s">
        <v>1221</v>
      </c>
      <c r="E75" s="28" t="s">
        <v>1706</v>
      </c>
      <c r="F75" s="28" t="s">
        <v>1717</v>
      </c>
    </row>
    <row r="76" customFormat="false" ht="15" hidden="false" customHeight="false" outlineLevel="0" collapsed="false">
      <c r="A76" s="28" t="s">
        <v>1713</v>
      </c>
      <c r="B76" s="28" t="s">
        <v>1707</v>
      </c>
      <c r="C76" s="23" t="n">
        <v>11000</v>
      </c>
      <c r="D76" s="28" t="s">
        <v>1221</v>
      </c>
      <c r="E76" s="28" t="s">
        <v>1708</v>
      </c>
      <c r="F76" s="28" t="s">
        <v>1717</v>
      </c>
    </row>
    <row r="77" customFormat="false" ht="15" hidden="false" customHeight="false" outlineLevel="0" collapsed="false">
      <c r="A77" s="28" t="s">
        <v>1713</v>
      </c>
      <c r="B77" s="28" t="s">
        <v>1718</v>
      </c>
      <c r="C77" s="15" t="s">
        <v>1719</v>
      </c>
      <c r="D77" s="28" t="s">
        <v>1221</v>
      </c>
      <c r="E77" s="28" t="s">
        <v>1720</v>
      </c>
      <c r="F77" s="28" t="s">
        <v>1717</v>
      </c>
    </row>
    <row r="78" customFormat="false" ht="15" hidden="false" customHeight="false" outlineLevel="0" collapsed="false">
      <c r="A78" s="28" t="s">
        <v>1713</v>
      </c>
      <c r="B78" s="28" t="s">
        <v>1721</v>
      </c>
      <c r="C78" s="19" t="n">
        <v>0.0095</v>
      </c>
      <c r="D78" s="28" t="s">
        <v>1221</v>
      </c>
      <c r="E78" s="28" t="s">
        <v>1722</v>
      </c>
      <c r="F78" s="28" t="s">
        <v>1717</v>
      </c>
    </row>
    <row r="79" customFormat="false" ht="15" hidden="false" customHeight="false" outlineLevel="0" collapsed="false">
      <c r="A79" s="28" t="s">
        <v>1713</v>
      </c>
      <c r="B79" s="28" t="s">
        <v>1723</v>
      </c>
      <c r="C79" s="19" t="n">
        <v>0.11</v>
      </c>
      <c r="D79" s="28" t="s">
        <v>1221</v>
      </c>
      <c r="E79" s="28" t="s">
        <v>1724</v>
      </c>
      <c r="F79" s="28" t="s">
        <v>1717</v>
      </c>
    </row>
    <row r="80" customFormat="false" ht="15" hidden="false" customHeight="false" outlineLevel="0" collapsed="false">
      <c r="A80" s="28" t="s">
        <v>1713</v>
      </c>
      <c r="B80" s="28" t="s">
        <v>1725</v>
      </c>
      <c r="C80" s="19" t="n">
        <v>0.7</v>
      </c>
      <c r="D80" s="28" t="s">
        <v>1221</v>
      </c>
      <c r="E80" s="28" t="s">
        <v>1726</v>
      </c>
      <c r="F80" s="28" t="s">
        <v>1717</v>
      </c>
    </row>
    <row r="81" customFormat="false" ht="15" hidden="false" customHeight="false" outlineLevel="0" collapsed="false">
      <c r="A81" s="28" t="s">
        <v>1714</v>
      </c>
      <c r="B81" s="28" t="s">
        <v>1697</v>
      </c>
      <c r="C81" s="23" t="n">
        <v>5400</v>
      </c>
      <c r="D81" s="28" t="s">
        <v>1221</v>
      </c>
      <c r="E81" s="28" t="s">
        <v>1698</v>
      </c>
      <c r="F81" s="28" t="s">
        <v>1717</v>
      </c>
    </row>
    <row r="82" customFormat="false" ht="15" hidden="false" customHeight="false" outlineLevel="0" collapsed="false">
      <c r="A82" s="28" t="s">
        <v>1714</v>
      </c>
      <c r="B82" s="28" t="s">
        <v>1700</v>
      </c>
      <c r="C82" s="23" t="n">
        <v>11500</v>
      </c>
      <c r="D82" s="28" t="s">
        <v>1221</v>
      </c>
      <c r="E82" s="28" t="s">
        <v>1701</v>
      </c>
      <c r="F82" s="28" t="s">
        <v>1717</v>
      </c>
    </row>
    <row r="83" customFormat="false" ht="15" hidden="false" customHeight="false" outlineLevel="0" collapsed="false">
      <c r="A83" s="28" t="s">
        <v>1714</v>
      </c>
      <c r="B83" s="28" t="s">
        <v>1703</v>
      </c>
      <c r="C83" s="23" t="n">
        <v>140000</v>
      </c>
      <c r="D83" s="28" t="s">
        <v>1221</v>
      </c>
      <c r="E83" s="28" t="s">
        <v>1704</v>
      </c>
      <c r="F83" s="28" t="s">
        <v>1717</v>
      </c>
    </row>
    <row r="84" customFormat="false" ht="15" hidden="false" customHeight="false" outlineLevel="0" collapsed="false">
      <c r="A84" s="28" t="s">
        <v>1714</v>
      </c>
      <c r="B84" s="28" t="s">
        <v>1705</v>
      </c>
      <c r="C84" s="23" t="n">
        <v>24000</v>
      </c>
      <c r="D84" s="28" t="s">
        <v>1221</v>
      </c>
      <c r="E84" s="28" t="s">
        <v>1706</v>
      </c>
      <c r="F84" s="28" t="s">
        <v>1717</v>
      </c>
    </row>
    <row r="85" customFormat="false" ht="15" hidden="false" customHeight="false" outlineLevel="0" collapsed="false">
      <c r="A85" s="28" t="s">
        <v>1714</v>
      </c>
      <c r="B85" s="28" t="s">
        <v>1707</v>
      </c>
      <c r="C85" s="23" t="n">
        <v>12000</v>
      </c>
      <c r="D85" s="28" t="s">
        <v>1221</v>
      </c>
      <c r="E85" s="28" t="s">
        <v>1708</v>
      </c>
      <c r="F85" s="28" t="s">
        <v>1717</v>
      </c>
    </row>
    <row r="86" customFormat="false" ht="15" hidden="false" customHeight="false" outlineLevel="0" collapsed="false">
      <c r="A86" s="28" t="s">
        <v>1714</v>
      </c>
      <c r="B86" s="28" t="s">
        <v>1718</v>
      </c>
      <c r="C86" s="15" t="s">
        <v>1719</v>
      </c>
      <c r="D86" s="28" t="s">
        <v>1221</v>
      </c>
      <c r="E86" s="28" t="s">
        <v>1720</v>
      </c>
      <c r="F86" s="28" t="s">
        <v>1717</v>
      </c>
    </row>
    <row r="87" customFormat="false" ht="15" hidden="false" customHeight="false" outlineLevel="0" collapsed="false">
      <c r="A87" s="28" t="s">
        <v>1714</v>
      </c>
      <c r="B87" s="28" t="s">
        <v>1721</v>
      </c>
      <c r="C87" s="19" t="n">
        <v>0.0095</v>
      </c>
      <c r="D87" s="28" t="s">
        <v>1221</v>
      </c>
      <c r="E87" s="28" t="s">
        <v>1722</v>
      </c>
      <c r="F87" s="28" t="s">
        <v>1717</v>
      </c>
    </row>
    <row r="88" customFormat="false" ht="15" hidden="false" customHeight="false" outlineLevel="0" collapsed="false">
      <c r="A88" s="28" t="s">
        <v>1714</v>
      </c>
      <c r="B88" s="28" t="s">
        <v>1723</v>
      </c>
      <c r="C88" s="19" t="n">
        <v>0.11</v>
      </c>
      <c r="D88" s="28" t="s">
        <v>1221</v>
      </c>
      <c r="E88" s="28" t="s">
        <v>1724</v>
      </c>
      <c r="F88" s="28" t="s">
        <v>1717</v>
      </c>
    </row>
    <row r="89" customFormat="false" ht="15" hidden="false" customHeight="false" outlineLevel="0" collapsed="false">
      <c r="A89" s="28" t="s">
        <v>1714</v>
      </c>
      <c r="B89" s="28" t="s">
        <v>1725</v>
      </c>
      <c r="C89" s="19" t="n">
        <v>0.7</v>
      </c>
      <c r="D89" s="28" t="s">
        <v>1221</v>
      </c>
      <c r="E89" s="28" t="s">
        <v>1726</v>
      </c>
      <c r="F89" s="28" t="s">
        <v>1717</v>
      </c>
    </row>
    <row r="90" customFormat="false" ht="15" hidden="false" customHeight="false" outlineLevel="0" collapsed="false">
      <c r="A90" s="28" t="s">
        <v>1715</v>
      </c>
      <c r="B90" s="28" t="s">
        <v>1697</v>
      </c>
      <c r="C90" s="23" t="n">
        <v>5500</v>
      </c>
      <c r="D90" s="28" t="s">
        <v>1221</v>
      </c>
      <c r="E90" s="28" t="s">
        <v>1698</v>
      </c>
      <c r="F90" s="28" t="s">
        <v>1717</v>
      </c>
    </row>
    <row r="91" customFormat="false" ht="15" hidden="false" customHeight="false" outlineLevel="0" collapsed="false">
      <c r="A91" s="28" t="s">
        <v>1715</v>
      </c>
      <c r="B91" s="28" t="s">
        <v>1700</v>
      </c>
      <c r="C91" s="23" t="n">
        <v>12000</v>
      </c>
      <c r="D91" s="28" t="s">
        <v>1221</v>
      </c>
      <c r="E91" s="28" t="s">
        <v>1701</v>
      </c>
      <c r="F91" s="28" t="s">
        <v>1717</v>
      </c>
    </row>
    <row r="92" customFormat="false" ht="15" hidden="false" customHeight="false" outlineLevel="0" collapsed="false">
      <c r="A92" s="28" t="s">
        <v>1715</v>
      </c>
      <c r="B92" s="28" t="s">
        <v>1703</v>
      </c>
      <c r="C92" s="23" t="n">
        <v>150000</v>
      </c>
      <c r="D92" s="28" t="s">
        <v>1221</v>
      </c>
      <c r="E92" s="28" t="s">
        <v>1704</v>
      </c>
      <c r="F92" s="28" t="s">
        <v>1717</v>
      </c>
    </row>
    <row r="93" customFormat="false" ht="15" hidden="false" customHeight="false" outlineLevel="0" collapsed="false">
      <c r="A93" s="28" t="s">
        <v>1715</v>
      </c>
      <c r="B93" s="28" t="s">
        <v>1705</v>
      </c>
      <c r="C93" s="23" t="n">
        <v>25000</v>
      </c>
      <c r="D93" s="28" t="s">
        <v>1221</v>
      </c>
      <c r="E93" s="28" t="s">
        <v>1706</v>
      </c>
      <c r="F93" s="28" t="s">
        <v>1717</v>
      </c>
    </row>
    <row r="94" customFormat="false" ht="15" hidden="false" customHeight="false" outlineLevel="0" collapsed="false">
      <c r="A94" s="28" t="s">
        <v>1715</v>
      </c>
      <c r="B94" s="28" t="s">
        <v>1707</v>
      </c>
      <c r="C94" s="23" t="n">
        <v>12500</v>
      </c>
      <c r="D94" s="28" t="s">
        <v>1221</v>
      </c>
      <c r="E94" s="28" t="s">
        <v>1708</v>
      </c>
      <c r="F94" s="28" t="s">
        <v>1717</v>
      </c>
    </row>
    <row r="95" customFormat="false" ht="15" hidden="false" customHeight="false" outlineLevel="0" collapsed="false">
      <c r="A95" s="28" t="s">
        <v>1715</v>
      </c>
      <c r="B95" s="28" t="s">
        <v>1718</v>
      </c>
      <c r="C95" s="15" t="s">
        <v>1719</v>
      </c>
      <c r="D95" s="28" t="s">
        <v>1221</v>
      </c>
      <c r="E95" s="28" t="s">
        <v>1720</v>
      </c>
      <c r="F95" s="28" t="s">
        <v>1717</v>
      </c>
    </row>
    <row r="96" customFormat="false" ht="15" hidden="false" customHeight="false" outlineLevel="0" collapsed="false">
      <c r="A96" s="28" t="s">
        <v>1715</v>
      </c>
      <c r="B96" s="28" t="s">
        <v>1721</v>
      </c>
      <c r="C96" s="19" t="n">
        <v>0.0095</v>
      </c>
      <c r="D96" s="28" t="s">
        <v>1221</v>
      </c>
      <c r="E96" s="28" t="s">
        <v>1722</v>
      </c>
      <c r="F96" s="28" t="s">
        <v>1717</v>
      </c>
    </row>
    <row r="97" customFormat="false" ht="15" hidden="false" customHeight="false" outlineLevel="0" collapsed="false">
      <c r="A97" s="28" t="s">
        <v>1715</v>
      </c>
      <c r="B97" s="28" t="s">
        <v>1723</v>
      </c>
      <c r="C97" s="19" t="n">
        <v>0.11</v>
      </c>
      <c r="D97" s="28" t="s">
        <v>1221</v>
      </c>
      <c r="E97" s="28" t="s">
        <v>1724</v>
      </c>
      <c r="F97" s="28" t="s">
        <v>1717</v>
      </c>
    </row>
    <row r="98" customFormat="false" ht="15" hidden="false" customHeight="false" outlineLevel="0" collapsed="false">
      <c r="A98" s="28" t="s">
        <v>1715</v>
      </c>
      <c r="B98" s="28" t="s">
        <v>1725</v>
      </c>
      <c r="C98" s="19" t="n">
        <v>0.7</v>
      </c>
      <c r="D98" s="28" t="s">
        <v>1221</v>
      </c>
      <c r="E98" s="28" t="s">
        <v>1726</v>
      </c>
      <c r="F98" s="28" t="s">
        <v>1717</v>
      </c>
    </row>
    <row r="99" customFormat="false" ht="15" hidden="false" customHeight="false" outlineLevel="0" collapsed="false">
      <c r="A99" s="28" t="s">
        <v>1716</v>
      </c>
      <c r="B99" s="28" t="s">
        <v>1697</v>
      </c>
      <c r="C99" s="23" t="n">
        <v>5700</v>
      </c>
      <c r="D99" s="28" t="s">
        <v>1221</v>
      </c>
      <c r="E99" s="28" t="s">
        <v>1698</v>
      </c>
      <c r="F99" s="28" t="s">
        <v>1717</v>
      </c>
    </row>
    <row r="100" customFormat="false" ht="15" hidden="false" customHeight="false" outlineLevel="0" collapsed="false">
      <c r="A100" s="28" t="s">
        <v>1716</v>
      </c>
      <c r="B100" s="28" t="s">
        <v>1700</v>
      </c>
      <c r="C100" s="23" t="n">
        <v>12500</v>
      </c>
      <c r="D100" s="28" t="s">
        <v>1221</v>
      </c>
      <c r="E100" s="28" t="s">
        <v>1701</v>
      </c>
      <c r="F100" s="28" t="s">
        <v>1717</v>
      </c>
    </row>
    <row r="101" customFormat="false" ht="15" hidden="false" customHeight="false" outlineLevel="0" collapsed="false">
      <c r="A101" s="28" t="s">
        <v>1716</v>
      </c>
      <c r="B101" s="28" t="s">
        <v>1703</v>
      </c>
      <c r="C101" s="23" t="n">
        <v>160000</v>
      </c>
      <c r="D101" s="28" t="s">
        <v>1221</v>
      </c>
      <c r="E101" s="28" t="s">
        <v>1704</v>
      </c>
      <c r="F101" s="28" t="s">
        <v>1717</v>
      </c>
    </row>
    <row r="102" customFormat="false" ht="15" hidden="false" customHeight="false" outlineLevel="0" collapsed="false">
      <c r="A102" s="28" t="s">
        <v>1716</v>
      </c>
      <c r="B102" s="28" t="s">
        <v>1705</v>
      </c>
      <c r="C102" s="23" t="n">
        <v>26000</v>
      </c>
      <c r="D102" s="28" t="s">
        <v>1221</v>
      </c>
      <c r="E102" s="28" t="s">
        <v>1706</v>
      </c>
      <c r="F102" s="28" t="s">
        <v>1717</v>
      </c>
    </row>
    <row r="103" customFormat="false" ht="15" hidden="false" customHeight="false" outlineLevel="0" collapsed="false">
      <c r="A103" s="28" t="s">
        <v>1716</v>
      </c>
      <c r="B103" s="28" t="s">
        <v>1707</v>
      </c>
      <c r="C103" s="23" t="n">
        <v>13000</v>
      </c>
      <c r="D103" s="28" t="s">
        <v>1221</v>
      </c>
      <c r="E103" s="28" t="s">
        <v>1708</v>
      </c>
      <c r="F103" s="28" t="s">
        <v>1717</v>
      </c>
    </row>
    <row r="104" customFormat="false" ht="15" hidden="false" customHeight="false" outlineLevel="0" collapsed="false">
      <c r="A104" s="28" t="s">
        <v>1716</v>
      </c>
      <c r="B104" s="28" t="s">
        <v>1718</v>
      </c>
      <c r="C104" s="15" t="s">
        <v>1719</v>
      </c>
      <c r="D104" s="28" t="s">
        <v>1221</v>
      </c>
      <c r="E104" s="28" t="s">
        <v>1720</v>
      </c>
      <c r="F104" s="28" t="s">
        <v>1717</v>
      </c>
    </row>
    <row r="105" customFormat="false" ht="15" hidden="false" customHeight="false" outlineLevel="0" collapsed="false">
      <c r="A105" s="28" t="s">
        <v>1716</v>
      </c>
      <c r="B105" s="28" t="s">
        <v>1721</v>
      </c>
      <c r="C105" s="19" t="n">
        <v>0.0095</v>
      </c>
      <c r="D105" s="28" t="s">
        <v>1221</v>
      </c>
      <c r="E105" s="28" t="s">
        <v>1722</v>
      </c>
      <c r="F105" s="28" t="s">
        <v>1717</v>
      </c>
    </row>
    <row r="106" customFormat="false" ht="15" hidden="false" customHeight="false" outlineLevel="0" collapsed="false">
      <c r="A106" s="28" t="s">
        <v>1716</v>
      </c>
      <c r="B106" s="28" t="s">
        <v>1723</v>
      </c>
      <c r="C106" s="19" t="n">
        <v>0.11</v>
      </c>
      <c r="D106" s="28" t="s">
        <v>1221</v>
      </c>
      <c r="E106" s="28" t="s">
        <v>1724</v>
      </c>
      <c r="F106" s="28" t="s">
        <v>1717</v>
      </c>
    </row>
    <row r="107" customFormat="false" ht="15" hidden="false" customHeight="false" outlineLevel="0" collapsed="false">
      <c r="A107" s="28" t="s">
        <v>1716</v>
      </c>
      <c r="B107" s="28" t="s">
        <v>1725</v>
      </c>
      <c r="C107" s="19" t="n">
        <v>0.7</v>
      </c>
      <c r="D107" s="28" t="s">
        <v>1221</v>
      </c>
      <c r="E107" s="28" t="s">
        <v>1726</v>
      </c>
      <c r="F107" s="28" t="s">
        <v>1717</v>
      </c>
    </row>
    <row r="108" customFormat="false" ht="15" hidden="false" customHeight="false" outlineLevel="0" collapsed="false">
      <c r="A108" s="28" t="s">
        <v>1727</v>
      </c>
      <c r="B108" s="28" t="s">
        <v>1559</v>
      </c>
      <c r="C108" s="23" t="n">
        <v>1000000</v>
      </c>
      <c r="D108" s="28" t="s">
        <v>1221</v>
      </c>
      <c r="E108" s="28" t="s">
        <v>1728</v>
      </c>
      <c r="F108" s="28" t="s">
        <v>1729</v>
      </c>
    </row>
  </sheetData>
  <autoFilter ref="A1:F1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9"/>
    <col collapsed="false" customWidth="true" hidden="false" outlineLevel="0" max="3" min="3" style="0" width="60"/>
    <col collapsed="false" customWidth="true" hidden="false" outlineLevel="0" max="4" min="4" style="0" width="30"/>
    <col collapsed="false" customWidth="true" hidden="false" outlineLevel="0" max="5" min="5" style="0" width="13"/>
    <col collapsed="false" customWidth="true" hidden="false" outlineLevel="0" max="7" min="6" style="0" width="12"/>
    <col collapsed="false" customWidth="true" hidden="false" outlineLevel="0" max="8" min="8" style="0" width="28"/>
    <col collapsed="false" customWidth="true" hidden="false" outlineLevel="0" max="9" min="9" style="0" width="14"/>
    <col collapsed="false" customWidth="true" hidden="false" outlineLevel="0" max="11" min="10" style="0" width="12"/>
    <col collapsed="false" customWidth="true" hidden="false" outlineLevel="0" max="12" min="12" style="0" width="14"/>
    <col collapsed="false" customWidth="true" hidden="false" outlineLevel="0" max="13" min="13" style="0" width="16"/>
    <col collapsed="false" customWidth="true" hidden="false" outlineLevel="0" max="16" min="14" style="0" width="14"/>
    <col collapsed="false" customWidth="true" hidden="false" outlineLevel="0" max="17" min="17" style="0" width="36"/>
    <col collapsed="false" customWidth="true" hidden="false" outlineLevel="0" max="18" min="18" style="0" width="70"/>
    <col collapsed="false" customWidth="true" hidden="false" outlineLevel="0" max="19" min="19" style="0" width="14"/>
    <col collapsed="false" customWidth="true" hidden="false" outlineLevel="0" max="20" min="20" style="0" width="60"/>
  </cols>
  <sheetData>
    <row r="1" customFormat="false" ht="30" hidden="false" customHeight="true" outlineLevel="0" collapsed="false">
      <c r="A1" s="27" t="s">
        <v>1730</v>
      </c>
      <c r="B1" s="27" t="s">
        <v>1731</v>
      </c>
      <c r="C1" s="27" t="s">
        <v>1640</v>
      </c>
      <c r="D1" s="27" t="s">
        <v>1002</v>
      </c>
      <c r="E1" s="27" t="s">
        <v>1216</v>
      </c>
      <c r="F1" s="27" t="s">
        <v>1732</v>
      </c>
      <c r="G1" s="27" t="s">
        <v>1733</v>
      </c>
      <c r="H1" s="27" t="s">
        <v>1734</v>
      </c>
      <c r="I1" s="27" t="s">
        <v>1735</v>
      </c>
      <c r="J1" s="27" t="s">
        <v>1736</v>
      </c>
      <c r="K1" s="27" t="s">
        <v>1737</v>
      </c>
      <c r="L1" s="27" t="s">
        <v>1738</v>
      </c>
      <c r="M1" s="27" t="s">
        <v>1739</v>
      </c>
      <c r="N1" s="27" t="s">
        <v>1740</v>
      </c>
      <c r="O1" s="27" t="s">
        <v>1741</v>
      </c>
      <c r="P1" s="27" t="s">
        <v>1742</v>
      </c>
      <c r="Q1" s="27" t="s">
        <v>1743</v>
      </c>
      <c r="R1" s="27" t="s">
        <v>145</v>
      </c>
      <c r="S1" s="27" t="s">
        <v>442</v>
      </c>
      <c r="T1" s="27" t="s">
        <v>443</v>
      </c>
    </row>
    <row r="2" customFormat="false" ht="15" hidden="false" customHeight="false" outlineLevel="0" collapsed="false">
      <c r="A2" s="28" t="s">
        <v>1744</v>
      </c>
      <c r="B2" s="28" t="s">
        <v>1745</v>
      </c>
      <c r="C2" s="28" t="s">
        <v>1746</v>
      </c>
      <c r="D2" s="28" t="s">
        <v>1747</v>
      </c>
      <c r="E2" s="28" t="s">
        <v>1748</v>
      </c>
      <c r="F2" s="28" t="s">
        <v>1749</v>
      </c>
      <c r="G2" s="28" t="s">
        <v>812</v>
      </c>
      <c r="H2" s="28" t="s">
        <v>1561</v>
      </c>
      <c r="I2" s="23" t="n">
        <v>49</v>
      </c>
      <c r="J2" s="23" t="n">
        <v>58</v>
      </c>
      <c r="K2" s="23" t="n">
        <v>50</v>
      </c>
      <c r="L2" s="23" t="n">
        <v>150000</v>
      </c>
      <c r="M2" s="23" t="n">
        <v>450000</v>
      </c>
      <c r="N2" s="23" t="n">
        <v>2500</v>
      </c>
      <c r="O2" s="23" t="n">
        <v>9600</v>
      </c>
      <c r="P2" s="23" t="n">
        <v>36000</v>
      </c>
      <c r="Q2" s="28" t="s">
        <v>1750</v>
      </c>
      <c r="R2" s="28" t="s">
        <v>1751</v>
      </c>
      <c r="S2" s="28" t="s">
        <v>1221</v>
      </c>
      <c r="T2" s="28" t="s">
        <v>1752</v>
      </c>
    </row>
    <row r="3" customFormat="false" ht="15" hidden="false" customHeight="false" outlineLevel="0" collapsed="false">
      <c r="A3" s="28" t="s">
        <v>1753</v>
      </c>
      <c r="B3" s="28" t="s">
        <v>1745</v>
      </c>
      <c r="C3" s="28" t="s">
        <v>1754</v>
      </c>
      <c r="D3" s="28" t="s">
        <v>1755</v>
      </c>
      <c r="E3" s="28" t="s">
        <v>1748</v>
      </c>
      <c r="F3" s="28" t="s">
        <v>1756</v>
      </c>
      <c r="G3" s="28" t="s">
        <v>800</v>
      </c>
      <c r="H3" s="28" t="s">
        <v>1757</v>
      </c>
      <c r="I3" s="23" t="n">
        <v>0</v>
      </c>
      <c r="J3" s="23" t="n">
        <v>25000</v>
      </c>
      <c r="K3" s="23" t="n">
        <v>6800</v>
      </c>
      <c r="L3" s="23" t="n">
        <v>60000</v>
      </c>
      <c r="M3" s="23" t="n">
        <v>90000</v>
      </c>
      <c r="N3" s="23" t="n">
        <v>900</v>
      </c>
      <c r="O3" s="23" t="n">
        <v>2200</v>
      </c>
      <c r="P3" s="23" t="n">
        <v>500</v>
      </c>
      <c r="Q3" s="28" t="s">
        <v>1758</v>
      </c>
      <c r="R3" s="28" t="s">
        <v>1759</v>
      </c>
      <c r="S3" s="28" t="s">
        <v>1221</v>
      </c>
      <c r="T3" s="28" t="s">
        <v>1752</v>
      </c>
    </row>
    <row r="4" customFormat="false" ht="15" hidden="false" customHeight="false" outlineLevel="0" collapsed="false">
      <c r="A4" s="28" t="s">
        <v>1760</v>
      </c>
      <c r="B4" s="28" t="s">
        <v>1745</v>
      </c>
      <c r="C4" s="28" t="s">
        <v>1761</v>
      </c>
      <c r="D4" s="28" t="s">
        <v>1762</v>
      </c>
      <c r="E4" s="28" t="s">
        <v>1748</v>
      </c>
      <c r="F4" s="28" t="s">
        <v>1763</v>
      </c>
      <c r="G4" s="28" t="s">
        <v>794</v>
      </c>
      <c r="H4" s="28" t="s">
        <v>1705</v>
      </c>
      <c r="I4" s="23" t="n">
        <v>15653</v>
      </c>
      <c r="J4" s="23" t="n">
        <v>20000</v>
      </c>
      <c r="K4" s="23" t="n">
        <v>9100</v>
      </c>
      <c r="L4" s="23" t="n">
        <v>25000</v>
      </c>
      <c r="M4" s="23" t="n">
        <v>70000</v>
      </c>
      <c r="N4" s="23" t="n">
        <v>1200</v>
      </c>
      <c r="O4" s="23" t="n">
        <v>3000</v>
      </c>
      <c r="P4" s="23" t="n">
        <v>0</v>
      </c>
      <c r="Q4" s="28" t="s">
        <v>1764</v>
      </c>
      <c r="R4" s="28" t="s">
        <v>1765</v>
      </c>
      <c r="S4" s="28" t="s">
        <v>1221</v>
      </c>
      <c r="T4" s="28" t="s">
        <v>1752</v>
      </c>
    </row>
    <row r="5" customFormat="false" ht="15" hidden="false" customHeight="false" outlineLevel="0" collapsed="false">
      <c r="A5" s="28" t="s">
        <v>1766</v>
      </c>
      <c r="B5" s="28" t="s">
        <v>1745</v>
      </c>
      <c r="C5" s="28" t="s">
        <v>1767</v>
      </c>
      <c r="D5" s="28" t="s">
        <v>1012</v>
      </c>
      <c r="E5" s="28" t="s">
        <v>1768</v>
      </c>
      <c r="F5" s="28" t="s">
        <v>1749</v>
      </c>
      <c r="G5" s="28" t="s">
        <v>788</v>
      </c>
      <c r="H5" s="28" t="s">
        <v>1707</v>
      </c>
      <c r="I5" s="23" t="n">
        <v>7500</v>
      </c>
      <c r="J5" s="23" t="n">
        <v>10000</v>
      </c>
      <c r="K5" s="23" t="n">
        <v>4300</v>
      </c>
      <c r="L5" s="23" t="n">
        <v>0</v>
      </c>
      <c r="M5" s="23" t="n">
        <v>15000</v>
      </c>
      <c r="N5" s="23" t="n">
        <v>200</v>
      </c>
      <c r="O5" s="23" t="n">
        <v>400</v>
      </c>
      <c r="P5" s="23" t="n">
        <v>0</v>
      </c>
      <c r="Q5" s="28" t="s">
        <v>1769</v>
      </c>
      <c r="R5" s="28" t="s">
        <v>1770</v>
      </c>
      <c r="S5" s="28" t="s">
        <v>1221</v>
      </c>
      <c r="T5" s="28" t="s">
        <v>1752</v>
      </c>
    </row>
    <row r="6" customFormat="false" ht="15" hidden="false" customHeight="false" outlineLevel="0" collapsed="false">
      <c r="A6" s="28" t="s">
        <v>1771</v>
      </c>
      <c r="B6" s="28" t="s">
        <v>1745</v>
      </c>
      <c r="C6" s="28" t="s">
        <v>1772</v>
      </c>
      <c r="D6" s="28" t="s">
        <v>1773</v>
      </c>
      <c r="E6" s="28" t="s">
        <v>1748</v>
      </c>
      <c r="F6" s="28" t="s">
        <v>1774</v>
      </c>
      <c r="G6" s="28" t="s">
        <v>794</v>
      </c>
      <c r="H6" s="28" t="s">
        <v>1703</v>
      </c>
      <c r="I6" s="23" t="n">
        <v>92000</v>
      </c>
      <c r="J6" s="23" t="n">
        <v>130000</v>
      </c>
      <c r="K6" s="23" t="n">
        <v>104000</v>
      </c>
      <c r="L6" s="23" t="n">
        <v>20000</v>
      </c>
      <c r="M6" s="23" t="n">
        <v>120000</v>
      </c>
      <c r="N6" s="23" t="n">
        <v>1500</v>
      </c>
      <c r="O6" s="23" t="n">
        <v>2800</v>
      </c>
      <c r="P6" s="23" t="n">
        <v>4500</v>
      </c>
      <c r="Q6" s="28" t="s">
        <v>1775</v>
      </c>
      <c r="R6" s="28" t="s">
        <v>1776</v>
      </c>
      <c r="S6" s="28" t="s">
        <v>1221</v>
      </c>
      <c r="T6" s="28" t="s">
        <v>1752</v>
      </c>
    </row>
    <row r="7" customFormat="false" ht="15" hidden="false" customHeight="false" outlineLevel="0" collapsed="false">
      <c r="A7" s="28" t="s">
        <v>1777</v>
      </c>
      <c r="B7" s="28" t="s">
        <v>1745</v>
      </c>
      <c r="C7" s="28" t="s">
        <v>1778</v>
      </c>
      <c r="D7" s="28" t="s">
        <v>1779</v>
      </c>
      <c r="E7" s="28" t="s">
        <v>1748</v>
      </c>
      <c r="F7" s="28" t="s">
        <v>425</v>
      </c>
      <c r="G7" s="28" t="s">
        <v>800</v>
      </c>
      <c r="H7" s="28" t="s">
        <v>1780</v>
      </c>
      <c r="I7" s="23" t="n">
        <v>0</v>
      </c>
      <c r="J7" s="23" t="n">
        <v>12000</v>
      </c>
      <c r="K7" s="23" t="n">
        <v>3900</v>
      </c>
      <c r="L7" s="23" t="n">
        <v>0</v>
      </c>
      <c r="M7" s="23" t="n">
        <v>-40000</v>
      </c>
      <c r="N7" s="23" t="n">
        <v>1800</v>
      </c>
      <c r="O7" s="23" t="n">
        <v>1500</v>
      </c>
      <c r="P7" s="23" t="n">
        <v>1200</v>
      </c>
      <c r="Q7" s="28" t="s">
        <v>1781</v>
      </c>
      <c r="R7" s="28" t="s">
        <v>1782</v>
      </c>
      <c r="S7" s="28" t="s">
        <v>1221</v>
      </c>
      <c r="T7" s="28" t="s">
        <v>1752</v>
      </c>
    </row>
    <row r="8" customFormat="false" ht="15" hidden="false" customHeight="false" outlineLevel="0" collapsed="false">
      <c r="A8" s="28" t="s">
        <v>1783</v>
      </c>
      <c r="B8" s="28" t="s">
        <v>1784</v>
      </c>
      <c r="C8" s="28" t="s">
        <v>1785</v>
      </c>
      <c r="D8" s="28" t="s">
        <v>1048</v>
      </c>
      <c r="E8" s="28" t="s">
        <v>1748</v>
      </c>
      <c r="F8" s="28" t="s">
        <v>1756</v>
      </c>
      <c r="G8" s="28" t="s">
        <v>788</v>
      </c>
      <c r="H8" s="28" t="s">
        <v>1786</v>
      </c>
      <c r="I8" s="23" t="n">
        <v>180000</v>
      </c>
      <c r="J8" s="23" t="n">
        <v>200000</v>
      </c>
      <c r="K8" s="23" t="n">
        <v>180000</v>
      </c>
      <c r="L8" s="23" t="n">
        <v>0</v>
      </c>
      <c r="M8" s="23" t="n">
        <v>50000</v>
      </c>
      <c r="N8" s="23" t="n">
        <v>0</v>
      </c>
      <c r="O8" s="23" t="n">
        <v>0</v>
      </c>
      <c r="P8" s="23" t="n">
        <v>0</v>
      </c>
      <c r="Q8" s="28" t="s">
        <v>1787</v>
      </c>
      <c r="R8" s="28" t="s">
        <v>1788</v>
      </c>
      <c r="S8" s="28" t="s">
        <v>1221</v>
      </c>
      <c r="T8" s="28" t="s">
        <v>1752</v>
      </c>
    </row>
    <row r="9" customFormat="false" ht="15" hidden="false" customHeight="false" outlineLevel="0" collapsed="false">
      <c r="A9" s="28" t="s">
        <v>1789</v>
      </c>
      <c r="B9" s="28" t="s">
        <v>1784</v>
      </c>
      <c r="C9" s="28" t="s">
        <v>1790</v>
      </c>
      <c r="D9" s="28" t="s">
        <v>1012</v>
      </c>
      <c r="E9" s="28" t="s">
        <v>1748</v>
      </c>
      <c r="F9" s="28" t="s">
        <v>1756</v>
      </c>
      <c r="G9" s="28" t="s">
        <v>800</v>
      </c>
      <c r="H9" s="28" t="s">
        <v>1791</v>
      </c>
      <c r="I9" s="23" t="n">
        <v>2100</v>
      </c>
      <c r="J9" s="23" t="n">
        <v>10000</v>
      </c>
      <c r="K9" s="23" t="n">
        <v>5200</v>
      </c>
      <c r="L9" s="23" t="n">
        <v>0</v>
      </c>
      <c r="M9" s="23" t="n">
        <v>8000</v>
      </c>
      <c r="N9" s="23" t="n">
        <v>300</v>
      </c>
      <c r="O9" s="23" t="n">
        <v>600</v>
      </c>
      <c r="P9" s="23" t="n">
        <v>0</v>
      </c>
      <c r="Q9" s="28" t="s">
        <v>1792</v>
      </c>
      <c r="R9" s="28" t="s">
        <v>1793</v>
      </c>
      <c r="S9" s="28" t="s">
        <v>1221</v>
      </c>
      <c r="T9" s="28" t="s">
        <v>1752</v>
      </c>
    </row>
    <row r="10" customFormat="false" ht="15" hidden="false" customHeight="false" outlineLevel="0" collapsed="false">
      <c r="A10" s="28" t="s">
        <v>1794</v>
      </c>
      <c r="B10" s="28" t="s">
        <v>1784</v>
      </c>
      <c r="C10" s="28" t="s">
        <v>1795</v>
      </c>
      <c r="D10" s="28" t="s">
        <v>1072</v>
      </c>
      <c r="E10" s="28" t="s">
        <v>1768</v>
      </c>
      <c r="F10" s="28" t="s">
        <v>1756</v>
      </c>
      <c r="G10" s="28" t="s">
        <v>800</v>
      </c>
      <c r="H10" s="28" t="s">
        <v>1796</v>
      </c>
      <c r="I10" s="23" t="n">
        <v>6500</v>
      </c>
      <c r="J10" s="23" t="n">
        <v>12000</v>
      </c>
      <c r="K10" s="23" t="n">
        <v>4100</v>
      </c>
      <c r="L10" s="23" t="n">
        <v>8000</v>
      </c>
      <c r="M10" s="23" t="n">
        <v>0</v>
      </c>
      <c r="N10" s="23" t="n">
        <v>400</v>
      </c>
      <c r="O10" s="23" t="n">
        <v>500</v>
      </c>
      <c r="P10" s="23" t="n">
        <v>0</v>
      </c>
      <c r="Q10" s="28" t="s">
        <v>1797</v>
      </c>
      <c r="R10" s="28" t="s">
        <v>1798</v>
      </c>
      <c r="S10" s="28" t="s">
        <v>1221</v>
      </c>
      <c r="T10" s="28" t="s">
        <v>1752</v>
      </c>
    </row>
    <row r="11" customFormat="false" ht="15" hidden="false" customHeight="false" outlineLevel="0" collapsed="false">
      <c r="A11" s="28" t="s">
        <v>1799</v>
      </c>
      <c r="B11" s="28" t="s">
        <v>1784</v>
      </c>
      <c r="C11" s="28" t="s">
        <v>1800</v>
      </c>
      <c r="D11" s="28" t="s">
        <v>1801</v>
      </c>
      <c r="E11" s="28" t="s">
        <v>1748</v>
      </c>
      <c r="F11" s="28" t="s">
        <v>1756</v>
      </c>
      <c r="G11" s="28" t="s">
        <v>788</v>
      </c>
      <c r="H11" s="28" t="s">
        <v>1697</v>
      </c>
      <c r="I11" s="23" t="n">
        <v>4700</v>
      </c>
      <c r="J11" s="23" t="n">
        <v>5500</v>
      </c>
      <c r="K11" s="23" t="n">
        <v>2300</v>
      </c>
      <c r="L11" s="23" t="n">
        <v>0</v>
      </c>
      <c r="M11" s="23" t="n">
        <v>0</v>
      </c>
      <c r="N11" s="23" t="n">
        <v>0</v>
      </c>
      <c r="O11" s="23" t="n">
        <v>800</v>
      </c>
      <c r="P11" s="23" t="n">
        <v>0</v>
      </c>
      <c r="Q11" s="28" t="s">
        <v>1802</v>
      </c>
      <c r="R11" s="28" t="s">
        <v>1803</v>
      </c>
      <c r="S11" s="28" t="s">
        <v>1221</v>
      </c>
      <c r="T11" s="28" t="s">
        <v>1752</v>
      </c>
    </row>
    <row r="12" customFormat="false" ht="15" hidden="false" customHeight="false" outlineLevel="0" collapsed="false">
      <c r="A12" s="28" t="s">
        <v>1804</v>
      </c>
      <c r="B12" s="28" t="s">
        <v>1805</v>
      </c>
      <c r="C12" s="28" t="s">
        <v>1806</v>
      </c>
      <c r="D12" s="28" t="s">
        <v>1807</v>
      </c>
      <c r="E12" s="28" t="s">
        <v>1748</v>
      </c>
      <c r="F12" s="28" t="s">
        <v>425</v>
      </c>
      <c r="G12" s="28" t="s">
        <v>800</v>
      </c>
      <c r="H12" s="28" t="s">
        <v>244</v>
      </c>
      <c r="I12" s="19" t="n">
        <v>0.599</v>
      </c>
      <c r="J12" s="19" t="n">
        <v>0.7</v>
      </c>
      <c r="K12" s="19" t="n">
        <v>0.599</v>
      </c>
      <c r="L12" s="23" t="n">
        <v>600000</v>
      </c>
      <c r="M12" s="23" t="n">
        <v>0</v>
      </c>
      <c r="N12" s="23" t="n">
        <v>0</v>
      </c>
      <c r="O12" s="23" t="n">
        <v>0</v>
      </c>
      <c r="P12" s="23" t="n">
        <v>0</v>
      </c>
      <c r="Q12" s="28" t="s">
        <v>1808</v>
      </c>
      <c r="R12" s="28" t="s">
        <v>1809</v>
      </c>
      <c r="S12" s="28" t="s">
        <v>1221</v>
      </c>
      <c r="T12" s="28" t="s">
        <v>1752</v>
      </c>
    </row>
    <row r="13" customFormat="false" ht="15" hidden="false" customHeight="false" outlineLevel="0" collapsed="false">
      <c r="A13" s="28" t="s">
        <v>1810</v>
      </c>
      <c r="B13" s="28" t="s">
        <v>1805</v>
      </c>
      <c r="C13" s="28" t="s">
        <v>1811</v>
      </c>
      <c r="D13" s="28" t="s">
        <v>1072</v>
      </c>
      <c r="E13" s="28" t="s">
        <v>1748</v>
      </c>
      <c r="F13" s="28" t="s">
        <v>1756</v>
      </c>
      <c r="G13" s="28" t="s">
        <v>800</v>
      </c>
      <c r="H13" s="28" t="s">
        <v>1700</v>
      </c>
      <c r="I13" s="23" t="n">
        <v>9945</v>
      </c>
      <c r="J13" s="23" t="n">
        <v>11000</v>
      </c>
      <c r="K13" s="23" t="n">
        <v>5400</v>
      </c>
      <c r="L13" s="23" t="n">
        <v>300000</v>
      </c>
      <c r="M13" s="23" t="n">
        <v>0</v>
      </c>
      <c r="N13" s="23" t="n">
        <v>600</v>
      </c>
      <c r="O13" s="23" t="n">
        <v>900</v>
      </c>
      <c r="P13" s="23" t="n">
        <v>0</v>
      </c>
      <c r="Q13" s="28" t="s">
        <v>1812</v>
      </c>
      <c r="R13" s="28" t="s">
        <v>1813</v>
      </c>
      <c r="S13" s="28" t="s">
        <v>1221</v>
      </c>
      <c r="T13" s="28" t="s">
        <v>1752</v>
      </c>
    </row>
    <row r="14" customFormat="false" ht="15" hidden="false" customHeight="false" outlineLevel="0" collapsed="false">
      <c r="A14" s="28" t="s">
        <v>1814</v>
      </c>
      <c r="B14" s="28" t="s">
        <v>1805</v>
      </c>
      <c r="C14" s="28" t="s">
        <v>1815</v>
      </c>
      <c r="D14" s="28" t="s">
        <v>1816</v>
      </c>
      <c r="E14" s="28" t="s">
        <v>1768</v>
      </c>
      <c r="F14" s="28" t="s">
        <v>1817</v>
      </c>
      <c r="G14" s="28" t="s">
        <v>791</v>
      </c>
      <c r="H14" s="28" t="s">
        <v>1818</v>
      </c>
      <c r="I14" s="19" t="n">
        <v>0.071</v>
      </c>
      <c r="J14" s="19" t="n">
        <v>0.074</v>
      </c>
      <c r="K14" s="19" t="n">
        <v>0.0715</v>
      </c>
      <c r="L14" s="23" t="n">
        <v>150000</v>
      </c>
      <c r="M14" s="23" t="n">
        <v>0</v>
      </c>
      <c r="N14" s="23" t="n">
        <v>0</v>
      </c>
      <c r="O14" s="23" t="n">
        <v>400</v>
      </c>
      <c r="P14" s="23" t="n">
        <v>0</v>
      </c>
      <c r="Q14" s="28" t="s">
        <v>1819</v>
      </c>
      <c r="R14" s="28" t="s">
        <v>1820</v>
      </c>
      <c r="S14" s="28" t="s">
        <v>1221</v>
      </c>
      <c r="T14" s="28" t="s">
        <v>1752</v>
      </c>
    </row>
    <row r="15" customFormat="false" ht="15" hidden="false" customHeight="false" outlineLevel="0" collapsed="false">
      <c r="A15" s="28" t="s">
        <v>1821</v>
      </c>
      <c r="B15" s="28" t="s">
        <v>1805</v>
      </c>
      <c r="C15" s="28" t="s">
        <v>1822</v>
      </c>
      <c r="D15" s="28" t="s">
        <v>1823</v>
      </c>
      <c r="E15" s="28" t="s">
        <v>1748</v>
      </c>
      <c r="F15" s="28" t="s">
        <v>1756</v>
      </c>
      <c r="G15" s="28" t="s">
        <v>812</v>
      </c>
      <c r="H15" s="28" t="s">
        <v>269</v>
      </c>
      <c r="I15" s="19" t="n">
        <v>0.717</v>
      </c>
      <c r="J15" s="19" t="n">
        <v>0.8</v>
      </c>
      <c r="K15" s="19" t="n">
        <v>0.717</v>
      </c>
      <c r="L15" s="23" t="n">
        <v>120000</v>
      </c>
      <c r="M15" s="23" t="n">
        <v>80000</v>
      </c>
      <c r="N15" s="23" t="n">
        <v>300</v>
      </c>
      <c r="O15" s="23" t="n">
        <v>1200</v>
      </c>
      <c r="P15" s="23" t="n">
        <v>0</v>
      </c>
      <c r="Q15" s="28" t="s">
        <v>1824</v>
      </c>
      <c r="R15" s="28" t="s">
        <v>1825</v>
      </c>
      <c r="S15" s="28" t="s">
        <v>1221</v>
      </c>
      <c r="T15" s="28" t="s">
        <v>1752</v>
      </c>
    </row>
    <row r="16" customFormat="false" ht="15" hidden="false" customHeight="false" outlineLevel="0" collapsed="false">
      <c r="A16" s="28" t="s">
        <v>1826</v>
      </c>
      <c r="B16" s="28" t="s">
        <v>1827</v>
      </c>
      <c r="C16" s="28" t="s">
        <v>1828</v>
      </c>
      <c r="D16" s="28" t="s">
        <v>1829</v>
      </c>
      <c r="E16" s="28" t="s">
        <v>1768</v>
      </c>
      <c r="F16" s="28" t="s">
        <v>1756</v>
      </c>
      <c r="G16" s="28" t="s">
        <v>794</v>
      </c>
      <c r="H16" s="28" t="s">
        <v>1830</v>
      </c>
      <c r="I16" s="23" t="n">
        <v>0</v>
      </c>
      <c r="J16" s="23" t="n">
        <v>12</v>
      </c>
      <c r="K16" s="23" t="n">
        <v>5</v>
      </c>
      <c r="L16" s="23" t="n">
        <v>0</v>
      </c>
      <c r="M16" s="23" t="n">
        <v>0</v>
      </c>
      <c r="N16" s="23" t="n">
        <v>0</v>
      </c>
      <c r="O16" s="23" t="n">
        <v>3500</v>
      </c>
      <c r="P16" s="23" t="n">
        <v>1500</v>
      </c>
      <c r="Q16" s="28" t="s">
        <v>1831</v>
      </c>
      <c r="R16" s="28" t="s">
        <v>1832</v>
      </c>
      <c r="S16" s="28" t="s">
        <v>1221</v>
      </c>
      <c r="T16" s="28" t="s">
        <v>1752</v>
      </c>
    </row>
    <row r="17" customFormat="false" ht="15" hidden="false" customHeight="false" outlineLevel="0" collapsed="false">
      <c r="A17" s="28" t="s">
        <v>1833</v>
      </c>
      <c r="B17" s="28" t="s">
        <v>1827</v>
      </c>
      <c r="C17" s="28" t="s">
        <v>1834</v>
      </c>
      <c r="D17" s="28" t="s">
        <v>1835</v>
      </c>
      <c r="E17" s="28" t="s">
        <v>1836</v>
      </c>
      <c r="F17" s="28" t="s">
        <v>1837</v>
      </c>
      <c r="G17" s="28" t="s">
        <v>800</v>
      </c>
      <c r="H17" s="28" t="s">
        <v>1838</v>
      </c>
      <c r="I17" s="23" t="n">
        <v>0</v>
      </c>
      <c r="J17" s="23" t="n">
        <v>12000</v>
      </c>
      <c r="K17" s="23" t="n">
        <v>0</v>
      </c>
      <c r="L17" s="23" t="n">
        <v>0</v>
      </c>
      <c r="M17" s="23" t="n">
        <v>0</v>
      </c>
      <c r="N17" s="23" t="n">
        <v>12000</v>
      </c>
      <c r="O17" s="23" t="n">
        <v>1500</v>
      </c>
      <c r="P17" s="23" t="n">
        <v>0</v>
      </c>
      <c r="Q17" s="28" t="s">
        <v>1839</v>
      </c>
      <c r="R17" s="28" t="s">
        <v>1840</v>
      </c>
      <c r="S17" s="28" t="s">
        <v>1221</v>
      </c>
      <c r="T17" s="28" t="s">
        <v>1752</v>
      </c>
    </row>
    <row r="18" customFormat="false" ht="15" hidden="false" customHeight="false" outlineLevel="0" collapsed="false">
      <c r="A18" s="28" t="s">
        <v>1841</v>
      </c>
      <c r="B18" s="28" t="s">
        <v>1827</v>
      </c>
      <c r="C18" s="28" t="s">
        <v>1842</v>
      </c>
      <c r="D18" s="28" t="s">
        <v>1843</v>
      </c>
      <c r="E18" s="28" t="s">
        <v>1748</v>
      </c>
      <c r="F18" s="28" t="s">
        <v>1844</v>
      </c>
      <c r="G18" s="28" t="s">
        <v>794</v>
      </c>
      <c r="H18" s="28" t="s">
        <v>1845</v>
      </c>
      <c r="I18" s="23" t="n">
        <v>0</v>
      </c>
      <c r="J18" s="23" t="n">
        <v>60000</v>
      </c>
      <c r="K18" s="23" t="n">
        <v>18000</v>
      </c>
      <c r="L18" s="23" t="n">
        <v>0</v>
      </c>
      <c r="M18" s="23" t="n">
        <v>30000</v>
      </c>
      <c r="N18" s="23" t="n">
        <v>1000</v>
      </c>
      <c r="O18" s="23" t="n">
        <v>1200</v>
      </c>
      <c r="P18" s="23" t="n">
        <v>6000</v>
      </c>
      <c r="Q18" s="28" t="s">
        <v>1846</v>
      </c>
      <c r="R18" s="28" t="s">
        <v>1847</v>
      </c>
      <c r="S18" s="28" t="s">
        <v>1221</v>
      </c>
      <c r="T18" s="28" t="s">
        <v>1752</v>
      </c>
    </row>
    <row r="19" customFormat="false" ht="15" hidden="false" customHeight="false" outlineLevel="0" collapsed="false">
      <c r="A19" s="28" t="s">
        <v>1848</v>
      </c>
      <c r="B19" s="28" t="s">
        <v>1827</v>
      </c>
      <c r="C19" s="28" t="s">
        <v>1849</v>
      </c>
      <c r="D19" s="28" t="s">
        <v>1012</v>
      </c>
      <c r="E19" s="28" t="s">
        <v>1748</v>
      </c>
      <c r="F19" s="28" t="s">
        <v>425</v>
      </c>
      <c r="G19" s="28" t="s">
        <v>791</v>
      </c>
      <c r="H19" s="28" t="s">
        <v>1007</v>
      </c>
      <c r="I19" s="32" t="n">
        <v>0.43</v>
      </c>
      <c r="J19" s="32" t="n">
        <v>0.38</v>
      </c>
      <c r="K19" s="32" t="n">
        <v>0.43</v>
      </c>
      <c r="L19" s="23" t="n">
        <v>0</v>
      </c>
      <c r="M19" s="23" t="n">
        <v>-50000</v>
      </c>
      <c r="N19" s="23" t="n">
        <v>0</v>
      </c>
      <c r="O19" s="23" t="n">
        <v>0</v>
      </c>
      <c r="P19" s="23" t="n">
        <v>0</v>
      </c>
      <c r="Q19" s="28" t="s">
        <v>1850</v>
      </c>
      <c r="R19" s="28" t="s">
        <v>1851</v>
      </c>
      <c r="S19" s="28" t="s">
        <v>1221</v>
      </c>
      <c r="T19" s="28" t="s">
        <v>1752</v>
      </c>
    </row>
    <row r="20" customFormat="false" ht="15" hidden="false" customHeight="false" outlineLevel="0" collapsed="false">
      <c r="A20" s="28" t="s">
        <v>1852</v>
      </c>
      <c r="B20" s="28" t="s">
        <v>1827</v>
      </c>
      <c r="C20" s="28" t="s">
        <v>1853</v>
      </c>
      <c r="D20" s="28" t="s">
        <v>1807</v>
      </c>
      <c r="E20" s="28" t="s">
        <v>1836</v>
      </c>
      <c r="F20" s="28" t="s">
        <v>1837</v>
      </c>
      <c r="G20" s="28" t="s">
        <v>788</v>
      </c>
      <c r="H20" s="28" t="s">
        <v>249</v>
      </c>
      <c r="I20" s="19" t="n">
        <v>0.218</v>
      </c>
      <c r="J20" s="19" t="n">
        <v>0.15</v>
      </c>
      <c r="K20" s="19" t="n">
        <v>0.218</v>
      </c>
      <c r="L20" s="23" t="n">
        <v>0</v>
      </c>
      <c r="M20" s="23" t="n">
        <v>0</v>
      </c>
      <c r="N20" s="23" t="n">
        <v>0</v>
      </c>
      <c r="O20" s="23" t="n">
        <v>0</v>
      </c>
      <c r="P20" s="23" t="n">
        <v>0</v>
      </c>
      <c r="Q20" s="28" t="s">
        <v>1854</v>
      </c>
      <c r="R20" s="28" t="s">
        <v>1855</v>
      </c>
      <c r="S20" s="28" t="s">
        <v>1221</v>
      </c>
      <c r="T20" s="28" t="s">
        <v>1752</v>
      </c>
    </row>
    <row r="21" customFormat="false" ht="15" hidden="false" customHeight="false" outlineLevel="0" collapsed="false">
      <c r="A21" s="28" t="s">
        <v>1856</v>
      </c>
      <c r="B21" s="28" t="s">
        <v>1827</v>
      </c>
      <c r="C21" s="28" t="s">
        <v>1857</v>
      </c>
      <c r="D21" s="28" t="s">
        <v>1807</v>
      </c>
      <c r="E21" s="28" t="s">
        <v>1748</v>
      </c>
      <c r="F21" s="28" t="s">
        <v>425</v>
      </c>
      <c r="G21" s="28" t="s">
        <v>788</v>
      </c>
      <c r="H21" s="28" t="s">
        <v>1858</v>
      </c>
      <c r="I21" s="23" t="n">
        <v>2800000</v>
      </c>
      <c r="J21" s="23" t="n">
        <v>3300000</v>
      </c>
      <c r="K21" s="23" t="n">
        <v>2800000</v>
      </c>
      <c r="L21" s="23" t="n">
        <v>0</v>
      </c>
      <c r="M21" s="23" t="n">
        <v>0</v>
      </c>
      <c r="N21" s="23" t="n">
        <v>0</v>
      </c>
      <c r="O21" s="23" t="n">
        <v>100</v>
      </c>
      <c r="P21" s="23" t="n">
        <v>0</v>
      </c>
      <c r="Q21" s="28" t="s">
        <v>1859</v>
      </c>
      <c r="R21" s="28" t="s">
        <v>1860</v>
      </c>
      <c r="S21" s="28" t="s">
        <v>1221</v>
      </c>
      <c r="T21" s="28" t="s">
        <v>1752</v>
      </c>
    </row>
  </sheetData>
  <autoFilter ref="A1:T21"/>
  <conditionalFormatting sqref="E2:E21">
    <cfRule type="expression" priority="2" aboveAverage="0" equalAverage="0" bottom="0" percent="0" rank="0" text="" dxfId="0">
      <formula>E2="On track"</formula>
    </cfRule>
    <cfRule type="expression" priority="3" aboveAverage="0" equalAverage="0" bottom="0" percent="0" rank="0" text="" dxfId="2">
      <formula>E2="At risk"</formula>
    </cfRule>
    <cfRule type="expression" priority="4" aboveAverage="0" equalAverage="0" bottom="0" percent="0" rank="0" text="" dxfId="1">
      <formula>E2="Off track"</formula>
    </cfRule>
    <cfRule type="expression" priority="5" aboveAverage="0" equalAverage="0" bottom="0" percent="0" rank="0" text="" dxfId="13">
      <formula>E2="Complete"</formula>
    </cfRule>
    <cfRule type="expression" priority="6" aboveAverage="0" equalAverage="0" bottom="0" percent="0" rank="0" text="" dxfId="13">
      <formula>E2="Not started"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9"/>
    <col collapsed="false" customWidth="true" hidden="false" outlineLevel="0" max="3" min="3" style="0" width="6"/>
    <col collapsed="false" customWidth="true" hidden="false" outlineLevel="0" max="5" min="4" style="0" width="20"/>
    <col collapsed="false" customWidth="true" hidden="false" outlineLevel="0" max="6" min="6" style="0" width="23"/>
    <col collapsed="false" customWidth="true" hidden="false" outlineLevel="0" max="7" min="7" style="0" width="21"/>
    <col collapsed="false" customWidth="true" hidden="false" outlineLevel="0" max="8" min="8" style="0" width="20"/>
    <col collapsed="false" customWidth="true" hidden="false" outlineLevel="0" max="9" min="9" style="0" width="16"/>
    <col collapsed="false" customWidth="true" hidden="false" outlineLevel="0" max="11" min="10" style="0" width="14"/>
    <col collapsed="false" customWidth="true" hidden="false" outlineLevel="0" max="12" min="12" style="0" width="20"/>
    <col collapsed="false" customWidth="true" hidden="false" outlineLevel="0" max="13" min="13" style="0" width="19"/>
    <col collapsed="false" customWidth="true" hidden="false" outlineLevel="0" max="15" min="14" style="0" width="20"/>
    <col collapsed="false" customWidth="true" hidden="false" outlineLevel="0" max="16" min="16" style="0" width="14"/>
    <col collapsed="false" customWidth="true" hidden="false" outlineLevel="0" max="18" min="17" style="0" width="20"/>
    <col collapsed="false" customWidth="true" hidden="false" outlineLevel="0" max="19" min="19" style="0" width="21"/>
    <col collapsed="false" customWidth="true" hidden="false" outlineLevel="0" max="23" min="20" style="0" width="20"/>
    <col collapsed="false" customWidth="true" hidden="false" outlineLevel="0" max="24" min="24" style="0" width="24"/>
    <col collapsed="false" customWidth="true" hidden="false" outlineLevel="0" max="25" min="25" style="0" width="22"/>
    <col collapsed="false" customWidth="true" hidden="false" outlineLevel="0" max="27" min="26" style="0" width="14"/>
    <col collapsed="false" customWidth="true" hidden="false" outlineLevel="0" max="28" min="28" style="0" width="70"/>
  </cols>
  <sheetData>
    <row r="1" customFormat="false" ht="30" hidden="false" customHeight="true" outlineLevel="0" collapsed="false">
      <c r="A1" s="27" t="s">
        <v>1861</v>
      </c>
      <c r="B1" s="27" t="s">
        <v>157</v>
      </c>
      <c r="C1" s="27" t="s">
        <v>1491</v>
      </c>
      <c r="D1" s="27" t="s">
        <v>916</v>
      </c>
      <c r="E1" s="27" t="s">
        <v>918</v>
      </c>
      <c r="F1" s="27" t="s">
        <v>251</v>
      </c>
      <c r="G1" s="27" t="s">
        <v>245</v>
      </c>
      <c r="H1" s="27" t="s">
        <v>244</v>
      </c>
      <c r="I1" s="27" t="s">
        <v>1380</v>
      </c>
      <c r="J1" s="27" t="s">
        <v>1559</v>
      </c>
      <c r="K1" s="27" t="s">
        <v>1564</v>
      </c>
      <c r="L1" s="27" t="s">
        <v>240</v>
      </c>
      <c r="M1" s="27" t="s">
        <v>68</v>
      </c>
      <c r="N1" s="27" t="s">
        <v>242</v>
      </c>
      <c r="O1" s="27" t="s">
        <v>1467</v>
      </c>
      <c r="P1" s="27" t="s">
        <v>472</v>
      </c>
      <c r="Q1" s="27" t="s">
        <v>448</v>
      </c>
      <c r="R1" s="27" t="s">
        <v>1862</v>
      </c>
      <c r="S1" s="27" t="s">
        <v>1469</v>
      </c>
      <c r="T1" s="27" t="s">
        <v>1863</v>
      </c>
      <c r="U1" s="27" t="s">
        <v>1864</v>
      </c>
      <c r="V1" s="27" t="s">
        <v>639</v>
      </c>
      <c r="W1" s="27" t="s">
        <v>1865</v>
      </c>
      <c r="X1" s="27" t="s">
        <v>1866</v>
      </c>
      <c r="Y1" s="27" t="s">
        <v>1867</v>
      </c>
      <c r="Z1" s="27" t="s">
        <v>1561</v>
      </c>
      <c r="AA1" s="27" t="s">
        <v>442</v>
      </c>
      <c r="AB1" s="27" t="s">
        <v>443</v>
      </c>
    </row>
    <row r="2" customFormat="false" ht="15" hidden="false" customHeight="false" outlineLevel="0" collapsed="false">
      <c r="A2" s="28" t="s">
        <v>1868</v>
      </c>
      <c r="B2" s="28" t="s">
        <v>180</v>
      </c>
      <c r="C2" s="28" t="s">
        <v>1515</v>
      </c>
      <c r="D2" s="23" t="n">
        <v>321210.221978102</v>
      </c>
      <c r="E2" s="23" t="n">
        <v>136588.710666411</v>
      </c>
      <c r="F2" s="19" t="n">
        <v>0.0138069871707246</v>
      </c>
      <c r="G2" s="19" t="n">
        <v>0.121250755639352</v>
      </c>
      <c r="H2" s="19" t="n">
        <v>0.610304894210102</v>
      </c>
      <c r="I2" s="28" t="s">
        <v>1869</v>
      </c>
      <c r="J2" s="23" t="n">
        <v>534357</v>
      </c>
      <c r="K2" s="23" t="n">
        <v>16000</v>
      </c>
      <c r="L2" s="23" t="n">
        <v>10255167.0635763</v>
      </c>
      <c r="M2" s="23" t="n">
        <v>5564392.96501169</v>
      </c>
      <c r="N2" s="23" t="n">
        <v>9117398.56226043</v>
      </c>
      <c r="O2" s="23" t="n">
        <v>1243446.75566641</v>
      </c>
      <c r="P2" s="23" t="n">
        <v>0</v>
      </c>
      <c r="Q2" s="23" t="n">
        <v>892109.231913625</v>
      </c>
      <c r="R2" s="23" t="n">
        <v>3446191.82507188</v>
      </c>
      <c r="S2" s="23" t="n">
        <v>-233774.627233066</v>
      </c>
      <c r="T2" s="23" t="n">
        <v>165917.34581336</v>
      </c>
      <c r="U2" s="23" t="n">
        <v>310356.074</v>
      </c>
      <c r="V2" s="23" t="n">
        <v>24182.7831250507</v>
      </c>
      <c r="W2" s="23" t="n">
        <v>0</v>
      </c>
      <c r="X2" s="19" t="n">
        <v>0.0529354652196715</v>
      </c>
      <c r="Y2" s="19" t="n">
        <v>-0.424377151391206</v>
      </c>
      <c r="Z2" s="23" t="n">
        <v>51</v>
      </c>
      <c r="AA2" s="28" t="s">
        <v>1221</v>
      </c>
      <c r="AB2" s="28" t="s">
        <v>1870</v>
      </c>
    </row>
    <row r="3" customFormat="false" ht="15" hidden="false" customHeight="false" outlineLevel="0" collapsed="false">
      <c r="A3" s="28" t="s">
        <v>1868</v>
      </c>
      <c r="B3" s="28" t="s">
        <v>180</v>
      </c>
      <c r="C3" s="28" t="s">
        <v>1713</v>
      </c>
      <c r="D3" s="23" t="n">
        <v>348777.216923034</v>
      </c>
      <c r="E3" s="23" t="n">
        <v>130647.774918333</v>
      </c>
      <c r="F3" s="19" t="n">
        <v>0.012298059382585</v>
      </c>
      <c r="G3" s="19" t="n">
        <v>0.125011718686034</v>
      </c>
      <c r="H3" s="19" t="n">
        <v>0.633335267576521</v>
      </c>
      <c r="I3" s="28" t="s">
        <v>1719</v>
      </c>
      <c r="J3" s="23" t="n">
        <v>569091</v>
      </c>
      <c r="K3" s="23" t="n">
        <v>16000</v>
      </c>
      <c r="L3" s="23" t="n">
        <v>10991725.7760112</v>
      </c>
      <c r="M3" s="23" t="n">
        <v>6120832.26151285</v>
      </c>
      <c r="N3" s="23" t="n">
        <v>9664442.47599605</v>
      </c>
      <c r="O3" s="23" t="n">
        <v>1374094.53058474</v>
      </c>
      <c r="P3" s="23" t="n">
        <v>0</v>
      </c>
      <c r="Q3" s="23" t="n">
        <v>1230974.12937529</v>
      </c>
      <c r="R3" s="23" t="n">
        <v>3218593.53491158</v>
      </c>
      <c r="S3" s="23" t="n">
        <v>-182593.385825</v>
      </c>
      <c r="T3" s="23" t="n">
        <v>163054.025055239</v>
      </c>
      <c r="U3" s="23" t="n">
        <v>338984.444218737</v>
      </c>
      <c r="V3" s="23" t="n">
        <v>26199.0228412034</v>
      </c>
      <c r="W3" s="23" t="n">
        <v>13633.9337790764</v>
      </c>
      <c r="X3" s="19" t="n">
        <v>0.0735927063720313</v>
      </c>
      <c r="Y3" s="19" t="n">
        <v>-0.325238312254792</v>
      </c>
      <c r="Z3" s="23" t="n">
        <v>53</v>
      </c>
      <c r="AA3" s="28" t="s">
        <v>1221</v>
      </c>
      <c r="AB3" s="28" t="s">
        <v>1870</v>
      </c>
    </row>
    <row r="4" customFormat="false" ht="15" hidden="false" customHeight="false" outlineLevel="0" collapsed="false">
      <c r="A4" s="28" t="s">
        <v>1868</v>
      </c>
      <c r="B4" s="28" t="s">
        <v>180</v>
      </c>
      <c r="C4" s="28" t="s">
        <v>1714</v>
      </c>
      <c r="D4" s="23" t="n">
        <v>379087.471845978</v>
      </c>
      <c r="E4" s="23" t="n">
        <v>131980.535158792</v>
      </c>
      <c r="F4" s="19" t="n">
        <v>0.0116122522629369</v>
      </c>
      <c r="G4" s="19" t="n">
        <v>0.128290922388376</v>
      </c>
      <c r="H4" s="19" t="n">
        <v>0.657234711636012</v>
      </c>
      <c r="I4" s="28" t="s">
        <v>1719</v>
      </c>
      <c r="J4" s="23" t="n">
        <v>606082</v>
      </c>
      <c r="K4" s="23" t="n">
        <v>18000</v>
      </c>
      <c r="L4" s="23" t="n">
        <v>11739529.4827189</v>
      </c>
      <c r="M4" s="23" t="n">
        <v>6732915.48766414</v>
      </c>
      <c r="N4" s="23" t="n">
        <v>10244309.0245558</v>
      </c>
      <c r="O4" s="23" t="n">
        <v>1506075.06574354</v>
      </c>
      <c r="P4" s="23" t="n">
        <v>0</v>
      </c>
      <c r="Q4" s="23" t="n">
        <v>1535479.08835557</v>
      </c>
      <c r="R4" s="23" t="n">
        <v>3003797.64857281</v>
      </c>
      <c r="S4" s="23" t="n">
        <v>-154783.69215125</v>
      </c>
      <c r="T4" s="23" t="n">
        <v>156777.232646717</v>
      </c>
      <c r="U4" s="23" t="n">
        <v>357065.24420858</v>
      </c>
      <c r="V4" s="23" t="n">
        <v>28818.9251253237</v>
      </c>
      <c r="W4" s="23" t="n">
        <v>29040.2789494327</v>
      </c>
      <c r="X4" s="19" t="n">
        <v>0.0865181521528702</v>
      </c>
      <c r="Y4" s="19" t="n">
        <v>-0.275089386109727</v>
      </c>
      <c r="Z4" s="23" t="n">
        <v>55</v>
      </c>
      <c r="AA4" s="28" t="s">
        <v>1221</v>
      </c>
      <c r="AB4" s="28" t="s">
        <v>1870</v>
      </c>
    </row>
    <row r="5" customFormat="false" ht="15" hidden="false" customHeight="false" outlineLevel="0" collapsed="false">
      <c r="A5" s="28" t="s">
        <v>1868</v>
      </c>
      <c r="B5" s="28" t="s">
        <v>180</v>
      </c>
      <c r="C5" s="28" t="s">
        <v>1715</v>
      </c>
      <c r="D5" s="23" t="n">
        <v>406589.11553776</v>
      </c>
      <c r="E5" s="23" t="n">
        <v>145563.513409966</v>
      </c>
      <c r="F5" s="19" t="n">
        <v>0.0119945766457791</v>
      </c>
      <c r="G5" s="19" t="n">
        <v>0.131793426067847</v>
      </c>
      <c r="H5" s="19" t="n">
        <v>0.68203602150907</v>
      </c>
      <c r="I5" s="28" t="s">
        <v>1719</v>
      </c>
      <c r="J5" s="23" t="n">
        <v>645477</v>
      </c>
      <c r="K5" s="23" t="n">
        <v>18000</v>
      </c>
      <c r="L5" s="23" t="n">
        <v>12532025.5222991</v>
      </c>
      <c r="M5" s="23" t="n">
        <v>7406207.03643056</v>
      </c>
      <c r="N5" s="23" t="n">
        <v>10858967.5660292</v>
      </c>
      <c r="O5" s="23" t="n">
        <v>1651638.5791535</v>
      </c>
      <c r="P5" s="23" t="n">
        <v>0</v>
      </c>
      <c r="Q5" s="23" t="n">
        <v>1781261.19161061</v>
      </c>
      <c r="R5" s="23" t="n">
        <v>2834834.03084059</v>
      </c>
      <c r="S5" s="23" t="n">
        <v>-131145.452528563</v>
      </c>
      <c r="T5" s="23" t="n">
        <v>164490.895708029</v>
      </c>
      <c r="U5" s="23" t="n">
        <v>375815.680197966</v>
      </c>
      <c r="V5" s="23" t="n">
        <v>31700.8176378561</v>
      </c>
      <c r="W5" s="23" t="n">
        <v>30927.8970811459</v>
      </c>
      <c r="X5" s="19" t="n">
        <v>0.0972420208577525</v>
      </c>
      <c r="Y5" s="19" t="n">
        <v>-0.242149416243459</v>
      </c>
      <c r="Z5" s="23" t="n">
        <v>57</v>
      </c>
      <c r="AA5" s="28" t="s">
        <v>1221</v>
      </c>
      <c r="AB5" s="28" t="s">
        <v>1870</v>
      </c>
    </row>
    <row r="6" customFormat="false" ht="15" hidden="false" customHeight="false" outlineLevel="0" collapsed="false">
      <c r="A6" s="28" t="s">
        <v>1868</v>
      </c>
      <c r="B6" s="28" t="s">
        <v>180</v>
      </c>
      <c r="C6" s="28" t="s">
        <v>1716</v>
      </c>
      <c r="D6" s="23" t="n">
        <v>438128.085062857</v>
      </c>
      <c r="E6" s="23" t="n">
        <v>160569.266313765</v>
      </c>
      <c r="F6" s="19" t="n">
        <v>0.0123965842504061</v>
      </c>
      <c r="G6" s="19" t="n">
        <v>0.135508596105952</v>
      </c>
      <c r="H6" s="19" t="n">
        <v>0.707773229867902</v>
      </c>
      <c r="I6" s="28" t="s">
        <v>1719</v>
      </c>
      <c r="J6" s="23" t="n">
        <v>687433</v>
      </c>
      <c r="K6" s="23" t="n">
        <v>20000</v>
      </c>
      <c r="L6" s="23" t="n">
        <v>13373379.2360326</v>
      </c>
      <c r="M6" s="23" t="n">
        <v>8146827.74007361</v>
      </c>
      <c r="N6" s="23" t="n">
        <v>11510505.6199909</v>
      </c>
      <c r="O6" s="23" t="n">
        <v>1812207.84546727</v>
      </c>
      <c r="P6" s="23" t="n">
        <v>0</v>
      </c>
      <c r="Q6" s="23" t="n">
        <v>2002050.91361817</v>
      </c>
      <c r="R6" s="23" t="n">
        <v>2675374.6166058</v>
      </c>
      <c r="S6" s="23" t="n">
        <v>-111052.948849278</v>
      </c>
      <c r="T6" s="23" t="n">
        <v>172577.966459425</v>
      </c>
      <c r="U6" s="23" t="n">
        <v>395265.885806875</v>
      </c>
      <c r="V6" s="23" t="n">
        <v>34870.8994016417</v>
      </c>
      <c r="W6" s="23" t="n">
        <v>32938.2103914203</v>
      </c>
      <c r="X6" s="19" t="n">
        <v>0.106539228635044</v>
      </c>
      <c r="Y6" s="19" t="n">
        <v>-0.218343743565077</v>
      </c>
      <c r="Z6" s="23" t="n">
        <v>59</v>
      </c>
      <c r="AA6" s="28" t="s">
        <v>1221</v>
      </c>
      <c r="AB6" s="28" t="s">
        <v>1870</v>
      </c>
    </row>
    <row r="7" customFormat="false" ht="15" hidden="false" customHeight="false" outlineLevel="0" collapsed="false">
      <c r="A7" s="28" t="s">
        <v>1868</v>
      </c>
      <c r="B7" s="28" t="s">
        <v>176</v>
      </c>
      <c r="C7" s="28" t="s">
        <v>1515</v>
      </c>
      <c r="D7" s="23" t="n">
        <v>306540.968633088</v>
      </c>
      <c r="E7" s="23" t="n">
        <v>123539.457321398</v>
      </c>
      <c r="F7" s="19" t="n">
        <v>0.0124104097771708</v>
      </c>
      <c r="G7" s="19" t="n">
        <v>0.117848481363503</v>
      </c>
      <c r="H7" s="19" t="n">
        <v>0.610304894210102</v>
      </c>
      <c r="I7" s="28" t="s">
        <v>1719</v>
      </c>
      <c r="J7" s="23" t="n">
        <v>534357</v>
      </c>
      <c r="K7" s="23" t="n">
        <v>16000</v>
      </c>
      <c r="L7" s="23" t="n">
        <v>10440503.6712034</v>
      </c>
      <c r="M7" s="23" t="n">
        <v>5564392.96501169</v>
      </c>
      <c r="N7" s="23" t="n">
        <v>9117398.56226043</v>
      </c>
      <c r="O7" s="23" t="n">
        <v>1230397.5023214</v>
      </c>
      <c r="P7" s="23" t="n">
        <v>0</v>
      </c>
      <c r="Q7" s="23" t="n">
        <v>879059.978568612</v>
      </c>
      <c r="R7" s="23" t="n">
        <v>3446191.82507188</v>
      </c>
      <c r="S7" s="23" t="n">
        <v>-35388.7662609129</v>
      </c>
      <c r="T7" s="23" t="n">
        <v>167537.34581336</v>
      </c>
      <c r="U7" s="23" t="n">
        <v>310356.074</v>
      </c>
      <c r="V7" s="23" t="n">
        <v>24182.7831250507</v>
      </c>
      <c r="W7" s="23" t="n">
        <v>0</v>
      </c>
      <c r="X7" s="19" t="n">
        <v>0.102749229596184</v>
      </c>
      <c r="Y7" s="19" t="n">
        <v>-0.264623373995635</v>
      </c>
      <c r="Z7" s="23" t="n">
        <v>51</v>
      </c>
      <c r="AA7" s="28" t="s">
        <v>1221</v>
      </c>
      <c r="AB7" s="28" t="s">
        <v>1870</v>
      </c>
    </row>
    <row r="8" customFormat="false" ht="15" hidden="false" customHeight="false" outlineLevel="0" collapsed="false">
      <c r="A8" s="28" t="s">
        <v>1868</v>
      </c>
      <c r="B8" s="28" t="s">
        <v>176</v>
      </c>
      <c r="C8" s="28" t="s">
        <v>1713</v>
      </c>
      <c r="D8" s="23" t="n">
        <v>322617.054989852</v>
      </c>
      <c r="E8" s="23" t="n">
        <v>107727.612985151</v>
      </c>
      <c r="F8" s="19" t="n">
        <v>0.00997725209474516</v>
      </c>
      <c r="G8" s="19" t="n">
        <v>0.119966653527391</v>
      </c>
      <c r="H8" s="19" t="n">
        <v>0.633335267576521</v>
      </c>
      <c r="I8" s="28" t="s">
        <v>1719</v>
      </c>
      <c r="J8" s="23" t="n">
        <v>569091</v>
      </c>
      <c r="K8" s="23" t="n">
        <v>16000</v>
      </c>
      <c r="L8" s="23" t="n">
        <v>11154142.2217052</v>
      </c>
      <c r="M8" s="23" t="n">
        <v>6120832.26151285</v>
      </c>
      <c r="N8" s="23" t="n">
        <v>9664442.47599605</v>
      </c>
      <c r="O8" s="23" t="n">
        <v>1338125.11530655</v>
      </c>
      <c r="P8" s="23" t="n">
        <v>0</v>
      </c>
      <c r="Q8" s="23" t="n">
        <v>1195004.7140971</v>
      </c>
      <c r="R8" s="23" t="n">
        <v>3218593.53491158</v>
      </c>
      <c r="S8" s="23" t="n">
        <v>15792.4751471528</v>
      </c>
      <c r="T8" s="23" t="n">
        <v>166294.025055239</v>
      </c>
      <c r="U8" s="23" t="n">
        <v>338984.444218737</v>
      </c>
      <c r="V8" s="23" t="n">
        <v>26199.0228412034</v>
      </c>
      <c r="W8" s="23" t="n">
        <v>13633.9337790764</v>
      </c>
      <c r="X8" s="19" t="n">
        <v>0.118480291206833</v>
      </c>
      <c r="Y8" s="19" t="n">
        <v>-0.221721051854533</v>
      </c>
      <c r="Z8" s="23" t="n">
        <v>53</v>
      </c>
      <c r="AA8" s="28" t="s">
        <v>1221</v>
      </c>
      <c r="AB8" s="28" t="s">
        <v>1870</v>
      </c>
    </row>
    <row r="9" customFormat="false" ht="15" hidden="false" customHeight="false" outlineLevel="0" collapsed="false">
      <c r="A9" s="28" t="s">
        <v>1868</v>
      </c>
      <c r="B9" s="28" t="s">
        <v>176</v>
      </c>
      <c r="C9" s="28" t="s">
        <v>1714</v>
      </c>
      <c r="D9" s="23" t="n">
        <v>333837.495399594</v>
      </c>
      <c r="E9" s="23" t="n">
        <v>89970.5587124077</v>
      </c>
      <c r="F9" s="19" t="n">
        <v>0.00781874103611372</v>
      </c>
      <c r="G9" s="19" t="n">
        <v>0.120413438976639</v>
      </c>
      <c r="H9" s="19" t="n">
        <v>0.657234711636012</v>
      </c>
      <c r="I9" s="28" t="s">
        <v>1719</v>
      </c>
      <c r="J9" s="23" t="n">
        <v>606082</v>
      </c>
      <c r="K9" s="23" t="n">
        <v>18000</v>
      </c>
      <c r="L9" s="23" t="n">
        <v>11859935.9519664</v>
      </c>
      <c r="M9" s="23" t="n">
        <v>6732915.48766414</v>
      </c>
      <c r="N9" s="23" t="n">
        <v>10244309.0245558</v>
      </c>
      <c r="O9" s="23" t="n">
        <v>1428095.67401896</v>
      </c>
      <c r="P9" s="23" t="n">
        <v>0</v>
      </c>
      <c r="Q9" s="23" t="n">
        <v>1457499.69663099</v>
      </c>
      <c r="R9" s="23" t="n">
        <v>3003797.64857281</v>
      </c>
      <c r="S9" s="23" t="n">
        <v>43602.1688209028</v>
      </c>
      <c r="T9" s="23" t="n">
        <v>160017.232646717</v>
      </c>
      <c r="U9" s="23" t="n">
        <v>357065.24420858</v>
      </c>
      <c r="V9" s="23" t="n">
        <v>28818.9251253237</v>
      </c>
      <c r="W9" s="23" t="n">
        <v>29040.2789494327</v>
      </c>
      <c r="X9" s="19" t="n">
        <v>0.126274536022844</v>
      </c>
      <c r="Y9" s="19" t="n">
        <v>-0.199160252722112</v>
      </c>
      <c r="Z9" s="23" t="n">
        <v>55</v>
      </c>
      <c r="AA9" s="28" t="s">
        <v>1221</v>
      </c>
      <c r="AB9" s="28" t="s">
        <v>1870</v>
      </c>
    </row>
    <row r="10" customFormat="false" ht="15" hidden="false" customHeight="false" outlineLevel="0" collapsed="false">
      <c r="A10" s="28" t="s">
        <v>1868</v>
      </c>
      <c r="B10" s="28" t="s">
        <v>176</v>
      </c>
      <c r="C10" s="28" t="s">
        <v>1715</v>
      </c>
      <c r="D10" s="23" t="n">
        <v>347727.526479605</v>
      </c>
      <c r="E10" s="23" t="n">
        <v>89941.924351811</v>
      </c>
      <c r="F10" s="19" t="n">
        <v>0.00735518315055244</v>
      </c>
      <c r="G10" s="19" t="n">
        <v>0.120509680614934</v>
      </c>
      <c r="H10" s="19" t="n">
        <v>0.68203602150907</v>
      </c>
      <c r="I10" s="28" t="s">
        <v>1719</v>
      </c>
      <c r="J10" s="23" t="n">
        <v>645477</v>
      </c>
      <c r="K10" s="23" t="n">
        <v>18000</v>
      </c>
      <c r="L10" s="23" t="n">
        <v>12596810.4024885</v>
      </c>
      <c r="M10" s="23" t="n">
        <v>7406207.03643056</v>
      </c>
      <c r="N10" s="23" t="n">
        <v>10858967.5660292</v>
      </c>
      <c r="O10" s="23" t="n">
        <v>1518037.59837077</v>
      </c>
      <c r="P10" s="23" t="n">
        <v>0</v>
      </c>
      <c r="Q10" s="23" t="n">
        <v>1647660.21082787</v>
      </c>
      <c r="R10" s="23" t="n">
        <v>2834834.03084059</v>
      </c>
      <c r="S10" s="23" t="n">
        <v>67240.4084435903</v>
      </c>
      <c r="T10" s="23" t="n">
        <v>167730.895708029</v>
      </c>
      <c r="U10" s="23" t="n">
        <v>375815.680197966</v>
      </c>
      <c r="V10" s="23" t="n">
        <v>31700.8176378561</v>
      </c>
      <c r="W10" s="23" t="n">
        <v>30927.8970811459</v>
      </c>
      <c r="X10" s="19" t="n">
        <v>0.131714170704316</v>
      </c>
      <c r="Y10" s="19" t="n">
        <v>-0.184930281118338</v>
      </c>
      <c r="Z10" s="23" t="n">
        <v>57</v>
      </c>
      <c r="AA10" s="28" t="s">
        <v>1221</v>
      </c>
      <c r="AB10" s="28" t="s">
        <v>1870</v>
      </c>
    </row>
    <row r="11" customFormat="false" ht="15" hidden="false" customHeight="false" outlineLevel="0" collapsed="false">
      <c r="A11" s="28" t="s">
        <v>1868</v>
      </c>
      <c r="B11" s="28" t="s">
        <v>176</v>
      </c>
      <c r="C11" s="28" t="s">
        <v>1716</v>
      </c>
      <c r="D11" s="23" t="n">
        <v>364231.302279776</v>
      </c>
      <c r="E11" s="23" t="n">
        <v>89912.4835306839</v>
      </c>
      <c r="F11" s="19" t="n">
        <v>0.00692584988715261</v>
      </c>
      <c r="G11" s="19" t="n">
        <v>0.120287952106011</v>
      </c>
      <c r="H11" s="19" t="n">
        <v>0.707773229867902</v>
      </c>
      <c r="I11" s="28" t="s">
        <v>1719</v>
      </c>
      <c r="J11" s="23" t="n">
        <v>687433</v>
      </c>
      <c r="K11" s="23" t="n">
        <v>20000</v>
      </c>
      <c r="L11" s="23" t="n">
        <v>13367507.333439</v>
      </c>
      <c r="M11" s="23" t="n">
        <v>8146827.74007361</v>
      </c>
      <c r="N11" s="23" t="n">
        <v>11510505.6199909</v>
      </c>
      <c r="O11" s="23" t="n">
        <v>1607950.08190145</v>
      </c>
      <c r="P11" s="23" t="n">
        <v>0</v>
      </c>
      <c r="Q11" s="23" t="n">
        <v>1797793.15005236</v>
      </c>
      <c r="R11" s="23" t="n">
        <v>2675374.6166058</v>
      </c>
      <c r="S11" s="23" t="n">
        <v>87332.9121228746</v>
      </c>
      <c r="T11" s="23" t="n">
        <v>175817.966459425</v>
      </c>
      <c r="U11" s="23" t="n">
        <v>395265.885806875</v>
      </c>
      <c r="V11" s="23" t="n">
        <v>34870.8994016417</v>
      </c>
      <c r="W11" s="23" t="n">
        <v>32938.2103914203</v>
      </c>
      <c r="X11" s="19" t="n">
        <v>0.135512171482435</v>
      </c>
      <c r="Y11" s="19" t="n">
        <v>-0.175251274365581</v>
      </c>
      <c r="Z11" s="23" t="n">
        <v>59</v>
      </c>
      <c r="AA11" s="28" t="s">
        <v>1221</v>
      </c>
      <c r="AB11" s="28" t="s">
        <v>1870</v>
      </c>
    </row>
    <row r="12" customFormat="false" ht="15" hidden="false" customHeight="false" outlineLevel="0" collapsed="false">
      <c r="A12" s="28" t="s">
        <v>1868</v>
      </c>
      <c r="B12" s="28" t="s">
        <v>184</v>
      </c>
      <c r="C12" s="28" t="s">
        <v>1515</v>
      </c>
      <c r="D12" s="23" t="n">
        <v>330625.240995484</v>
      </c>
      <c r="E12" s="23" t="n">
        <v>144383.729683793</v>
      </c>
      <c r="F12" s="19" t="n">
        <v>0.0146892753020291</v>
      </c>
      <c r="G12" s="19" t="n">
        <v>0.124321357117429</v>
      </c>
      <c r="H12" s="19" t="n">
        <v>0.610304894210102</v>
      </c>
      <c r="I12" s="28" t="s">
        <v>1871</v>
      </c>
      <c r="J12" s="23" t="n">
        <v>534357</v>
      </c>
      <c r="K12" s="23" t="n">
        <v>16000</v>
      </c>
      <c r="L12" s="23" t="n">
        <v>10064576.2216215</v>
      </c>
      <c r="M12" s="23" t="n">
        <v>5564392.96501169</v>
      </c>
      <c r="N12" s="23" t="n">
        <v>9117398.56226043</v>
      </c>
      <c r="O12" s="23" t="n">
        <v>1251241.77468379</v>
      </c>
      <c r="P12" s="23" t="n">
        <v>0</v>
      </c>
      <c r="Q12" s="23" t="n">
        <v>899904.250931008</v>
      </c>
      <c r="R12" s="23" t="n">
        <v>3446191.82507188</v>
      </c>
      <c r="S12" s="23" t="n">
        <v>-432160.488205218</v>
      </c>
      <c r="T12" s="23" t="n">
        <v>164297.34581336</v>
      </c>
      <c r="U12" s="23" t="n">
        <v>310356.074</v>
      </c>
      <c r="V12" s="23" t="n">
        <v>24182.7831250507</v>
      </c>
      <c r="W12" s="23" t="n">
        <v>0</v>
      </c>
      <c r="X12" s="19" t="n">
        <v>-0.00333244202609298</v>
      </c>
      <c r="Y12" s="19" t="n">
        <v>-1.08766666349339</v>
      </c>
      <c r="Z12" s="23" t="n">
        <v>51</v>
      </c>
      <c r="AA12" s="28" t="s">
        <v>1221</v>
      </c>
      <c r="AB12" s="28" t="s">
        <v>1870</v>
      </c>
    </row>
    <row r="13" customFormat="false" ht="15" hidden="false" customHeight="false" outlineLevel="0" collapsed="false">
      <c r="A13" s="28" t="s">
        <v>1868</v>
      </c>
      <c r="B13" s="28" t="s">
        <v>184</v>
      </c>
      <c r="C13" s="28" t="s">
        <v>1713</v>
      </c>
      <c r="D13" s="23" t="n">
        <v>353498.346692493</v>
      </c>
      <c r="E13" s="23" t="n">
        <v>132128.904687792</v>
      </c>
      <c r="F13" s="19" t="n">
        <v>0.0126637932770608</v>
      </c>
      <c r="G13" s="19" t="n">
        <v>0.128058858261565</v>
      </c>
      <c r="H13" s="19" t="n">
        <v>0.633335267576521</v>
      </c>
      <c r="I13" s="28" t="s">
        <v>1871</v>
      </c>
      <c r="J13" s="23" t="n">
        <v>569091</v>
      </c>
      <c r="K13" s="23" t="n">
        <v>16000</v>
      </c>
      <c r="L13" s="23" t="n">
        <v>10802616.0638259</v>
      </c>
      <c r="M13" s="23" t="n">
        <v>6120832.26151285</v>
      </c>
      <c r="N13" s="23" t="n">
        <v>9664442.47599605</v>
      </c>
      <c r="O13" s="23" t="n">
        <v>1383370.67937159</v>
      </c>
      <c r="P13" s="23" t="n">
        <v>0</v>
      </c>
      <c r="Q13" s="23" t="n">
        <v>1240250.27816213</v>
      </c>
      <c r="R13" s="23" t="n">
        <v>3218593.53491158</v>
      </c>
      <c r="S13" s="23" t="n">
        <v>-380979.246797153</v>
      </c>
      <c r="T13" s="23" t="n">
        <v>159814.025055239</v>
      </c>
      <c r="U13" s="23" t="n">
        <v>338984.444218737</v>
      </c>
      <c r="V13" s="23" t="n">
        <v>26199.0228412034</v>
      </c>
      <c r="W13" s="23" t="n">
        <v>13633.9337790764</v>
      </c>
      <c r="X13" s="19" t="n">
        <v>0.0211650894712731</v>
      </c>
      <c r="Y13" s="19" t="n">
        <v>-0.639094469328607</v>
      </c>
      <c r="Z13" s="23" t="n">
        <v>53</v>
      </c>
      <c r="AA13" s="28" t="s">
        <v>1221</v>
      </c>
      <c r="AB13" s="28" t="s">
        <v>1870</v>
      </c>
    </row>
    <row r="14" customFormat="false" ht="15" hidden="false" customHeight="false" outlineLevel="0" collapsed="false">
      <c r="A14" s="28" t="s">
        <v>1868</v>
      </c>
      <c r="B14" s="28" t="s">
        <v>184</v>
      </c>
      <c r="C14" s="28" t="s">
        <v>1714</v>
      </c>
      <c r="D14" s="23" t="n">
        <v>401632.799046761</v>
      </c>
      <c r="E14" s="23" t="n">
        <v>151285.862359574</v>
      </c>
      <c r="F14" s="19" t="n">
        <v>0.013524365757439</v>
      </c>
      <c r="G14" s="19" t="n">
        <v>0.13264416645748</v>
      </c>
      <c r="H14" s="19" t="n">
        <v>0.657234711636012</v>
      </c>
      <c r="I14" s="28" t="s">
        <v>1871</v>
      </c>
      <c r="J14" s="23" t="n">
        <v>606082</v>
      </c>
      <c r="K14" s="23" t="n">
        <v>18000</v>
      </c>
      <c r="L14" s="23" t="n">
        <v>11569725.0977343</v>
      </c>
      <c r="M14" s="23" t="n">
        <v>6732915.48766414</v>
      </c>
      <c r="N14" s="23" t="n">
        <v>10244309.0245558</v>
      </c>
      <c r="O14" s="23" t="n">
        <v>1534656.54173116</v>
      </c>
      <c r="P14" s="23" t="n">
        <v>0</v>
      </c>
      <c r="Q14" s="23" t="n">
        <v>1564060.56434319</v>
      </c>
      <c r="R14" s="23" t="n">
        <v>3003797.64857281</v>
      </c>
      <c r="S14" s="23" t="n">
        <v>-353169.553123403</v>
      </c>
      <c r="T14" s="23" t="n">
        <v>153537.232646717</v>
      </c>
      <c r="U14" s="23" t="n">
        <v>357065.24420858</v>
      </c>
      <c r="V14" s="23" t="n">
        <v>28818.9251253237</v>
      </c>
      <c r="W14" s="23" t="n">
        <v>29040.2789494327</v>
      </c>
      <c r="X14" s="19" t="n">
        <v>0.0383913243376263</v>
      </c>
      <c r="Y14" s="19" t="n">
        <v>-0.473751857069672</v>
      </c>
      <c r="Z14" s="23" t="n">
        <v>55</v>
      </c>
      <c r="AA14" s="28" t="s">
        <v>1221</v>
      </c>
      <c r="AB14" s="28" t="s">
        <v>1870</v>
      </c>
    </row>
    <row r="15" customFormat="false" ht="15" hidden="false" customHeight="false" outlineLevel="0" collapsed="false">
      <c r="A15" s="28" t="s">
        <v>1868</v>
      </c>
      <c r="B15" s="28" t="s">
        <v>184</v>
      </c>
      <c r="C15" s="28" t="s">
        <v>1715</v>
      </c>
      <c r="D15" s="23" t="n">
        <v>445794.002341145</v>
      </c>
      <c r="E15" s="23" t="n">
        <v>181528.400213351</v>
      </c>
      <c r="F15" s="19" t="n">
        <v>0.015147619606103</v>
      </c>
      <c r="G15" s="19" t="n">
        <v>0.138422261015123</v>
      </c>
      <c r="H15" s="19" t="n">
        <v>0.68203602150907</v>
      </c>
      <c r="I15" s="28" t="s">
        <v>1869</v>
      </c>
      <c r="J15" s="23" t="n">
        <v>645477</v>
      </c>
      <c r="K15" s="23" t="n">
        <v>18000</v>
      </c>
      <c r="L15" s="23" t="n">
        <v>12398186.024118</v>
      </c>
      <c r="M15" s="23" t="n">
        <v>7406207.03643056</v>
      </c>
      <c r="N15" s="23" t="n">
        <v>10858967.5660292</v>
      </c>
      <c r="O15" s="23" t="n">
        <v>1716184.94194451</v>
      </c>
      <c r="P15" s="23" t="n">
        <v>0</v>
      </c>
      <c r="Q15" s="23" t="n">
        <v>1845807.55440162</v>
      </c>
      <c r="R15" s="23" t="n">
        <v>2834834.03084059</v>
      </c>
      <c r="S15" s="23" t="n">
        <v>-329531.313500715</v>
      </c>
      <c r="T15" s="23" t="n">
        <v>161250.895708029</v>
      </c>
      <c r="U15" s="23" t="n">
        <v>375815.680197966</v>
      </c>
      <c r="V15" s="23" t="n">
        <v>31700.8176378561</v>
      </c>
      <c r="W15" s="23" t="n">
        <v>30927.8970811459</v>
      </c>
      <c r="X15" s="19" t="n">
        <v>0.0540830102520547</v>
      </c>
      <c r="Y15" s="19" t="n">
        <v>-0.375767825747982</v>
      </c>
      <c r="Z15" s="23" t="n">
        <v>57</v>
      </c>
      <c r="AA15" s="28" t="s">
        <v>1221</v>
      </c>
      <c r="AB15" s="28" t="s">
        <v>1870</v>
      </c>
    </row>
    <row r="16" customFormat="false" ht="15" hidden="false" customHeight="false" outlineLevel="0" collapsed="false">
      <c r="A16" s="28" t="s">
        <v>1868</v>
      </c>
      <c r="B16" s="28" t="s">
        <v>184</v>
      </c>
      <c r="C16" s="28" t="s">
        <v>1716</v>
      </c>
      <c r="D16" s="23" t="n">
        <v>496328.351640948</v>
      </c>
      <c r="E16" s="23" t="n">
        <v>215529.532891856</v>
      </c>
      <c r="F16" s="19" t="n">
        <v>0.0167775010096164</v>
      </c>
      <c r="G16" s="19" t="n">
        <v>0.145301776989939</v>
      </c>
      <c r="H16" s="19" t="n">
        <v>0.707773229867902</v>
      </c>
      <c r="I16" s="28" t="s">
        <v>1869</v>
      </c>
      <c r="J16" s="23" t="n">
        <v>687433</v>
      </c>
      <c r="K16" s="23" t="n">
        <v>20000</v>
      </c>
      <c r="L16" s="23" t="n">
        <v>13294500.0044296</v>
      </c>
      <c r="M16" s="23" t="n">
        <v>8146827.74007361</v>
      </c>
      <c r="N16" s="23" t="n">
        <v>11510505.6199909</v>
      </c>
      <c r="O16" s="23" t="n">
        <v>1931714.47483637</v>
      </c>
      <c r="P16" s="23" t="n">
        <v>0</v>
      </c>
      <c r="Q16" s="23" t="n">
        <v>2121557.54298727</v>
      </c>
      <c r="R16" s="23" t="n">
        <v>2675374.6166058</v>
      </c>
      <c r="S16" s="23" t="n">
        <v>-309438.809821431</v>
      </c>
      <c r="T16" s="23" t="n">
        <v>169337.966459425</v>
      </c>
      <c r="U16" s="23" t="n">
        <v>395265.885806875</v>
      </c>
      <c r="V16" s="23" t="n">
        <v>34870.8994016417</v>
      </c>
      <c r="W16" s="23" t="n">
        <v>32938.2103914203</v>
      </c>
      <c r="X16" s="19" t="n">
        <v>0.0690163356835135</v>
      </c>
      <c r="Y16" s="19" t="n">
        <v>-0.310017678718718</v>
      </c>
      <c r="Z16" s="23" t="n">
        <v>59</v>
      </c>
      <c r="AA16" s="28" t="s">
        <v>1221</v>
      </c>
      <c r="AB16" s="28" t="s">
        <v>1870</v>
      </c>
    </row>
    <row r="17" customFormat="false" ht="15" hidden="false" customHeight="false" outlineLevel="0" collapsed="false">
      <c r="A17" s="28" t="s">
        <v>1868</v>
      </c>
      <c r="B17" s="28" t="s">
        <v>186</v>
      </c>
      <c r="C17" s="28" t="s">
        <v>1515</v>
      </c>
      <c r="D17" s="23" t="n">
        <v>334813.572267328</v>
      </c>
      <c r="E17" s="23" t="n">
        <v>148167.060955637</v>
      </c>
      <c r="F17" s="19" t="n">
        <v>0.0151231150376347</v>
      </c>
      <c r="G17" s="19" t="n">
        <v>0.125890674064447</v>
      </c>
      <c r="H17" s="19" t="n">
        <v>0.610304894210102</v>
      </c>
      <c r="I17" s="28" t="s">
        <v>1871</v>
      </c>
      <c r="J17" s="23" t="n">
        <v>534357</v>
      </c>
      <c r="K17" s="23" t="n">
        <v>16000</v>
      </c>
      <c r="L17" s="23" t="n">
        <v>9969166.62240725</v>
      </c>
      <c r="M17" s="23" t="n">
        <v>5564392.96501169</v>
      </c>
      <c r="N17" s="23" t="n">
        <v>9117398.56226043</v>
      </c>
      <c r="O17" s="23" t="n">
        <v>1255025.10595564</v>
      </c>
      <c r="P17" s="23" t="n">
        <v>0</v>
      </c>
      <c r="Q17" s="23" t="n">
        <v>903687.582202852</v>
      </c>
      <c r="R17" s="23" t="n">
        <v>3446191.82507188</v>
      </c>
      <c r="S17" s="23" t="n">
        <v>-531353.418691295</v>
      </c>
      <c r="T17" s="23" t="n">
        <v>163892.34581336</v>
      </c>
      <c r="U17" s="23" t="n">
        <v>310356.074</v>
      </c>
      <c r="V17" s="23" t="n">
        <v>24182.7831250507</v>
      </c>
      <c r="W17" s="23" t="n">
        <v>0</v>
      </c>
      <c r="X17" s="19" t="n">
        <v>-0.0340640380355504</v>
      </c>
      <c r="Y17" s="19" t="n">
        <v>-4.98534152509044</v>
      </c>
      <c r="Z17" s="23" t="n">
        <v>51</v>
      </c>
      <c r="AA17" s="28" t="s">
        <v>1221</v>
      </c>
      <c r="AB17" s="28" t="s">
        <v>1870</v>
      </c>
    </row>
    <row r="18" customFormat="false" ht="15" hidden="false" customHeight="false" outlineLevel="0" collapsed="false">
      <c r="A18" s="28" t="s">
        <v>1868</v>
      </c>
      <c r="B18" s="28" t="s">
        <v>186</v>
      </c>
      <c r="C18" s="28" t="s">
        <v>1713</v>
      </c>
      <c r="D18" s="23" t="n">
        <v>353279.741370792</v>
      </c>
      <c r="E18" s="23" t="n">
        <v>144734.233145167</v>
      </c>
      <c r="F18" s="19" t="n">
        <v>0.013991433529352</v>
      </c>
      <c r="G18" s="19" t="n">
        <v>0.130576857702467</v>
      </c>
      <c r="H18" s="19" t="n">
        <v>0.633335267576521</v>
      </c>
      <c r="I18" s="28" t="s">
        <v>1871</v>
      </c>
      <c r="J18" s="23" t="n">
        <v>569091</v>
      </c>
      <c r="K18" s="23" t="n">
        <v>16000</v>
      </c>
      <c r="L18" s="23" t="n">
        <v>10719811.7930691</v>
      </c>
      <c r="M18" s="23" t="n">
        <v>6120832.26151285</v>
      </c>
      <c r="N18" s="23" t="n">
        <v>9664442.47599605</v>
      </c>
      <c r="O18" s="23" t="n">
        <v>1399759.3391008</v>
      </c>
      <c r="P18" s="23" t="n">
        <v>0</v>
      </c>
      <c r="Q18" s="23" t="n">
        <v>1256638.93789135</v>
      </c>
      <c r="R18" s="23" t="n">
        <v>3218593.53491158</v>
      </c>
      <c r="S18" s="23" t="n">
        <v>-480172.177283229</v>
      </c>
      <c r="T18" s="23" t="n">
        <v>172637.958834316</v>
      </c>
      <c r="U18" s="23" t="n">
        <v>338984.444218737</v>
      </c>
      <c r="V18" s="23" t="n">
        <v>26199.0228412034</v>
      </c>
      <c r="W18" s="23" t="n">
        <v>0</v>
      </c>
      <c r="X18" s="19" t="n">
        <v>-0.00606679250143915</v>
      </c>
      <c r="Y18" s="19" t="n">
        <v>-1.18692851055468</v>
      </c>
      <c r="Z18" s="23" t="n">
        <v>53</v>
      </c>
      <c r="AA18" s="28" t="s">
        <v>1221</v>
      </c>
      <c r="AB18" s="28" t="s">
        <v>1870</v>
      </c>
    </row>
    <row r="19" customFormat="false" ht="15" hidden="false" customHeight="false" outlineLevel="0" collapsed="false">
      <c r="A19" s="28" t="s">
        <v>1868</v>
      </c>
      <c r="B19" s="28" t="s">
        <v>186</v>
      </c>
      <c r="C19" s="28" t="s">
        <v>1714</v>
      </c>
      <c r="D19" s="23" t="n">
        <v>411163.39208535</v>
      </c>
      <c r="E19" s="23" t="n">
        <v>174526.59487288</v>
      </c>
      <c r="F19" s="19" t="n">
        <v>0.0157019166964303</v>
      </c>
      <c r="G19" s="19" t="n">
        <v>0.136773574014311</v>
      </c>
      <c r="H19" s="19" t="n">
        <v>0.657234711636012</v>
      </c>
      <c r="I19" s="28" t="s">
        <v>1871</v>
      </c>
      <c r="J19" s="23" t="n">
        <v>606082</v>
      </c>
      <c r="K19" s="23" t="n">
        <v>18000</v>
      </c>
      <c r="L19" s="23" t="n">
        <v>11510161.5594908</v>
      </c>
      <c r="M19" s="23" t="n">
        <v>6732915.48766414</v>
      </c>
      <c r="N19" s="23" t="n">
        <v>10244309.0245558</v>
      </c>
      <c r="O19" s="23" t="n">
        <v>1574285.93397368</v>
      </c>
      <c r="P19" s="23" t="n">
        <v>0</v>
      </c>
      <c r="Q19" s="23" t="n">
        <v>1603689.95658572</v>
      </c>
      <c r="R19" s="23" t="n">
        <v>3003797.64857281</v>
      </c>
      <c r="S19" s="23" t="n">
        <v>-452362.483609479</v>
      </c>
      <c r="T19" s="23" t="n">
        <v>167247.372121434</v>
      </c>
      <c r="U19" s="23" t="n">
        <v>357065.24420858</v>
      </c>
      <c r="V19" s="23" t="n">
        <v>28818.9251253237</v>
      </c>
      <c r="W19" s="23" t="n">
        <v>14520.1394747164</v>
      </c>
      <c r="X19" s="19" t="n">
        <v>0.0148587785642057</v>
      </c>
      <c r="Y19" s="19" t="n">
        <v>-0.70439758621883</v>
      </c>
      <c r="Z19" s="23" t="n">
        <v>55</v>
      </c>
      <c r="AA19" s="28" t="s">
        <v>1221</v>
      </c>
      <c r="AB19" s="28" t="s">
        <v>1870</v>
      </c>
    </row>
    <row r="20" customFormat="false" ht="15" hidden="false" customHeight="false" outlineLevel="0" collapsed="false">
      <c r="A20" s="28" t="s">
        <v>1868</v>
      </c>
      <c r="B20" s="28" t="s">
        <v>186</v>
      </c>
      <c r="C20" s="28" t="s">
        <v>1715</v>
      </c>
      <c r="D20" s="23" t="n">
        <v>465158.400360859</v>
      </c>
      <c r="E20" s="23" t="n">
        <v>200082.798233065</v>
      </c>
      <c r="F20" s="19" t="n">
        <v>0.0167662430151293</v>
      </c>
      <c r="G20" s="19" t="n">
        <v>0.143590137850935</v>
      </c>
      <c r="H20" s="19" t="n">
        <v>0.68203602150907</v>
      </c>
      <c r="I20" s="28" t="s">
        <v>1871</v>
      </c>
      <c r="J20" s="23" t="n">
        <v>645477</v>
      </c>
      <c r="K20" s="23" t="n">
        <v>18000</v>
      </c>
      <c r="L20" s="23" t="n">
        <v>12357176.8838941</v>
      </c>
      <c r="M20" s="23" t="n">
        <v>7406207.03643056</v>
      </c>
      <c r="N20" s="23" t="n">
        <v>10858967.5660292</v>
      </c>
      <c r="O20" s="23" t="n">
        <v>1774368.73220675</v>
      </c>
      <c r="P20" s="23" t="n">
        <v>0</v>
      </c>
      <c r="Q20" s="23" t="n">
        <v>1903991.34466386</v>
      </c>
      <c r="R20" s="23" t="n">
        <v>2834834.03084059</v>
      </c>
      <c r="S20" s="23" t="n">
        <v>-428724.243986792</v>
      </c>
      <c r="T20" s="23" t="n">
        <v>160440.895708029</v>
      </c>
      <c r="U20" s="23" t="n">
        <v>375815.680197966</v>
      </c>
      <c r="V20" s="23" t="n">
        <v>31700.8176378561</v>
      </c>
      <c r="W20" s="23" t="n">
        <v>30927.8970811459</v>
      </c>
      <c r="X20" s="19" t="n">
        <v>0.033225531806338</v>
      </c>
      <c r="Y20" s="19" t="n">
        <v>-0.500365037702378</v>
      </c>
      <c r="Z20" s="23" t="n">
        <v>57</v>
      </c>
      <c r="AA20" s="28" t="s">
        <v>1221</v>
      </c>
      <c r="AB20" s="28" t="s">
        <v>1870</v>
      </c>
    </row>
    <row r="21" customFormat="false" ht="15" hidden="false" customHeight="false" outlineLevel="0" collapsed="false">
      <c r="A21" s="28" t="s">
        <v>1868</v>
      </c>
      <c r="B21" s="28" t="s">
        <v>186</v>
      </c>
      <c r="C21" s="28" t="s">
        <v>1716</v>
      </c>
      <c r="D21" s="23" t="n">
        <v>526041.902168451</v>
      </c>
      <c r="E21" s="23" t="n">
        <v>244433.083419359</v>
      </c>
      <c r="F21" s="19" t="n">
        <v>0.0190668619667947</v>
      </c>
      <c r="G21" s="19" t="n">
        <v>0.151990804714156</v>
      </c>
      <c r="H21" s="19" t="n">
        <v>0.707773229867902</v>
      </c>
      <c r="I21" s="28" t="s">
        <v>1869</v>
      </c>
      <c r="J21" s="23" t="n">
        <v>687433</v>
      </c>
      <c r="K21" s="23" t="n">
        <v>20000</v>
      </c>
      <c r="L21" s="23" t="n">
        <v>13282394.4147332</v>
      </c>
      <c r="M21" s="23" t="n">
        <v>8146827.74007361</v>
      </c>
      <c r="N21" s="23" t="n">
        <v>11510505.6199909</v>
      </c>
      <c r="O21" s="23" t="n">
        <v>2018801.81562611</v>
      </c>
      <c r="P21" s="23" t="n">
        <v>0</v>
      </c>
      <c r="Q21" s="23" t="n">
        <v>2208644.88377701</v>
      </c>
      <c r="R21" s="23" t="n">
        <v>2675374.6166058</v>
      </c>
      <c r="S21" s="23" t="n">
        <v>-408631.740307507</v>
      </c>
      <c r="T21" s="23" t="n">
        <v>168527.966459425</v>
      </c>
      <c r="U21" s="23" t="n">
        <v>395265.885806875</v>
      </c>
      <c r="V21" s="23" t="n">
        <v>34870.8994016417</v>
      </c>
      <c r="W21" s="23" t="n">
        <v>32938.2103914203</v>
      </c>
      <c r="X21" s="19" t="n">
        <v>0.0512590281462019</v>
      </c>
      <c r="Y21" s="19" t="n">
        <v>-0.381380848198122</v>
      </c>
      <c r="Z21" s="23" t="n">
        <v>59</v>
      </c>
      <c r="AA21" s="28" t="s">
        <v>1221</v>
      </c>
      <c r="AB21" s="28" t="s">
        <v>1870</v>
      </c>
    </row>
    <row r="22" customFormat="false" ht="15" hidden="false" customHeight="false" outlineLevel="0" collapsed="false">
      <c r="A22" s="28" t="s">
        <v>1868</v>
      </c>
      <c r="B22" s="28" t="s">
        <v>210</v>
      </c>
      <c r="C22" s="28" t="s">
        <v>1515</v>
      </c>
      <c r="D22" s="23" t="n">
        <v>323824.906667658</v>
      </c>
      <c r="E22" s="23" t="n">
        <v>138605.795355967</v>
      </c>
      <c r="F22" s="19" t="n">
        <v>0.0140666258188385</v>
      </c>
      <c r="G22" s="19" t="n">
        <v>0.122856381847602</v>
      </c>
      <c r="H22" s="19" t="n">
        <v>0.610304894210102</v>
      </c>
      <c r="I22" s="28" t="s">
        <v>1871</v>
      </c>
      <c r="J22" s="23" t="n">
        <v>534357</v>
      </c>
      <c r="K22" s="23" t="n">
        <v>16000</v>
      </c>
      <c r="L22" s="23" t="n">
        <v>10137559.1697053</v>
      </c>
      <c r="M22" s="23" t="n">
        <v>5564392.96501169</v>
      </c>
      <c r="N22" s="23" t="n">
        <v>9117398.56226043</v>
      </c>
      <c r="O22" s="23" t="n">
        <v>1245463.84035597</v>
      </c>
      <c r="P22" s="23" t="n">
        <v>0</v>
      </c>
      <c r="Q22" s="23" t="n">
        <v>894126.316603181</v>
      </c>
      <c r="R22" s="23" t="n">
        <v>3446191.82507188</v>
      </c>
      <c r="S22" s="23" t="n">
        <v>-353399.605793624</v>
      </c>
      <c r="T22" s="23" t="n">
        <v>165319.74581336</v>
      </c>
      <c r="U22" s="23" t="n">
        <v>310356.074</v>
      </c>
      <c r="V22" s="23" t="n">
        <v>24182.7831250507</v>
      </c>
      <c r="W22" s="23" t="n">
        <v>0</v>
      </c>
      <c r="X22" s="19" t="n">
        <v>0.0194962542511946</v>
      </c>
      <c r="Y22" s="19" t="n">
        <v>-0.674523752259186</v>
      </c>
      <c r="Z22" s="23" t="n">
        <v>51</v>
      </c>
      <c r="AA22" s="28" t="s">
        <v>1221</v>
      </c>
      <c r="AB22" s="28" t="s">
        <v>1870</v>
      </c>
    </row>
    <row r="23" customFormat="false" ht="15" hidden="false" customHeight="false" outlineLevel="0" collapsed="false">
      <c r="A23" s="28" t="s">
        <v>1868</v>
      </c>
      <c r="B23" s="28" t="s">
        <v>210</v>
      </c>
      <c r="C23" s="28" t="s">
        <v>1713</v>
      </c>
      <c r="D23" s="23" t="n">
        <v>356397.495490905</v>
      </c>
      <c r="E23" s="23" t="n">
        <v>136256.103486204</v>
      </c>
      <c r="F23" s="19" t="n">
        <v>0.012975845352078</v>
      </c>
      <c r="G23" s="19" t="n">
        <v>0.127184053696115</v>
      </c>
      <c r="H23" s="19" t="n">
        <v>0.633335267576521</v>
      </c>
      <c r="I23" s="28" t="s">
        <v>1871</v>
      </c>
      <c r="J23" s="23" t="n">
        <v>569091</v>
      </c>
      <c r="K23" s="23" t="n">
        <v>16000</v>
      </c>
      <c r="L23" s="23" t="n">
        <v>10863940.1221128</v>
      </c>
      <c r="M23" s="23" t="n">
        <v>6120832.26151285</v>
      </c>
      <c r="N23" s="23" t="n">
        <v>9664442.47599605</v>
      </c>
      <c r="O23" s="23" t="n">
        <v>1381719.94384217</v>
      </c>
      <c r="P23" s="23" t="n">
        <v>0</v>
      </c>
      <c r="Q23" s="23" t="n">
        <v>1238599.54263272</v>
      </c>
      <c r="R23" s="23" t="n">
        <v>3218593.53491158</v>
      </c>
      <c r="S23" s="23" t="n">
        <v>-318004.452980864</v>
      </c>
      <c r="T23" s="23" t="n">
        <v>161042.075055239</v>
      </c>
      <c r="U23" s="23" t="n">
        <v>338984.444218737</v>
      </c>
      <c r="V23" s="23" t="n">
        <v>26199.0228412034</v>
      </c>
      <c r="W23" s="23" t="n">
        <v>13633.9337790764</v>
      </c>
      <c r="X23" s="19" t="n">
        <v>0.0385667062911672</v>
      </c>
      <c r="Y23" s="19" t="n">
        <v>-0.488367946634767</v>
      </c>
      <c r="Z23" s="23" t="n">
        <v>53</v>
      </c>
      <c r="AA23" s="28" t="s">
        <v>1221</v>
      </c>
      <c r="AB23" s="28" t="s">
        <v>1870</v>
      </c>
    </row>
    <row r="24" customFormat="false" ht="15" hidden="false" customHeight="false" outlineLevel="0" collapsed="false">
      <c r="A24" s="28" t="s">
        <v>1868</v>
      </c>
      <c r="B24" s="28" t="s">
        <v>210</v>
      </c>
      <c r="C24" s="28" t="s">
        <v>1714</v>
      </c>
      <c r="D24" s="23" t="n">
        <v>397638.83176723</v>
      </c>
      <c r="E24" s="23" t="n">
        <v>148409.695080044</v>
      </c>
      <c r="F24" s="19" t="n">
        <v>0.0131965986787095</v>
      </c>
      <c r="G24" s="19" t="n">
        <v>0.131588138601281</v>
      </c>
      <c r="H24" s="19" t="n">
        <v>0.657234711636012</v>
      </c>
      <c r="I24" s="28" t="s">
        <v>1869</v>
      </c>
      <c r="J24" s="23" t="n">
        <v>606082</v>
      </c>
      <c r="K24" s="23" t="n">
        <v>18000</v>
      </c>
      <c r="L24" s="23" t="n">
        <v>11628172.9887417</v>
      </c>
      <c r="M24" s="23" t="n">
        <v>6732915.48766414</v>
      </c>
      <c r="N24" s="23" t="n">
        <v>10244309.0245558</v>
      </c>
      <c r="O24" s="23" t="n">
        <v>1530129.63892221</v>
      </c>
      <c r="P24" s="23" t="n">
        <v>0</v>
      </c>
      <c r="Q24" s="23" t="n">
        <v>1559533.66153425</v>
      </c>
      <c r="R24" s="23" t="n">
        <v>3003797.64857281</v>
      </c>
      <c r="S24" s="23" t="n">
        <v>-290194.759307114</v>
      </c>
      <c r="T24" s="23" t="n">
        <v>154655.032646717</v>
      </c>
      <c r="U24" s="23" t="n">
        <v>357065.24420858</v>
      </c>
      <c r="V24" s="23" t="n">
        <v>28818.9251253237</v>
      </c>
      <c r="W24" s="23" t="n">
        <v>29040.2789494327</v>
      </c>
      <c r="X24" s="19" t="n">
        <v>0.0546183329862833</v>
      </c>
      <c r="Y24" s="19" t="n">
        <v>-0.383517461715708</v>
      </c>
      <c r="Z24" s="23" t="n">
        <v>55</v>
      </c>
      <c r="AA24" s="28" t="s">
        <v>1221</v>
      </c>
      <c r="AB24" s="28" t="s">
        <v>1870</v>
      </c>
    </row>
    <row r="25" customFormat="false" ht="15" hidden="false" customHeight="false" outlineLevel="0" collapsed="false">
      <c r="A25" s="28" t="s">
        <v>1868</v>
      </c>
      <c r="B25" s="28" t="s">
        <v>210</v>
      </c>
      <c r="C25" s="28" t="s">
        <v>1715</v>
      </c>
      <c r="D25" s="23" t="n">
        <v>438643.360503761</v>
      </c>
      <c r="E25" s="23" t="n">
        <v>175495.558375968</v>
      </c>
      <c r="F25" s="19" t="n">
        <v>0.0145767851738524</v>
      </c>
      <c r="G25" s="19" t="n">
        <v>0.136991394010487</v>
      </c>
      <c r="H25" s="19" t="n">
        <v>0.68203602150907</v>
      </c>
      <c r="I25" s="28" t="s">
        <v>1869</v>
      </c>
      <c r="J25" s="23" t="n">
        <v>645477</v>
      </c>
      <c r="K25" s="23" t="n">
        <v>18000</v>
      </c>
      <c r="L25" s="23" t="n">
        <v>12450601.0732879</v>
      </c>
      <c r="M25" s="23" t="n">
        <v>7406207.03643056</v>
      </c>
      <c r="N25" s="23" t="n">
        <v>10858967.5660292</v>
      </c>
      <c r="O25" s="23" t="n">
        <v>1705625.19729818</v>
      </c>
      <c r="P25" s="23" t="n">
        <v>0</v>
      </c>
      <c r="Q25" s="23" t="n">
        <v>1835247.80975529</v>
      </c>
      <c r="R25" s="23" t="n">
        <v>2834834.03084059</v>
      </c>
      <c r="S25" s="23" t="n">
        <v>-266556.519684427</v>
      </c>
      <c r="T25" s="23" t="n">
        <v>162368.695708029</v>
      </c>
      <c r="U25" s="23" t="n">
        <v>375815.680197966</v>
      </c>
      <c r="V25" s="23" t="n">
        <v>31700.8176378561</v>
      </c>
      <c r="W25" s="23" t="n">
        <v>30927.8970811459</v>
      </c>
      <c r="X25" s="19" t="n">
        <v>0.0690422854193828</v>
      </c>
      <c r="Y25" s="19" t="n">
        <v>-0.316979053038222</v>
      </c>
      <c r="Z25" s="23" t="n">
        <v>57</v>
      </c>
      <c r="AA25" s="28" t="s">
        <v>1221</v>
      </c>
      <c r="AB25" s="28" t="s">
        <v>1870</v>
      </c>
    </row>
    <row r="26" customFormat="false" ht="15" hidden="false" customHeight="false" outlineLevel="0" collapsed="false">
      <c r="A26" s="28" t="s">
        <v>1868</v>
      </c>
      <c r="B26" s="28" t="s">
        <v>210</v>
      </c>
      <c r="C26" s="28" t="s">
        <v>1716</v>
      </c>
      <c r="D26" s="23" t="n">
        <v>485693.363693999</v>
      </c>
      <c r="E26" s="23" t="n">
        <v>206012.344944907</v>
      </c>
      <c r="F26" s="19" t="n">
        <v>0.0159773812177279</v>
      </c>
      <c r="G26" s="19" t="n">
        <v>0.143329123229208</v>
      </c>
      <c r="H26" s="19" t="n">
        <v>0.707773229867902</v>
      </c>
      <c r="I26" s="28" t="s">
        <v>1719</v>
      </c>
      <c r="J26" s="23" t="n">
        <v>687433</v>
      </c>
      <c r="K26" s="23" t="n">
        <v>20000</v>
      </c>
      <c r="L26" s="23" t="n">
        <v>13337397.8656526</v>
      </c>
      <c r="M26" s="23" t="n">
        <v>8146827.74007361</v>
      </c>
      <c r="N26" s="23" t="n">
        <v>11510505.6199909</v>
      </c>
      <c r="O26" s="23" t="n">
        <v>1911637.54224309</v>
      </c>
      <c r="P26" s="23" t="n">
        <v>0</v>
      </c>
      <c r="Q26" s="23" t="n">
        <v>2101480.61039399</v>
      </c>
      <c r="R26" s="23" t="n">
        <v>2675374.6166058</v>
      </c>
      <c r="S26" s="23" t="n">
        <v>-246464.016005142</v>
      </c>
      <c r="T26" s="23" t="n">
        <v>170455.766459425</v>
      </c>
      <c r="U26" s="23" t="n">
        <v>395265.885806875</v>
      </c>
      <c r="V26" s="23" t="n">
        <v>34870.8994016417</v>
      </c>
      <c r="W26" s="23" t="n">
        <v>32938.2103914203</v>
      </c>
      <c r="X26" s="19" t="n">
        <v>0.0826141026065412</v>
      </c>
      <c r="Y26" s="19" t="n">
        <v>-0.270007108730755</v>
      </c>
      <c r="Z26" s="23" t="n">
        <v>59</v>
      </c>
      <c r="AA26" s="28" t="s">
        <v>1221</v>
      </c>
      <c r="AB26" s="28" t="s">
        <v>1870</v>
      </c>
    </row>
    <row r="27" customFormat="false" ht="15" hidden="false" customHeight="false" outlineLevel="0" collapsed="false">
      <c r="A27" s="28" t="s">
        <v>1868</v>
      </c>
      <c r="B27" s="28" t="s">
        <v>214</v>
      </c>
      <c r="C27" s="28" t="s">
        <v>1515</v>
      </c>
      <c r="D27" s="23" t="n">
        <v>316984.868811437</v>
      </c>
      <c r="E27" s="23" t="n">
        <v>119524.68116276</v>
      </c>
      <c r="F27" s="19" t="n">
        <v>0.012058527716252</v>
      </c>
      <c r="G27" s="19" t="n">
        <v>0.118914655392302</v>
      </c>
      <c r="H27" s="19" t="n">
        <v>0.610304894210102</v>
      </c>
      <c r="I27" s="28" t="s">
        <v>1719</v>
      </c>
      <c r="J27" s="23" t="n">
        <v>534357</v>
      </c>
      <c r="K27" s="23" t="n">
        <v>16000</v>
      </c>
      <c r="L27" s="23" t="n">
        <v>10313133.5840557</v>
      </c>
      <c r="M27" s="23" t="n">
        <v>5564392.96501169</v>
      </c>
      <c r="N27" s="23" t="n">
        <v>9117398.56226043</v>
      </c>
      <c r="O27" s="23" t="n">
        <v>1226382.72616276</v>
      </c>
      <c r="P27" s="23" t="n">
        <v>0</v>
      </c>
      <c r="Q27" s="23" t="n">
        <v>875045.202409975</v>
      </c>
      <c r="R27" s="23" t="n">
        <v>3446191.82507188</v>
      </c>
      <c r="S27" s="23" t="n">
        <v>-158744.077250008</v>
      </c>
      <c r="T27" s="23" t="n">
        <v>166153.59581336</v>
      </c>
      <c r="U27" s="23" t="n">
        <v>310356.074</v>
      </c>
      <c r="V27" s="23" t="n">
        <v>37257.709462037</v>
      </c>
      <c r="W27" s="23" t="n">
        <v>0</v>
      </c>
      <c r="X27" s="19" t="n">
        <v>0.0712293269180495</v>
      </c>
      <c r="Y27" s="19" t="n">
        <v>-0.349516502995231</v>
      </c>
      <c r="Z27" s="23" t="n">
        <v>51</v>
      </c>
      <c r="AA27" s="28" t="s">
        <v>1221</v>
      </c>
      <c r="AB27" s="28" t="s">
        <v>1870</v>
      </c>
    </row>
    <row r="28" customFormat="false" ht="15" hidden="false" customHeight="false" outlineLevel="0" collapsed="false">
      <c r="A28" s="28" t="s">
        <v>1868</v>
      </c>
      <c r="B28" s="28" t="s">
        <v>214</v>
      </c>
      <c r="C28" s="28" t="s">
        <v>1713</v>
      </c>
      <c r="D28" s="23" t="n">
        <v>328114.506056327</v>
      </c>
      <c r="E28" s="23" t="n">
        <v>73012.1547144663</v>
      </c>
      <c r="F28" s="19" t="n">
        <v>0.00682987845281797</v>
      </c>
      <c r="G28" s="19" t="n">
        <v>0.117410738192509</v>
      </c>
      <c r="H28" s="19" t="n">
        <v>0.633335267576521</v>
      </c>
      <c r="I28" s="28" t="s">
        <v>1719</v>
      </c>
      <c r="J28" s="23" t="n">
        <v>569091</v>
      </c>
      <c r="K28" s="23" t="n">
        <v>16000</v>
      </c>
      <c r="L28" s="23" t="n">
        <v>11067087.2262698</v>
      </c>
      <c r="M28" s="23" t="n">
        <v>6120832.26151285</v>
      </c>
      <c r="N28" s="23" t="n">
        <v>9664442.47599605</v>
      </c>
      <c r="O28" s="23" t="n">
        <v>1299394.88087723</v>
      </c>
      <c r="P28" s="23" t="n">
        <v>0</v>
      </c>
      <c r="Q28" s="23" t="n">
        <v>1156274.47966778</v>
      </c>
      <c r="R28" s="23" t="n">
        <v>3218593.53491158</v>
      </c>
      <c r="S28" s="23" t="n">
        <v>-32532.2858588845</v>
      </c>
      <c r="T28" s="23" t="n">
        <v>164505.275055239</v>
      </c>
      <c r="U28" s="23" t="n">
        <v>338984.444218737</v>
      </c>
      <c r="V28" s="23" t="n">
        <v>64623.1821783628</v>
      </c>
      <c r="W28" s="23" t="n">
        <v>13633.9337790764</v>
      </c>
      <c r="X28" s="19" t="n">
        <v>0.10389715837143</v>
      </c>
      <c r="Y28" s="19" t="n">
        <v>-0.248259977180769</v>
      </c>
      <c r="Z28" s="23" t="n">
        <v>53</v>
      </c>
      <c r="AA28" s="28" t="s">
        <v>1221</v>
      </c>
      <c r="AB28" s="28" t="s">
        <v>1870</v>
      </c>
    </row>
    <row r="29" customFormat="false" ht="15" hidden="false" customHeight="false" outlineLevel="0" collapsed="false">
      <c r="A29" s="28" t="s">
        <v>1868</v>
      </c>
      <c r="B29" s="28" t="s">
        <v>214</v>
      </c>
      <c r="C29" s="28" t="s">
        <v>1714</v>
      </c>
      <c r="D29" s="23" t="n">
        <v>350596.562589542</v>
      </c>
      <c r="E29" s="23" t="n">
        <v>70144.361767412</v>
      </c>
      <c r="F29" s="19" t="n">
        <v>0.00614758328943685</v>
      </c>
      <c r="G29" s="19" t="n">
        <v>0.116526236851539</v>
      </c>
      <c r="H29" s="19" t="n">
        <v>0.657234711636012</v>
      </c>
      <c r="I29" s="28" t="s">
        <v>1719</v>
      </c>
      <c r="J29" s="23" t="n">
        <v>606082</v>
      </c>
      <c r="K29" s="23" t="n">
        <v>18000</v>
      </c>
      <c r="L29" s="23" t="n">
        <v>11753054.7595861</v>
      </c>
      <c r="M29" s="23" t="n">
        <v>6732915.48766414</v>
      </c>
      <c r="N29" s="23" t="n">
        <v>10244309.0245558</v>
      </c>
      <c r="O29" s="23" t="n">
        <v>1369539.24264464</v>
      </c>
      <c r="P29" s="23" t="n">
        <v>0</v>
      </c>
      <c r="Q29" s="23" t="n">
        <v>1398943.26525667</v>
      </c>
      <c r="R29" s="23" t="n">
        <v>3003797.64857281</v>
      </c>
      <c r="S29" s="23" t="n">
        <v>-4722.59218513447</v>
      </c>
      <c r="T29" s="23" t="n">
        <v>158397.232646717</v>
      </c>
      <c r="U29" s="23" t="n">
        <v>357065.24420858</v>
      </c>
      <c r="V29" s="23" t="n">
        <v>63784.1892602669</v>
      </c>
      <c r="W29" s="23" t="n">
        <v>29040.2789494327</v>
      </c>
      <c r="X29" s="19" t="n">
        <v>0.110776743840655</v>
      </c>
      <c r="Y29" s="19" t="n">
        <v>-0.223909052754516</v>
      </c>
      <c r="Z29" s="23" t="n">
        <v>55</v>
      </c>
      <c r="AA29" s="28" t="s">
        <v>1221</v>
      </c>
      <c r="AB29" s="28" t="s">
        <v>1870</v>
      </c>
    </row>
    <row r="30" customFormat="false" ht="15" hidden="false" customHeight="false" outlineLevel="0" collapsed="false">
      <c r="A30" s="28" t="s">
        <v>1868</v>
      </c>
      <c r="B30" s="28" t="s">
        <v>214</v>
      </c>
      <c r="C30" s="28" t="s">
        <v>1715</v>
      </c>
      <c r="D30" s="23" t="n">
        <v>365255.258251209</v>
      </c>
      <c r="E30" s="23" t="n">
        <v>67387.8655749779</v>
      </c>
      <c r="F30" s="19" t="n">
        <v>0.00556454743560127</v>
      </c>
      <c r="G30" s="19" t="n">
        <v>0.115254982767257</v>
      </c>
      <c r="H30" s="19" t="n">
        <v>0.68203602150907</v>
      </c>
      <c r="I30" s="28" t="s">
        <v>1719</v>
      </c>
      <c r="J30" s="23" t="n">
        <v>645477</v>
      </c>
      <c r="K30" s="23" t="n">
        <v>18000</v>
      </c>
      <c r="L30" s="23" t="n">
        <v>12467375.1513313</v>
      </c>
      <c r="M30" s="23" t="n">
        <v>7406207.03643056</v>
      </c>
      <c r="N30" s="23" t="n">
        <v>10858967.5660292</v>
      </c>
      <c r="O30" s="23" t="n">
        <v>1436927.10821962</v>
      </c>
      <c r="P30" s="23" t="n">
        <v>0</v>
      </c>
      <c r="Q30" s="23" t="n">
        <v>1566549.72067672</v>
      </c>
      <c r="R30" s="23" t="n">
        <v>2834834.03084059</v>
      </c>
      <c r="S30" s="23" t="n">
        <v>18915.647437553</v>
      </c>
      <c r="T30" s="23" t="n">
        <v>166110.895708029</v>
      </c>
      <c r="U30" s="23" t="n">
        <v>375815.680197966</v>
      </c>
      <c r="V30" s="23" t="n">
        <v>70162.6081862936</v>
      </c>
      <c r="W30" s="23" t="n">
        <v>30927.8970811459</v>
      </c>
      <c r="X30" s="19" t="n">
        <v>0.115184338843847</v>
      </c>
      <c r="Y30" s="19" t="n">
        <v>-0.209103353017887</v>
      </c>
      <c r="Z30" s="23" t="n">
        <v>57</v>
      </c>
      <c r="AA30" s="28" t="s">
        <v>1221</v>
      </c>
      <c r="AB30" s="28" t="s">
        <v>1870</v>
      </c>
    </row>
    <row r="31" customFormat="false" ht="15" hidden="false" customHeight="false" outlineLevel="0" collapsed="false">
      <c r="A31" s="28" t="s">
        <v>1868</v>
      </c>
      <c r="B31" s="28" t="s">
        <v>214</v>
      </c>
      <c r="C31" s="28" t="s">
        <v>1716</v>
      </c>
      <c r="D31" s="23" t="n">
        <v>381869.104722991</v>
      </c>
      <c r="E31" s="23" t="n">
        <v>63622.3163706183</v>
      </c>
      <c r="F31" s="19" t="n">
        <v>0.00495517171424087</v>
      </c>
      <c r="G31" s="19" t="n">
        <v>0.113576611711458</v>
      </c>
      <c r="H31" s="19" t="n">
        <v>0.707773229867902</v>
      </c>
      <c r="I31" s="28" t="s">
        <v>1719</v>
      </c>
      <c r="J31" s="23" t="n">
        <v>687433</v>
      </c>
      <c r="K31" s="23" t="n">
        <v>20000</v>
      </c>
      <c r="L31" s="23" t="n">
        <v>13211781.9151217</v>
      </c>
      <c r="M31" s="23" t="n">
        <v>8146827.74007361</v>
      </c>
      <c r="N31" s="23" t="n">
        <v>11510505.6199909</v>
      </c>
      <c r="O31" s="23" t="n">
        <v>1500549.42459023</v>
      </c>
      <c r="P31" s="23" t="n">
        <v>0</v>
      </c>
      <c r="Q31" s="23" t="n">
        <v>1690392.49274114</v>
      </c>
      <c r="R31" s="23" t="n">
        <v>2675374.6166058</v>
      </c>
      <c r="S31" s="23" t="n">
        <v>39008.1511168374</v>
      </c>
      <c r="T31" s="23" t="n">
        <v>174197.966459425</v>
      </c>
      <c r="U31" s="23" t="n">
        <v>395265.885806875</v>
      </c>
      <c r="V31" s="23" t="n">
        <v>77178.869004923</v>
      </c>
      <c r="W31" s="23" t="n">
        <v>32938.2103914203</v>
      </c>
      <c r="X31" s="19" t="n">
        <v>0.117795980352575</v>
      </c>
      <c r="Y31" s="19" t="n">
        <v>-0.199652512080791</v>
      </c>
      <c r="Z31" s="23" t="n">
        <v>59</v>
      </c>
      <c r="AA31" s="28" t="s">
        <v>1221</v>
      </c>
      <c r="AB31" s="28" t="s">
        <v>1870</v>
      </c>
    </row>
    <row r="32" customFormat="false" ht="15" hidden="false" customHeight="false" outlineLevel="0" collapsed="false">
      <c r="A32" s="28" t="s">
        <v>1872</v>
      </c>
      <c r="B32" s="28" t="s">
        <v>180</v>
      </c>
      <c r="C32" s="28" t="s">
        <v>1515</v>
      </c>
      <c r="D32" s="23" t="n">
        <v>322392.850424934</v>
      </c>
      <c r="E32" s="23" t="n">
        <v>136761.294308827</v>
      </c>
      <c r="F32" s="19" t="n">
        <v>0.0137740465170645</v>
      </c>
      <c r="G32" s="19" t="n">
        <v>0.119997257684947</v>
      </c>
      <c r="H32" s="19" t="n">
        <v>0.614102689396082</v>
      </c>
      <c r="I32" s="28" t="s">
        <v>1869</v>
      </c>
      <c r="J32" s="23" t="n">
        <v>540593</v>
      </c>
      <c r="K32" s="23" t="n">
        <v>16000</v>
      </c>
      <c r="L32" s="23" t="n">
        <v>10363731.3327106</v>
      </c>
      <c r="M32" s="23" t="n">
        <v>5664660.3636246</v>
      </c>
      <c r="N32" s="23" t="n">
        <v>9224288.48047436</v>
      </c>
      <c r="O32" s="23" t="n">
        <v>1243619.33930883</v>
      </c>
      <c r="P32" s="23" t="n">
        <v>0</v>
      </c>
      <c r="Q32" s="23" t="n">
        <v>935933.650786161</v>
      </c>
      <c r="R32" s="23" t="n">
        <v>3407161.0357625</v>
      </c>
      <c r="S32" s="23" t="n">
        <v>-233774.627233066</v>
      </c>
      <c r="T32" s="23" t="n">
        <v>166700.624687855</v>
      </c>
      <c r="U32" s="23" t="n">
        <v>311156.074</v>
      </c>
      <c r="V32" s="23" t="n">
        <v>25176.1068039615</v>
      </c>
      <c r="W32" s="23" t="n">
        <v>0</v>
      </c>
      <c r="X32" s="19" t="n">
        <v>0.0525711907413464</v>
      </c>
      <c r="Y32" s="19" t="n">
        <v>-0.422571312817628</v>
      </c>
      <c r="Z32" s="23" t="n">
        <v>52</v>
      </c>
      <c r="AA32" s="28" t="s">
        <v>1221</v>
      </c>
      <c r="AB32" s="28" t="s">
        <v>1870</v>
      </c>
    </row>
    <row r="33" customFormat="false" ht="15" hidden="false" customHeight="false" outlineLevel="0" collapsed="false">
      <c r="A33" s="28" t="s">
        <v>1872</v>
      </c>
      <c r="B33" s="28" t="s">
        <v>180</v>
      </c>
      <c r="C33" s="28" t="s">
        <v>1713</v>
      </c>
      <c r="D33" s="23" t="n">
        <v>358830.535472059</v>
      </c>
      <c r="E33" s="23" t="n">
        <v>130339.183233705</v>
      </c>
      <c r="F33" s="19" t="n">
        <v>0.0120105788961642</v>
      </c>
      <c r="G33" s="19" t="n">
        <v>0.121156815161217</v>
      </c>
      <c r="H33" s="19" t="n">
        <v>0.645232318812473</v>
      </c>
      <c r="I33" s="28" t="s">
        <v>1719</v>
      </c>
      <c r="J33" s="23" t="n">
        <v>589246</v>
      </c>
      <c r="K33" s="23" t="n">
        <v>16000</v>
      </c>
      <c r="L33" s="23" t="n">
        <v>11340332.1201063</v>
      </c>
      <c r="M33" s="23" t="n">
        <v>6457712.81453205</v>
      </c>
      <c r="N33" s="23" t="n">
        <v>10008353.0013147</v>
      </c>
      <c r="O33" s="23" t="n">
        <v>1373958.52254253</v>
      </c>
      <c r="P33" s="23" t="n">
        <v>0</v>
      </c>
      <c r="Q33" s="23" t="n">
        <v>1343654.21557333</v>
      </c>
      <c r="R33" s="23" t="n">
        <v>3106623.95808031</v>
      </c>
      <c r="S33" s="23" t="n">
        <v>-182593.385825</v>
      </c>
      <c r="T33" s="23" t="n">
        <v>167559.887211289</v>
      </c>
      <c r="U33" s="23" t="n">
        <v>350929.9336548</v>
      </c>
      <c r="V33" s="23" t="n">
        <v>29121.3057948418</v>
      </c>
      <c r="W33" s="23" t="n">
        <v>14116.8082444909</v>
      </c>
      <c r="X33" s="19" t="n">
        <v>0.0716004222450957</v>
      </c>
      <c r="Y33" s="19" t="n">
        <v>-0.323269208640106</v>
      </c>
      <c r="Z33" s="23" t="n">
        <v>56</v>
      </c>
      <c r="AA33" s="28" t="s">
        <v>1221</v>
      </c>
      <c r="AB33" s="28" t="s">
        <v>1870</v>
      </c>
    </row>
    <row r="34" customFormat="false" ht="15" hidden="false" customHeight="false" outlineLevel="0" collapsed="false">
      <c r="A34" s="28" t="s">
        <v>1872</v>
      </c>
      <c r="B34" s="28" t="s">
        <v>180</v>
      </c>
      <c r="C34" s="28" t="s">
        <v>1714</v>
      </c>
      <c r="D34" s="23" t="n">
        <v>400627.417135772</v>
      </c>
      <c r="E34" s="23" t="n">
        <v>137698.487647974</v>
      </c>
      <c r="F34" s="19" t="n">
        <v>0.0116157955364153</v>
      </c>
      <c r="G34" s="19" t="n">
        <v>0.122218272648579</v>
      </c>
      <c r="H34" s="19" t="n">
        <v>0.6779399478767</v>
      </c>
      <c r="I34" s="28" t="s">
        <v>1719</v>
      </c>
      <c r="J34" s="23" t="n">
        <v>642278</v>
      </c>
      <c r="K34" s="23" t="n">
        <v>16000</v>
      </c>
      <c r="L34" s="23" t="n">
        <v>12368502.4950161</v>
      </c>
      <c r="M34" s="23" t="n">
        <v>7361792.60856653</v>
      </c>
      <c r="N34" s="23" t="n">
        <v>10859063.0064264</v>
      </c>
      <c r="O34" s="23" t="n">
        <v>1511657.01019051</v>
      </c>
      <c r="P34" s="23" t="n">
        <v>0</v>
      </c>
      <c r="Q34" s="23" t="n">
        <v>1691677.98831669</v>
      </c>
      <c r="R34" s="23" t="n">
        <v>2828627.16122429</v>
      </c>
      <c r="S34" s="23" t="n">
        <v>-154783.69215125</v>
      </c>
      <c r="T34" s="23" t="n">
        <v>163869.08879241</v>
      </c>
      <c r="U34" s="23" t="n">
        <v>377599.729674088</v>
      </c>
      <c r="V34" s="23" t="n">
        <v>33198.2886061197</v>
      </c>
      <c r="W34" s="23" t="n">
        <v>30774.6419729901</v>
      </c>
      <c r="X34" s="19" t="n">
        <v>0.0827282026098569</v>
      </c>
      <c r="Y34" s="19" t="n">
        <v>-0.274259745485522</v>
      </c>
      <c r="Z34" s="23" t="n">
        <v>60</v>
      </c>
      <c r="AA34" s="28" t="s">
        <v>1221</v>
      </c>
      <c r="AB34" s="28" t="s">
        <v>1870</v>
      </c>
    </row>
    <row r="35" customFormat="false" ht="15" hidden="false" customHeight="false" outlineLevel="0" collapsed="false">
      <c r="A35" s="28" t="s">
        <v>1872</v>
      </c>
      <c r="B35" s="28" t="s">
        <v>180</v>
      </c>
      <c r="C35" s="28" t="s">
        <v>1715</v>
      </c>
      <c r="D35" s="23" t="n">
        <v>442165.523670771</v>
      </c>
      <c r="E35" s="23" t="n">
        <v>157825.679766165</v>
      </c>
      <c r="F35" s="19" t="n">
        <v>0.0122087791198806</v>
      </c>
      <c r="G35" s="19" t="n">
        <v>0.123794177203127</v>
      </c>
      <c r="H35" s="19" t="n">
        <v>0.712305567354321</v>
      </c>
      <c r="I35" s="28" t="s">
        <v>1719</v>
      </c>
      <c r="J35" s="23" t="n">
        <v>700083</v>
      </c>
      <c r="K35" s="23" t="n">
        <v>16000</v>
      </c>
      <c r="L35" s="23" t="n">
        <v>13485954.8944479</v>
      </c>
      <c r="M35" s="23" t="n">
        <v>8392443.57376585</v>
      </c>
      <c r="N35" s="23" t="n">
        <v>11782083.3619727</v>
      </c>
      <c r="O35" s="23" t="n">
        <v>1669482.68995667</v>
      </c>
      <c r="P35" s="23" t="n">
        <v>0</v>
      </c>
      <c r="Q35" s="23" t="n">
        <v>1939618.51747335</v>
      </c>
      <c r="R35" s="23" t="n">
        <v>2616480.12413247</v>
      </c>
      <c r="S35" s="23" t="n">
        <v>-131145.452528563</v>
      </c>
      <c r="T35" s="23" t="n">
        <v>174991.918560905</v>
      </c>
      <c r="U35" s="23" t="n">
        <v>405485.713454534</v>
      </c>
      <c r="V35" s="23" t="n">
        <v>37846.0490109765</v>
      </c>
      <c r="W35" s="23" t="n">
        <v>33544.3597505592</v>
      </c>
      <c r="X35" s="19" t="n">
        <v>0.0914441994404972</v>
      </c>
      <c r="Y35" s="19" t="n">
        <v>-0.24456500725463</v>
      </c>
      <c r="Z35" s="23" t="n">
        <v>64</v>
      </c>
      <c r="AA35" s="28" t="s">
        <v>1221</v>
      </c>
      <c r="AB35" s="28" t="s">
        <v>1870</v>
      </c>
    </row>
    <row r="36" customFormat="false" ht="15" hidden="false" customHeight="false" outlineLevel="0" collapsed="false">
      <c r="A36" s="28" t="s">
        <v>1872</v>
      </c>
      <c r="B36" s="28" t="s">
        <v>180</v>
      </c>
      <c r="C36" s="28" t="s">
        <v>1716</v>
      </c>
      <c r="D36" s="23" t="n">
        <v>490623.355315339</v>
      </c>
      <c r="E36" s="23" t="n">
        <v>183675.046875527</v>
      </c>
      <c r="F36" s="19" t="n">
        <v>0.0130306538943265</v>
      </c>
      <c r="G36" s="19" t="n">
        <v>0.126019974040344</v>
      </c>
      <c r="H36" s="19" t="n">
        <v>0.748413222842328</v>
      </c>
      <c r="I36" s="28" t="s">
        <v>1719</v>
      </c>
      <c r="J36" s="23" t="n">
        <v>763091</v>
      </c>
      <c r="K36" s="23" t="n">
        <v>16000</v>
      </c>
      <c r="L36" s="23" t="n">
        <v>14705269.9458494</v>
      </c>
      <c r="M36" s="23" t="n">
        <v>9567385.67409307</v>
      </c>
      <c r="N36" s="23" t="n">
        <v>12783560.4477404</v>
      </c>
      <c r="O36" s="23" t="n">
        <v>1853157.7368322</v>
      </c>
      <c r="P36" s="23" t="n">
        <v>0</v>
      </c>
      <c r="Q36" s="23" t="n">
        <v>2131602.05927507</v>
      </c>
      <c r="R36" s="23" t="n">
        <v>2420244.11482253</v>
      </c>
      <c r="S36" s="23" t="n">
        <v>-111052.948849278</v>
      </c>
      <c r="T36" s="23" t="n">
        <v>186857.043694507</v>
      </c>
      <c r="U36" s="23" t="n">
        <v>434660.856261806</v>
      </c>
      <c r="V36" s="23" t="n">
        <v>43144.4958725132</v>
      </c>
      <c r="W36" s="23" t="n">
        <v>36563.3521281095</v>
      </c>
      <c r="X36" s="19" t="n">
        <v>0.0988970398826657</v>
      </c>
      <c r="Y36" s="19" t="n">
        <v>-0.224474306220981</v>
      </c>
      <c r="Z36" s="23" t="n">
        <v>68</v>
      </c>
      <c r="AA36" s="28" t="s">
        <v>1221</v>
      </c>
      <c r="AB36" s="28" t="s">
        <v>1870</v>
      </c>
    </row>
    <row r="37" customFormat="false" ht="15" hidden="false" customHeight="false" outlineLevel="0" collapsed="false">
      <c r="A37" s="28" t="s">
        <v>1872</v>
      </c>
      <c r="B37" s="28" t="s">
        <v>176</v>
      </c>
      <c r="C37" s="28" t="s">
        <v>1515</v>
      </c>
      <c r="D37" s="23" t="n">
        <v>307332.813188801</v>
      </c>
      <c r="E37" s="23" t="n">
        <v>123321.257072695</v>
      </c>
      <c r="F37" s="19" t="n">
        <v>0.0123437776122597</v>
      </c>
      <c r="G37" s="19" t="n">
        <v>0.116619295844209</v>
      </c>
      <c r="H37" s="19" t="n">
        <v>0.614102689396082</v>
      </c>
      <c r="I37" s="28" t="s">
        <v>1719</v>
      </c>
      <c r="J37" s="23" t="n">
        <v>540593</v>
      </c>
      <c r="K37" s="23" t="n">
        <v>16000</v>
      </c>
      <c r="L37" s="23" t="n">
        <v>10548677.1564466</v>
      </c>
      <c r="M37" s="23" t="n">
        <v>5664660.3636246</v>
      </c>
      <c r="N37" s="23" t="n">
        <v>9224288.48047436</v>
      </c>
      <c r="O37" s="23" t="n">
        <v>1230179.3020727</v>
      </c>
      <c r="P37" s="23" t="n">
        <v>0</v>
      </c>
      <c r="Q37" s="23" t="n">
        <v>922493.613550029</v>
      </c>
      <c r="R37" s="23" t="n">
        <v>3407161.0357625</v>
      </c>
      <c r="S37" s="23" t="n">
        <v>-35388.7662609129</v>
      </c>
      <c r="T37" s="23" t="n">
        <v>168320.624687855</v>
      </c>
      <c r="U37" s="23" t="n">
        <v>311156.074</v>
      </c>
      <c r="V37" s="23" t="n">
        <v>25176.1068039615</v>
      </c>
      <c r="W37" s="23" t="n">
        <v>0</v>
      </c>
      <c r="X37" s="19" t="n">
        <v>0.102160641986033</v>
      </c>
      <c r="Y37" s="19" t="n">
        <v>-0.263014106267473</v>
      </c>
      <c r="Z37" s="23" t="n">
        <v>52</v>
      </c>
      <c r="AA37" s="28" t="s">
        <v>1221</v>
      </c>
      <c r="AB37" s="28" t="s">
        <v>1870</v>
      </c>
    </row>
    <row r="38" customFormat="false" ht="15" hidden="false" customHeight="false" outlineLevel="0" collapsed="false">
      <c r="A38" s="28" t="s">
        <v>1872</v>
      </c>
      <c r="B38" s="28" t="s">
        <v>176</v>
      </c>
      <c r="C38" s="28" t="s">
        <v>1713</v>
      </c>
      <c r="D38" s="23" t="n">
        <v>329588.647815283</v>
      </c>
      <c r="E38" s="23" t="n">
        <v>104337.295576929</v>
      </c>
      <c r="F38" s="19" t="n">
        <v>0.00946457882694982</v>
      </c>
      <c r="G38" s="19" t="n">
        <v>0.116052227212319</v>
      </c>
      <c r="H38" s="19" t="n">
        <v>0.645232318812473</v>
      </c>
      <c r="I38" s="28" t="s">
        <v>1719</v>
      </c>
      <c r="J38" s="23" t="n">
        <v>589246</v>
      </c>
      <c r="K38" s="23" t="n">
        <v>16000</v>
      </c>
      <c r="L38" s="23" t="n">
        <v>11499276.0561855</v>
      </c>
      <c r="M38" s="23" t="n">
        <v>6457712.81453205</v>
      </c>
      <c r="N38" s="23" t="n">
        <v>10008353.0013147</v>
      </c>
      <c r="O38" s="23" t="n">
        <v>1334516.59764962</v>
      </c>
      <c r="P38" s="23" t="n">
        <v>0</v>
      </c>
      <c r="Q38" s="23" t="n">
        <v>1304212.29068042</v>
      </c>
      <c r="R38" s="23" t="n">
        <v>3106623.95808031</v>
      </c>
      <c r="S38" s="23" t="n">
        <v>15792.4751471528</v>
      </c>
      <c r="T38" s="23" t="n">
        <v>170799.887211289</v>
      </c>
      <c r="U38" s="23" t="n">
        <v>350929.9336548</v>
      </c>
      <c r="V38" s="23" t="n">
        <v>29121.3057948418</v>
      </c>
      <c r="W38" s="23" t="n">
        <v>14116.8082444909</v>
      </c>
      <c r="X38" s="19" t="n">
        <v>0.115885258759518</v>
      </c>
      <c r="Y38" s="19" t="n">
        <v>-0.219401168805752</v>
      </c>
      <c r="Z38" s="23" t="n">
        <v>56</v>
      </c>
      <c r="AA38" s="28" t="s">
        <v>1221</v>
      </c>
      <c r="AB38" s="28" t="s">
        <v>1870</v>
      </c>
    </row>
    <row r="39" customFormat="false" ht="15" hidden="false" customHeight="false" outlineLevel="0" collapsed="false">
      <c r="A39" s="28" t="s">
        <v>1872</v>
      </c>
      <c r="B39" s="28" t="s">
        <v>176</v>
      </c>
      <c r="C39" s="28" t="s">
        <v>1714</v>
      </c>
      <c r="D39" s="23" t="n">
        <v>349295.861907326</v>
      </c>
      <c r="E39" s="23" t="n">
        <v>89606.9324195274</v>
      </c>
      <c r="F39" s="19" t="n">
        <v>0.00747389896224219</v>
      </c>
      <c r="G39" s="19" t="n">
        <v>0.114118361424531</v>
      </c>
      <c r="H39" s="19" t="n">
        <v>0.6779399478767</v>
      </c>
      <c r="I39" s="28" t="s">
        <v>1719</v>
      </c>
      <c r="J39" s="23" t="n">
        <v>642278</v>
      </c>
      <c r="K39" s="23" t="n">
        <v>16000</v>
      </c>
      <c r="L39" s="23" t="n">
        <v>12479354.8758669</v>
      </c>
      <c r="M39" s="23" t="n">
        <v>7361792.60856653</v>
      </c>
      <c r="N39" s="23" t="n">
        <v>10859063.0064264</v>
      </c>
      <c r="O39" s="23" t="n">
        <v>1424123.53006915</v>
      </c>
      <c r="P39" s="23" t="n">
        <v>0</v>
      </c>
      <c r="Q39" s="23" t="n">
        <v>1604144.50819533</v>
      </c>
      <c r="R39" s="23" t="n">
        <v>2828627.16122429</v>
      </c>
      <c r="S39" s="23" t="n">
        <v>43602.1688209028</v>
      </c>
      <c r="T39" s="23" t="n">
        <v>167109.08879241</v>
      </c>
      <c r="U39" s="23" t="n">
        <v>377599.729674088</v>
      </c>
      <c r="V39" s="23" t="n">
        <v>33198.2886061197</v>
      </c>
      <c r="W39" s="23" t="n">
        <v>30774.6419729901</v>
      </c>
      <c r="X39" s="19" t="n">
        <v>0.121570717484376</v>
      </c>
      <c r="Y39" s="19" t="n">
        <v>-0.197607011767724</v>
      </c>
      <c r="Z39" s="23" t="n">
        <v>60</v>
      </c>
      <c r="AA39" s="28" t="s">
        <v>1221</v>
      </c>
      <c r="AB39" s="28" t="s">
        <v>1870</v>
      </c>
    </row>
    <row r="40" customFormat="false" ht="15" hidden="false" customHeight="false" outlineLevel="0" collapsed="false">
      <c r="A40" s="28" t="s">
        <v>1872</v>
      </c>
      <c r="B40" s="28" t="s">
        <v>176</v>
      </c>
      <c r="C40" s="28" t="s">
        <v>1715</v>
      </c>
      <c r="D40" s="23" t="n">
        <v>373924.516573358</v>
      </c>
      <c r="E40" s="23" t="n">
        <v>92824.672668753</v>
      </c>
      <c r="F40" s="19" t="n">
        <v>0.00713729557512826</v>
      </c>
      <c r="G40" s="19" t="n">
        <v>0.112102418012192</v>
      </c>
      <c r="H40" s="19" t="n">
        <v>0.712305567354321</v>
      </c>
      <c r="I40" s="28" t="s">
        <v>1719</v>
      </c>
      <c r="J40" s="23" t="n">
        <v>700083</v>
      </c>
      <c r="K40" s="23" t="n">
        <v>16000</v>
      </c>
      <c r="L40" s="23" t="n">
        <v>13531806.2682013</v>
      </c>
      <c r="M40" s="23" t="n">
        <v>8392443.57376585</v>
      </c>
      <c r="N40" s="23" t="n">
        <v>11782083.3619727</v>
      </c>
      <c r="O40" s="23" t="n">
        <v>1516948.2027379</v>
      </c>
      <c r="P40" s="23" t="n">
        <v>0</v>
      </c>
      <c r="Q40" s="23" t="n">
        <v>1787084.03025458</v>
      </c>
      <c r="R40" s="23" t="n">
        <v>2616480.12413247</v>
      </c>
      <c r="S40" s="23" t="n">
        <v>67240.4084435903</v>
      </c>
      <c r="T40" s="23" t="n">
        <v>178231.918560905</v>
      </c>
      <c r="U40" s="23" t="n">
        <v>405485.713454534</v>
      </c>
      <c r="V40" s="23" t="n">
        <v>37846.0490109765</v>
      </c>
      <c r="W40" s="23" t="n">
        <v>33544.3597505592</v>
      </c>
      <c r="X40" s="19" t="n">
        <v>0.124794864964341</v>
      </c>
      <c r="Y40" s="19" t="n">
        <v>-0.186009328846382</v>
      </c>
      <c r="Z40" s="23" t="n">
        <v>64</v>
      </c>
      <c r="AA40" s="28" t="s">
        <v>1221</v>
      </c>
      <c r="AB40" s="28" t="s">
        <v>1870</v>
      </c>
    </row>
    <row r="41" customFormat="false" ht="15" hidden="false" customHeight="false" outlineLevel="0" collapsed="false">
      <c r="A41" s="28" t="s">
        <v>1872</v>
      </c>
      <c r="B41" s="28" t="s">
        <v>176</v>
      </c>
      <c r="C41" s="28" t="s">
        <v>1716</v>
      </c>
      <c r="D41" s="23" t="n">
        <v>403747.633943228</v>
      </c>
      <c r="E41" s="23" t="n">
        <v>100039.325503416</v>
      </c>
      <c r="F41" s="19" t="n">
        <v>0.0070951657919113</v>
      </c>
      <c r="G41" s="19" t="n">
        <v>0.110242994098209</v>
      </c>
      <c r="H41" s="19" t="n">
        <v>0.748413222842328</v>
      </c>
      <c r="I41" s="28" t="s">
        <v>1719</v>
      </c>
      <c r="J41" s="23" t="n">
        <v>763091</v>
      </c>
      <c r="K41" s="23" t="n">
        <v>16000</v>
      </c>
      <c r="L41" s="23" t="n">
        <v>14667485.5982307</v>
      </c>
      <c r="M41" s="23" t="n">
        <v>9567385.67409307</v>
      </c>
      <c r="N41" s="23" t="n">
        <v>12783560.4477404</v>
      </c>
      <c r="O41" s="23" t="n">
        <v>1616987.52824132</v>
      </c>
      <c r="P41" s="23" t="n">
        <v>0</v>
      </c>
      <c r="Q41" s="23" t="n">
        <v>1895431.85068419</v>
      </c>
      <c r="R41" s="23" t="n">
        <v>2420244.11482253</v>
      </c>
      <c r="S41" s="23" t="n">
        <v>87332.9121228746</v>
      </c>
      <c r="T41" s="23" t="n">
        <v>190097.043694507</v>
      </c>
      <c r="U41" s="23" t="n">
        <v>434660.856261806</v>
      </c>
      <c r="V41" s="23" t="n">
        <v>43144.4958725132</v>
      </c>
      <c r="W41" s="23" t="n">
        <v>36563.3521281095</v>
      </c>
      <c r="X41" s="19" t="n">
        <v>0.126654765587148</v>
      </c>
      <c r="Y41" s="19" t="n">
        <v>-0.179689168891221</v>
      </c>
      <c r="Z41" s="23" t="n">
        <v>68</v>
      </c>
      <c r="AA41" s="28" t="s">
        <v>1221</v>
      </c>
      <c r="AB41" s="28" t="s">
        <v>1870</v>
      </c>
    </row>
    <row r="42" customFormat="false" ht="15" hidden="false" customHeight="false" outlineLevel="0" collapsed="false">
      <c r="A42" s="28" t="s">
        <v>1872</v>
      </c>
      <c r="B42" s="28" t="s">
        <v>184</v>
      </c>
      <c r="C42" s="28" t="s">
        <v>1515</v>
      </c>
      <c r="D42" s="23" t="n">
        <v>332199.255188728</v>
      </c>
      <c r="E42" s="23" t="n">
        <v>144947.699072621</v>
      </c>
      <c r="F42" s="19" t="n">
        <v>0.0146923644660961</v>
      </c>
      <c r="G42" s="19" t="n">
        <v>0.123045345438384</v>
      </c>
      <c r="H42" s="19" t="n">
        <v>0.614102689396082</v>
      </c>
      <c r="I42" s="28" t="s">
        <v>1871</v>
      </c>
      <c r="J42" s="23" t="n">
        <v>540593</v>
      </c>
      <c r="K42" s="23" t="n">
        <v>16000</v>
      </c>
      <c r="L42" s="23" t="n">
        <v>10173531.8765022</v>
      </c>
      <c r="M42" s="23" t="n">
        <v>5664660.3636246</v>
      </c>
      <c r="N42" s="23" t="n">
        <v>9224288.48047436</v>
      </c>
      <c r="O42" s="23" t="n">
        <v>1251805.74407262</v>
      </c>
      <c r="P42" s="23" t="n">
        <v>0</v>
      </c>
      <c r="Q42" s="23" t="n">
        <v>944120.055549955</v>
      </c>
      <c r="R42" s="23" t="n">
        <v>3407161.0357625</v>
      </c>
      <c r="S42" s="23" t="n">
        <v>-432160.488205218</v>
      </c>
      <c r="T42" s="23" t="n">
        <v>165080.624687855</v>
      </c>
      <c r="U42" s="23" t="n">
        <v>311156.074</v>
      </c>
      <c r="V42" s="23" t="n">
        <v>25176.1068039615</v>
      </c>
      <c r="W42" s="23" t="n">
        <v>0</v>
      </c>
      <c r="X42" s="19" t="n">
        <v>-0.00340731874454624</v>
      </c>
      <c r="Y42" s="19" t="n">
        <v>-1.09125596477886</v>
      </c>
      <c r="Z42" s="23" t="n">
        <v>52</v>
      </c>
      <c r="AA42" s="28" t="s">
        <v>1221</v>
      </c>
      <c r="AB42" s="28" t="s">
        <v>1870</v>
      </c>
    </row>
    <row r="43" customFormat="false" ht="15" hidden="false" customHeight="false" outlineLevel="0" collapsed="false">
      <c r="A43" s="28" t="s">
        <v>1872</v>
      </c>
      <c r="B43" s="28" t="s">
        <v>184</v>
      </c>
      <c r="C43" s="28" t="s">
        <v>1713</v>
      </c>
      <c r="D43" s="23" t="n">
        <v>366667.837725805</v>
      </c>
      <c r="E43" s="23" t="n">
        <v>134936.485487451</v>
      </c>
      <c r="F43" s="19" t="n">
        <v>0.012653303535274</v>
      </c>
      <c r="G43" s="19" t="n">
        <v>0.124318762871719</v>
      </c>
      <c r="H43" s="19" t="n">
        <v>0.645232318812473</v>
      </c>
      <c r="I43" s="28" t="s">
        <v>1871</v>
      </c>
      <c r="J43" s="23" t="n">
        <v>589246</v>
      </c>
      <c r="K43" s="23" t="n">
        <v>16000</v>
      </c>
      <c r="L43" s="23" t="n">
        <v>11154729.9661517</v>
      </c>
      <c r="M43" s="23" t="n">
        <v>6457712.81453205</v>
      </c>
      <c r="N43" s="23" t="n">
        <v>10008353.0013147</v>
      </c>
      <c r="O43" s="23" t="n">
        <v>1386742.22956007</v>
      </c>
      <c r="P43" s="23" t="n">
        <v>0</v>
      </c>
      <c r="Q43" s="23" t="n">
        <v>1356437.92259087</v>
      </c>
      <c r="R43" s="23" t="n">
        <v>3106623.95808031</v>
      </c>
      <c r="S43" s="23" t="n">
        <v>-380979.246797153</v>
      </c>
      <c r="T43" s="23" t="n">
        <v>164319.887211289</v>
      </c>
      <c r="U43" s="23" t="n">
        <v>350929.9336548</v>
      </c>
      <c r="V43" s="23" t="n">
        <v>29121.3057948418</v>
      </c>
      <c r="W43" s="23" t="n">
        <v>14116.8082444909</v>
      </c>
      <c r="X43" s="19" t="n">
        <v>0.0200124727115718</v>
      </c>
      <c r="Y43" s="19" t="n">
        <v>-0.64337216786819</v>
      </c>
      <c r="Z43" s="23" t="n">
        <v>56</v>
      </c>
      <c r="AA43" s="28" t="s">
        <v>1221</v>
      </c>
      <c r="AB43" s="28" t="s">
        <v>1870</v>
      </c>
    </row>
    <row r="44" customFormat="false" ht="15" hidden="false" customHeight="false" outlineLevel="0" collapsed="false">
      <c r="A44" s="28" t="s">
        <v>1872</v>
      </c>
      <c r="B44" s="28" t="s">
        <v>184</v>
      </c>
      <c r="C44" s="28" t="s">
        <v>1714</v>
      </c>
      <c r="D44" s="23" t="n">
        <v>429453.942836527</v>
      </c>
      <c r="E44" s="23" t="n">
        <v>163285.013348729</v>
      </c>
      <c r="F44" s="19" t="n">
        <v>0.0139779564189717</v>
      </c>
      <c r="G44" s="19" t="n">
        <v>0.12696309213624</v>
      </c>
      <c r="H44" s="19" t="n">
        <v>0.6779399478767</v>
      </c>
      <c r="I44" s="28" t="s">
        <v>1871</v>
      </c>
      <c r="J44" s="23" t="n">
        <v>642278</v>
      </c>
      <c r="K44" s="23" t="n">
        <v>16000</v>
      </c>
      <c r="L44" s="23" t="n">
        <v>12208486.8667622</v>
      </c>
      <c r="M44" s="23" t="n">
        <v>7361792.60856653</v>
      </c>
      <c r="N44" s="23" t="n">
        <v>10859063.0064264</v>
      </c>
      <c r="O44" s="23" t="n">
        <v>1550027.2429088</v>
      </c>
      <c r="P44" s="23" t="n">
        <v>0</v>
      </c>
      <c r="Q44" s="23" t="n">
        <v>1730048.22103499</v>
      </c>
      <c r="R44" s="23" t="n">
        <v>2828627.16122429</v>
      </c>
      <c r="S44" s="23" t="n">
        <v>-353169.553123403</v>
      </c>
      <c r="T44" s="23" t="n">
        <v>160629.08879241</v>
      </c>
      <c r="U44" s="23" t="n">
        <v>377599.729674088</v>
      </c>
      <c r="V44" s="23" t="n">
        <v>33198.2886061197</v>
      </c>
      <c r="W44" s="23" t="n">
        <v>30774.6419729901</v>
      </c>
      <c r="X44" s="19" t="n">
        <v>0.0359685981341793</v>
      </c>
      <c r="Y44" s="19" t="n">
        <v>-0.477394039390432</v>
      </c>
      <c r="Z44" s="23" t="n">
        <v>60</v>
      </c>
      <c r="AA44" s="28" t="s">
        <v>1221</v>
      </c>
      <c r="AB44" s="28" t="s">
        <v>1870</v>
      </c>
    </row>
    <row r="45" customFormat="false" ht="15" hidden="false" customHeight="false" outlineLevel="0" collapsed="false">
      <c r="A45" s="28" t="s">
        <v>1872</v>
      </c>
      <c r="B45" s="28" t="s">
        <v>184</v>
      </c>
      <c r="C45" s="28" t="s">
        <v>1715</v>
      </c>
      <c r="D45" s="23" t="n">
        <v>491228.966559155</v>
      </c>
      <c r="E45" s="23" t="n">
        <v>203649.12265455</v>
      </c>
      <c r="F45" s="19" t="n">
        <v>0.0159223718322792</v>
      </c>
      <c r="G45" s="19" t="n">
        <v>0.131147733003982</v>
      </c>
      <c r="H45" s="19" t="n">
        <v>0.712305567354321</v>
      </c>
      <c r="I45" s="28" t="s">
        <v>1869</v>
      </c>
      <c r="J45" s="23" t="n">
        <v>700083</v>
      </c>
      <c r="K45" s="23" t="n">
        <v>16000</v>
      </c>
      <c r="L45" s="23" t="n">
        <v>13371762.7090825</v>
      </c>
      <c r="M45" s="23" t="n">
        <v>8392443.57376585</v>
      </c>
      <c r="N45" s="23" t="n">
        <v>11782083.3619727</v>
      </c>
      <c r="O45" s="23" t="n">
        <v>1753676.36556335</v>
      </c>
      <c r="P45" s="23" t="n">
        <v>0</v>
      </c>
      <c r="Q45" s="23" t="n">
        <v>2023812.19308003</v>
      </c>
      <c r="R45" s="23" t="n">
        <v>2616480.12413247</v>
      </c>
      <c r="S45" s="23" t="n">
        <v>-329531.313500715</v>
      </c>
      <c r="T45" s="23" t="n">
        <v>171751.918560905</v>
      </c>
      <c r="U45" s="23" t="n">
        <v>405485.713454534</v>
      </c>
      <c r="V45" s="23" t="n">
        <v>37846.0490109765</v>
      </c>
      <c r="W45" s="23" t="n">
        <v>33544.3597505592</v>
      </c>
      <c r="X45" s="19" t="n">
        <v>0.0500795294787835</v>
      </c>
      <c r="Y45" s="19" t="n">
        <v>-0.381974423899501</v>
      </c>
      <c r="Z45" s="23" t="n">
        <v>64</v>
      </c>
      <c r="AA45" s="28" t="s">
        <v>1221</v>
      </c>
      <c r="AB45" s="28" t="s">
        <v>1870</v>
      </c>
    </row>
    <row r="46" customFormat="false" ht="15" hidden="false" customHeight="false" outlineLevel="0" collapsed="false">
      <c r="A46" s="28" t="s">
        <v>1872</v>
      </c>
      <c r="B46" s="28" t="s">
        <v>184</v>
      </c>
      <c r="C46" s="28" t="s">
        <v>1716</v>
      </c>
      <c r="D46" s="23" t="n">
        <v>562700.956708321</v>
      </c>
      <c r="E46" s="23" t="n">
        <v>252512.648268509</v>
      </c>
      <c r="F46" s="19" t="n">
        <v>0.0180162348917748</v>
      </c>
      <c r="G46" s="19" t="n">
        <v>0.136848608215635</v>
      </c>
      <c r="H46" s="19" t="n">
        <v>0.748413222842328</v>
      </c>
      <c r="I46" s="28" t="s">
        <v>1869</v>
      </c>
      <c r="J46" s="23" t="n">
        <v>763091</v>
      </c>
      <c r="K46" s="23" t="n">
        <v>16000</v>
      </c>
      <c r="L46" s="23" t="n">
        <v>14659915.361877</v>
      </c>
      <c r="M46" s="23" t="n">
        <v>9567385.67409307</v>
      </c>
      <c r="N46" s="23" t="n">
        <v>12783560.4477404</v>
      </c>
      <c r="O46" s="23" t="n">
        <v>2006189.01383186</v>
      </c>
      <c r="P46" s="23" t="n">
        <v>0</v>
      </c>
      <c r="Q46" s="23" t="n">
        <v>2284633.33627473</v>
      </c>
      <c r="R46" s="23" t="n">
        <v>2420244.11482253</v>
      </c>
      <c r="S46" s="23" t="n">
        <v>-309438.809821431</v>
      </c>
      <c r="T46" s="23" t="n">
        <v>183617.043694506</v>
      </c>
      <c r="U46" s="23" t="n">
        <v>434660.856261806</v>
      </c>
      <c r="V46" s="23" t="n">
        <v>43144.4958725132</v>
      </c>
      <c r="W46" s="23" t="n">
        <v>36563.3521281095</v>
      </c>
      <c r="X46" s="19" t="n">
        <v>0.0634660479708707</v>
      </c>
      <c r="Y46" s="19" t="n">
        <v>-0.319158826360656</v>
      </c>
      <c r="Z46" s="23" t="n">
        <v>68</v>
      </c>
      <c r="AA46" s="28" t="s">
        <v>1221</v>
      </c>
      <c r="AB46" s="28" t="s">
        <v>1870</v>
      </c>
    </row>
    <row r="47" customFormat="false" ht="15" hidden="false" customHeight="false" outlineLevel="0" collapsed="false">
      <c r="A47" s="28" t="s">
        <v>1872</v>
      </c>
      <c r="B47" s="28" t="s">
        <v>186</v>
      </c>
      <c r="C47" s="28" t="s">
        <v>1515</v>
      </c>
      <c r="D47" s="23" t="n">
        <v>336583.304795777</v>
      </c>
      <c r="E47" s="23" t="n">
        <v>148926.748679671</v>
      </c>
      <c r="F47" s="19" t="n">
        <v>0.0151444142319899</v>
      </c>
      <c r="G47" s="19" t="n">
        <v>0.124602616649428</v>
      </c>
      <c r="H47" s="19" t="n">
        <v>0.614102689396082</v>
      </c>
      <c r="I47" s="28" t="s">
        <v>1871</v>
      </c>
      <c r="J47" s="23" t="n">
        <v>540593</v>
      </c>
      <c r="K47" s="23" t="n">
        <v>16000</v>
      </c>
      <c r="L47" s="23" t="n">
        <v>10078317.9956232</v>
      </c>
      <c r="M47" s="23" t="n">
        <v>5664660.3636246</v>
      </c>
      <c r="N47" s="23" t="n">
        <v>9224288.48047436</v>
      </c>
      <c r="O47" s="23" t="n">
        <v>1255784.79367967</v>
      </c>
      <c r="P47" s="23" t="n">
        <v>0</v>
      </c>
      <c r="Q47" s="23" t="n">
        <v>948099.105157004</v>
      </c>
      <c r="R47" s="23" t="n">
        <v>3407161.0357625</v>
      </c>
      <c r="S47" s="23" t="n">
        <v>-531353.418691295</v>
      </c>
      <c r="T47" s="23" t="n">
        <v>164675.624687855</v>
      </c>
      <c r="U47" s="23" t="n">
        <v>311156.074</v>
      </c>
      <c r="V47" s="23" t="n">
        <v>25176.1068039615</v>
      </c>
      <c r="W47" s="23" t="n">
        <v>0</v>
      </c>
      <c r="X47" s="19" t="n">
        <v>-0.0339661264071173</v>
      </c>
      <c r="Y47" s="19" t="n">
        <v>-5.23515939783561</v>
      </c>
      <c r="Z47" s="23" t="n">
        <v>52</v>
      </c>
      <c r="AA47" s="28" t="s">
        <v>1221</v>
      </c>
      <c r="AB47" s="28" t="s">
        <v>1870</v>
      </c>
    </row>
    <row r="48" customFormat="false" ht="15" hidden="false" customHeight="false" outlineLevel="0" collapsed="false">
      <c r="A48" s="28" t="s">
        <v>1872</v>
      </c>
      <c r="B48" s="28" t="s">
        <v>186</v>
      </c>
      <c r="C48" s="28" t="s">
        <v>1713</v>
      </c>
      <c r="D48" s="23" t="n">
        <v>368014.05068221</v>
      </c>
      <c r="E48" s="23" t="n">
        <v>135472.698443856</v>
      </c>
      <c r="F48" s="19" t="n">
        <v>0.0128177051078774</v>
      </c>
      <c r="G48" s="19" t="n">
        <v>0.125791221832314</v>
      </c>
      <c r="H48" s="19" t="n">
        <v>0.645232318812473</v>
      </c>
      <c r="I48" s="28" t="s">
        <v>1871</v>
      </c>
      <c r="J48" s="23" t="n">
        <v>589246</v>
      </c>
      <c r="K48" s="23" t="n">
        <v>16000</v>
      </c>
      <c r="L48" s="23" t="n">
        <v>11060052.2982291</v>
      </c>
      <c r="M48" s="23" t="n">
        <v>6457712.81453205</v>
      </c>
      <c r="N48" s="23" t="n">
        <v>10008353.0013147</v>
      </c>
      <c r="O48" s="23" t="n">
        <v>1391257.49212353</v>
      </c>
      <c r="P48" s="23" t="n">
        <v>0</v>
      </c>
      <c r="Q48" s="23" t="n">
        <v>1360953.18515432</v>
      </c>
      <c r="R48" s="23" t="n">
        <v>3106623.95808031</v>
      </c>
      <c r="S48" s="23" t="n">
        <v>-480172.177283229</v>
      </c>
      <c r="T48" s="23" t="n">
        <v>163509.887211289</v>
      </c>
      <c r="U48" s="23" t="n">
        <v>350929.9336548</v>
      </c>
      <c r="V48" s="23" t="n">
        <v>29121.3057948418</v>
      </c>
      <c r="W48" s="23" t="n">
        <v>14116.8082444909</v>
      </c>
      <c r="X48" s="19" t="n">
        <v>-0.00818935214326109</v>
      </c>
      <c r="Y48" s="19" t="n">
        <v>-1.28285068429115</v>
      </c>
      <c r="Z48" s="23" t="n">
        <v>56</v>
      </c>
      <c r="AA48" s="28" t="s">
        <v>1221</v>
      </c>
      <c r="AB48" s="28" t="s">
        <v>1870</v>
      </c>
    </row>
    <row r="49" customFormat="false" ht="15" hidden="false" customHeight="false" outlineLevel="0" collapsed="false">
      <c r="A49" s="28" t="s">
        <v>1872</v>
      </c>
      <c r="B49" s="28" t="s">
        <v>186</v>
      </c>
      <c r="C49" s="28" t="s">
        <v>1714</v>
      </c>
      <c r="D49" s="23" t="n">
        <v>441274.462101509</v>
      </c>
      <c r="E49" s="23" t="n">
        <v>174295.532613711</v>
      </c>
      <c r="F49" s="19" t="n">
        <v>0.0150352809789867</v>
      </c>
      <c r="G49" s="19" t="n">
        <v>0.129119695066442</v>
      </c>
      <c r="H49" s="19" t="n">
        <v>0.6779399478767</v>
      </c>
      <c r="I49" s="28" t="s">
        <v>1871</v>
      </c>
      <c r="J49" s="23" t="n">
        <v>642278</v>
      </c>
      <c r="K49" s="23" t="n">
        <v>16000</v>
      </c>
      <c r="L49" s="23" t="n">
        <v>12124819.7181046</v>
      </c>
      <c r="M49" s="23" t="n">
        <v>7361792.60856653</v>
      </c>
      <c r="N49" s="23" t="n">
        <v>10859063.0064264</v>
      </c>
      <c r="O49" s="23" t="n">
        <v>1565553.02473724</v>
      </c>
      <c r="P49" s="23" t="n">
        <v>0</v>
      </c>
      <c r="Q49" s="23" t="n">
        <v>1745574.00286342</v>
      </c>
      <c r="R49" s="23" t="n">
        <v>2828627.16122429</v>
      </c>
      <c r="S49" s="23" t="n">
        <v>-452362.483609479</v>
      </c>
      <c r="T49" s="23" t="n">
        <v>159819.08879241</v>
      </c>
      <c r="U49" s="23" t="n">
        <v>377599.729674088</v>
      </c>
      <c r="V49" s="23" t="n">
        <v>33198.2886061197</v>
      </c>
      <c r="W49" s="23" t="n">
        <v>30774.6419729901</v>
      </c>
      <c r="X49" s="19" t="n">
        <v>0.0104139380198047</v>
      </c>
      <c r="Y49" s="19" t="n">
        <v>-0.764079468919622</v>
      </c>
      <c r="Z49" s="23" t="n">
        <v>60</v>
      </c>
      <c r="AA49" s="28" t="s">
        <v>1221</v>
      </c>
      <c r="AB49" s="28" t="s">
        <v>1870</v>
      </c>
    </row>
    <row r="50" customFormat="false" ht="15" hidden="false" customHeight="false" outlineLevel="0" collapsed="false">
      <c r="A50" s="28" t="s">
        <v>1872</v>
      </c>
      <c r="B50" s="28" t="s">
        <v>186</v>
      </c>
      <c r="C50" s="28" t="s">
        <v>1715</v>
      </c>
      <c r="D50" s="23" t="n">
        <v>513745.311990503</v>
      </c>
      <c r="E50" s="23" t="n">
        <v>225355.468085898</v>
      </c>
      <c r="F50" s="19" t="n">
        <v>0.0177203711867765</v>
      </c>
      <c r="G50" s="19" t="n">
        <v>0.134555608377248</v>
      </c>
      <c r="H50" s="19" t="n">
        <v>0.712305567354321</v>
      </c>
      <c r="I50" s="28" t="s">
        <v>1871</v>
      </c>
      <c r="J50" s="23" t="n">
        <v>700083</v>
      </c>
      <c r="K50" s="23" t="n">
        <v>16000</v>
      </c>
      <c r="L50" s="23" t="n">
        <v>13309801.9058562</v>
      </c>
      <c r="M50" s="23" t="n">
        <v>8392443.57376585</v>
      </c>
      <c r="N50" s="23" t="n">
        <v>11782083.3619727</v>
      </c>
      <c r="O50" s="23" t="n">
        <v>1790908.49282314</v>
      </c>
      <c r="P50" s="23" t="n">
        <v>0</v>
      </c>
      <c r="Q50" s="23" t="n">
        <v>2061044.32033982</v>
      </c>
      <c r="R50" s="23" t="n">
        <v>2616480.12413247</v>
      </c>
      <c r="S50" s="23" t="n">
        <v>-428724.243986792</v>
      </c>
      <c r="T50" s="23" t="n">
        <v>170941.918560905</v>
      </c>
      <c r="U50" s="23" t="n">
        <v>405485.713454534</v>
      </c>
      <c r="V50" s="23" t="n">
        <v>37846.0490109765</v>
      </c>
      <c r="W50" s="23" t="n">
        <v>33544.3597505592</v>
      </c>
      <c r="X50" s="19" t="n">
        <v>0.0275490980023645</v>
      </c>
      <c r="Y50" s="19" t="n">
        <v>-0.534919681051928</v>
      </c>
      <c r="Z50" s="23" t="n">
        <v>64</v>
      </c>
      <c r="AA50" s="28" t="s">
        <v>1221</v>
      </c>
      <c r="AB50" s="28" t="s">
        <v>1870</v>
      </c>
    </row>
    <row r="51" customFormat="false" ht="15" hidden="false" customHeight="false" outlineLevel="0" collapsed="false">
      <c r="A51" s="28" t="s">
        <v>1872</v>
      </c>
      <c r="B51" s="28" t="s">
        <v>186</v>
      </c>
      <c r="C51" s="28" t="s">
        <v>1716</v>
      </c>
      <c r="D51" s="23" t="n">
        <v>597606.384130542</v>
      </c>
      <c r="E51" s="23" t="n">
        <v>286608.075690729</v>
      </c>
      <c r="F51" s="19" t="n">
        <v>0.0205146084661279</v>
      </c>
      <c r="G51" s="19" t="n">
        <v>0.141983971520825</v>
      </c>
      <c r="H51" s="19" t="n">
        <v>0.748413222842328</v>
      </c>
      <c r="I51" s="28" t="s">
        <v>1869</v>
      </c>
      <c r="J51" s="23" t="n">
        <v>763091</v>
      </c>
      <c r="K51" s="23" t="n">
        <v>16000</v>
      </c>
      <c r="L51" s="23" t="n">
        <v>14632049.9860729</v>
      </c>
      <c r="M51" s="23" t="n">
        <v>9567385.67409307</v>
      </c>
      <c r="N51" s="23" t="n">
        <v>12783560.4477404</v>
      </c>
      <c r="O51" s="23" t="n">
        <v>2077516.56851387</v>
      </c>
      <c r="P51" s="23" t="n">
        <v>0</v>
      </c>
      <c r="Q51" s="23" t="n">
        <v>2355960.89095674</v>
      </c>
      <c r="R51" s="23" t="n">
        <v>2420244.11482253</v>
      </c>
      <c r="S51" s="23" t="n">
        <v>-408631.740307507</v>
      </c>
      <c r="T51" s="23" t="n">
        <v>182807.043694506</v>
      </c>
      <c r="U51" s="23" t="n">
        <v>434660.856261806</v>
      </c>
      <c r="V51" s="23" t="n">
        <v>43144.4958725132</v>
      </c>
      <c r="W51" s="23" t="n">
        <v>36563.3521281095</v>
      </c>
      <c r="X51" s="19" t="n">
        <v>0.0443023354440403</v>
      </c>
      <c r="Y51" s="19" t="n">
        <v>-0.406629353482534</v>
      </c>
      <c r="Z51" s="23" t="n">
        <v>68</v>
      </c>
      <c r="AA51" s="28" t="s">
        <v>1221</v>
      </c>
      <c r="AB51" s="28" t="s">
        <v>1870</v>
      </c>
    </row>
    <row r="52" customFormat="false" ht="15" hidden="false" customHeight="false" outlineLevel="0" collapsed="false">
      <c r="A52" s="28" t="s">
        <v>1872</v>
      </c>
      <c r="B52" s="28" t="s">
        <v>210</v>
      </c>
      <c r="C52" s="28" t="s">
        <v>1515</v>
      </c>
      <c r="D52" s="23" t="n">
        <v>325180.650576715</v>
      </c>
      <c r="E52" s="23" t="n">
        <v>138951.494460608</v>
      </c>
      <c r="F52" s="19" t="n">
        <v>0.014050027153799</v>
      </c>
      <c r="G52" s="19" t="n">
        <v>0.121586324664551</v>
      </c>
      <c r="H52" s="19" t="n">
        <v>0.614102689396082</v>
      </c>
      <c r="I52" s="28" t="s">
        <v>1871</v>
      </c>
      <c r="J52" s="23" t="n">
        <v>540593</v>
      </c>
      <c r="K52" s="23" t="n">
        <v>16000</v>
      </c>
      <c r="L52" s="23" t="n">
        <v>10246296.5543018</v>
      </c>
      <c r="M52" s="23" t="n">
        <v>5664660.3636246</v>
      </c>
      <c r="N52" s="23" t="n">
        <v>9224288.48047436</v>
      </c>
      <c r="O52" s="23" t="n">
        <v>1245809.53946061</v>
      </c>
      <c r="P52" s="23" t="n">
        <v>0</v>
      </c>
      <c r="Q52" s="23" t="n">
        <v>938123.850937942</v>
      </c>
      <c r="R52" s="23" t="n">
        <v>3407161.0357625</v>
      </c>
      <c r="S52" s="23" t="n">
        <v>-353399.605793624</v>
      </c>
      <c r="T52" s="23" t="n">
        <v>166103.024687855</v>
      </c>
      <c r="U52" s="23" t="n">
        <v>311156.074</v>
      </c>
      <c r="V52" s="23" t="n">
        <v>25176.1068039615</v>
      </c>
      <c r="W52" s="23" t="n">
        <v>0</v>
      </c>
      <c r="X52" s="19" t="n">
        <v>0.0192947643449996</v>
      </c>
      <c r="Y52" s="19" t="n">
        <v>-0.673624666693938</v>
      </c>
      <c r="Z52" s="23" t="n">
        <v>52</v>
      </c>
      <c r="AA52" s="28" t="s">
        <v>1221</v>
      </c>
      <c r="AB52" s="28" t="s">
        <v>1870</v>
      </c>
    </row>
    <row r="53" customFormat="false" ht="15" hidden="false" customHeight="false" outlineLevel="0" collapsed="false">
      <c r="A53" s="28" t="s">
        <v>1872</v>
      </c>
      <c r="B53" s="28" t="s">
        <v>210</v>
      </c>
      <c r="C53" s="28" t="s">
        <v>1713</v>
      </c>
      <c r="D53" s="23" t="n">
        <v>368666.243608706</v>
      </c>
      <c r="E53" s="23" t="n">
        <v>138162.941370352</v>
      </c>
      <c r="F53" s="19" t="n">
        <v>0.0128755836726718</v>
      </c>
      <c r="G53" s="19" t="n">
        <v>0.123404413796784</v>
      </c>
      <c r="H53" s="19" t="n">
        <v>0.645232318812473</v>
      </c>
      <c r="I53" s="28" t="s">
        <v>1871</v>
      </c>
      <c r="J53" s="23" t="n">
        <v>589246</v>
      </c>
      <c r="K53" s="23" t="n">
        <v>16000</v>
      </c>
      <c r="L53" s="23" t="n">
        <v>11214935.0112389</v>
      </c>
      <c r="M53" s="23" t="n">
        <v>6457712.81453205</v>
      </c>
      <c r="N53" s="23" t="n">
        <v>10008353.0013147</v>
      </c>
      <c r="O53" s="23" t="n">
        <v>1383972.48083096</v>
      </c>
      <c r="P53" s="23" t="n">
        <v>0</v>
      </c>
      <c r="Q53" s="23" t="n">
        <v>1353668.17386175</v>
      </c>
      <c r="R53" s="23" t="n">
        <v>3106623.95808031</v>
      </c>
      <c r="S53" s="23" t="n">
        <v>-318004.452980864</v>
      </c>
      <c r="T53" s="23" t="n">
        <v>165547.937211289</v>
      </c>
      <c r="U53" s="23" t="n">
        <v>350929.9336548</v>
      </c>
      <c r="V53" s="23" t="n">
        <v>29121.3057948418</v>
      </c>
      <c r="W53" s="23" t="n">
        <v>14116.8082444909</v>
      </c>
      <c r="X53" s="19" t="n">
        <v>0.0371218154467343</v>
      </c>
      <c r="Y53" s="19" t="n">
        <v>-0.488644433540689</v>
      </c>
      <c r="Z53" s="23" t="n">
        <v>56</v>
      </c>
      <c r="AA53" s="28" t="s">
        <v>1221</v>
      </c>
      <c r="AB53" s="28" t="s">
        <v>1870</v>
      </c>
    </row>
    <row r="54" customFormat="false" ht="15" hidden="false" customHeight="false" outlineLevel="0" collapsed="false">
      <c r="A54" s="28" t="s">
        <v>1872</v>
      </c>
      <c r="B54" s="28" t="s">
        <v>210</v>
      </c>
      <c r="C54" s="28" t="s">
        <v>1714</v>
      </c>
      <c r="D54" s="23" t="n">
        <v>423885.534843724</v>
      </c>
      <c r="E54" s="23" t="n">
        <v>158834.405355926</v>
      </c>
      <c r="F54" s="19" t="n">
        <v>0.0135298106904889</v>
      </c>
      <c r="G54" s="19" t="n">
        <v>0.125797173095554</v>
      </c>
      <c r="H54" s="19" t="n">
        <v>0.6779399478767</v>
      </c>
      <c r="I54" s="28" t="s">
        <v>1869</v>
      </c>
      <c r="J54" s="23" t="n">
        <v>642278</v>
      </c>
      <c r="K54" s="23" t="n">
        <v>16000</v>
      </c>
      <c r="L54" s="23" t="n">
        <v>12264241.3038566</v>
      </c>
      <c r="M54" s="23" t="n">
        <v>7361792.60856653</v>
      </c>
      <c r="N54" s="23" t="n">
        <v>10859063.0064264</v>
      </c>
      <c r="O54" s="23" t="n">
        <v>1542806.88618689</v>
      </c>
      <c r="P54" s="23" t="n">
        <v>0</v>
      </c>
      <c r="Q54" s="23" t="n">
        <v>1722827.86431307</v>
      </c>
      <c r="R54" s="23" t="n">
        <v>2828627.16122429</v>
      </c>
      <c r="S54" s="23" t="n">
        <v>-290194.759307114</v>
      </c>
      <c r="T54" s="23" t="n">
        <v>161746.88879241</v>
      </c>
      <c r="U54" s="23" t="n">
        <v>377599.729674088</v>
      </c>
      <c r="V54" s="23" t="n">
        <v>33198.2886061197</v>
      </c>
      <c r="W54" s="23" t="n">
        <v>30774.6419729901</v>
      </c>
      <c r="X54" s="19" t="n">
        <v>0.0517440646472398</v>
      </c>
      <c r="Y54" s="19" t="n">
        <v>-0.38446305885116</v>
      </c>
      <c r="Z54" s="23" t="n">
        <v>60</v>
      </c>
      <c r="AA54" s="28" t="s">
        <v>1221</v>
      </c>
      <c r="AB54" s="28" t="s">
        <v>1870</v>
      </c>
    </row>
    <row r="55" customFormat="false" ht="15" hidden="false" customHeight="false" outlineLevel="0" collapsed="false">
      <c r="A55" s="28" t="s">
        <v>1872</v>
      </c>
      <c r="B55" s="28" t="s">
        <v>210</v>
      </c>
      <c r="C55" s="28" t="s">
        <v>1715</v>
      </c>
      <c r="D55" s="23" t="n">
        <v>481921.830893631</v>
      </c>
      <c r="E55" s="23" t="n">
        <v>195459.786989026</v>
      </c>
      <c r="F55" s="19" t="n">
        <v>0.0152206094190921</v>
      </c>
      <c r="G55" s="19" t="n">
        <v>0.129534556255071</v>
      </c>
      <c r="H55" s="19" t="n">
        <v>0.712305567354321</v>
      </c>
      <c r="I55" s="28" t="s">
        <v>1869</v>
      </c>
      <c r="J55" s="23" t="n">
        <v>700083</v>
      </c>
      <c r="K55" s="23" t="n">
        <v>16000</v>
      </c>
      <c r="L55" s="23" t="n">
        <v>13419327.8105113</v>
      </c>
      <c r="M55" s="23" t="n">
        <v>8392443.57376585</v>
      </c>
      <c r="N55" s="23" t="n">
        <v>11782083.3619727</v>
      </c>
      <c r="O55" s="23" t="n">
        <v>1738266.67317591</v>
      </c>
      <c r="P55" s="23" t="n">
        <v>0</v>
      </c>
      <c r="Q55" s="23" t="n">
        <v>2008402.50069259</v>
      </c>
      <c r="R55" s="23" t="n">
        <v>2616480.12413247</v>
      </c>
      <c r="S55" s="23" t="n">
        <v>-266556.519684427</v>
      </c>
      <c r="T55" s="23" t="n">
        <v>172869.718560905</v>
      </c>
      <c r="U55" s="23" t="n">
        <v>405485.713454534</v>
      </c>
      <c r="V55" s="23" t="n">
        <v>37846.0490109765</v>
      </c>
      <c r="W55" s="23" t="n">
        <v>33544.3597505592</v>
      </c>
      <c r="X55" s="19" t="n">
        <v>0.0644807997634933</v>
      </c>
      <c r="Y55" s="19" t="n">
        <v>-0.320994105862962</v>
      </c>
      <c r="Z55" s="23" t="n">
        <v>64</v>
      </c>
      <c r="AA55" s="28" t="s">
        <v>1221</v>
      </c>
      <c r="AB55" s="28" t="s">
        <v>1870</v>
      </c>
    </row>
    <row r="56" customFormat="false" ht="15" hidden="false" customHeight="false" outlineLevel="0" collapsed="false">
      <c r="A56" s="28" t="s">
        <v>1872</v>
      </c>
      <c r="B56" s="28" t="s">
        <v>210</v>
      </c>
      <c r="C56" s="28" t="s">
        <v>1716</v>
      </c>
      <c r="D56" s="23" t="n">
        <v>549474.859802985</v>
      </c>
      <c r="E56" s="23" t="n">
        <v>240404.351363172</v>
      </c>
      <c r="F56" s="19" t="n">
        <v>0.0171016835719816</v>
      </c>
      <c r="G56" s="19" t="n">
        <v>0.134645860079891</v>
      </c>
      <c r="H56" s="19" t="n">
        <v>0.748413222842328</v>
      </c>
      <c r="I56" s="28" t="s">
        <v>1719</v>
      </c>
      <c r="J56" s="23" t="n">
        <v>763091</v>
      </c>
      <c r="K56" s="23" t="n">
        <v>16000</v>
      </c>
      <c r="L56" s="23" t="n">
        <v>14695372.1664005</v>
      </c>
      <c r="M56" s="23" t="n">
        <v>9567385.67409307</v>
      </c>
      <c r="N56" s="23" t="n">
        <v>12783560.4477404</v>
      </c>
      <c r="O56" s="23" t="n">
        <v>1978671.02453908</v>
      </c>
      <c r="P56" s="23" t="n">
        <v>0</v>
      </c>
      <c r="Q56" s="23" t="n">
        <v>2257115.34698196</v>
      </c>
      <c r="R56" s="23" t="n">
        <v>2420244.11482253</v>
      </c>
      <c r="S56" s="23" t="n">
        <v>-246464.016005142</v>
      </c>
      <c r="T56" s="23" t="n">
        <v>184734.843694506</v>
      </c>
      <c r="U56" s="23" t="n">
        <v>434660.856261806</v>
      </c>
      <c r="V56" s="23" t="n">
        <v>43144.4958725132</v>
      </c>
      <c r="W56" s="23" t="n">
        <v>36563.3521281095</v>
      </c>
      <c r="X56" s="19" t="n">
        <v>0.0764637887955102</v>
      </c>
      <c r="Y56" s="19" t="n">
        <v>-0.277293331149224</v>
      </c>
      <c r="Z56" s="23" t="n">
        <v>68</v>
      </c>
      <c r="AA56" s="28" t="s">
        <v>1221</v>
      </c>
      <c r="AB56" s="28" t="s">
        <v>1870</v>
      </c>
    </row>
    <row r="57" customFormat="false" ht="15" hidden="false" customHeight="false" outlineLevel="0" collapsed="false">
      <c r="A57" s="28" t="s">
        <v>1872</v>
      </c>
      <c r="B57" s="28" t="s">
        <v>214</v>
      </c>
      <c r="C57" s="28" t="s">
        <v>1515</v>
      </c>
      <c r="D57" s="23" t="n">
        <v>318065.594398633</v>
      </c>
      <c r="E57" s="23" t="n">
        <v>119572.632672691</v>
      </c>
      <c r="F57" s="19" t="n">
        <v>0.0120195334354436</v>
      </c>
      <c r="G57" s="19" t="n">
        <v>0.117681913436506</v>
      </c>
      <c r="H57" s="19" t="n">
        <v>0.614102689396082</v>
      </c>
      <c r="I57" s="28" t="s">
        <v>1719</v>
      </c>
      <c r="J57" s="23" t="n">
        <v>540593</v>
      </c>
      <c r="K57" s="23" t="n">
        <v>16000</v>
      </c>
      <c r="L57" s="23" t="n">
        <v>10421573.2210575</v>
      </c>
      <c r="M57" s="23" t="n">
        <v>5664660.3636246</v>
      </c>
      <c r="N57" s="23" t="n">
        <v>9224288.48047436</v>
      </c>
      <c r="O57" s="23" t="n">
        <v>1226430.67767269</v>
      </c>
      <c r="P57" s="23" t="n">
        <v>0</v>
      </c>
      <c r="Q57" s="23" t="n">
        <v>918744.989150025</v>
      </c>
      <c r="R57" s="23" t="n">
        <v>3407161.0357625</v>
      </c>
      <c r="S57" s="23" t="n">
        <v>-158744.077250008</v>
      </c>
      <c r="T57" s="23" t="n">
        <v>166936.874687855</v>
      </c>
      <c r="U57" s="23" t="n">
        <v>311156.074</v>
      </c>
      <c r="V57" s="23" t="n">
        <v>38273.7624137965</v>
      </c>
      <c r="W57" s="23" t="n">
        <v>0</v>
      </c>
      <c r="X57" s="19" t="n">
        <v>0.0707889607824699</v>
      </c>
      <c r="Y57" s="19" t="n">
        <v>-0.347697392038906</v>
      </c>
      <c r="Z57" s="23" t="n">
        <v>52</v>
      </c>
      <c r="AA57" s="28" t="s">
        <v>1221</v>
      </c>
      <c r="AB57" s="28" t="s">
        <v>1870</v>
      </c>
    </row>
    <row r="58" customFormat="false" ht="15" hidden="false" customHeight="false" outlineLevel="0" collapsed="false">
      <c r="A58" s="28" t="s">
        <v>1872</v>
      </c>
      <c r="B58" s="28" t="s">
        <v>214</v>
      </c>
      <c r="C58" s="28" t="s">
        <v>1713</v>
      </c>
      <c r="D58" s="23" t="n">
        <v>335701.838764864</v>
      </c>
      <c r="E58" s="23" t="n">
        <v>69197.0736991247</v>
      </c>
      <c r="F58" s="19" t="n">
        <v>0.00633857546632352</v>
      </c>
      <c r="G58" s="19" t="n">
        <v>0.113531428448896</v>
      </c>
      <c r="H58" s="19" t="n">
        <v>0.645232318812473</v>
      </c>
      <c r="I58" s="28" t="s">
        <v>1719</v>
      </c>
      <c r="J58" s="23" t="n">
        <v>589246</v>
      </c>
      <c r="K58" s="23" t="n">
        <v>16000</v>
      </c>
      <c r="L58" s="23" t="n">
        <v>11412062.4489017</v>
      </c>
      <c r="M58" s="23" t="n">
        <v>6457712.81453205</v>
      </c>
      <c r="N58" s="23" t="n">
        <v>10008353.0013147</v>
      </c>
      <c r="O58" s="23" t="n">
        <v>1295627.75137182</v>
      </c>
      <c r="P58" s="23" t="n">
        <v>0</v>
      </c>
      <c r="Q58" s="23" t="n">
        <v>1265323.44440261</v>
      </c>
      <c r="R58" s="23" t="n">
        <v>3106623.95808031</v>
      </c>
      <c r="S58" s="23" t="n">
        <v>-32532.2858588845</v>
      </c>
      <c r="T58" s="23" t="n">
        <v>169011.137211289</v>
      </c>
      <c r="U58" s="23" t="n">
        <v>350929.9336548</v>
      </c>
      <c r="V58" s="23" t="n">
        <v>68585.9686222276</v>
      </c>
      <c r="W58" s="23" t="n">
        <v>14116.8082444909</v>
      </c>
      <c r="X58" s="19" t="n">
        <v>0.101471859138662</v>
      </c>
      <c r="Y58" s="19" t="n">
        <v>-0.245979524267024</v>
      </c>
      <c r="Z58" s="23" t="n">
        <v>56</v>
      </c>
      <c r="AA58" s="28" t="s">
        <v>1221</v>
      </c>
      <c r="AB58" s="28" t="s">
        <v>1870</v>
      </c>
    </row>
    <row r="59" customFormat="false" ht="15" hidden="false" customHeight="false" outlineLevel="0" collapsed="false">
      <c r="A59" s="28" t="s">
        <v>1872</v>
      </c>
      <c r="B59" s="28" t="s">
        <v>214</v>
      </c>
      <c r="C59" s="28" t="s">
        <v>1714</v>
      </c>
      <c r="D59" s="23" t="n">
        <v>366727.468213748</v>
      </c>
      <c r="E59" s="23" t="n">
        <v>67826.1830362362</v>
      </c>
      <c r="F59" s="19" t="n">
        <v>0.00570389174620343</v>
      </c>
      <c r="G59" s="19" t="n">
        <v>0.110219417800465</v>
      </c>
      <c r="H59" s="19" t="n">
        <v>0.6779399478767</v>
      </c>
      <c r="I59" s="28" t="s">
        <v>1719</v>
      </c>
      <c r="J59" s="23" t="n">
        <v>642278</v>
      </c>
      <c r="K59" s="23" t="n">
        <v>16000</v>
      </c>
      <c r="L59" s="23" t="n">
        <v>12370360.5191997</v>
      </c>
      <c r="M59" s="23" t="n">
        <v>7361792.60856653</v>
      </c>
      <c r="N59" s="23" t="n">
        <v>10859063.0064264</v>
      </c>
      <c r="O59" s="23" t="n">
        <v>1363453.93440805</v>
      </c>
      <c r="P59" s="23" t="n">
        <v>0</v>
      </c>
      <c r="Q59" s="23" t="n">
        <v>1543474.91253424</v>
      </c>
      <c r="R59" s="23" t="n">
        <v>2828627.16122429</v>
      </c>
      <c r="S59" s="23" t="n">
        <v>-4722.59218513447</v>
      </c>
      <c r="T59" s="23" t="n">
        <v>165489.08879241</v>
      </c>
      <c r="U59" s="23" t="n">
        <v>377599.729674088</v>
      </c>
      <c r="V59" s="23" t="n">
        <v>70790.6442958337</v>
      </c>
      <c r="W59" s="23" t="n">
        <v>30774.6419729901</v>
      </c>
      <c r="X59" s="19" t="n">
        <v>0.106232881762441</v>
      </c>
      <c r="Y59" s="19" t="n">
        <v>-0.22284762477466</v>
      </c>
      <c r="Z59" s="23" t="n">
        <v>60</v>
      </c>
      <c r="AA59" s="28" t="s">
        <v>1221</v>
      </c>
      <c r="AB59" s="28" t="s">
        <v>1870</v>
      </c>
    </row>
    <row r="60" customFormat="false" ht="15" hidden="false" customHeight="false" outlineLevel="0" collapsed="false">
      <c r="A60" s="28" t="s">
        <v>1872</v>
      </c>
      <c r="B60" s="28" t="s">
        <v>214</v>
      </c>
      <c r="C60" s="28" t="s">
        <v>1715</v>
      </c>
      <c r="D60" s="23" t="n">
        <v>392598.188203496</v>
      </c>
      <c r="E60" s="23" t="n">
        <v>67023.0588126169</v>
      </c>
      <c r="F60" s="19" t="n">
        <v>0.00520216511718894</v>
      </c>
      <c r="G60" s="19" t="n">
        <v>0.106775837402215</v>
      </c>
      <c r="H60" s="19" t="n">
        <v>0.712305567354321</v>
      </c>
      <c r="I60" s="28" t="s">
        <v>1719</v>
      </c>
      <c r="J60" s="23" t="n">
        <v>700083</v>
      </c>
      <c r="K60" s="23" t="n">
        <v>16000</v>
      </c>
      <c r="L60" s="23" t="n">
        <v>13397010.2976781</v>
      </c>
      <c r="M60" s="23" t="n">
        <v>8392443.57376585</v>
      </c>
      <c r="N60" s="23" t="n">
        <v>11782083.3619727</v>
      </c>
      <c r="O60" s="23" t="n">
        <v>1430476.99322067</v>
      </c>
      <c r="P60" s="23" t="n">
        <v>0</v>
      </c>
      <c r="Q60" s="23" t="n">
        <v>1700612.82073735</v>
      </c>
      <c r="R60" s="23" t="n">
        <v>2616480.12413247</v>
      </c>
      <c r="S60" s="23" t="n">
        <v>18915.647437553</v>
      </c>
      <c r="T60" s="23" t="n">
        <v>176611.918560905</v>
      </c>
      <c r="U60" s="23" t="n">
        <v>405485.713454534</v>
      </c>
      <c r="V60" s="23" t="n">
        <v>80701.3344972504</v>
      </c>
      <c r="W60" s="23" t="n">
        <v>33544.3597505592</v>
      </c>
      <c r="X60" s="19" t="n">
        <v>0.108370892050434</v>
      </c>
      <c r="Y60" s="19" t="n">
        <v>-0.21140937346888</v>
      </c>
      <c r="Z60" s="23" t="n">
        <v>64</v>
      </c>
      <c r="AA60" s="28" t="s">
        <v>1221</v>
      </c>
      <c r="AB60" s="28" t="s">
        <v>1870</v>
      </c>
    </row>
    <row r="61" customFormat="false" ht="15" hidden="false" customHeight="false" outlineLevel="0" collapsed="false">
      <c r="A61" s="28" t="s">
        <v>1872</v>
      </c>
      <c r="B61" s="28" t="s">
        <v>214</v>
      </c>
      <c r="C61" s="28" t="s">
        <v>1716</v>
      </c>
      <c r="D61" s="23" t="n">
        <v>423133.686721444</v>
      </c>
      <c r="E61" s="23" t="n">
        <v>68950.3528272792</v>
      </c>
      <c r="F61" s="19" t="n">
        <v>0.00494292371359679</v>
      </c>
      <c r="G61" s="19" t="n">
        <v>0.103397368450339</v>
      </c>
      <c r="H61" s="19" t="n">
        <v>0.748413222842328</v>
      </c>
      <c r="I61" s="28" t="s">
        <v>1719</v>
      </c>
      <c r="J61" s="23" t="n">
        <v>763091</v>
      </c>
      <c r="K61" s="23" t="n">
        <v>16000</v>
      </c>
      <c r="L61" s="23" t="n">
        <v>14501600.6550313</v>
      </c>
      <c r="M61" s="23" t="n">
        <v>9567385.67409307</v>
      </c>
      <c r="N61" s="23" t="n">
        <v>12783560.4477404</v>
      </c>
      <c r="O61" s="23" t="n">
        <v>1499427.34604795</v>
      </c>
      <c r="P61" s="23" t="n">
        <v>0</v>
      </c>
      <c r="Q61" s="23" t="n">
        <v>1777871.66849082</v>
      </c>
      <c r="R61" s="23" t="n">
        <v>2420244.11482253</v>
      </c>
      <c r="S61" s="23" t="n">
        <v>39008.1511168374</v>
      </c>
      <c r="T61" s="23" t="n">
        <v>188477.043694507</v>
      </c>
      <c r="U61" s="23" t="n">
        <v>434660.856261806</v>
      </c>
      <c r="V61" s="23" t="n">
        <v>91999.5213268654</v>
      </c>
      <c r="W61" s="23" t="n">
        <v>36563.3521281095</v>
      </c>
      <c r="X61" s="19" t="n">
        <v>0.108967864387083</v>
      </c>
      <c r="Y61" s="19" t="n">
        <v>-0.206198164094322</v>
      </c>
      <c r="Z61" s="23" t="n">
        <v>68</v>
      </c>
      <c r="AA61" s="28" t="s">
        <v>1221</v>
      </c>
      <c r="AB61" s="28" t="s">
        <v>1870</v>
      </c>
    </row>
    <row r="62" customFormat="false" ht="15" hidden="false" customHeight="false" outlineLevel="0" collapsed="false">
      <c r="A62" s="28" t="s">
        <v>1873</v>
      </c>
      <c r="B62" s="28" t="s">
        <v>180</v>
      </c>
      <c r="C62" s="28" t="s">
        <v>1515</v>
      </c>
      <c r="D62" s="23" t="n">
        <v>321004.249641108</v>
      </c>
      <c r="E62" s="23" t="n">
        <v>136633.878721384</v>
      </c>
      <c r="F62" s="19" t="n">
        <v>0.0138115319360671</v>
      </c>
      <c r="G62" s="19" t="n">
        <v>0.121254626002371</v>
      </c>
      <c r="H62" s="19" t="n">
        <v>0.607524447429908</v>
      </c>
      <c r="I62" s="28" t="s">
        <v>1869</v>
      </c>
      <c r="J62" s="23" t="n">
        <v>534357</v>
      </c>
      <c r="K62" s="23" t="n">
        <v>16000</v>
      </c>
      <c r="L62" s="23" t="n">
        <v>10255212.2316312</v>
      </c>
      <c r="M62" s="23" t="n">
        <v>5539042.5235355</v>
      </c>
      <c r="N62" s="23" t="n">
        <v>9117398.56226043</v>
      </c>
      <c r="O62" s="23" t="n">
        <v>1243491.92372138</v>
      </c>
      <c r="P62" s="23" t="n">
        <v>0</v>
      </c>
      <c r="Q62" s="23" t="n">
        <v>917504.841444783</v>
      </c>
      <c r="R62" s="23" t="n">
        <v>3446191.82507188</v>
      </c>
      <c r="S62" s="23" t="n">
        <v>-233774.627233066</v>
      </c>
      <c r="T62" s="23" t="n">
        <v>165917.34581336</v>
      </c>
      <c r="U62" s="23" t="n">
        <v>310356.074</v>
      </c>
      <c r="V62" s="23" t="n">
        <v>23931.6427330839</v>
      </c>
      <c r="W62" s="23" t="n">
        <v>0</v>
      </c>
      <c r="X62" s="19" t="n">
        <v>0.0531090081898429</v>
      </c>
      <c r="Y62" s="19" t="n">
        <v>-0.422414607561908</v>
      </c>
      <c r="Z62" s="23" t="n">
        <v>51</v>
      </c>
      <c r="AA62" s="28" t="s">
        <v>1221</v>
      </c>
      <c r="AB62" s="28" t="s">
        <v>1870</v>
      </c>
    </row>
    <row r="63" customFormat="false" ht="15" hidden="false" customHeight="false" outlineLevel="0" collapsed="false">
      <c r="A63" s="28" t="s">
        <v>1873</v>
      </c>
      <c r="B63" s="28" t="s">
        <v>180</v>
      </c>
      <c r="C63" s="28" t="s">
        <v>1713</v>
      </c>
      <c r="D63" s="23" t="n">
        <v>347013.687331591</v>
      </c>
      <c r="E63" s="23" t="n">
        <v>115602.567634628</v>
      </c>
      <c r="F63" s="19" t="n">
        <v>0.0108894974925611</v>
      </c>
      <c r="G63" s="19" t="n">
        <v>0.123816019817435</v>
      </c>
      <c r="H63" s="19" t="n">
        <v>0.624718535564716</v>
      </c>
      <c r="I63" s="28" t="s">
        <v>1719</v>
      </c>
      <c r="J63" s="23" t="n">
        <v>569091</v>
      </c>
      <c r="K63" s="23" t="n">
        <v>30000</v>
      </c>
      <c r="L63" s="23" t="n">
        <v>10976725.7367825</v>
      </c>
      <c r="M63" s="23" t="n">
        <v>6037556.3506537</v>
      </c>
      <c r="N63" s="23" t="n">
        <v>9664442.47599605</v>
      </c>
      <c r="O63" s="23" t="n">
        <v>1359094.49135601</v>
      </c>
      <c r="P63" s="23" t="n">
        <v>0</v>
      </c>
      <c r="Q63" s="23" t="n">
        <v>1299250.00100572</v>
      </c>
      <c r="R63" s="23" t="n">
        <v>3218593.53491158</v>
      </c>
      <c r="S63" s="23" t="n">
        <v>-182593.385825</v>
      </c>
      <c r="T63" s="23" t="n">
        <v>163054.025055239</v>
      </c>
      <c r="U63" s="23" t="n">
        <v>338984.444218737</v>
      </c>
      <c r="V63" s="23" t="n">
        <v>25480.7005334662</v>
      </c>
      <c r="W63" s="23" t="n">
        <v>13633.9337790764</v>
      </c>
      <c r="X63" s="19" t="n">
        <v>0.0727181259871155</v>
      </c>
      <c r="Y63" s="19" t="n">
        <v>-0.324696917616657</v>
      </c>
      <c r="Z63" s="23" t="n">
        <v>53</v>
      </c>
      <c r="AA63" s="28" t="s">
        <v>1221</v>
      </c>
      <c r="AB63" s="28" t="s">
        <v>1870</v>
      </c>
    </row>
    <row r="64" customFormat="false" ht="15" hidden="false" customHeight="false" outlineLevel="0" collapsed="false">
      <c r="A64" s="28" t="s">
        <v>1873</v>
      </c>
      <c r="B64" s="28" t="s">
        <v>180</v>
      </c>
      <c r="C64" s="28" t="s">
        <v>1714</v>
      </c>
      <c r="D64" s="23" t="n">
        <v>374717.07704908</v>
      </c>
      <c r="E64" s="23" t="n">
        <v>116655.101905739</v>
      </c>
      <c r="F64" s="19" t="n">
        <v>0.0102843571505871</v>
      </c>
      <c r="G64" s="19" t="n">
        <v>0.126033297564167</v>
      </c>
      <c r="H64" s="19" t="n">
        <v>0.642399248835416</v>
      </c>
      <c r="I64" s="28" t="s">
        <v>1719</v>
      </c>
      <c r="J64" s="23" t="n">
        <v>606082</v>
      </c>
      <c r="K64" s="23" t="n">
        <v>30000</v>
      </c>
      <c r="L64" s="23" t="n">
        <v>11709204.0102371</v>
      </c>
      <c r="M64" s="23" t="n">
        <v>6580936.42221253</v>
      </c>
      <c r="N64" s="23" t="n">
        <v>10244309.0245558</v>
      </c>
      <c r="O64" s="23" t="n">
        <v>1475749.59326175</v>
      </c>
      <c r="P64" s="23" t="n">
        <v>0</v>
      </c>
      <c r="Q64" s="23" t="n">
        <v>1657132.6813254</v>
      </c>
      <c r="R64" s="23" t="n">
        <v>3003797.64857281</v>
      </c>
      <c r="S64" s="23" t="n">
        <v>-154783.69215125</v>
      </c>
      <c r="T64" s="23" t="n">
        <v>156777.232646717</v>
      </c>
      <c r="U64" s="23" t="n">
        <v>357065.24420858</v>
      </c>
      <c r="V64" s="23" t="n">
        <v>27773.9635814782</v>
      </c>
      <c r="W64" s="23" t="n">
        <v>29040.2789494327</v>
      </c>
      <c r="X64" s="19" t="n">
        <v>0.0848042264846526</v>
      </c>
      <c r="Y64" s="19" t="n">
        <v>-0.273797916452394</v>
      </c>
      <c r="Z64" s="23" t="n">
        <v>55</v>
      </c>
      <c r="AA64" s="28" t="s">
        <v>1221</v>
      </c>
      <c r="AB64" s="28" t="s">
        <v>1870</v>
      </c>
    </row>
    <row r="65" customFormat="false" ht="15" hidden="false" customHeight="false" outlineLevel="0" collapsed="false">
      <c r="A65" s="28" t="s">
        <v>1873</v>
      </c>
      <c r="B65" s="28" t="s">
        <v>180</v>
      </c>
      <c r="C65" s="28" t="s">
        <v>1715</v>
      </c>
      <c r="D65" s="23" t="n">
        <v>399226.548015029</v>
      </c>
      <c r="E65" s="23" t="n">
        <v>127628.14322128</v>
      </c>
      <c r="F65" s="19" t="n">
        <v>0.0105508459798687</v>
      </c>
      <c r="G65" s="19" t="n">
        <v>0.128437036233106</v>
      </c>
      <c r="H65" s="19" t="n">
        <v>0.660580359651513</v>
      </c>
      <c r="I65" s="28" t="s">
        <v>1719</v>
      </c>
      <c r="J65" s="23" t="n">
        <v>645477</v>
      </c>
      <c r="K65" s="23" t="n">
        <v>30000</v>
      </c>
      <c r="L65" s="23" t="n">
        <v>12483764.6796286</v>
      </c>
      <c r="M65" s="23" t="n">
        <v>7173220.70021166</v>
      </c>
      <c r="N65" s="23" t="n">
        <v>10858967.5660292</v>
      </c>
      <c r="O65" s="23" t="n">
        <v>1603377.73648303</v>
      </c>
      <c r="P65" s="23" t="n">
        <v>0</v>
      </c>
      <c r="Q65" s="23" t="n">
        <v>1965986.68515904</v>
      </c>
      <c r="R65" s="23" t="n">
        <v>2834834.03084059</v>
      </c>
      <c r="S65" s="23" t="n">
        <v>-131145.452528563</v>
      </c>
      <c r="T65" s="23" t="n">
        <v>164490.895708029</v>
      </c>
      <c r="U65" s="23" t="n">
        <v>375815.680197966</v>
      </c>
      <c r="V65" s="23" t="n">
        <v>30273.6203038112</v>
      </c>
      <c r="W65" s="23" t="n">
        <v>30927.8970811459</v>
      </c>
      <c r="X65" s="19" t="n">
        <v>0.0946811839965258</v>
      </c>
      <c r="Y65" s="19" t="n">
        <v>-0.239654932102931</v>
      </c>
      <c r="Z65" s="23" t="n">
        <v>57</v>
      </c>
      <c r="AA65" s="28" t="s">
        <v>1221</v>
      </c>
      <c r="AB65" s="28" t="s">
        <v>1870</v>
      </c>
    </row>
    <row r="66" customFormat="false" ht="15" hidden="false" customHeight="false" outlineLevel="0" collapsed="false">
      <c r="A66" s="28" t="s">
        <v>1873</v>
      </c>
      <c r="B66" s="28" t="s">
        <v>180</v>
      </c>
      <c r="C66" s="28" t="s">
        <v>1716</v>
      </c>
      <c r="D66" s="23" t="n">
        <v>427250.25721813</v>
      </c>
      <c r="E66" s="23" t="n">
        <v>141564.091739526</v>
      </c>
      <c r="F66" s="19" t="n">
        <v>0.010978267698446</v>
      </c>
      <c r="G66" s="19" t="n">
        <v>0.131138357199512</v>
      </c>
      <c r="H66" s="19" t="n">
        <v>0.679276030207688</v>
      </c>
      <c r="I66" s="28" t="s">
        <v>1719</v>
      </c>
      <c r="J66" s="23" t="n">
        <v>687433</v>
      </c>
      <c r="K66" s="23" t="n">
        <v>30000</v>
      </c>
      <c r="L66" s="23" t="n">
        <v>13306113.2187879</v>
      </c>
      <c r="M66" s="23" t="n">
        <v>7818810.56323071</v>
      </c>
      <c r="N66" s="23" t="n">
        <v>11510505.6199909</v>
      </c>
      <c r="O66" s="23" t="n">
        <v>1744941.82822256</v>
      </c>
      <c r="P66" s="23" t="n">
        <v>0</v>
      </c>
      <c r="Q66" s="23" t="n">
        <v>2262802.07321637</v>
      </c>
      <c r="R66" s="23" t="n">
        <v>2675374.6166058</v>
      </c>
      <c r="S66" s="23" t="n">
        <v>-111052.948849278</v>
      </c>
      <c r="T66" s="23" t="n">
        <v>172577.966459425</v>
      </c>
      <c r="U66" s="23" t="n">
        <v>395265.885806875</v>
      </c>
      <c r="V66" s="23" t="n">
        <v>32998.2461311542</v>
      </c>
      <c r="W66" s="23" t="n">
        <v>32938.2103914203</v>
      </c>
      <c r="X66" s="19" t="n">
        <v>0.103253658101386</v>
      </c>
      <c r="Y66" s="19" t="n">
        <v>-0.21415280867746</v>
      </c>
      <c r="Z66" s="23" t="n">
        <v>59</v>
      </c>
      <c r="AA66" s="28" t="s">
        <v>1221</v>
      </c>
      <c r="AB66" s="28" t="s">
        <v>1870</v>
      </c>
    </row>
    <row r="67" customFormat="false" ht="15" hidden="false" customHeight="false" outlineLevel="0" collapsed="false">
      <c r="A67" s="28" t="s">
        <v>1873</v>
      </c>
      <c r="B67" s="28" t="s">
        <v>176</v>
      </c>
      <c r="C67" s="28" t="s">
        <v>1515</v>
      </c>
      <c r="D67" s="23" t="n">
        <v>306334.996296094</v>
      </c>
      <c r="E67" s="23" t="n">
        <v>123584.62537637</v>
      </c>
      <c r="F67" s="19" t="n">
        <v>0.0124149284494794</v>
      </c>
      <c r="G67" s="19" t="n">
        <v>0.117852297740295</v>
      </c>
      <c r="H67" s="19" t="n">
        <v>0.607524447429908</v>
      </c>
      <c r="I67" s="28" t="s">
        <v>1719</v>
      </c>
      <c r="J67" s="23" t="n">
        <v>534357</v>
      </c>
      <c r="K67" s="23" t="n">
        <v>16000</v>
      </c>
      <c r="L67" s="23" t="n">
        <v>10440548.8392584</v>
      </c>
      <c r="M67" s="23" t="n">
        <v>5539042.5235355</v>
      </c>
      <c r="N67" s="23" t="n">
        <v>9117398.56226043</v>
      </c>
      <c r="O67" s="23" t="n">
        <v>1230442.67037637</v>
      </c>
      <c r="P67" s="23" t="n">
        <v>0</v>
      </c>
      <c r="Q67" s="23" t="n">
        <v>904455.58809977</v>
      </c>
      <c r="R67" s="23" t="n">
        <v>3446191.82507188</v>
      </c>
      <c r="S67" s="23" t="n">
        <v>-35388.7662609129</v>
      </c>
      <c r="T67" s="23" t="n">
        <v>167537.34581336</v>
      </c>
      <c r="U67" s="23" t="n">
        <v>310356.074</v>
      </c>
      <c r="V67" s="23" t="n">
        <v>23931.6427330839</v>
      </c>
      <c r="W67" s="23" t="n">
        <v>0</v>
      </c>
      <c r="X67" s="19" t="n">
        <v>0.10282297988239</v>
      </c>
      <c r="Y67" s="19" t="n">
        <v>-0.263577316263763</v>
      </c>
      <c r="Z67" s="23" t="n">
        <v>51</v>
      </c>
      <c r="AA67" s="28" t="s">
        <v>1221</v>
      </c>
      <c r="AB67" s="28" t="s">
        <v>1870</v>
      </c>
    </row>
    <row r="68" customFormat="false" ht="15" hidden="false" customHeight="false" outlineLevel="0" collapsed="false">
      <c r="A68" s="28" t="s">
        <v>1873</v>
      </c>
      <c r="B68" s="28" t="s">
        <v>176</v>
      </c>
      <c r="C68" s="28" t="s">
        <v>1713</v>
      </c>
      <c r="D68" s="23" t="n">
        <v>320852.62203731</v>
      </c>
      <c r="E68" s="23" t="n">
        <v>92681.502340346</v>
      </c>
      <c r="F68" s="19" t="n">
        <v>0.00858969724142921</v>
      </c>
      <c r="G68" s="19" t="n">
        <v>0.1187815235989</v>
      </c>
      <c r="H68" s="19" t="n">
        <v>0.624718535564716</v>
      </c>
      <c r="I68" s="28" t="s">
        <v>1719</v>
      </c>
      <c r="J68" s="23" t="n">
        <v>569091</v>
      </c>
      <c r="K68" s="23" t="n">
        <v>30000</v>
      </c>
      <c r="L68" s="23" t="n">
        <v>11139141.2791154</v>
      </c>
      <c r="M68" s="23" t="n">
        <v>6037556.3506537</v>
      </c>
      <c r="N68" s="23" t="n">
        <v>9664442.47599605</v>
      </c>
      <c r="O68" s="23" t="n">
        <v>1323124.17271672</v>
      </c>
      <c r="P68" s="23" t="n">
        <v>0</v>
      </c>
      <c r="Q68" s="23" t="n">
        <v>1263279.68236643</v>
      </c>
      <c r="R68" s="23" t="n">
        <v>3218593.53491158</v>
      </c>
      <c r="S68" s="23" t="n">
        <v>15792.4751471528</v>
      </c>
      <c r="T68" s="23" t="n">
        <v>166294.025055239</v>
      </c>
      <c r="U68" s="23" t="n">
        <v>338984.444218737</v>
      </c>
      <c r="V68" s="23" t="n">
        <v>25480.7005334662</v>
      </c>
      <c r="W68" s="23" t="n">
        <v>13633.9337790764</v>
      </c>
      <c r="X68" s="19" t="n">
        <v>0.11744243469398</v>
      </c>
      <c r="Y68" s="19" t="n">
        <v>-0.220792019185596</v>
      </c>
      <c r="Z68" s="23" t="n">
        <v>53</v>
      </c>
      <c r="AA68" s="28" t="s">
        <v>1221</v>
      </c>
      <c r="AB68" s="28" t="s">
        <v>1870</v>
      </c>
    </row>
    <row r="69" customFormat="false" ht="15" hidden="false" customHeight="false" outlineLevel="0" collapsed="false">
      <c r="A69" s="28" t="s">
        <v>1873</v>
      </c>
      <c r="B69" s="28" t="s">
        <v>176</v>
      </c>
      <c r="C69" s="28" t="s">
        <v>1714</v>
      </c>
      <c r="D69" s="23" t="n">
        <v>329767.086481812</v>
      </c>
      <c r="E69" s="23" t="n">
        <v>74945.111338471</v>
      </c>
      <c r="F69" s="19" t="n">
        <v>0.00652574735080547</v>
      </c>
      <c r="G69" s="19" t="n">
        <v>0.118180893668515</v>
      </c>
      <c r="H69" s="19" t="n">
        <v>0.642399248835416</v>
      </c>
      <c r="I69" s="28" t="s">
        <v>1719</v>
      </c>
      <c r="J69" s="23" t="n">
        <v>606082</v>
      </c>
      <c r="K69" s="23" t="n">
        <v>30000</v>
      </c>
      <c r="L69" s="23" t="n">
        <v>11829909.5620027</v>
      </c>
      <c r="M69" s="23" t="n">
        <v>6580936.42221253</v>
      </c>
      <c r="N69" s="23" t="n">
        <v>10244309.0245558</v>
      </c>
      <c r="O69" s="23" t="n">
        <v>1398069.28405519</v>
      </c>
      <c r="P69" s="23" t="n">
        <v>0</v>
      </c>
      <c r="Q69" s="23" t="n">
        <v>1579452.37211883</v>
      </c>
      <c r="R69" s="23" t="n">
        <v>3003797.64857281</v>
      </c>
      <c r="S69" s="23" t="n">
        <v>43602.1688209028</v>
      </c>
      <c r="T69" s="23" t="n">
        <v>160017.232646717</v>
      </c>
      <c r="U69" s="23" t="n">
        <v>357065.24420858</v>
      </c>
      <c r="V69" s="23" t="n">
        <v>27773.9635814782</v>
      </c>
      <c r="W69" s="23" t="n">
        <v>29040.2789494327</v>
      </c>
      <c r="X69" s="19" t="n">
        <v>0.124312983986659</v>
      </c>
      <c r="Y69" s="19" t="n">
        <v>-0.197495493280781</v>
      </c>
      <c r="Z69" s="23" t="n">
        <v>55</v>
      </c>
      <c r="AA69" s="28" t="s">
        <v>1221</v>
      </c>
      <c r="AB69" s="28" t="s">
        <v>1870</v>
      </c>
    </row>
    <row r="70" customFormat="false" ht="15" hidden="false" customHeight="false" outlineLevel="0" collapsed="false">
      <c r="A70" s="28" t="s">
        <v>1873</v>
      </c>
      <c r="B70" s="28" t="s">
        <v>176</v>
      </c>
      <c r="C70" s="28" t="s">
        <v>1715</v>
      </c>
      <c r="D70" s="23" t="n">
        <v>340976.403268057</v>
      </c>
      <c r="E70" s="23" t="n">
        <v>72617.9984743079</v>
      </c>
      <c r="F70" s="19" t="n">
        <v>0.00595733191799972</v>
      </c>
      <c r="G70" s="19" t="n">
        <v>0.117191279335939</v>
      </c>
      <c r="H70" s="19" t="n">
        <v>0.660580359651513</v>
      </c>
      <c r="I70" s="28" t="s">
        <v>1719</v>
      </c>
      <c r="J70" s="23" t="n">
        <v>645477</v>
      </c>
      <c r="K70" s="23" t="n">
        <v>30000</v>
      </c>
      <c r="L70" s="23" t="n">
        <v>12549460.0866473</v>
      </c>
      <c r="M70" s="23" t="n">
        <v>7173220.70021166</v>
      </c>
      <c r="N70" s="23" t="n">
        <v>10858967.5660292</v>
      </c>
      <c r="O70" s="23" t="n">
        <v>1470687.2825295</v>
      </c>
      <c r="P70" s="23" t="n">
        <v>0</v>
      </c>
      <c r="Q70" s="23" t="n">
        <v>1833296.2312055</v>
      </c>
      <c r="R70" s="23" t="n">
        <v>2834834.03084059</v>
      </c>
      <c r="S70" s="23" t="n">
        <v>67240.4084435903</v>
      </c>
      <c r="T70" s="23" t="n">
        <v>167730.895708029</v>
      </c>
      <c r="U70" s="23" t="n">
        <v>375815.680197966</v>
      </c>
      <c r="V70" s="23" t="n">
        <v>30273.6203038112</v>
      </c>
      <c r="W70" s="23" t="n">
        <v>30927.8970811459</v>
      </c>
      <c r="X70" s="19" t="n">
        <v>0.128814576969676</v>
      </c>
      <c r="Y70" s="19" t="n">
        <v>-0.182297006959858</v>
      </c>
      <c r="Z70" s="23" t="n">
        <v>57</v>
      </c>
      <c r="AA70" s="28" t="s">
        <v>1221</v>
      </c>
      <c r="AB70" s="28" t="s">
        <v>1870</v>
      </c>
    </row>
    <row r="71" customFormat="false" ht="15" hidden="false" customHeight="false" outlineLevel="0" collapsed="false">
      <c r="A71" s="28" t="s">
        <v>1873</v>
      </c>
      <c r="B71" s="28" t="s">
        <v>176</v>
      </c>
      <c r="C71" s="28" t="s">
        <v>1716</v>
      </c>
      <c r="D71" s="23" t="n">
        <v>354333.71498114</v>
      </c>
      <c r="E71" s="23" t="n">
        <v>71887.549502536</v>
      </c>
      <c r="F71" s="19" t="n">
        <v>0.0055615568301713</v>
      </c>
      <c r="G71" s="19" t="n">
        <v>0.115964480155582</v>
      </c>
      <c r="H71" s="19" t="n">
        <v>0.679276030207688</v>
      </c>
      <c r="I71" s="28" t="s">
        <v>1719</v>
      </c>
      <c r="J71" s="23" t="n">
        <v>687433</v>
      </c>
      <c r="K71" s="23" t="n">
        <v>30000</v>
      </c>
      <c r="L71" s="23" t="n">
        <v>13302132.0835695</v>
      </c>
      <c r="M71" s="23" t="n">
        <v>7818810.56323071</v>
      </c>
      <c r="N71" s="23" t="n">
        <v>11510505.6199909</v>
      </c>
      <c r="O71" s="23" t="n">
        <v>1542574.83203203</v>
      </c>
      <c r="P71" s="23" t="n">
        <v>0</v>
      </c>
      <c r="Q71" s="23" t="n">
        <v>2060435.07702584</v>
      </c>
      <c r="R71" s="23" t="n">
        <v>2675374.6166058</v>
      </c>
      <c r="S71" s="23" t="n">
        <v>87332.9121228746</v>
      </c>
      <c r="T71" s="23" t="n">
        <v>175817.966459425</v>
      </c>
      <c r="U71" s="23" t="n">
        <v>395265.885806875</v>
      </c>
      <c r="V71" s="23" t="n">
        <v>32998.2461311542</v>
      </c>
      <c r="W71" s="23" t="n">
        <v>32938.2103914203</v>
      </c>
      <c r="X71" s="19" t="n">
        <v>0.131777555829896</v>
      </c>
      <c r="Y71" s="19" t="n">
        <v>-0.171316672464422</v>
      </c>
      <c r="Z71" s="23" t="n">
        <v>59</v>
      </c>
      <c r="AA71" s="28" t="s">
        <v>1221</v>
      </c>
      <c r="AB71" s="28" t="s">
        <v>1870</v>
      </c>
    </row>
    <row r="72" customFormat="false" ht="15" hidden="false" customHeight="false" outlineLevel="0" collapsed="false">
      <c r="A72" s="28" t="s">
        <v>1873</v>
      </c>
      <c r="B72" s="28" t="s">
        <v>184</v>
      </c>
      <c r="C72" s="28" t="s">
        <v>1515</v>
      </c>
      <c r="D72" s="23" t="n">
        <v>330419.26865849</v>
      </c>
      <c r="E72" s="23" t="n">
        <v>144428.897738766</v>
      </c>
      <c r="F72" s="19" t="n">
        <v>0.014693848090632</v>
      </c>
      <c r="G72" s="19" t="n">
        <v>0.124325286992141</v>
      </c>
      <c r="H72" s="19" t="n">
        <v>0.607524447429908</v>
      </c>
      <c r="I72" s="28" t="s">
        <v>1871</v>
      </c>
      <c r="J72" s="23" t="n">
        <v>534357</v>
      </c>
      <c r="K72" s="23" t="n">
        <v>16000</v>
      </c>
      <c r="L72" s="23" t="n">
        <v>10064621.3896765</v>
      </c>
      <c r="M72" s="23" t="n">
        <v>5539042.5235355</v>
      </c>
      <c r="N72" s="23" t="n">
        <v>9117398.56226043</v>
      </c>
      <c r="O72" s="23" t="n">
        <v>1251286.94273877</v>
      </c>
      <c r="P72" s="23" t="n">
        <v>0</v>
      </c>
      <c r="Q72" s="23" t="n">
        <v>925299.860462165</v>
      </c>
      <c r="R72" s="23" t="n">
        <v>3446191.82507188</v>
      </c>
      <c r="S72" s="23" t="n">
        <v>-432160.488205218</v>
      </c>
      <c r="T72" s="23" t="n">
        <v>164297.34581336</v>
      </c>
      <c r="U72" s="23" t="n">
        <v>310356.074</v>
      </c>
      <c r="V72" s="23" t="n">
        <v>23931.6427330839</v>
      </c>
      <c r="W72" s="23" t="n">
        <v>0</v>
      </c>
      <c r="X72" s="19" t="n">
        <v>-0.00303513351999711</v>
      </c>
      <c r="Y72" s="19" t="n">
        <v>-1.07964405470821</v>
      </c>
      <c r="Z72" s="23" t="n">
        <v>51</v>
      </c>
      <c r="AA72" s="28" t="s">
        <v>1221</v>
      </c>
      <c r="AB72" s="28" t="s">
        <v>1870</v>
      </c>
    </row>
    <row r="73" customFormat="false" ht="15" hidden="false" customHeight="false" outlineLevel="0" collapsed="false">
      <c r="A73" s="28" t="s">
        <v>1873</v>
      </c>
      <c r="B73" s="28" t="s">
        <v>184</v>
      </c>
      <c r="C73" s="28" t="s">
        <v>1713</v>
      </c>
      <c r="D73" s="23" t="n">
        <v>351735.72046215</v>
      </c>
      <c r="E73" s="23" t="n">
        <v>117084.600765186</v>
      </c>
      <c r="F73" s="19" t="n">
        <v>0.011229931193158</v>
      </c>
      <c r="G73" s="19" t="n">
        <v>0.126846508607248</v>
      </c>
      <c r="H73" s="19" t="n">
        <v>0.624718535564716</v>
      </c>
      <c r="I73" s="28" t="s">
        <v>1871</v>
      </c>
      <c r="J73" s="23" t="n">
        <v>569091</v>
      </c>
      <c r="K73" s="23" t="n">
        <v>30000</v>
      </c>
      <c r="L73" s="23" t="n">
        <v>10787616.9279583</v>
      </c>
      <c r="M73" s="23" t="n">
        <v>6037556.3506537</v>
      </c>
      <c r="N73" s="23" t="n">
        <v>9664442.47599605</v>
      </c>
      <c r="O73" s="23" t="n">
        <v>1368371.54350395</v>
      </c>
      <c r="P73" s="23" t="n">
        <v>0</v>
      </c>
      <c r="Q73" s="23" t="n">
        <v>1308527.05315366</v>
      </c>
      <c r="R73" s="23" t="n">
        <v>3218593.53491158</v>
      </c>
      <c r="S73" s="23" t="n">
        <v>-380979.246797153</v>
      </c>
      <c r="T73" s="23" t="n">
        <v>159814.025055239</v>
      </c>
      <c r="U73" s="23" t="n">
        <v>338984.444218737</v>
      </c>
      <c r="V73" s="23" t="n">
        <v>25480.7005334662</v>
      </c>
      <c r="W73" s="23" t="n">
        <v>13633.9337790764</v>
      </c>
      <c r="X73" s="19" t="n">
        <v>0.0204918743785632</v>
      </c>
      <c r="Y73" s="19" t="n">
        <v>-0.643154341515808</v>
      </c>
      <c r="Z73" s="23" t="n">
        <v>53</v>
      </c>
      <c r="AA73" s="28" t="s">
        <v>1221</v>
      </c>
      <c r="AB73" s="28" t="s">
        <v>1870</v>
      </c>
    </row>
    <row r="74" customFormat="false" ht="15" hidden="false" customHeight="false" outlineLevel="0" collapsed="false">
      <c r="A74" s="28" t="s">
        <v>1873</v>
      </c>
      <c r="B74" s="28" t="s">
        <v>184</v>
      </c>
      <c r="C74" s="28" t="s">
        <v>1714</v>
      </c>
      <c r="D74" s="23" t="n">
        <v>396962.45450519</v>
      </c>
      <c r="E74" s="23" t="n">
        <v>135660.479361849</v>
      </c>
      <c r="F74" s="19" t="n">
        <v>0.0121522995326443</v>
      </c>
      <c r="G74" s="19" t="n">
        <v>0.130342223172928</v>
      </c>
      <c r="H74" s="19" t="n">
        <v>0.642399248835416</v>
      </c>
      <c r="I74" s="28" t="s">
        <v>1871</v>
      </c>
      <c r="J74" s="23" t="n">
        <v>606082</v>
      </c>
      <c r="K74" s="23" t="n">
        <v>30000</v>
      </c>
      <c r="L74" s="23" t="n">
        <v>11539100.578869</v>
      </c>
      <c r="M74" s="23" t="n">
        <v>6580936.42221253</v>
      </c>
      <c r="N74" s="23" t="n">
        <v>10244309.0245558</v>
      </c>
      <c r="O74" s="23" t="n">
        <v>1504032.0228658</v>
      </c>
      <c r="P74" s="23" t="n">
        <v>0</v>
      </c>
      <c r="Q74" s="23" t="n">
        <v>1685415.11092945</v>
      </c>
      <c r="R74" s="23" t="n">
        <v>3003797.64857281</v>
      </c>
      <c r="S74" s="23" t="n">
        <v>-353169.553123403</v>
      </c>
      <c r="T74" s="23" t="n">
        <v>153537.232646717</v>
      </c>
      <c r="U74" s="23" t="n">
        <v>357065.24420858</v>
      </c>
      <c r="V74" s="23" t="n">
        <v>27773.9635814782</v>
      </c>
      <c r="W74" s="23" t="n">
        <v>29040.2789494327</v>
      </c>
      <c r="X74" s="19" t="n">
        <v>0.0369684614337678</v>
      </c>
      <c r="Y74" s="19" t="n">
        <v>-0.47646406298072</v>
      </c>
      <c r="Z74" s="23" t="n">
        <v>55</v>
      </c>
      <c r="AA74" s="28" t="s">
        <v>1221</v>
      </c>
      <c r="AB74" s="28" t="s">
        <v>1870</v>
      </c>
    </row>
    <row r="75" customFormat="false" ht="15" hidden="false" customHeight="false" outlineLevel="0" collapsed="false">
      <c r="A75" s="28" t="s">
        <v>1873</v>
      </c>
      <c r="B75" s="28" t="s">
        <v>184</v>
      </c>
      <c r="C75" s="28" t="s">
        <v>1715</v>
      </c>
      <c r="D75" s="23" t="n">
        <v>437808.029248106</v>
      </c>
      <c r="E75" s="23" t="n">
        <v>162969.624454358</v>
      </c>
      <c r="F75" s="19" t="n">
        <v>0.013644417252441</v>
      </c>
      <c r="G75" s="19" t="n">
        <v>0.13499079106516</v>
      </c>
      <c r="H75" s="19" t="n">
        <v>0.660580359651513</v>
      </c>
      <c r="I75" s="28" t="s">
        <v>1869</v>
      </c>
      <c r="J75" s="23" t="n">
        <v>645477</v>
      </c>
      <c r="K75" s="23" t="n">
        <v>30000</v>
      </c>
      <c r="L75" s="23" t="n">
        <v>12349002.7294936</v>
      </c>
      <c r="M75" s="23" t="n">
        <v>7173220.70021166</v>
      </c>
      <c r="N75" s="23" t="n">
        <v>10858967.5660292</v>
      </c>
      <c r="O75" s="23" t="n">
        <v>1667001.64732016</v>
      </c>
      <c r="P75" s="23" t="n">
        <v>0</v>
      </c>
      <c r="Q75" s="23" t="n">
        <v>2029610.59599617</v>
      </c>
      <c r="R75" s="23" t="n">
        <v>2834834.03084059</v>
      </c>
      <c r="S75" s="23" t="n">
        <v>-329531.313500715</v>
      </c>
      <c r="T75" s="23" t="n">
        <v>161250.895708029</v>
      </c>
      <c r="U75" s="23" t="n">
        <v>375815.680197966</v>
      </c>
      <c r="V75" s="23" t="n">
        <v>30273.6203038112</v>
      </c>
      <c r="W75" s="23" t="n">
        <v>30927.8970811459</v>
      </c>
      <c r="X75" s="19" t="n">
        <v>0.0518995978513735</v>
      </c>
      <c r="Y75" s="19" t="n">
        <v>-0.375850711676463</v>
      </c>
      <c r="Z75" s="23" t="n">
        <v>57</v>
      </c>
      <c r="AA75" s="28" t="s">
        <v>1221</v>
      </c>
      <c r="AB75" s="28" t="s">
        <v>1870</v>
      </c>
    </row>
    <row r="76" customFormat="false" ht="15" hidden="false" customHeight="false" outlineLevel="0" collapsed="false">
      <c r="A76" s="28" t="s">
        <v>1873</v>
      </c>
      <c r="B76" s="28" t="s">
        <v>184</v>
      </c>
      <c r="C76" s="28" t="s">
        <v>1716</v>
      </c>
      <c r="D76" s="23" t="n">
        <v>484433.188407418</v>
      </c>
      <c r="E76" s="23" t="n">
        <v>195507.022928813</v>
      </c>
      <c r="F76" s="19" t="n">
        <v>0.0152893370612704</v>
      </c>
      <c r="G76" s="19" t="n">
        <v>0.140829280778586</v>
      </c>
      <c r="H76" s="19" t="n">
        <v>0.679276030207688</v>
      </c>
      <c r="I76" s="28" t="s">
        <v>1869</v>
      </c>
      <c r="J76" s="23" t="n">
        <v>687433</v>
      </c>
      <c r="K76" s="23" t="n">
        <v>30000</v>
      </c>
      <c r="L76" s="23" t="n">
        <v>13225294.1998422</v>
      </c>
      <c r="M76" s="23" t="n">
        <v>7818810.56323071</v>
      </c>
      <c r="N76" s="23" t="n">
        <v>11510505.6199909</v>
      </c>
      <c r="O76" s="23" t="n">
        <v>1862508.67024897</v>
      </c>
      <c r="P76" s="23" t="n">
        <v>0</v>
      </c>
      <c r="Q76" s="23" t="n">
        <v>2380368.91524278</v>
      </c>
      <c r="R76" s="23" t="n">
        <v>2675374.6166058</v>
      </c>
      <c r="S76" s="23" t="n">
        <v>-309438.809821431</v>
      </c>
      <c r="T76" s="23" t="n">
        <v>169337.966459425</v>
      </c>
      <c r="U76" s="23" t="n">
        <v>395265.885806875</v>
      </c>
      <c r="V76" s="23" t="n">
        <v>32998.2461311542</v>
      </c>
      <c r="W76" s="23" t="n">
        <v>32938.2103914203</v>
      </c>
      <c r="X76" s="19" t="n">
        <v>0.0662081764840989</v>
      </c>
      <c r="Y76" s="19" t="n">
        <v>-0.306781614854059</v>
      </c>
      <c r="Z76" s="23" t="n">
        <v>59</v>
      </c>
      <c r="AA76" s="28" t="s">
        <v>1221</v>
      </c>
      <c r="AB76" s="28" t="s">
        <v>1870</v>
      </c>
    </row>
    <row r="77" customFormat="false" ht="15" hidden="false" customHeight="false" outlineLevel="0" collapsed="false">
      <c r="A77" s="28" t="s">
        <v>1873</v>
      </c>
      <c r="B77" s="28" t="s">
        <v>186</v>
      </c>
      <c r="C77" s="28" t="s">
        <v>1515</v>
      </c>
      <c r="D77" s="23" t="n">
        <v>334607.599930334</v>
      </c>
      <c r="E77" s="23" t="n">
        <v>148212.22901061</v>
      </c>
      <c r="F77" s="19" t="n">
        <v>0.0151277020031962</v>
      </c>
      <c r="G77" s="19" t="n">
        <v>0.125894634439542</v>
      </c>
      <c r="H77" s="19" t="n">
        <v>0.607524447429908</v>
      </c>
      <c r="I77" s="28" t="s">
        <v>1871</v>
      </c>
      <c r="J77" s="23" t="n">
        <v>534357</v>
      </c>
      <c r="K77" s="23" t="n">
        <v>16000</v>
      </c>
      <c r="L77" s="23" t="n">
        <v>9969211.79046222</v>
      </c>
      <c r="M77" s="23" t="n">
        <v>5539042.5235355</v>
      </c>
      <c r="N77" s="23" t="n">
        <v>9117398.56226043</v>
      </c>
      <c r="O77" s="23" t="n">
        <v>1255070.27401061</v>
      </c>
      <c r="P77" s="23" t="n">
        <v>0</v>
      </c>
      <c r="Q77" s="23" t="n">
        <v>929083.19173401</v>
      </c>
      <c r="R77" s="23" t="n">
        <v>3446191.82507188</v>
      </c>
      <c r="S77" s="23" t="n">
        <v>-531353.418691295</v>
      </c>
      <c r="T77" s="23" t="n">
        <v>163892.34581336</v>
      </c>
      <c r="U77" s="23" t="n">
        <v>310356.074</v>
      </c>
      <c r="V77" s="23" t="n">
        <v>23931.6427330839</v>
      </c>
      <c r="W77" s="23" t="n">
        <v>0</v>
      </c>
      <c r="X77" s="19" t="n">
        <v>-0.0336937949547101</v>
      </c>
      <c r="Y77" s="19" t="n">
        <v>-4.86948565918163</v>
      </c>
      <c r="Z77" s="23" t="n">
        <v>51</v>
      </c>
      <c r="AA77" s="28" t="s">
        <v>1221</v>
      </c>
      <c r="AB77" s="28" t="s">
        <v>1870</v>
      </c>
    </row>
    <row r="78" customFormat="false" ht="15" hidden="false" customHeight="false" outlineLevel="0" collapsed="false">
      <c r="A78" s="28" t="s">
        <v>1873</v>
      </c>
      <c r="B78" s="28" t="s">
        <v>186</v>
      </c>
      <c r="C78" s="28" t="s">
        <v>1713</v>
      </c>
      <c r="D78" s="23" t="n">
        <v>351517.566820998</v>
      </c>
      <c r="E78" s="23" t="n">
        <v>129690.380903111</v>
      </c>
      <c r="F78" s="19" t="n">
        <v>0.0125462150243637</v>
      </c>
      <c r="G78" s="19" t="n">
        <v>0.129358695086863</v>
      </c>
      <c r="H78" s="19" t="n">
        <v>0.624718535564716</v>
      </c>
      <c r="I78" s="28" t="s">
        <v>1871</v>
      </c>
      <c r="J78" s="23" t="n">
        <v>569091</v>
      </c>
      <c r="K78" s="23" t="n">
        <v>30000</v>
      </c>
      <c r="L78" s="23" t="n">
        <v>10704813.108882</v>
      </c>
      <c r="M78" s="23" t="n">
        <v>6037556.3506537</v>
      </c>
      <c r="N78" s="23" t="n">
        <v>9664442.47599605</v>
      </c>
      <c r="O78" s="23" t="n">
        <v>1384760.65491372</v>
      </c>
      <c r="P78" s="23" t="n">
        <v>0</v>
      </c>
      <c r="Q78" s="23" t="n">
        <v>1324916.16456343</v>
      </c>
      <c r="R78" s="23" t="n">
        <v>3218593.53491158</v>
      </c>
      <c r="S78" s="23" t="n">
        <v>-480172.177283229</v>
      </c>
      <c r="T78" s="23" t="n">
        <v>172637.958834316</v>
      </c>
      <c r="U78" s="23" t="n">
        <v>338984.444218737</v>
      </c>
      <c r="V78" s="23" t="n">
        <v>25480.7005334662</v>
      </c>
      <c r="W78" s="23" t="n">
        <v>0</v>
      </c>
      <c r="X78" s="19" t="n">
        <v>-0.00661791481530554</v>
      </c>
      <c r="Y78" s="19" t="n">
        <v>-1.21118284437016</v>
      </c>
      <c r="Z78" s="23" t="n">
        <v>53</v>
      </c>
      <c r="AA78" s="28" t="s">
        <v>1221</v>
      </c>
      <c r="AB78" s="28" t="s">
        <v>1870</v>
      </c>
    </row>
    <row r="79" customFormat="false" ht="15" hidden="false" customHeight="false" outlineLevel="0" collapsed="false">
      <c r="A79" s="28" t="s">
        <v>1873</v>
      </c>
      <c r="B79" s="28" t="s">
        <v>186</v>
      </c>
      <c r="C79" s="28" t="s">
        <v>1714</v>
      </c>
      <c r="D79" s="23" t="n">
        <v>406343.086221859</v>
      </c>
      <c r="E79" s="23" t="n">
        <v>158751.250553234</v>
      </c>
      <c r="F79" s="19" t="n">
        <v>0.0143121001410302</v>
      </c>
      <c r="G79" s="19" t="n">
        <v>0.134459430113397</v>
      </c>
      <c r="H79" s="19" t="n">
        <v>0.642399248835416</v>
      </c>
      <c r="I79" s="28" t="s">
        <v>1871</v>
      </c>
      <c r="J79" s="23" t="n">
        <v>606082</v>
      </c>
      <c r="K79" s="23" t="n">
        <v>30000</v>
      </c>
      <c r="L79" s="23" t="n">
        <v>11479387.5309841</v>
      </c>
      <c r="M79" s="23" t="n">
        <v>6580936.42221253</v>
      </c>
      <c r="N79" s="23" t="n">
        <v>10244309.0245558</v>
      </c>
      <c r="O79" s="23" t="n">
        <v>1543511.90546696</v>
      </c>
      <c r="P79" s="23" t="n">
        <v>0</v>
      </c>
      <c r="Q79" s="23" t="n">
        <v>1724894.9935306</v>
      </c>
      <c r="R79" s="23" t="n">
        <v>3003797.64857281</v>
      </c>
      <c r="S79" s="23" t="n">
        <v>-452362.483609479</v>
      </c>
      <c r="T79" s="23" t="n">
        <v>167247.372121434</v>
      </c>
      <c r="U79" s="23" t="n">
        <v>357065.24420858</v>
      </c>
      <c r="V79" s="23" t="n">
        <v>27773.9635814782</v>
      </c>
      <c r="W79" s="23" t="n">
        <v>14520.1394747164</v>
      </c>
      <c r="X79" s="19" t="n">
        <v>0.0136153059536477</v>
      </c>
      <c r="Y79" s="19" t="n">
        <v>-0.71679444716983</v>
      </c>
      <c r="Z79" s="23" t="n">
        <v>55</v>
      </c>
      <c r="AA79" s="28" t="s">
        <v>1221</v>
      </c>
      <c r="AB79" s="28" t="s">
        <v>1870</v>
      </c>
    </row>
    <row r="80" customFormat="false" ht="15" hidden="false" customHeight="false" outlineLevel="0" collapsed="false">
      <c r="A80" s="28" t="s">
        <v>1873</v>
      </c>
      <c r="B80" s="28" t="s">
        <v>186</v>
      </c>
      <c r="C80" s="28" t="s">
        <v>1715</v>
      </c>
      <c r="D80" s="23" t="n">
        <v>456856.239688015</v>
      </c>
      <c r="E80" s="23" t="n">
        <v>181207.834894266</v>
      </c>
      <c r="F80" s="19" t="n">
        <v>0.0152359254381343</v>
      </c>
      <c r="G80" s="19" t="n">
        <v>0.140135350940419</v>
      </c>
      <c r="H80" s="19" t="n">
        <v>0.660580359651513</v>
      </c>
      <c r="I80" s="28" t="s">
        <v>1871</v>
      </c>
      <c r="J80" s="23" t="n">
        <v>645477</v>
      </c>
      <c r="K80" s="23" t="n">
        <v>30000</v>
      </c>
      <c r="L80" s="23" t="n">
        <v>12307527.8920486</v>
      </c>
      <c r="M80" s="23" t="n">
        <v>7173220.70021166</v>
      </c>
      <c r="N80" s="23" t="n">
        <v>10858967.5660292</v>
      </c>
      <c r="O80" s="23" t="n">
        <v>1724719.74036122</v>
      </c>
      <c r="P80" s="23" t="n">
        <v>0</v>
      </c>
      <c r="Q80" s="23" t="n">
        <v>2087328.68903723</v>
      </c>
      <c r="R80" s="23" t="n">
        <v>2834834.03084059</v>
      </c>
      <c r="S80" s="23" t="n">
        <v>-428724.243986792</v>
      </c>
      <c r="T80" s="23" t="n">
        <v>160440.895708029</v>
      </c>
      <c r="U80" s="23" t="n">
        <v>375815.680197966</v>
      </c>
      <c r="V80" s="23" t="n">
        <v>30273.6203038112</v>
      </c>
      <c r="W80" s="23" t="n">
        <v>30927.8970811459</v>
      </c>
      <c r="X80" s="19" t="n">
        <v>0.0312722245104942</v>
      </c>
      <c r="Y80" s="19" t="n">
        <v>-0.505226195898765</v>
      </c>
      <c r="Z80" s="23" t="n">
        <v>57</v>
      </c>
      <c r="AA80" s="28" t="s">
        <v>1221</v>
      </c>
      <c r="AB80" s="28" t="s">
        <v>1870</v>
      </c>
    </row>
    <row r="81" customFormat="false" ht="15" hidden="false" customHeight="false" outlineLevel="0" collapsed="false">
      <c r="A81" s="28" t="s">
        <v>1873</v>
      </c>
      <c r="B81" s="28" t="s">
        <v>186</v>
      </c>
      <c r="C81" s="28" t="s">
        <v>1716</v>
      </c>
      <c r="D81" s="23" t="n">
        <v>513623.937123469</v>
      </c>
      <c r="E81" s="23" t="n">
        <v>223887.771644865</v>
      </c>
      <c r="F81" s="19" t="n">
        <v>0.0175462506196873</v>
      </c>
      <c r="G81" s="19" t="n">
        <v>0.147485467644942</v>
      </c>
      <c r="H81" s="19" t="n">
        <v>0.679276030207688</v>
      </c>
      <c r="I81" s="28" t="s">
        <v>1869</v>
      </c>
      <c r="J81" s="23" t="n">
        <v>687433</v>
      </c>
      <c r="K81" s="23" t="n">
        <v>30000</v>
      </c>
      <c r="L81" s="23" t="n">
        <v>13212200.1111132</v>
      </c>
      <c r="M81" s="23" t="n">
        <v>7818810.56323071</v>
      </c>
      <c r="N81" s="23" t="n">
        <v>11510505.6199909</v>
      </c>
      <c r="O81" s="23" t="n">
        <v>1948607.51200609</v>
      </c>
      <c r="P81" s="23" t="n">
        <v>0</v>
      </c>
      <c r="Q81" s="23" t="n">
        <v>2466467.7569999</v>
      </c>
      <c r="R81" s="23" t="n">
        <v>2675374.6166058</v>
      </c>
      <c r="S81" s="23" t="n">
        <v>-408631.740307507</v>
      </c>
      <c r="T81" s="23" t="n">
        <v>168527.966459425</v>
      </c>
      <c r="U81" s="23" t="n">
        <v>395265.885806875</v>
      </c>
      <c r="V81" s="23" t="n">
        <v>32998.2461311542</v>
      </c>
      <c r="W81" s="23" t="n">
        <v>32938.2103914203</v>
      </c>
      <c r="X81" s="19" t="n">
        <v>0.0487350957128513</v>
      </c>
      <c r="Y81" s="19" t="n">
        <v>-0.379831001769014</v>
      </c>
      <c r="Z81" s="23" t="n">
        <v>59</v>
      </c>
      <c r="AA81" s="28" t="s">
        <v>1221</v>
      </c>
      <c r="AB81" s="28" t="s">
        <v>1870</v>
      </c>
    </row>
    <row r="82" customFormat="false" ht="15" hidden="false" customHeight="false" outlineLevel="0" collapsed="false">
      <c r="A82" s="28" t="s">
        <v>1873</v>
      </c>
      <c r="B82" s="28" t="s">
        <v>210</v>
      </c>
      <c r="C82" s="28" t="s">
        <v>1515</v>
      </c>
      <c r="D82" s="23" t="n">
        <v>323593.804170802</v>
      </c>
      <c r="E82" s="23" t="n">
        <v>138625.833251078</v>
      </c>
      <c r="F82" s="19" t="n">
        <v>0.0140686498593868</v>
      </c>
      <c r="G82" s="19" t="n">
        <v>0.122858115605875</v>
      </c>
      <c r="H82" s="19" t="n">
        <v>0.607524447429908</v>
      </c>
      <c r="I82" s="28" t="s">
        <v>1871</v>
      </c>
      <c r="J82" s="23" t="n">
        <v>534357</v>
      </c>
      <c r="K82" s="23" t="n">
        <v>16000</v>
      </c>
      <c r="L82" s="23" t="n">
        <v>10137579.2076004</v>
      </c>
      <c r="M82" s="23" t="n">
        <v>5539042.5235355</v>
      </c>
      <c r="N82" s="23" t="n">
        <v>9117398.56226043</v>
      </c>
      <c r="O82" s="23" t="n">
        <v>1245483.87825108</v>
      </c>
      <c r="P82" s="23" t="n">
        <v>0</v>
      </c>
      <c r="Q82" s="23" t="n">
        <v>919496.795974476</v>
      </c>
      <c r="R82" s="23" t="n">
        <v>3446191.82507188</v>
      </c>
      <c r="S82" s="23" t="n">
        <v>-353399.605793624</v>
      </c>
      <c r="T82" s="23" t="n">
        <v>165319.74581336</v>
      </c>
      <c r="U82" s="23" t="n">
        <v>310356.074</v>
      </c>
      <c r="V82" s="23" t="n">
        <v>23931.6427330839</v>
      </c>
      <c r="W82" s="23" t="n">
        <v>0</v>
      </c>
      <c r="X82" s="19" t="n">
        <v>0.019738582292932</v>
      </c>
      <c r="Y82" s="19" t="n">
        <v>-0.670740199892918</v>
      </c>
      <c r="Z82" s="23" t="n">
        <v>51</v>
      </c>
      <c r="AA82" s="28" t="s">
        <v>1221</v>
      </c>
      <c r="AB82" s="28" t="s">
        <v>1870</v>
      </c>
    </row>
    <row r="83" customFormat="false" ht="15" hidden="false" customHeight="false" outlineLevel="0" collapsed="false">
      <c r="A83" s="28" t="s">
        <v>1873</v>
      </c>
      <c r="B83" s="28" t="s">
        <v>210</v>
      </c>
      <c r="C83" s="28" t="s">
        <v>1713</v>
      </c>
      <c r="D83" s="23" t="n">
        <v>354369.242312509</v>
      </c>
      <c r="E83" s="23" t="n">
        <v>120946.172615545</v>
      </c>
      <c r="F83" s="19" t="n">
        <v>0.0115262413365044</v>
      </c>
      <c r="G83" s="19" t="n">
        <v>0.125953922562336</v>
      </c>
      <c r="H83" s="19" t="n">
        <v>0.624718535564716</v>
      </c>
      <c r="I83" s="28" t="s">
        <v>1871</v>
      </c>
      <c r="J83" s="23" t="n">
        <v>569091</v>
      </c>
      <c r="K83" s="23" t="n">
        <v>30000</v>
      </c>
      <c r="L83" s="23" t="n">
        <v>10848650.2291372</v>
      </c>
      <c r="M83" s="23" t="n">
        <v>6037556.3506537</v>
      </c>
      <c r="N83" s="23" t="n">
        <v>9664442.47599605</v>
      </c>
      <c r="O83" s="23" t="n">
        <v>1366430.05086662</v>
      </c>
      <c r="P83" s="23" t="n">
        <v>0</v>
      </c>
      <c r="Q83" s="23" t="n">
        <v>1306585.56051633</v>
      </c>
      <c r="R83" s="23" t="n">
        <v>3218593.53491158</v>
      </c>
      <c r="S83" s="23" t="n">
        <v>-318004.452980864</v>
      </c>
      <c r="T83" s="23" t="n">
        <v>161042.075055239</v>
      </c>
      <c r="U83" s="23" t="n">
        <v>338984.444218737</v>
      </c>
      <c r="V83" s="23" t="n">
        <v>25480.7005334662</v>
      </c>
      <c r="W83" s="23" t="n">
        <v>13633.9337790764</v>
      </c>
      <c r="X83" s="19" t="n">
        <v>0.0377956682855156</v>
      </c>
      <c r="Y83" s="19" t="n">
        <v>-0.489774681785515</v>
      </c>
      <c r="Z83" s="23" t="n">
        <v>53</v>
      </c>
      <c r="AA83" s="28" t="s">
        <v>1221</v>
      </c>
      <c r="AB83" s="28" t="s">
        <v>1870</v>
      </c>
    </row>
    <row r="84" customFormat="false" ht="15" hidden="false" customHeight="false" outlineLevel="0" collapsed="false">
      <c r="A84" s="28" t="s">
        <v>1873</v>
      </c>
      <c r="B84" s="28" t="s">
        <v>210</v>
      </c>
      <c r="C84" s="28" t="s">
        <v>1714</v>
      </c>
      <c r="D84" s="23" t="n">
        <v>392557.156933087</v>
      </c>
      <c r="E84" s="23" t="n">
        <v>132372.981789746</v>
      </c>
      <c r="F84" s="19" t="n">
        <v>0.0117950593012282</v>
      </c>
      <c r="G84" s="19" t="n">
        <v>0.12924229426038</v>
      </c>
      <c r="H84" s="19" t="n">
        <v>0.642399248835416</v>
      </c>
      <c r="I84" s="28" t="s">
        <v>1869</v>
      </c>
      <c r="J84" s="23" t="n">
        <v>606082</v>
      </c>
      <c r="K84" s="23" t="n">
        <v>30000</v>
      </c>
      <c r="L84" s="23" t="n">
        <v>11596846.3824758</v>
      </c>
      <c r="M84" s="23" t="n">
        <v>6580936.42221253</v>
      </c>
      <c r="N84" s="23" t="n">
        <v>10244309.0245558</v>
      </c>
      <c r="O84" s="23" t="n">
        <v>1498803.03265637</v>
      </c>
      <c r="P84" s="23" t="n">
        <v>0</v>
      </c>
      <c r="Q84" s="23" t="n">
        <v>1680186.12072002</v>
      </c>
      <c r="R84" s="23" t="n">
        <v>3003797.64857281</v>
      </c>
      <c r="S84" s="23" t="n">
        <v>-290194.759307114</v>
      </c>
      <c r="T84" s="23" t="n">
        <v>154655.032646717</v>
      </c>
      <c r="U84" s="23" t="n">
        <v>357065.24420858</v>
      </c>
      <c r="V84" s="23" t="n">
        <v>27773.9635814782</v>
      </c>
      <c r="W84" s="23" t="n">
        <v>29040.2789494327</v>
      </c>
      <c r="X84" s="19" t="n">
        <v>0.0530249435435277</v>
      </c>
      <c r="Y84" s="19" t="n">
        <v>-0.384208562346007</v>
      </c>
      <c r="Z84" s="23" t="n">
        <v>55</v>
      </c>
      <c r="AA84" s="28" t="s">
        <v>1221</v>
      </c>
      <c r="AB84" s="28" t="s">
        <v>1870</v>
      </c>
    </row>
    <row r="85" customFormat="false" ht="15" hidden="false" customHeight="false" outlineLevel="0" collapsed="false">
      <c r="A85" s="28" t="s">
        <v>1873</v>
      </c>
      <c r="B85" s="28" t="s">
        <v>210</v>
      </c>
      <c r="C85" s="28" t="s">
        <v>1715</v>
      </c>
      <c r="D85" s="23" t="n">
        <v>430050.343364449</v>
      </c>
      <c r="E85" s="23" t="n">
        <v>156329.738570701</v>
      </c>
      <c r="F85" s="19" t="n">
        <v>0.0130291312691353</v>
      </c>
      <c r="G85" s="19" t="n">
        <v>0.133477279781622</v>
      </c>
      <c r="H85" s="19" t="n">
        <v>0.660580359651513</v>
      </c>
      <c r="I85" s="28" t="s">
        <v>1869</v>
      </c>
      <c r="J85" s="23" t="n">
        <v>645477</v>
      </c>
      <c r="K85" s="23" t="n">
        <v>30000</v>
      </c>
      <c r="L85" s="23" t="n">
        <v>12400108.6472168</v>
      </c>
      <c r="M85" s="23" t="n">
        <v>7173220.70021166</v>
      </c>
      <c r="N85" s="23" t="n">
        <v>10858967.5660292</v>
      </c>
      <c r="O85" s="23" t="n">
        <v>1655132.77122707</v>
      </c>
      <c r="P85" s="23" t="n">
        <v>0</v>
      </c>
      <c r="Q85" s="23" t="n">
        <v>2017741.71990308</v>
      </c>
      <c r="R85" s="23" t="n">
        <v>2834834.03084059</v>
      </c>
      <c r="S85" s="23" t="n">
        <v>-266556.519684427</v>
      </c>
      <c r="T85" s="23" t="n">
        <v>162368.695708029</v>
      </c>
      <c r="U85" s="23" t="n">
        <v>375815.680197966</v>
      </c>
      <c r="V85" s="23" t="n">
        <v>30273.6203038112</v>
      </c>
      <c r="W85" s="23" t="n">
        <v>30927.8970811459</v>
      </c>
      <c r="X85" s="19" t="n">
        <v>0.0666016723088581</v>
      </c>
      <c r="Y85" s="19" t="n">
        <v>-0.315993989133981</v>
      </c>
      <c r="Z85" s="23" t="n">
        <v>57</v>
      </c>
      <c r="AA85" s="28" t="s">
        <v>1221</v>
      </c>
      <c r="AB85" s="28" t="s">
        <v>1870</v>
      </c>
    </row>
    <row r="86" customFormat="false" ht="15" hidden="false" customHeight="false" outlineLevel="0" collapsed="false">
      <c r="A86" s="28" t="s">
        <v>1873</v>
      </c>
      <c r="B86" s="28" t="s">
        <v>210</v>
      </c>
      <c r="C86" s="28" t="s">
        <v>1716</v>
      </c>
      <c r="D86" s="23" t="n">
        <v>472957.915723873</v>
      </c>
      <c r="E86" s="23" t="n">
        <v>185149.550245269</v>
      </c>
      <c r="F86" s="19" t="n">
        <v>0.0144275273793985</v>
      </c>
      <c r="G86" s="19" t="n">
        <v>0.138721272856931</v>
      </c>
      <c r="H86" s="19" t="n">
        <v>0.679276030207688</v>
      </c>
      <c r="I86" s="28" t="s">
        <v>1719</v>
      </c>
      <c r="J86" s="23" t="n">
        <v>687433</v>
      </c>
      <c r="K86" s="23" t="n">
        <v>30000</v>
      </c>
      <c r="L86" s="23" t="n">
        <v>13266042.6448818</v>
      </c>
      <c r="M86" s="23" t="n">
        <v>7818810.56323071</v>
      </c>
      <c r="N86" s="23" t="n">
        <v>11510505.6199909</v>
      </c>
      <c r="O86" s="23" t="n">
        <v>1840282.32147234</v>
      </c>
      <c r="P86" s="23" t="n">
        <v>0</v>
      </c>
      <c r="Q86" s="23" t="n">
        <v>2358142.56646615</v>
      </c>
      <c r="R86" s="23" t="n">
        <v>2675374.6166058</v>
      </c>
      <c r="S86" s="23" t="n">
        <v>-246464.016005142</v>
      </c>
      <c r="T86" s="23" t="n">
        <v>170455.766459425</v>
      </c>
      <c r="U86" s="23" t="n">
        <v>395265.885806875</v>
      </c>
      <c r="V86" s="23" t="n">
        <v>32998.2461311542</v>
      </c>
      <c r="W86" s="23" t="n">
        <v>32938.2103914203</v>
      </c>
      <c r="X86" s="19" t="n">
        <v>0.0794433985796389</v>
      </c>
      <c r="Y86" s="19" t="n">
        <v>-0.266642594354242</v>
      </c>
      <c r="Z86" s="23" t="n">
        <v>59</v>
      </c>
      <c r="AA86" s="28" t="s">
        <v>1221</v>
      </c>
      <c r="AB86" s="28" t="s">
        <v>1870</v>
      </c>
    </row>
    <row r="87" customFormat="false" ht="15" hidden="false" customHeight="false" outlineLevel="0" collapsed="false">
      <c r="A87" s="28" t="s">
        <v>1873</v>
      </c>
      <c r="B87" s="28" t="s">
        <v>214</v>
      </c>
      <c r="C87" s="28" t="s">
        <v>1515</v>
      </c>
      <c r="D87" s="23" t="n">
        <v>316775.578708331</v>
      </c>
      <c r="E87" s="23" t="n">
        <v>119572.278056291</v>
      </c>
      <c r="F87" s="19" t="n">
        <v>0.0120633103314254</v>
      </c>
      <c r="G87" s="19" t="n">
        <v>0.118918721734647</v>
      </c>
      <c r="H87" s="19" t="n">
        <v>0.607524447429908</v>
      </c>
      <c r="I87" s="28" t="s">
        <v>1719</v>
      </c>
      <c r="J87" s="23" t="n">
        <v>534357</v>
      </c>
      <c r="K87" s="23" t="n">
        <v>16000</v>
      </c>
      <c r="L87" s="23" t="n">
        <v>10313181.1809492</v>
      </c>
      <c r="M87" s="23" t="n">
        <v>5539042.5235355</v>
      </c>
      <c r="N87" s="23" t="n">
        <v>9117398.56226043</v>
      </c>
      <c r="O87" s="23" t="n">
        <v>1226430.32305629</v>
      </c>
      <c r="P87" s="23" t="n">
        <v>0</v>
      </c>
      <c r="Q87" s="23" t="n">
        <v>900443.24077969</v>
      </c>
      <c r="R87" s="23" t="n">
        <v>3446191.82507188</v>
      </c>
      <c r="S87" s="23" t="n">
        <v>-158744.077250008</v>
      </c>
      <c r="T87" s="23" t="n">
        <v>166153.59581336</v>
      </c>
      <c r="U87" s="23" t="n">
        <v>310356.074</v>
      </c>
      <c r="V87" s="23" t="n">
        <v>37000.8224654</v>
      </c>
      <c r="W87" s="23" t="n">
        <v>0</v>
      </c>
      <c r="X87" s="19" t="n">
        <v>0.0713632327949279</v>
      </c>
      <c r="Y87" s="19" t="n">
        <v>-0.348016334503664</v>
      </c>
      <c r="Z87" s="23" t="n">
        <v>51</v>
      </c>
      <c r="AA87" s="28" t="s">
        <v>1221</v>
      </c>
      <c r="AB87" s="28" t="s">
        <v>1870</v>
      </c>
    </row>
    <row r="88" customFormat="false" ht="15" hidden="false" customHeight="false" outlineLevel="0" collapsed="false">
      <c r="A88" s="28" t="s">
        <v>1873</v>
      </c>
      <c r="B88" s="28" t="s">
        <v>214</v>
      </c>
      <c r="C88" s="28" t="s">
        <v>1713</v>
      </c>
      <c r="D88" s="23" t="n">
        <v>326262.881858905</v>
      </c>
      <c r="E88" s="23" t="n">
        <v>58137.4062466002</v>
      </c>
      <c r="F88" s="19" t="n">
        <v>0.00544219101781859</v>
      </c>
      <c r="G88" s="19" t="n">
        <v>0.116226701201499</v>
      </c>
      <c r="H88" s="19" t="n">
        <v>0.624718535564716</v>
      </c>
      <c r="I88" s="28" t="s">
        <v>1719</v>
      </c>
      <c r="J88" s="23" t="n">
        <v>569091</v>
      </c>
      <c r="K88" s="23" t="n">
        <v>30000</v>
      </c>
      <c r="L88" s="23" t="n">
        <v>11052260.0746955</v>
      </c>
      <c r="M88" s="23" t="n">
        <v>6037556.3506537</v>
      </c>
      <c r="N88" s="23" t="n">
        <v>9664442.47599605</v>
      </c>
      <c r="O88" s="23" t="n">
        <v>1284567.72930289</v>
      </c>
      <c r="P88" s="23" t="n">
        <v>0</v>
      </c>
      <c r="Q88" s="23" t="n">
        <v>1224723.2389526</v>
      </c>
      <c r="R88" s="23" t="n">
        <v>3218593.53491158</v>
      </c>
      <c r="S88" s="23" t="n">
        <v>-32532.2858588845</v>
      </c>
      <c r="T88" s="23" t="n">
        <v>164505.275055239</v>
      </c>
      <c r="U88" s="23" t="n">
        <v>338984.444218737</v>
      </c>
      <c r="V88" s="23" t="n">
        <v>63646.306448807</v>
      </c>
      <c r="W88" s="23" t="n">
        <v>13633.9337790764</v>
      </c>
      <c r="X88" s="19" t="n">
        <v>0.102901520002469</v>
      </c>
      <c r="Y88" s="19" t="n">
        <v>-0.247397408146451</v>
      </c>
      <c r="Z88" s="23" t="n">
        <v>53</v>
      </c>
      <c r="AA88" s="28" t="s">
        <v>1221</v>
      </c>
      <c r="AB88" s="28" t="s">
        <v>1870</v>
      </c>
    </row>
    <row r="89" customFormat="false" ht="15" hidden="false" customHeight="false" outlineLevel="0" collapsed="false">
      <c r="A89" s="28" t="s">
        <v>1873</v>
      </c>
      <c r="B89" s="28" t="s">
        <v>214</v>
      </c>
      <c r="C89" s="28" t="s">
        <v>1714</v>
      </c>
      <c r="D89" s="23" t="n">
        <v>346317.894962724</v>
      </c>
      <c r="E89" s="23" t="n">
        <v>55550.6054132096</v>
      </c>
      <c r="F89" s="19" t="n">
        <v>0.00487801757356573</v>
      </c>
      <c r="G89" s="19" t="n">
        <v>0.114309125623761</v>
      </c>
      <c r="H89" s="19" t="n">
        <v>0.642399248835416</v>
      </c>
      <c r="I89" s="28" t="s">
        <v>1719</v>
      </c>
      <c r="J89" s="23" t="n">
        <v>606082</v>
      </c>
      <c r="K89" s="23" t="n">
        <v>30000</v>
      </c>
      <c r="L89" s="23" t="n">
        <v>11723633.8516575</v>
      </c>
      <c r="M89" s="23" t="n">
        <v>6580936.42221253</v>
      </c>
      <c r="N89" s="23" t="n">
        <v>10244309.0245558</v>
      </c>
      <c r="O89" s="23" t="n">
        <v>1340118.3347161</v>
      </c>
      <c r="P89" s="23" t="n">
        <v>0</v>
      </c>
      <c r="Q89" s="23" t="n">
        <v>1521501.42277975</v>
      </c>
      <c r="R89" s="23" t="n">
        <v>3003797.64857281</v>
      </c>
      <c r="S89" s="23" t="n">
        <v>-4722.59218513447</v>
      </c>
      <c r="T89" s="23" t="n">
        <v>158397.232646717</v>
      </c>
      <c r="U89" s="23" t="n">
        <v>357065.24420858</v>
      </c>
      <c r="V89" s="23" t="n">
        <v>62099.2779876512</v>
      </c>
      <c r="W89" s="23" t="n">
        <v>29040.2789494327</v>
      </c>
      <c r="X89" s="19" t="n">
        <v>0.108898561937449</v>
      </c>
      <c r="Y89" s="19" t="n">
        <v>-0.222321462422479</v>
      </c>
      <c r="Z89" s="23" t="n">
        <v>55</v>
      </c>
      <c r="AA89" s="28" t="s">
        <v>1221</v>
      </c>
      <c r="AB89" s="28" t="s">
        <v>1870</v>
      </c>
    </row>
    <row r="90" customFormat="false" ht="15" hidden="false" customHeight="false" outlineLevel="0" collapsed="false">
      <c r="A90" s="28" t="s">
        <v>1873</v>
      </c>
      <c r="B90" s="28" t="s">
        <v>214</v>
      </c>
      <c r="C90" s="28" t="s">
        <v>1715</v>
      </c>
      <c r="D90" s="23" t="n">
        <v>358168.643722512</v>
      </c>
      <c r="E90" s="23" t="n">
        <v>50775.6462260351</v>
      </c>
      <c r="F90" s="19" t="n">
        <v>0.00420589744942448</v>
      </c>
      <c r="G90" s="19" t="n">
        <v>0.111976143821552</v>
      </c>
      <c r="H90" s="19" t="n">
        <v>0.660580359651513</v>
      </c>
      <c r="I90" s="28" t="s">
        <v>1719</v>
      </c>
      <c r="J90" s="23" t="n">
        <v>645477</v>
      </c>
      <c r="K90" s="23" t="n">
        <v>30000</v>
      </c>
      <c r="L90" s="23" t="n">
        <v>12421342.0240539</v>
      </c>
      <c r="M90" s="23" t="n">
        <v>7173220.70021166</v>
      </c>
      <c r="N90" s="23" t="n">
        <v>10858967.5660292</v>
      </c>
      <c r="O90" s="23" t="n">
        <v>1390893.98094214</v>
      </c>
      <c r="P90" s="23" t="n">
        <v>0</v>
      </c>
      <c r="Q90" s="23" t="n">
        <v>1753502.92961814</v>
      </c>
      <c r="R90" s="23" t="n">
        <v>2834834.03084059</v>
      </c>
      <c r="S90" s="23" t="n">
        <v>18915.647437553</v>
      </c>
      <c r="T90" s="23" t="n">
        <v>166110.895708029</v>
      </c>
      <c r="U90" s="23" t="n">
        <v>375815.680197966</v>
      </c>
      <c r="V90" s="23" t="n">
        <v>67688.2130065399</v>
      </c>
      <c r="W90" s="23" t="n">
        <v>30927.8970811459</v>
      </c>
      <c r="X90" s="19" t="n">
        <v>0.112422731082155</v>
      </c>
      <c r="Y90" s="19" t="n">
        <v>-0.206506083946856</v>
      </c>
      <c r="Z90" s="23" t="n">
        <v>57</v>
      </c>
      <c r="AA90" s="28" t="s">
        <v>1221</v>
      </c>
      <c r="AB90" s="28" t="s">
        <v>1870</v>
      </c>
    </row>
    <row r="91" customFormat="false" ht="15" hidden="false" customHeight="false" outlineLevel="0" collapsed="false">
      <c r="A91" s="28" t="s">
        <v>1873</v>
      </c>
      <c r="B91" s="28" t="s">
        <v>214</v>
      </c>
      <c r="C91" s="28" t="s">
        <v>1716</v>
      </c>
      <c r="D91" s="23" t="n">
        <v>371489.786344449</v>
      </c>
      <c r="E91" s="23" t="n">
        <v>46641.7148198708</v>
      </c>
      <c r="F91" s="19" t="n">
        <v>0.00364814343279573</v>
      </c>
      <c r="G91" s="19" t="n">
        <v>0.109328545107406</v>
      </c>
      <c r="H91" s="19" t="n">
        <v>0.679276030207688</v>
      </c>
      <c r="I91" s="28" t="s">
        <v>1719</v>
      </c>
      <c r="J91" s="23" t="n">
        <v>687433</v>
      </c>
      <c r="K91" s="23" t="n">
        <v>30000</v>
      </c>
      <c r="L91" s="23" t="n">
        <v>13148768.1862935</v>
      </c>
      <c r="M91" s="23" t="n">
        <v>7818810.56323071</v>
      </c>
      <c r="N91" s="23" t="n">
        <v>11510505.6199909</v>
      </c>
      <c r="O91" s="23" t="n">
        <v>1437535.69576201</v>
      </c>
      <c r="P91" s="23" t="n">
        <v>0</v>
      </c>
      <c r="Q91" s="23" t="n">
        <v>1955395.94075582</v>
      </c>
      <c r="R91" s="23" t="n">
        <v>2675374.6166058</v>
      </c>
      <c r="S91" s="23" t="n">
        <v>39008.1511168374</v>
      </c>
      <c r="T91" s="23" t="n">
        <v>174197.966459425</v>
      </c>
      <c r="U91" s="23" t="n">
        <v>395265.885806875</v>
      </c>
      <c r="V91" s="23" t="n">
        <v>73780.1521771285</v>
      </c>
      <c r="W91" s="23" t="n">
        <v>32938.2103914203</v>
      </c>
      <c r="X91" s="19" t="n">
        <v>0.114272289987952</v>
      </c>
      <c r="Y91" s="19" t="n">
        <v>-0.195629955853062</v>
      </c>
      <c r="Z91" s="23" t="n">
        <v>59</v>
      </c>
      <c r="AA91" s="28" t="s">
        <v>1221</v>
      </c>
      <c r="AB91" s="28" t="s">
        <v>1870</v>
      </c>
    </row>
    <row r="92" customFormat="false" ht="15" hidden="false" customHeight="false" outlineLevel="0" collapsed="false">
      <c r="A92" s="28" t="s">
        <v>1874</v>
      </c>
      <c r="B92" s="28" t="s">
        <v>180</v>
      </c>
      <c r="C92" s="28" t="s">
        <v>1515</v>
      </c>
      <c r="D92" s="23" t="n">
        <v>319853.696047105</v>
      </c>
      <c r="E92" s="23" t="n">
        <v>135705.205842629</v>
      </c>
      <c r="F92" s="19" t="n">
        <v>0.0137383233308654</v>
      </c>
      <c r="G92" s="19" t="n">
        <v>0.121693825623635</v>
      </c>
      <c r="H92" s="19" t="n">
        <v>0.599105687846182</v>
      </c>
      <c r="I92" s="28" t="s">
        <v>1869</v>
      </c>
      <c r="J92" s="23" t="n">
        <v>528048</v>
      </c>
      <c r="K92" s="23" t="n">
        <v>16000</v>
      </c>
      <c r="L92" s="23" t="n">
        <v>10210569.3898188</v>
      </c>
      <c r="M92" s="23" t="n">
        <v>5436458.78411549</v>
      </c>
      <c r="N92" s="23" t="n">
        <v>9074290.05332908</v>
      </c>
      <c r="O92" s="23" t="n">
        <v>1242563.25084263</v>
      </c>
      <c r="P92" s="23" t="n">
        <v>0</v>
      </c>
      <c r="Q92" s="23" t="n">
        <v>898797.011118318</v>
      </c>
      <c r="R92" s="23" t="n">
        <v>3524253.40369063</v>
      </c>
      <c r="S92" s="23" t="n">
        <v>-233774.627233066</v>
      </c>
      <c r="T92" s="23" t="n">
        <v>165122.955449007</v>
      </c>
      <c r="U92" s="23" t="n">
        <v>310356.074</v>
      </c>
      <c r="V92" s="23" t="n">
        <v>22915.3716534831</v>
      </c>
      <c r="W92" s="23" t="n">
        <v>0</v>
      </c>
      <c r="X92" s="19" t="n">
        <v>0.0529739075080354</v>
      </c>
      <c r="Y92" s="19" t="n">
        <v>-0.425828856206709</v>
      </c>
      <c r="Z92" s="23" t="n">
        <v>51</v>
      </c>
      <c r="AA92" s="28" t="s">
        <v>1221</v>
      </c>
      <c r="AB92" s="28" t="s">
        <v>1870</v>
      </c>
    </row>
    <row r="93" customFormat="false" ht="15" hidden="false" customHeight="false" outlineLevel="0" collapsed="false">
      <c r="A93" s="28" t="s">
        <v>1874</v>
      </c>
      <c r="B93" s="28" t="s">
        <v>180</v>
      </c>
      <c r="C93" s="28" t="s">
        <v>1713</v>
      </c>
      <c r="D93" s="23" t="n">
        <v>337606.213532309</v>
      </c>
      <c r="E93" s="23" t="n">
        <v>130865.647972922</v>
      </c>
      <c r="F93" s="19" t="n">
        <v>0.0124259546334822</v>
      </c>
      <c r="G93" s="19" t="n">
        <v>0.126551754482783</v>
      </c>
      <c r="H93" s="19" t="n">
        <v>0.599105687846182</v>
      </c>
      <c r="I93" s="28" t="s">
        <v>1719</v>
      </c>
      <c r="J93" s="23" t="n">
        <v>549170</v>
      </c>
      <c r="K93" s="23" t="n">
        <v>10000</v>
      </c>
      <c r="L93" s="23" t="n">
        <v>10852705.3175103</v>
      </c>
      <c r="M93" s="23" t="n">
        <v>5708281.72332127</v>
      </c>
      <c r="N93" s="23" t="n">
        <v>9528004.55599554</v>
      </c>
      <c r="O93" s="23" t="n">
        <v>1373428.89881555</v>
      </c>
      <c r="P93" s="23" t="n">
        <v>0</v>
      </c>
      <c r="Q93" s="23" t="n">
        <v>1280567.52476194</v>
      </c>
      <c r="R93" s="23" t="n">
        <v>3446923.65237143</v>
      </c>
      <c r="S93" s="23" t="n">
        <v>-182593.385825</v>
      </c>
      <c r="T93" s="23" t="n">
        <v>158565.896435376</v>
      </c>
      <c r="U93" s="23" t="n">
        <v>332649.151393593</v>
      </c>
      <c r="V93" s="23" t="n">
        <v>22657.3106011708</v>
      </c>
      <c r="W93" s="23" t="n">
        <v>13156.6941097527</v>
      </c>
      <c r="X93" s="19" t="n">
        <v>0.0744051070580873</v>
      </c>
      <c r="Y93" s="19" t="n">
        <v>-0.325731456695166</v>
      </c>
      <c r="Z93" s="23" t="n">
        <v>52</v>
      </c>
      <c r="AA93" s="28" t="s">
        <v>1221</v>
      </c>
      <c r="AB93" s="28" t="s">
        <v>1870</v>
      </c>
    </row>
    <row r="94" customFormat="false" ht="15" hidden="false" customHeight="false" outlineLevel="0" collapsed="false">
      <c r="A94" s="28" t="s">
        <v>1874</v>
      </c>
      <c r="B94" s="28" t="s">
        <v>180</v>
      </c>
      <c r="C94" s="28" t="s">
        <v>1714</v>
      </c>
      <c r="D94" s="23" t="n">
        <v>356166.040602197</v>
      </c>
      <c r="E94" s="23" t="n">
        <v>126548.646124714</v>
      </c>
      <c r="F94" s="19" t="n">
        <v>0.0113278812258454</v>
      </c>
      <c r="G94" s="19" t="n">
        <v>0.130544563114361</v>
      </c>
      <c r="H94" s="19" t="n">
        <v>0.599105687846182</v>
      </c>
      <c r="I94" s="28" t="s">
        <v>1719</v>
      </c>
      <c r="J94" s="23" t="n">
        <v>571137</v>
      </c>
      <c r="K94" s="23" t="n">
        <v>10000</v>
      </c>
      <c r="L94" s="23" t="n">
        <v>11490157.1475347</v>
      </c>
      <c r="M94" s="23" t="n">
        <v>5993695.80948733</v>
      </c>
      <c r="N94" s="23" t="n">
        <v>10004404.7837953</v>
      </c>
      <c r="O94" s="23" t="n">
        <v>1499977.54494027</v>
      </c>
      <c r="P94" s="23" t="n">
        <v>0</v>
      </c>
      <c r="Q94" s="23" t="n">
        <v>1665617.13405652</v>
      </c>
      <c r="R94" s="23" t="n">
        <v>3371043.83388946</v>
      </c>
      <c r="S94" s="23" t="n">
        <v>-154783.69215125</v>
      </c>
      <c r="T94" s="23" t="n">
        <v>149830.153346115</v>
      </c>
      <c r="U94" s="23" t="n">
        <v>345657.371692368</v>
      </c>
      <c r="V94" s="23" t="n">
        <v>23790.1761312293</v>
      </c>
      <c r="W94" s="23" t="n">
        <v>27365.9237482855</v>
      </c>
      <c r="X94" s="19" t="n">
        <v>0.0880834849973854</v>
      </c>
      <c r="Y94" s="19" t="n">
        <v>-0.273489989635656</v>
      </c>
      <c r="Z94" s="23" t="n">
        <v>53</v>
      </c>
      <c r="AA94" s="28" t="s">
        <v>1221</v>
      </c>
      <c r="AB94" s="28" t="s">
        <v>1870</v>
      </c>
    </row>
    <row r="95" customFormat="false" ht="15" hidden="false" customHeight="false" outlineLevel="0" collapsed="false">
      <c r="A95" s="28" t="s">
        <v>1874</v>
      </c>
      <c r="B95" s="28" t="s">
        <v>180</v>
      </c>
      <c r="C95" s="28" t="s">
        <v>1715</v>
      </c>
      <c r="D95" s="23" t="n">
        <v>370105.267606566</v>
      </c>
      <c r="E95" s="23" t="n">
        <v>128444.167845155</v>
      </c>
      <c r="F95" s="19" t="n">
        <v>0.0108668441143096</v>
      </c>
      <c r="G95" s="19" t="n">
        <v>0.13403212961314</v>
      </c>
      <c r="H95" s="19" t="n">
        <v>0.599105687846182</v>
      </c>
      <c r="I95" s="28" t="s">
        <v>1719</v>
      </c>
      <c r="J95" s="23" t="n">
        <v>593983</v>
      </c>
      <c r="K95" s="23" t="n">
        <v>12000</v>
      </c>
      <c r="L95" s="23" t="n">
        <v>12149487.7197398</v>
      </c>
      <c r="M95" s="23" t="n">
        <v>6293380.59996169</v>
      </c>
      <c r="N95" s="23" t="n">
        <v>10504625.0229851</v>
      </c>
      <c r="O95" s="23" t="n">
        <v>1628421.71278542</v>
      </c>
      <c r="P95" s="23" t="n">
        <v>0</v>
      </c>
      <c r="Q95" s="23" t="n">
        <v>2049397.03219371</v>
      </c>
      <c r="R95" s="23" t="n">
        <v>3307836.76200403</v>
      </c>
      <c r="S95" s="23" t="n">
        <v>-131145.452528563</v>
      </c>
      <c r="T95" s="23" t="n">
        <v>154383.464877981</v>
      </c>
      <c r="U95" s="23" t="n">
        <v>359064.879701601</v>
      </c>
      <c r="V95" s="23" t="n">
        <v>24979.6849377908</v>
      </c>
      <c r="W95" s="23" t="n">
        <v>28460.5606982169</v>
      </c>
      <c r="X95" s="19" t="n">
        <v>0.0992583513711668</v>
      </c>
      <c r="Y95" s="19" t="n">
        <v>-0.236651668850897</v>
      </c>
      <c r="Z95" s="23" t="n">
        <v>54</v>
      </c>
      <c r="AA95" s="28" t="s">
        <v>1221</v>
      </c>
      <c r="AB95" s="28" t="s">
        <v>1870</v>
      </c>
    </row>
    <row r="96" customFormat="false" ht="15" hidden="false" customHeight="false" outlineLevel="0" collapsed="false">
      <c r="A96" s="28" t="s">
        <v>1874</v>
      </c>
      <c r="B96" s="28" t="s">
        <v>180</v>
      </c>
      <c r="C96" s="28" t="s">
        <v>1716</v>
      </c>
      <c r="D96" s="23" t="n">
        <v>386044.224526074</v>
      </c>
      <c r="E96" s="23" t="n">
        <v>134002.918514961</v>
      </c>
      <c r="F96" s="19" t="n">
        <v>0.0107263769343619</v>
      </c>
      <c r="G96" s="19" t="n">
        <v>0.137301186819381</v>
      </c>
      <c r="H96" s="19" t="n">
        <v>0.599105687846182</v>
      </c>
      <c r="I96" s="28" t="s">
        <v>1719</v>
      </c>
      <c r="J96" s="23" t="n">
        <v>617742</v>
      </c>
      <c r="K96" s="23" t="n">
        <v>12000</v>
      </c>
      <c r="L96" s="23" t="n">
        <v>12836193.7149082</v>
      </c>
      <c r="M96" s="23" t="n">
        <v>6608049.62995978</v>
      </c>
      <c r="N96" s="23" t="n">
        <v>11029856.2741343</v>
      </c>
      <c r="O96" s="23" t="n">
        <v>1762424.63130038</v>
      </c>
      <c r="P96" s="23" t="n">
        <v>0</v>
      </c>
      <c r="Q96" s="23" t="n">
        <v>2447542.84921959</v>
      </c>
      <c r="R96" s="23" t="n">
        <v>3245814.82271646</v>
      </c>
      <c r="S96" s="23" t="n">
        <v>-111052.948849278</v>
      </c>
      <c r="T96" s="23" t="n">
        <v>159073.013664725</v>
      </c>
      <c r="U96" s="23" t="n">
        <v>372885.650491157</v>
      </c>
      <c r="V96" s="23" t="n">
        <v>26228.6691846803</v>
      </c>
      <c r="W96" s="23" t="n">
        <v>29598.9831261456</v>
      </c>
      <c r="X96" s="19" t="n">
        <v>0.108782243793852</v>
      </c>
      <c r="Y96" s="19" t="n">
        <v>-0.208267421806634</v>
      </c>
      <c r="Z96" s="23" t="n">
        <v>55</v>
      </c>
      <c r="AA96" s="28" t="s">
        <v>1221</v>
      </c>
      <c r="AB96" s="28" t="s">
        <v>1870</v>
      </c>
    </row>
    <row r="97" customFormat="false" ht="15" hidden="false" customHeight="false" outlineLevel="0" collapsed="false">
      <c r="A97" s="28" t="s">
        <v>1874</v>
      </c>
      <c r="B97" s="28" t="s">
        <v>176</v>
      </c>
      <c r="C97" s="28" t="s">
        <v>1515</v>
      </c>
      <c r="D97" s="23" t="n">
        <v>305640.646612729</v>
      </c>
      <c r="E97" s="23" t="n">
        <v>123112.156408253</v>
      </c>
      <c r="F97" s="19" t="n">
        <v>0.0123857919165221</v>
      </c>
      <c r="G97" s="19" t="n">
        <v>0.11830774818982</v>
      </c>
      <c r="H97" s="19" t="n">
        <v>0.599105687846182</v>
      </c>
      <c r="I97" s="28" t="s">
        <v>1719</v>
      </c>
      <c r="J97" s="23" t="n">
        <v>528048</v>
      </c>
      <c r="K97" s="23" t="n">
        <v>16000</v>
      </c>
      <c r="L97" s="23" t="n">
        <v>10396362.2013566</v>
      </c>
      <c r="M97" s="23" t="n">
        <v>5436458.78411549</v>
      </c>
      <c r="N97" s="23" t="n">
        <v>9074290.05332908</v>
      </c>
      <c r="O97" s="23" t="n">
        <v>1229970.20140825</v>
      </c>
      <c r="P97" s="23" t="n">
        <v>0</v>
      </c>
      <c r="Q97" s="23" t="n">
        <v>886203.961683941</v>
      </c>
      <c r="R97" s="23" t="n">
        <v>3524253.40369063</v>
      </c>
      <c r="S97" s="23" t="n">
        <v>-35388.7662609129</v>
      </c>
      <c r="T97" s="23" t="n">
        <v>166742.955449007</v>
      </c>
      <c r="U97" s="23" t="n">
        <v>310356.074</v>
      </c>
      <c r="V97" s="23" t="n">
        <v>22915.3716534831</v>
      </c>
      <c r="W97" s="23" t="n">
        <v>0</v>
      </c>
      <c r="X97" s="19" t="n">
        <v>0.102633708800506</v>
      </c>
      <c r="Y97" s="19" t="n">
        <v>-0.266175341322439</v>
      </c>
      <c r="Z97" s="23" t="n">
        <v>51</v>
      </c>
      <c r="AA97" s="28" t="s">
        <v>1221</v>
      </c>
      <c r="AB97" s="28" t="s">
        <v>1870</v>
      </c>
    </row>
    <row r="98" customFormat="false" ht="15" hidden="false" customHeight="false" outlineLevel="0" collapsed="false">
      <c r="A98" s="28" t="s">
        <v>1874</v>
      </c>
      <c r="B98" s="28" t="s">
        <v>176</v>
      </c>
      <c r="C98" s="28" t="s">
        <v>1713</v>
      </c>
      <c r="D98" s="23" t="n">
        <v>314896.815499645</v>
      </c>
      <c r="E98" s="23" t="n">
        <v>111396.249940258</v>
      </c>
      <c r="F98" s="19" t="n">
        <v>0.0104033823423573</v>
      </c>
      <c r="G98" s="19" t="n">
        <v>0.121731822658104</v>
      </c>
      <c r="H98" s="19" t="n">
        <v>0.599105687846182</v>
      </c>
      <c r="I98" s="28" t="s">
        <v>1719</v>
      </c>
      <c r="J98" s="23" t="n">
        <v>549170</v>
      </c>
      <c r="K98" s="23" t="n">
        <v>10000</v>
      </c>
      <c r="L98" s="23" t="n">
        <v>11019028.7310154</v>
      </c>
      <c r="M98" s="23" t="n">
        <v>5708281.72332127</v>
      </c>
      <c r="N98" s="23" t="n">
        <v>9528004.55599554</v>
      </c>
      <c r="O98" s="23" t="n">
        <v>1341366.45134851</v>
      </c>
      <c r="P98" s="23" t="n">
        <v>0</v>
      </c>
      <c r="Q98" s="23" t="n">
        <v>1248505.0772949</v>
      </c>
      <c r="R98" s="23" t="n">
        <v>3446923.65237143</v>
      </c>
      <c r="S98" s="23" t="n">
        <v>15792.4751471528</v>
      </c>
      <c r="T98" s="23" t="n">
        <v>161805.896435376</v>
      </c>
      <c r="U98" s="23" t="n">
        <v>332649.151393593</v>
      </c>
      <c r="V98" s="23" t="n">
        <v>22657.3106011708</v>
      </c>
      <c r="W98" s="23" t="n">
        <v>13156.6941097527</v>
      </c>
      <c r="X98" s="19" t="n">
        <v>0.118923663834295</v>
      </c>
      <c r="Y98" s="19" t="n">
        <v>-0.223427876199202</v>
      </c>
      <c r="Z98" s="23" t="n">
        <v>52</v>
      </c>
      <c r="AA98" s="28" t="s">
        <v>1221</v>
      </c>
      <c r="AB98" s="28" t="s">
        <v>1870</v>
      </c>
    </row>
    <row r="99" customFormat="false" ht="15" hidden="false" customHeight="false" outlineLevel="0" collapsed="false">
      <c r="A99" s="28" t="s">
        <v>1874</v>
      </c>
      <c r="B99" s="28" t="s">
        <v>176</v>
      </c>
      <c r="C99" s="28" t="s">
        <v>1714</v>
      </c>
      <c r="D99" s="23" t="n">
        <v>317324.668394781</v>
      </c>
      <c r="E99" s="23" t="n">
        <v>90947.2739172981</v>
      </c>
      <c r="F99" s="19" t="n">
        <v>0.00803424415322531</v>
      </c>
      <c r="G99" s="19" t="n">
        <v>0.123253473510185</v>
      </c>
      <c r="H99" s="19" t="n">
        <v>0.599105687846182</v>
      </c>
      <c r="I99" s="28" t="s">
        <v>1719</v>
      </c>
      <c r="J99" s="23" t="n">
        <v>571137</v>
      </c>
      <c r="K99" s="23" t="n">
        <v>10000</v>
      </c>
      <c r="L99" s="23" t="n">
        <v>11620879.1888324</v>
      </c>
      <c r="M99" s="23" t="n">
        <v>5993695.80948733</v>
      </c>
      <c r="N99" s="23" t="n">
        <v>10004404.7837953</v>
      </c>
      <c r="O99" s="23" t="n">
        <v>1432313.72526581</v>
      </c>
      <c r="P99" s="23" t="n">
        <v>0</v>
      </c>
      <c r="Q99" s="23" t="n">
        <v>1597953.31438207</v>
      </c>
      <c r="R99" s="23" t="n">
        <v>3371043.83388946</v>
      </c>
      <c r="S99" s="23" t="n">
        <v>43602.1688209028</v>
      </c>
      <c r="T99" s="23" t="n">
        <v>153070.153346115</v>
      </c>
      <c r="U99" s="23" t="n">
        <v>345657.371692368</v>
      </c>
      <c r="V99" s="23" t="n">
        <v>23790.1761312293</v>
      </c>
      <c r="W99" s="23" t="n">
        <v>27365.9237482855</v>
      </c>
      <c r="X99" s="19" t="n">
        <v>0.127364660316197</v>
      </c>
      <c r="Y99" s="19" t="n">
        <v>-0.199442203306489</v>
      </c>
      <c r="Z99" s="23" t="n">
        <v>53</v>
      </c>
      <c r="AA99" s="28" t="s">
        <v>1221</v>
      </c>
      <c r="AB99" s="28" t="s">
        <v>1870</v>
      </c>
    </row>
    <row r="100" customFormat="false" ht="15" hidden="false" customHeight="false" outlineLevel="0" collapsed="false">
      <c r="A100" s="28" t="s">
        <v>1874</v>
      </c>
      <c r="B100" s="28" t="s">
        <v>176</v>
      </c>
      <c r="C100" s="28" t="s">
        <v>1715</v>
      </c>
      <c r="D100" s="23" t="n">
        <v>320666.744592747</v>
      </c>
      <c r="E100" s="23" t="n">
        <v>82245.6448313363</v>
      </c>
      <c r="F100" s="19" t="n">
        <v>0.00689549550298862</v>
      </c>
      <c r="G100" s="19" t="n">
        <v>0.123799082788959</v>
      </c>
      <c r="H100" s="19" t="n">
        <v>0.599105687846182</v>
      </c>
      <c r="I100" s="28" t="s">
        <v>1719</v>
      </c>
      <c r="J100" s="23" t="n">
        <v>593983</v>
      </c>
      <c r="K100" s="23" t="n">
        <v>12000</v>
      </c>
      <c r="L100" s="23" t="n">
        <v>12234011.2380237</v>
      </c>
      <c r="M100" s="23" t="n">
        <v>6293380.59996169</v>
      </c>
      <c r="N100" s="23" t="n">
        <v>10504625.0229851</v>
      </c>
      <c r="O100" s="23" t="n">
        <v>1514559.37009715</v>
      </c>
      <c r="P100" s="23" t="n">
        <v>0</v>
      </c>
      <c r="Q100" s="23" t="n">
        <v>1935534.68950543</v>
      </c>
      <c r="R100" s="23" t="n">
        <v>3307836.76200403</v>
      </c>
      <c r="S100" s="23" t="n">
        <v>67240.4084435903</v>
      </c>
      <c r="T100" s="23" t="n">
        <v>157623.464877981</v>
      </c>
      <c r="U100" s="23" t="n">
        <v>359064.879701601</v>
      </c>
      <c r="V100" s="23" t="n">
        <v>24979.6849377908</v>
      </c>
      <c r="W100" s="23" t="n">
        <v>28460.5606982169</v>
      </c>
      <c r="X100" s="19" t="n">
        <v>0.133234381762371</v>
      </c>
      <c r="Y100" s="19" t="n">
        <v>-0.181836093221228</v>
      </c>
      <c r="Z100" s="23" t="n">
        <v>54</v>
      </c>
      <c r="AA100" s="28" t="s">
        <v>1221</v>
      </c>
      <c r="AB100" s="28" t="s">
        <v>1870</v>
      </c>
    </row>
    <row r="101" customFormat="false" ht="15" hidden="false" customHeight="false" outlineLevel="0" collapsed="false">
      <c r="A101" s="28" t="s">
        <v>1874</v>
      </c>
      <c r="B101" s="28" t="s">
        <v>176</v>
      </c>
      <c r="C101" s="28" t="s">
        <v>1716</v>
      </c>
      <c r="D101" s="23" t="n">
        <v>324654.700811859</v>
      </c>
      <c r="E101" s="23" t="n">
        <v>75853.3948007462</v>
      </c>
      <c r="F101" s="19" t="n">
        <v>0.00604491910705603</v>
      </c>
      <c r="G101" s="19" t="n">
        <v>0.123646600027301</v>
      </c>
      <c r="H101" s="19" t="n">
        <v>0.599105687846182</v>
      </c>
      <c r="I101" s="28" t="s">
        <v>1719</v>
      </c>
      <c r="J101" s="23" t="n">
        <v>617742</v>
      </c>
      <c r="K101" s="23" t="n">
        <v>12000</v>
      </c>
      <c r="L101" s="23" t="n">
        <v>12862567.7094779</v>
      </c>
      <c r="M101" s="23" t="n">
        <v>6608049.62995978</v>
      </c>
      <c r="N101" s="23" t="n">
        <v>11029856.2741343</v>
      </c>
      <c r="O101" s="23" t="n">
        <v>1590412.76489789</v>
      </c>
      <c r="P101" s="23" t="n">
        <v>0</v>
      </c>
      <c r="Q101" s="23" t="n">
        <v>2275530.9828171</v>
      </c>
      <c r="R101" s="23" t="n">
        <v>3245814.82271646</v>
      </c>
      <c r="S101" s="23" t="n">
        <v>87332.9121228746</v>
      </c>
      <c r="T101" s="23" t="n">
        <v>162313.013664725</v>
      </c>
      <c r="U101" s="23" t="n">
        <v>372885.650491157</v>
      </c>
      <c r="V101" s="23" t="n">
        <v>26228.6691846803</v>
      </c>
      <c r="W101" s="23" t="n">
        <v>29598.9831261456</v>
      </c>
      <c r="X101" s="19" t="n">
        <v>0.137269260788416</v>
      </c>
      <c r="Y101" s="19" t="n">
        <v>-0.167914169098167</v>
      </c>
      <c r="Z101" s="23" t="n">
        <v>55</v>
      </c>
      <c r="AA101" s="28" t="s">
        <v>1221</v>
      </c>
      <c r="AB101" s="28" t="s">
        <v>1870</v>
      </c>
    </row>
    <row r="102" customFormat="false" ht="15" hidden="false" customHeight="false" outlineLevel="0" collapsed="false">
      <c r="A102" s="28" t="s">
        <v>1874</v>
      </c>
      <c r="B102" s="28" t="s">
        <v>184</v>
      </c>
      <c r="C102" s="28" t="s">
        <v>1515</v>
      </c>
      <c r="D102" s="23" t="n">
        <v>328811.307443267</v>
      </c>
      <c r="E102" s="23" t="n">
        <v>143042.817238791</v>
      </c>
      <c r="F102" s="19" t="n">
        <v>0.0145751237207848</v>
      </c>
      <c r="G102" s="19" t="n">
        <v>0.12474656670154</v>
      </c>
      <c r="H102" s="19" t="n">
        <v>0.599105687846182</v>
      </c>
      <c r="I102" s="28" t="s">
        <v>1871</v>
      </c>
      <c r="J102" s="23" t="n">
        <v>528048</v>
      </c>
      <c r="K102" s="23" t="n">
        <v>16000</v>
      </c>
      <c r="L102" s="23" t="n">
        <v>10019521.1402428</v>
      </c>
      <c r="M102" s="23" t="n">
        <v>5436458.78411549</v>
      </c>
      <c r="N102" s="23" t="n">
        <v>9074290.05332908</v>
      </c>
      <c r="O102" s="23" t="n">
        <v>1249900.86223879</v>
      </c>
      <c r="P102" s="23" t="n">
        <v>0</v>
      </c>
      <c r="Q102" s="23" t="n">
        <v>906134.622514479</v>
      </c>
      <c r="R102" s="23" t="n">
        <v>3524253.40369063</v>
      </c>
      <c r="S102" s="23" t="n">
        <v>-432160.488205218</v>
      </c>
      <c r="T102" s="23" t="n">
        <v>163502.955449007</v>
      </c>
      <c r="U102" s="23" t="n">
        <v>310356.074</v>
      </c>
      <c r="V102" s="23" t="n">
        <v>22915.3716534831</v>
      </c>
      <c r="W102" s="23" t="n">
        <v>0</v>
      </c>
      <c r="X102" s="19" t="n">
        <v>-0.00310474563700762</v>
      </c>
      <c r="Y102" s="19" t="n">
        <v>-1.08062365394528</v>
      </c>
      <c r="Z102" s="23" t="n">
        <v>51</v>
      </c>
      <c r="AA102" s="28" t="s">
        <v>1221</v>
      </c>
      <c r="AB102" s="28" t="s">
        <v>1870</v>
      </c>
    </row>
    <row r="103" customFormat="false" ht="15" hidden="false" customHeight="false" outlineLevel="0" collapsed="false">
      <c r="A103" s="28" t="s">
        <v>1874</v>
      </c>
      <c r="B103" s="28" t="s">
        <v>184</v>
      </c>
      <c r="C103" s="28" t="s">
        <v>1713</v>
      </c>
      <c r="D103" s="23" t="n">
        <v>338820.154287388</v>
      </c>
      <c r="E103" s="23" t="n">
        <v>128839.588728001</v>
      </c>
      <c r="F103" s="19" t="n">
        <v>0.0124608192637776</v>
      </c>
      <c r="G103" s="19" t="n">
        <v>0.12934223049962</v>
      </c>
      <c r="H103" s="19" t="n">
        <v>0.599105687846182</v>
      </c>
      <c r="I103" s="28" t="s">
        <v>1871</v>
      </c>
      <c r="J103" s="23" t="n">
        <v>549170</v>
      </c>
      <c r="K103" s="23" t="n">
        <v>10000</v>
      </c>
      <c r="L103" s="23" t="n">
        <v>10659631.0086893</v>
      </c>
      <c r="M103" s="23" t="n">
        <v>5708281.72332127</v>
      </c>
      <c r="N103" s="23" t="n">
        <v>9528004.55599554</v>
      </c>
      <c r="O103" s="23" t="n">
        <v>1378740.45096679</v>
      </c>
      <c r="P103" s="23" t="n">
        <v>0</v>
      </c>
      <c r="Q103" s="23" t="n">
        <v>1285879.07691318</v>
      </c>
      <c r="R103" s="23" t="n">
        <v>3446923.65237143</v>
      </c>
      <c r="S103" s="23" t="n">
        <v>-380979.246797153</v>
      </c>
      <c r="T103" s="23" t="n">
        <v>155325.896435376</v>
      </c>
      <c r="U103" s="23" t="n">
        <v>332649.151393593</v>
      </c>
      <c r="V103" s="23" t="n">
        <v>22657.3106011708</v>
      </c>
      <c r="W103" s="23" t="n">
        <v>13156.6941097527</v>
      </c>
      <c r="X103" s="19" t="n">
        <v>0.0223870369196419</v>
      </c>
      <c r="Y103" s="19" t="n">
        <v>-0.629053849300448</v>
      </c>
      <c r="Z103" s="23" t="n">
        <v>52</v>
      </c>
      <c r="AA103" s="28" t="s">
        <v>1221</v>
      </c>
      <c r="AB103" s="28" t="s">
        <v>1870</v>
      </c>
    </row>
    <row r="104" customFormat="false" ht="15" hidden="false" customHeight="false" outlineLevel="0" collapsed="false">
      <c r="A104" s="28" t="s">
        <v>1874</v>
      </c>
      <c r="B104" s="28" t="s">
        <v>184</v>
      </c>
      <c r="C104" s="28" t="s">
        <v>1714</v>
      </c>
      <c r="D104" s="23" t="n">
        <v>372021.394177315</v>
      </c>
      <c r="E104" s="23" t="n">
        <v>139163.999699832</v>
      </c>
      <c r="F104" s="19" t="n">
        <v>0.0126689348069521</v>
      </c>
      <c r="G104" s="19" t="n">
        <v>0.134212639882959</v>
      </c>
      <c r="H104" s="19" t="n">
        <v>0.599105687846182</v>
      </c>
      <c r="I104" s="28" t="s">
        <v>1869</v>
      </c>
      <c r="J104" s="23" t="n">
        <v>571137</v>
      </c>
      <c r="K104" s="23" t="n">
        <v>10000</v>
      </c>
      <c r="L104" s="23" t="n">
        <v>11309698.1922889</v>
      </c>
      <c r="M104" s="23" t="n">
        <v>5993695.80948733</v>
      </c>
      <c r="N104" s="23" t="n">
        <v>10004404.7837953</v>
      </c>
      <c r="O104" s="23" t="n">
        <v>1517904.45066662</v>
      </c>
      <c r="P104" s="23" t="n">
        <v>0</v>
      </c>
      <c r="Q104" s="23" t="n">
        <v>1683544.03978288</v>
      </c>
      <c r="R104" s="23" t="n">
        <v>3371043.83388946</v>
      </c>
      <c r="S104" s="23" t="n">
        <v>-353169.553123403</v>
      </c>
      <c r="T104" s="23" t="n">
        <v>146590.153346115</v>
      </c>
      <c r="U104" s="23" t="n">
        <v>345657.371692368</v>
      </c>
      <c r="V104" s="23" t="n">
        <v>23790.1761312293</v>
      </c>
      <c r="W104" s="23" t="n">
        <v>27365.9237482855</v>
      </c>
      <c r="X104" s="19" t="n">
        <v>0.0403975398730126</v>
      </c>
      <c r="Y104" s="19" t="n">
        <v>-0.463439250181994</v>
      </c>
      <c r="Z104" s="23" t="n">
        <v>53</v>
      </c>
      <c r="AA104" s="28" t="s">
        <v>1221</v>
      </c>
      <c r="AB104" s="28" t="s">
        <v>1870</v>
      </c>
    </row>
    <row r="105" customFormat="false" ht="15" hidden="false" customHeight="false" outlineLevel="0" collapsed="false">
      <c r="A105" s="28" t="s">
        <v>1874</v>
      </c>
      <c r="B105" s="28" t="s">
        <v>184</v>
      </c>
      <c r="C105" s="28" t="s">
        <v>1715</v>
      </c>
      <c r="D105" s="23" t="n">
        <v>399276.563146985</v>
      </c>
      <c r="E105" s="23" t="n">
        <v>154375.463385575</v>
      </c>
      <c r="F105" s="19" t="n">
        <v>0.0132484640378869</v>
      </c>
      <c r="G105" s="19" t="n">
        <v>0.139415213196416</v>
      </c>
      <c r="H105" s="19" t="n">
        <v>0.599105687846182</v>
      </c>
      <c r="I105" s="28" t="s">
        <v>1869</v>
      </c>
      <c r="J105" s="23" t="n">
        <v>593983</v>
      </c>
      <c r="K105" s="23" t="n">
        <v>12000</v>
      </c>
      <c r="L105" s="23" t="n">
        <v>11994960.0600344</v>
      </c>
      <c r="M105" s="23" t="n">
        <v>6293380.59996169</v>
      </c>
      <c r="N105" s="23" t="n">
        <v>10504625.0229851</v>
      </c>
      <c r="O105" s="23" t="n">
        <v>1672279.9140522</v>
      </c>
      <c r="P105" s="23" t="n">
        <v>0</v>
      </c>
      <c r="Q105" s="23" t="n">
        <v>2093255.23346049</v>
      </c>
      <c r="R105" s="23" t="n">
        <v>3307836.76200403</v>
      </c>
      <c r="S105" s="23" t="n">
        <v>-329531.313500715</v>
      </c>
      <c r="T105" s="23" t="n">
        <v>151143.464877981</v>
      </c>
      <c r="U105" s="23" t="n">
        <v>359064.879701601</v>
      </c>
      <c r="V105" s="23" t="n">
        <v>24979.6849377908</v>
      </c>
      <c r="W105" s="23" t="n">
        <v>28460.5606982169</v>
      </c>
      <c r="X105" s="19" t="n">
        <v>0.0564256560887942</v>
      </c>
      <c r="Y105" s="19" t="n">
        <v>-0.363577617075415</v>
      </c>
      <c r="Z105" s="23" t="n">
        <v>54</v>
      </c>
      <c r="AA105" s="28" t="s">
        <v>1221</v>
      </c>
      <c r="AB105" s="28" t="s">
        <v>1870</v>
      </c>
    </row>
    <row r="106" customFormat="false" ht="15" hidden="false" customHeight="false" outlineLevel="0" collapsed="false">
      <c r="A106" s="28" t="s">
        <v>1874</v>
      </c>
      <c r="B106" s="28" t="s">
        <v>184</v>
      </c>
      <c r="C106" s="28" t="s">
        <v>1716</v>
      </c>
      <c r="D106" s="23" t="n">
        <v>430672.063362347</v>
      </c>
      <c r="E106" s="23" t="n">
        <v>175390.757351234</v>
      </c>
      <c r="F106" s="19" t="n">
        <v>0.0141913308793427</v>
      </c>
      <c r="G106" s="19" t="n">
        <v>0.145222262421531</v>
      </c>
      <c r="H106" s="19" t="n">
        <v>0.599105687846182</v>
      </c>
      <c r="I106" s="28" t="s">
        <v>1719</v>
      </c>
      <c r="J106" s="23" t="n">
        <v>617742</v>
      </c>
      <c r="K106" s="23" t="n">
        <v>12000</v>
      </c>
      <c r="L106" s="23" t="n">
        <v>12723053.8940391</v>
      </c>
      <c r="M106" s="23" t="n">
        <v>6608049.62995978</v>
      </c>
      <c r="N106" s="23" t="n">
        <v>11029856.2741343</v>
      </c>
      <c r="O106" s="23" t="n">
        <v>1847670.67140343</v>
      </c>
      <c r="P106" s="23" t="n">
        <v>0</v>
      </c>
      <c r="Q106" s="23" t="n">
        <v>2532788.88932264</v>
      </c>
      <c r="R106" s="23" t="n">
        <v>3245814.82271646</v>
      </c>
      <c r="S106" s="23" t="n">
        <v>-309438.809821431</v>
      </c>
      <c r="T106" s="23" t="n">
        <v>155833.013664725</v>
      </c>
      <c r="U106" s="23" t="n">
        <v>372885.650491157</v>
      </c>
      <c r="V106" s="23" t="n">
        <v>26228.6691846803</v>
      </c>
      <c r="W106" s="23" t="n">
        <v>29598.9831261456</v>
      </c>
      <c r="X106" s="19" t="n">
        <v>0.0714008705607806</v>
      </c>
      <c r="Y106" s="19" t="n">
        <v>-0.294572957283784</v>
      </c>
      <c r="Z106" s="23" t="n">
        <v>55</v>
      </c>
      <c r="AA106" s="28" t="s">
        <v>1221</v>
      </c>
      <c r="AB106" s="28" t="s">
        <v>1870</v>
      </c>
    </row>
    <row r="107" customFormat="false" ht="15" hidden="false" customHeight="false" outlineLevel="0" collapsed="false">
      <c r="A107" s="28" t="s">
        <v>1874</v>
      </c>
      <c r="B107" s="28" t="s">
        <v>186</v>
      </c>
      <c r="C107" s="28" t="s">
        <v>1515</v>
      </c>
      <c r="D107" s="23" t="n">
        <v>332770.883980501</v>
      </c>
      <c r="E107" s="23" t="n">
        <v>146597.393776025</v>
      </c>
      <c r="F107" s="19" t="n">
        <v>0.0149859908221481</v>
      </c>
      <c r="G107" s="19" t="n">
        <v>0.126306957243307</v>
      </c>
      <c r="H107" s="19" t="n">
        <v>0.599105687846182</v>
      </c>
      <c r="I107" s="28" t="s">
        <v>1871</v>
      </c>
      <c r="J107" s="23" t="n">
        <v>528048</v>
      </c>
      <c r="K107" s="23" t="n">
        <v>16000</v>
      </c>
      <c r="L107" s="23" t="n">
        <v>9923882.78629396</v>
      </c>
      <c r="M107" s="23" t="n">
        <v>5436458.78411549</v>
      </c>
      <c r="N107" s="23" t="n">
        <v>9074290.05332908</v>
      </c>
      <c r="O107" s="23" t="n">
        <v>1253455.43877603</v>
      </c>
      <c r="P107" s="23" t="n">
        <v>0</v>
      </c>
      <c r="Q107" s="23" t="n">
        <v>909689.199051714</v>
      </c>
      <c r="R107" s="23" t="n">
        <v>3524253.40369063</v>
      </c>
      <c r="S107" s="23" t="n">
        <v>-531353.418691295</v>
      </c>
      <c r="T107" s="23" t="n">
        <v>163097.955449007</v>
      </c>
      <c r="U107" s="23" t="n">
        <v>310356.074</v>
      </c>
      <c r="V107" s="23" t="n">
        <v>22915.3716534831</v>
      </c>
      <c r="W107" s="23" t="n">
        <v>0</v>
      </c>
      <c r="X107" s="19" t="n">
        <v>-0.0337242662789392</v>
      </c>
      <c r="Y107" s="19" t="n">
        <v>-4.6817904243827</v>
      </c>
      <c r="Z107" s="23" t="n">
        <v>51</v>
      </c>
      <c r="AA107" s="28" t="s">
        <v>1221</v>
      </c>
      <c r="AB107" s="28" t="s">
        <v>1870</v>
      </c>
    </row>
    <row r="108" customFormat="false" ht="15" hidden="false" customHeight="false" outlineLevel="0" collapsed="false">
      <c r="A108" s="28" t="s">
        <v>1874</v>
      </c>
      <c r="B108" s="28" t="s">
        <v>186</v>
      </c>
      <c r="C108" s="28" t="s">
        <v>1713</v>
      </c>
      <c r="D108" s="23" t="n">
        <v>336839.345849461</v>
      </c>
      <c r="E108" s="23" t="n">
        <v>139205.474399827</v>
      </c>
      <c r="F108" s="19" t="n">
        <v>0.0135821870941154</v>
      </c>
      <c r="G108" s="19" t="n">
        <v>0.13170169215026</v>
      </c>
      <c r="H108" s="19" t="n">
        <v>0.599105687846182</v>
      </c>
      <c r="I108" s="28" t="s">
        <v>1871</v>
      </c>
      <c r="J108" s="23" t="n">
        <v>549170</v>
      </c>
      <c r="K108" s="23" t="n">
        <v>10000</v>
      </c>
      <c r="L108" s="23" t="n">
        <v>10574358.5404123</v>
      </c>
      <c r="M108" s="23" t="n">
        <v>5708281.72332127</v>
      </c>
      <c r="N108" s="23" t="n">
        <v>9528004.55599554</v>
      </c>
      <c r="O108" s="23" t="n">
        <v>1392660.91317585</v>
      </c>
      <c r="P108" s="23" t="n">
        <v>0</v>
      </c>
      <c r="Q108" s="23" t="n">
        <v>1299799.53912224</v>
      </c>
      <c r="R108" s="23" t="n">
        <v>3446923.65237143</v>
      </c>
      <c r="S108" s="23" t="n">
        <v>-480172.177283229</v>
      </c>
      <c r="T108" s="23" t="n">
        <v>167672.590545129</v>
      </c>
      <c r="U108" s="23" t="n">
        <v>332649.151393593</v>
      </c>
      <c r="V108" s="23" t="n">
        <v>22657.3106011708</v>
      </c>
      <c r="W108" s="23" t="n">
        <v>0</v>
      </c>
      <c r="X108" s="19" t="n">
        <v>-0.00464462040546205</v>
      </c>
      <c r="Y108" s="19" t="n">
        <v>-1.13513912780609</v>
      </c>
      <c r="Z108" s="23" t="n">
        <v>52</v>
      </c>
      <c r="AA108" s="28" t="s">
        <v>1221</v>
      </c>
      <c r="AB108" s="28" t="s">
        <v>1870</v>
      </c>
    </row>
    <row r="109" customFormat="false" ht="15" hidden="false" customHeight="false" outlineLevel="0" collapsed="false">
      <c r="A109" s="28" t="s">
        <v>1874</v>
      </c>
      <c r="B109" s="28" t="s">
        <v>186</v>
      </c>
      <c r="C109" s="28" t="s">
        <v>1714</v>
      </c>
      <c r="D109" s="23" t="n">
        <v>378109.160877873</v>
      </c>
      <c r="E109" s="23" t="n">
        <v>158124.728274533</v>
      </c>
      <c r="F109" s="19" t="n">
        <v>0.0144950569662698</v>
      </c>
      <c r="G109" s="19" t="n">
        <v>0.137928696837919</v>
      </c>
      <c r="H109" s="19" t="n">
        <v>0.599105687846182</v>
      </c>
      <c r="I109" s="28" t="s">
        <v>1871</v>
      </c>
      <c r="J109" s="23" t="n">
        <v>571137</v>
      </c>
      <c r="K109" s="23" t="n">
        <v>10000</v>
      </c>
      <c r="L109" s="23" t="n">
        <v>11243386.4525866</v>
      </c>
      <c r="M109" s="23" t="n">
        <v>5993695.80948733</v>
      </c>
      <c r="N109" s="23" t="n">
        <v>10004404.7837953</v>
      </c>
      <c r="O109" s="23" t="n">
        <v>1550785.64145038</v>
      </c>
      <c r="P109" s="23" t="n">
        <v>0</v>
      </c>
      <c r="Q109" s="23" t="n">
        <v>1716425.23056664</v>
      </c>
      <c r="R109" s="23" t="n">
        <v>3371043.83388946</v>
      </c>
      <c r="S109" s="23" t="n">
        <v>-452362.483609479</v>
      </c>
      <c r="T109" s="23" t="n">
        <v>159463.115220257</v>
      </c>
      <c r="U109" s="23" t="n">
        <v>345657.371692368</v>
      </c>
      <c r="V109" s="23" t="n">
        <v>23790.1761312293</v>
      </c>
      <c r="W109" s="23" t="n">
        <v>13682.9618741428</v>
      </c>
      <c r="X109" s="19" t="n">
        <v>0.0170243431791292</v>
      </c>
      <c r="Y109" s="19" t="n">
        <v>-0.677363970563174</v>
      </c>
      <c r="Z109" s="23" t="n">
        <v>53</v>
      </c>
      <c r="AA109" s="28" t="s">
        <v>1221</v>
      </c>
      <c r="AB109" s="28" t="s">
        <v>1870</v>
      </c>
    </row>
    <row r="110" customFormat="false" ht="15" hidden="false" customHeight="false" outlineLevel="0" collapsed="false">
      <c r="A110" s="28" t="s">
        <v>1874</v>
      </c>
      <c r="B110" s="28" t="s">
        <v>186</v>
      </c>
      <c r="C110" s="28" t="s">
        <v>1715</v>
      </c>
      <c r="D110" s="23" t="n">
        <v>413360.879130572</v>
      </c>
      <c r="E110" s="23" t="n">
        <v>167649.779369162</v>
      </c>
      <c r="F110" s="19" t="n">
        <v>0.0144617247694496</v>
      </c>
      <c r="G110" s="19" t="n">
        <v>0.143899393184288</v>
      </c>
      <c r="H110" s="19" t="n">
        <v>0.599105687846182</v>
      </c>
      <c r="I110" s="28" t="s">
        <v>1871</v>
      </c>
      <c r="J110" s="23" t="n">
        <v>593983</v>
      </c>
      <c r="K110" s="23" t="n">
        <v>12000</v>
      </c>
      <c r="L110" s="23" t="n">
        <v>11941922.6363157</v>
      </c>
      <c r="M110" s="23" t="n">
        <v>6293380.59996169</v>
      </c>
      <c r="N110" s="23" t="n">
        <v>10504625.0229851</v>
      </c>
      <c r="O110" s="23" t="n">
        <v>1718435.42081955</v>
      </c>
      <c r="P110" s="23" t="n">
        <v>0</v>
      </c>
      <c r="Q110" s="23" t="n">
        <v>2139410.74022784</v>
      </c>
      <c r="R110" s="23" t="n">
        <v>3307836.76200403</v>
      </c>
      <c r="S110" s="23" t="n">
        <v>-428724.243986792</v>
      </c>
      <c r="T110" s="23" t="n">
        <v>150333.464877981</v>
      </c>
      <c r="U110" s="23" t="n">
        <v>359064.879701601</v>
      </c>
      <c r="V110" s="23" t="n">
        <v>24979.6849377908</v>
      </c>
      <c r="W110" s="23" t="n">
        <v>28460.5606982169</v>
      </c>
      <c r="X110" s="19" t="n">
        <v>0.0356633178652095</v>
      </c>
      <c r="Y110" s="19" t="n">
        <v>-0.48018434183131</v>
      </c>
      <c r="Z110" s="23" t="n">
        <v>54</v>
      </c>
      <c r="AA110" s="28" t="s">
        <v>1221</v>
      </c>
      <c r="AB110" s="28" t="s">
        <v>1870</v>
      </c>
    </row>
    <row r="111" customFormat="false" ht="15" hidden="false" customHeight="false" outlineLevel="0" collapsed="false">
      <c r="A111" s="28" t="s">
        <v>1874</v>
      </c>
      <c r="B111" s="28" t="s">
        <v>186</v>
      </c>
      <c r="C111" s="28" t="s">
        <v>1716</v>
      </c>
      <c r="D111" s="23" t="n">
        <v>453165.930348166</v>
      </c>
      <c r="E111" s="23" t="n">
        <v>197074.624337053</v>
      </c>
      <c r="F111" s="19" t="n">
        <v>0.0160004579552171</v>
      </c>
      <c r="G111" s="19" t="n">
        <v>0.150926195407097</v>
      </c>
      <c r="H111" s="19" t="n">
        <v>0.599105687846182</v>
      </c>
      <c r="I111" s="28" t="s">
        <v>1869</v>
      </c>
      <c r="J111" s="23" t="n">
        <v>617742</v>
      </c>
      <c r="K111" s="23" t="n">
        <v>12000</v>
      </c>
      <c r="L111" s="23" t="n">
        <v>12691700.3373062</v>
      </c>
      <c r="M111" s="23" t="n">
        <v>6608049.62995978</v>
      </c>
      <c r="N111" s="23" t="n">
        <v>11029856.2741343</v>
      </c>
      <c r="O111" s="23" t="n">
        <v>1915510.0451566</v>
      </c>
      <c r="P111" s="23" t="n">
        <v>0</v>
      </c>
      <c r="Q111" s="23" t="n">
        <v>2600628.26307581</v>
      </c>
      <c r="R111" s="23" t="n">
        <v>3245814.82271646</v>
      </c>
      <c r="S111" s="23" t="n">
        <v>-408631.740307507</v>
      </c>
      <c r="T111" s="23" t="n">
        <v>155023.013664725</v>
      </c>
      <c r="U111" s="23" t="n">
        <v>372885.650491157</v>
      </c>
      <c r="V111" s="23" t="n">
        <v>26228.6691846803</v>
      </c>
      <c r="W111" s="23" t="n">
        <v>29598.9831261456</v>
      </c>
      <c r="X111" s="19" t="n">
        <v>0.053627218525448</v>
      </c>
      <c r="Y111" s="19" t="n">
        <v>-0.361683537495392</v>
      </c>
      <c r="Z111" s="23" t="n">
        <v>55</v>
      </c>
      <c r="AA111" s="28" t="s">
        <v>1221</v>
      </c>
      <c r="AB111" s="28" t="s">
        <v>1870</v>
      </c>
    </row>
    <row r="112" customFormat="false" ht="15" hidden="false" customHeight="false" outlineLevel="0" collapsed="false">
      <c r="A112" s="28" t="s">
        <v>1874</v>
      </c>
      <c r="B112" s="28" t="s">
        <v>210</v>
      </c>
      <c r="C112" s="28" t="s">
        <v>1515</v>
      </c>
      <c r="D112" s="23" t="n">
        <v>322255.125294411</v>
      </c>
      <c r="E112" s="23" t="n">
        <v>137509.035089935</v>
      </c>
      <c r="F112" s="19" t="n">
        <v>0.0139765064083297</v>
      </c>
      <c r="G112" s="19" t="n">
        <v>0.123293185407705</v>
      </c>
      <c r="H112" s="19" t="n">
        <v>0.599105687846182</v>
      </c>
      <c r="I112" s="28" t="s">
        <v>1871</v>
      </c>
      <c r="J112" s="23" t="n">
        <v>528048</v>
      </c>
      <c r="K112" s="23" t="n">
        <v>16000</v>
      </c>
      <c r="L112" s="23" t="n">
        <v>10092748.2405055</v>
      </c>
      <c r="M112" s="23" t="n">
        <v>5436458.78411549</v>
      </c>
      <c r="N112" s="23" t="n">
        <v>9074290.05332908</v>
      </c>
      <c r="O112" s="23" t="n">
        <v>1244367.08008993</v>
      </c>
      <c r="P112" s="23" t="n">
        <v>0</v>
      </c>
      <c r="Q112" s="23" t="n">
        <v>900600.840365623</v>
      </c>
      <c r="R112" s="23" t="n">
        <v>3524253.40369063</v>
      </c>
      <c r="S112" s="23" t="n">
        <v>-353399.605793624</v>
      </c>
      <c r="T112" s="23" t="n">
        <v>164525.355449007</v>
      </c>
      <c r="U112" s="23" t="n">
        <v>310356.074</v>
      </c>
      <c r="V112" s="23" t="n">
        <v>22915.3716534831</v>
      </c>
      <c r="W112" s="23" t="n">
        <v>0</v>
      </c>
      <c r="X112" s="19" t="n">
        <v>0.0196491947213768</v>
      </c>
      <c r="Y112" s="19" t="n">
        <v>-0.674246330445084</v>
      </c>
      <c r="Z112" s="23" t="n">
        <v>51</v>
      </c>
      <c r="AA112" s="28" t="s">
        <v>1221</v>
      </c>
      <c r="AB112" s="28" t="s">
        <v>1870</v>
      </c>
    </row>
    <row r="113" customFormat="false" ht="15" hidden="false" customHeight="false" outlineLevel="0" collapsed="false">
      <c r="A113" s="28" t="s">
        <v>1874</v>
      </c>
      <c r="B113" s="28" t="s">
        <v>210</v>
      </c>
      <c r="C113" s="28" t="s">
        <v>1713</v>
      </c>
      <c r="D113" s="23" t="n">
        <v>342628.095934033</v>
      </c>
      <c r="E113" s="23" t="n">
        <v>133875.580374645</v>
      </c>
      <c r="F113" s="19" t="n">
        <v>0.012863464320923</v>
      </c>
      <c r="G113" s="19" t="n">
        <v>0.128542135457098</v>
      </c>
      <c r="H113" s="19" t="n">
        <v>0.599105687846182</v>
      </c>
      <c r="I113" s="28" t="s">
        <v>1871</v>
      </c>
      <c r="J113" s="23" t="n">
        <v>549170</v>
      </c>
      <c r="K113" s="23" t="n">
        <v>10000</v>
      </c>
      <c r="L113" s="23" t="n">
        <v>10722108.0120034</v>
      </c>
      <c r="M113" s="23" t="n">
        <v>5708281.72332127</v>
      </c>
      <c r="N113" s="23" t="n">
        <v>9528004.55599554</v>
      </c>
      <c r="O113" s="23" t="n">
        <v>1378242.66046458</v>
      </c>
      <c r="P113" s="23" t="n">
        <v>0</v>
      </c>
      <c r="Q113" s="23" t="n">
        <v>1285381.28641097</v>
      </c>
      <c r="R113" s="23" t="n">
        <v>3446923.65237143</v>
      </c>
      <c r="S113" s="23" t="n">
        <v>-318004.452980864</v>
      </c>
      <c r="T113" s="23" t="n">
        <v>156553.946435376</v>
      </c>
      <c r="U113" s="23" t="n">
        <v>332649.151393593</v>
      </c>
      <c r="V113" s="23" t="n">
        <v>22657.3106011708</v>
      </c>
      <c r="W113" s="23" t="n">
        <v>13156.6941097527</v>
      </c>
      <c r="X113" s="19" t="n">
        <v>0.0396404327515824</v>
      </c>
      <c r="Y113" s="19" t="n">
        <v>-0.48475168090697</v>
      </c>
      <c r="Z113" s="23" t="n">
        <v>52</v>
      </c>
      <c r="AA113" s="28" t="s">
        <v>1221</v>
      </c>
      <c r="AB113" s="28" t="s">
        <v>1870</v>
      </c>
    </row>
    <row r="114" customFormat="false" ht="15" hidden="false" customHeight="false" outlineLevel="0" collapsed="false">
      <c r="A114" s="28" t="s">
        <v>1874</v>
      </c>
      <c r="B114" s="28" t="s">
        <v>210</v>
      </c>
      <c r="C114" s="28" t="s">
        <v>1714</v>
      </c>
      <c r="D114" s="23" t="n">
        <v>369476.574099748</v>
      </c>
      <c r="E114" s="23" t="n">
        <v>137736.979622265</v>
      </c>
      <c r="F114" s="19" t="n">
        <v>0.0124689156035892</v>
      </c>
      <c r="G114" s="19" t="n">
        <v>0.133322769679296</v>
      </c>
      <c r="H114" s="19" t="n">
        <v>0.599105687846182</v>
      </c>
      <c r="I114" s="28" t="s">
        <v>1869</v>
      </c>
      <c r="J114" s="23" t="n">
        <v>571137</v>
      </c>
      <c r="K114" s="23" t="n">
        <v>10000</v>
      </c>
      <c r="L114" s="23" t="n">
        <v>11370748.1755254</v>
      </c>
      <c r="M114" s="23" t="n">
        <v>5993695.80948733</v>
      </c>
      <c r="N114" s="23" t="n">
        <v>10004404.7837953</v>
      </c>
      <c r="O114" s="23" t="n">
        <v>1515979.64008685</v>
      </c>
      <c r="P114" s="23" t="n">
        <v>0</v>
      </c>
      <c r="Q114" s="23" t="n">
        <v>1681619.22920311</v>
      </c>
      <c r="R114" s="23" t="n">
        <v>3371043.83388946</v>
      </c>
      <c r="S114" s="23" t="n">
        <v>-290194.759307114</v>
      </c>
      <c r="T114" s="23" t="n">
        <v>147707.953346115</v>
      </c>
      <c r="U114" s="23" t="n">
        <v>345657.371692368</v>
      </c>
      <c r="V114" s="23" t="n">
        <v>23790.1761312293</v>
      </c>
      <c r="W114" s="23" t="n">
        <v>27365.9237482855</v>
      </c>
      <c r="X114" s="19" t="n">
        <v>0.0564122381881427</v>
      </c>
      <c r="Y114" s="19" t="n">
        <v>-0.378187132207845</v>
      </c>
      <c r="Z114" s="23" t="n">
        <v>53</v>
      </c>
      <c r="AA114" s="28" t="s">
        <v>1221</v>
      </c>
      <c r="AB114" s="28" t="s">
        <v>1870</v>
      </c>
    </row>
    <row r="115" customFormat="false" ht="15" hidden="false" customHeight="false" outlineLevel="0" collapsed="false">
      <c r="A115" s="28" t="s">
        <v>1874</v>
      </c>
      <c r="B115" s="28" t="s">
        <v>210</v>
      </c>
      <c r="C115" s="28" t="s">
        <v>1715</v>
      </c>
      <c r="D115" s="23" t="n">
        <v>393917.441376583</v>
      </c>
      <c r="E115" s="23" t="n">
        <v>150134.141615172</v>
      </c>
      <c r="F115" s="19" t="n">
        <v>0.0128196420799026</v>
      </c>
      <c r="G115" s="19" t="n">
        <v>0.138246411809218</v>
      </c>
      <c r="H115" s="19" t="n">
        <v>0.599105687846182</v>
      </c>
      <c r="I115" s="28" t="s">
        <v>1719</v>
      </c>
      <c r="J115" s="23" t="n">
        <v>593983</v>
      </c>
      <c r="K115" s="23" t="n">
        <v>12000</v>
      </c>
      <c r="L115" s="23" t="n">
        <v>12051768.7215006</v>
      </c>
      <c r="M115" s="23" t="n">
        <v>6293380.59996169</v>
      </c>
      <c r="N115" s="23" t="n">
        <v>10504625.0229851</v>
      </c>
      <c r="O115" s="23" t="n">
        <v>1666113.78170202</v>
      </c>
      <c r="P115" s="23" t="n">
        <v>0</v>
      </c>
      <c r="Q115" s="23" t="n">
        <v>2087089.10111031</v>
      </c>
      <c r="R115" s="23" t="n">
        <v>3307836.76200403</v>
      </c>
      <c r="S115" s="23" t="n">
        <v>-266556.519684427</v>
      </c>
      <c r="T115" s="23" t="n">
        <v>152261.264877981</v>
      </c>
      <c r="U115" s="23" t="n">
        <v>359064.879701601</v>
      </c>
      <c r="V115" s="23" t="n">
        <v>24979.6849377908</v>
      </c>
      <c r="W115" s="23" t="n">
        <v>28460.5606982169</v>
      </c>
      <c r="X115" s="19" t="n">
        <v>0.0711150220694626</v>
      </c>
      <c r="Y115" s="19" t="n">
        <v>-0.308544368402932</v>
      </c>
      <c r="Z115" s="23" t="n">
        <v>54</v>
      </c>
      <c r="AA115" s="28" t="s">
        <v>1221</v>
      </c>
      <c r="AB115" s="28" t="s">
        <v>1870</v>
      </c>
    </row>
    <row r="116" customFormat="false" ht="15" hidden="false" customHeight="false" outlineLevel="0" collapsed="false">
      <c r="A116" s="28" t="s">
        <v>1874</v>
      </c>
      <c r="B116" s="28" t="s">
        <v>210</v>
      </c>
      <c r="C116" s="28" t="s">
        <v>1716</v>
      </c>
      <c r="D116" s="23" t="n">
        <v>421962.083236051</v>
      </c>
      <c r="E116" s="23" t="n">
        <v>167798.577224938</v>
      </c>
      <c r="F116" s="19" t="n">
        <v>0.013519039070965</v>
      </c>
      <c r="G116" s="19" t="n">
        <v>0.143585463275361</v>
      </c>
      <c r="H116" s="19" t="n">
        <v>0.599105687846182</v>
      </c>
      <c r="I116" s="28" t="s">
        <v>1719</v>
      </c>
      <c r="J116" s="23" t="n">
        <v>617742</v>
      </c>
      <c r="K116" s="23" t="n">
        <v>12000</v>
      </c>
      <c r="L116" s="23" t="n">
        <v>12772270.3753789</v>
      </c>
      <c r="M116" s="23" t="n">
        <v>6608049.62995978</v>
      </c>
      <c r="N116" s="23" t="n">
        <v>11029856.2741343</v>
      </c>
      <c r="O116" s="23" t="n">
        <v>1833912.35892696</v>
      </c>
      <c r="P116" s="23" t="n">
        <v>0</v>
      </c>
      <c r="Q116" s="23" t="n">
        <v>2519030.57684616</v>
      </c>
      <c r="R116" s="23" t="n">
        <v>3245814.82271646</v>
      </c>
      <c r="S116" s="23" t="n">
        <v>-246464.016005142</v>
      </c>
      <c r="T116" s="23" t="n">
        <v>156950.813664725</v>
      </c>
      <c r="U116" s="23" t="n">
        <v>372885.650491157</v>
      </c>
      <c r="V116" s="23" t="n">
        <v>26228.6691846803</v>
      </c>
      <c r="W116" s="23" t="n">
        <v>29598.9831261456</v>
      </c>
      <c r="X116" s="19" t="n">
        <v>0.0846464397467515</v>
      </c>
      <c r="Y116" s="19" t="n">
        <v>-0.257727160671624</v>
      </c>
      <c r="Z116" s="23" t="n">
        <v>55</v>
      </c>
      <c r="AA116" s="28" t="s">
        <v>1221</v>
      </c>
      <c r="AB116" s="28" t="s">
        <v>1870</v>
      </c>
    </row>
    <row r="117" customFormat="false" ht="15" hidden="false" customHeight="false" outlineLevel="0" collapsed="false">
      <c r="A117" s="28" t="s">
        <v>1874</v>
      </c>
      <c r="B117" s="28" t="s">
        <v>214</v>
      </c>
      <c r="C117" s="28" t="s">
        <v>1515</v>
      </c>
      <c r="D117" s="23" t="n">
        <v>315746.752487057</v>
      </c>
      <c r="E117" s="23" t="n">
        <v>118788.58690647</v>
      </c>
      <c r="F117" s="19" t="n">
        <v>0.0120022062953693</v>
      </c>
      <c r="G117" s="19" t="n">
        <v>0.119357720323889</v>
      </c>
      <c r="H117" s="19" t="n">
        <v>0.599105687846182</v>
      </c>
      <c r="I117" s="28" t="s">
        <v>1719</v>
      </c>
      <c r="J117" s="23" t="n">
        <v>528048</v>
      </c>
      <c r="K117" s="23" t="n">
        <v>16000</v>
      </c>
      <c r="L117" s="23" t="n">
        <v>10268683.3208657</v>
      </c>
      <c r="M117" s="23" t="n">
        <v>5436458.78411549</v>
      </c>
      <c r="N117" s="23" t="n">
        <v>9074290.05332908</v>
      </c>
      <c r="O117" s="23" t="n">
        <v>1225646.63190647</v>
      </c>
      <c r="P117" s="23" t="n">
        <v>0</v>
      </c>
      <c r="Q117" s="23" t="n">
        <v>881880.392182159</v>
      </c>
      <c r="R117" s="23" t="n">
        <v>3524253.40369063</v>
      </c>
      <c r="S117" s="23" t="n">
        <v>-158744.077250008</v>
      </c>
      <c r="T117" s="23" t="n">
        <v>165359.205449007</v>
      </c>
      <c r="U117" s="23" t="n">
        <v>310356.074</v>
      </c>
      <c r="V117" s="23" t="n">
        <v>35961.297029594</v>
      </c>
      <c r="W117" s="23" t="n">
        <v>0</v>
      </c>
      <c r="X117" s="19" t="n">
        <v>0.0711974148504199</v>
      </c>
      <c r="Y117" s="19" t="n">
        <v>-0.351152750212797</v>
      </c>
      <c r="Z117" s="23" t="n">
        <v>51</v>
      </c>
      <c r="AA117" s="28" t="s">
        <v>1221</v>
      </c>
      <c r="AB117" s="28" t="s">
        <v>1870</v>
      </c>
    </row>
    <row r="118" customFormat="false" ht="15" hidden="false" customHeight="false" outlineLevel="0" collapsed="false">
      <c r="A118" s="28" t="s">
        <v>1874</v>
      </c>
      <c r="B118" s="28" t="s">
        <v>214</v>
      </c>
      <c r="C118" s="28" t="s">
        <v>1713</v>
      </c>
      <c r="D118" s="23" t="n">
        <v>319718.393401299</v>
      </c>
      <c r="E118" s="23" t="n">
        <v>77291.3850992437</v>
      </c>
      <c r="F118" s="19" t="n">
        <v>0.00729131032443181</v>
      </c>
      <c r="G118" s="19" t="n">
        <v>0.119182690991906</v>
      </c>
      <c r="H118" s="19" t="n">
        <v>0.599105687846182</v>
      </c>
      <c r="I118" s="28" t="s">
        <v>1719</v>
      </c>
      <c r="J118" s="23" t="n">
        <v>549170</v>
      </c>
      <c r="K118" s="23" t="n">
        <v>10000</v>
      </c>
      <c r="L118" s="23" t="n">
        <v>10932275.5356665</v>
      </c>
      <c r="M118" s="23" t="n">
        <v>5708281.72332127</v>
      </c>
      <c r="N118" s="23" t="n">
        <v>9528004.55599554</v>
      </c>
      <c r="O118" s="23" t="n">
        <v>1302938.01700571</v>
      </c>
      <c r="P118" s="23" t="n">
        <v>0</v>
      </c>
      <c r="Q118" s="23" t="n">
        <v>1210076.6429521</v>
      </c>
      <c r="R118" s="23" t="n">
        <v>3446923.65237143</v>
      </c>
      <c r="S118" s="23" t="n">
        <v>-32532.2858588845</v>
      </c>
      <c r="T118" s="23" t="n">
        <v>160017.146435376</v>
      </c>
      <c r="U118" s="23" t="n">
        <v>332649.151393593</v>
      </c>
      <c r="V118" s="23" t="n">
        <v>59795.0033438392</v>
      </c>
      <c r="W118" s="23" t="n">
        <v>13156.6941097527</v>
      </c>
      <c r="X118" s="19" t="n">
        <v>0.104479546305458</v>
      </c>
      <c r="Y118" s="19" t="n">
        <v>-0.249730220089789</v>
      </c>
      <c r="Z118" s="23" t="n">
        <v>52</v>
      </c>
      <c r="AA118" s="28" t="s">
        <v>1221</v>
      </c>
      <c r="AB118" s="28" t="s">
        <v>1870</v>
      </c>
    </row>
    <row r="119" customFormat="false" ht="15" hidden="false" customHeight="false" outlineLevel="0" collapsed="false">
      <c r="A119" s="28" t="s">
        <v>1874</v>
      </c>
      <c r="B119" s="28" t="s">
        <v>214</v>
      </c>
      <c r="C119" s="28" t="s">
        <v>1714</v>
      </c>
      <c r="D119" s="23" t="n">
        <v>333452.38068265</v>
      </c>
      <c r="E119" s="23" t="n">
        <v>73622.8121715651</v>
      </c>
      <c r="F119" s="19" t="n">
        <v>0.00655909478599137</v>
      </c>
      <c r="G119" s="19" t="n">
        <v>0.119526313393851</v>
      </c>
      <c r="H119" s="19" t="n">
        <v>0.599105687846182</v>
      </c>
      <c r="I119" s="28" t="s">
        <v>1719</v>
      </c>
      <c r="J119" s="23" t="n">
        <v>571137</v>
      </c>
      <c r="K119" s="23" t="n">
        <v>10000</v>
      </c>
      <c r="L119" s="23" t="n">
        <v>11516801.5317378</v>
      </c>
      <c r="M119" s="23" t="n">
        <v>5993695.80948733</v>
      </c>
      <c r="N119" s="23" t="n">
        <v>10004404.7837953</v>
      </c>
      <c r="O119" s="23" t="n">
        <v>1376560.82917728</v>
      </c>
      <c r="P119" s="23" t="n">
        <v>0</v>
      </c>
      <c r="Q119" s="23" t="n">
        <v>1542200.41829354</v>
      </c>
      <c r="R119" s="23" t="n">
        <v>3371043.83388946</v>
      </c>
      <c r="S119" s="23" t="n">
        <v>-4722.59218513447</v>
      </c>
      <c r="T119" s="23" t="n">
        <v>151450.153346115</v>
      </c>
      <c r="U119" s="23" t="n">
        <v>345657.371692368</v>
      </c>
      <c r="V119" s="23" t="n">
        <v>55622.3501648314</v>
      </c>
      <c r="W119" s="23" t="n">
        <v>27365.9237482855</v>
      </c>
      <c r="X119" s="19" t="n">
        <v>0.112276836109884</v>
      </c>
      <c r="Y119" s="19" t="n">
        <v>-0.223296593039145</v>
      </c>
      <c r="Z119" s="23" t="n">
        <v>53</v>
      </c>
      <c r="AA119" s="28" t="s">
        <v>1221</v>
      </c>
      <c r="AB119" s="28" t="s">
        <v>1870</v>
      </c>
    </row>
    <row r="120" customFormat="false" ht="15" hidden="false" customHeight="false" outlineLevel="0" collapsed="false">
      <c r="A120" s="28" t="s">
        <v>1874</v>
      </c>
      <c r="B120" s="28" t="s">
        <v>214</v>
      </c>
      <c r="C120" s="28" t="s">
        <v>1715</v>
      </c>
      <c r="D120" s="23" t="n">
        <v>337152.268866688</v>
      </c>
      <c r="E120" s="23" t="n">
        <v>63687.3863699953</v>
      </c>
      <c r="F120" s="19" t="n">
        <v>0.00539079987110047</v>
      </c>
      <c r="G120" s="19" t="n">
        <v>0.118916983183196</v>
      </c>
      <c r="H120" s="19" t="n">
        <v>0.599105687846182</v>
      </c>
      <c r="I120" s="28" t="s">
        <v>1719</v>
      </c>
      <c r="J120" s="23" t="n">
        <v>593983</v>
      </c>
      <c r="K120" s="23" t="n">
        <v>12000</v>
      </c>
      <c r="L120" s="23" t="n">
        <v>12111375.3224678</v>
      </c>
      <c r="M120" s="23" t="n">
        <v>6293380.59996169</v>
      </c>
      <c r="N120" s="23" t="n">
        <v>10504625.0229851</v>
      </c>
      <c r="O120" s="23" t="n">
        <v>1440248.21554727</v>
      </c>
      <c r="P120" s="23" t="n">
        <v>0</v>
      </c>
      <c r="Q120" s="23" t="n">
        <v>1861223.53495556</v>
      </c>
      <c r="R120" s="23" t="n">
        <v>3307836.76200403</v>
      </c>
      <c r="S120" s="23" t="n">
        <v>18915.647437553</v>
      </c>
      <c r="T120" s="23" t="n">
        <v>156003.464877981</v>
      </c>
      <c r="U120" s="23" t="n">
        <v>359064.879701601</v>
      </c>
      <c r="V120" s="23" t="n">
        <v>58403.467673073</v>
      </c>
      <c r="W120" s="23" t="n">
        <v>28460.5606982169</v>
      </c>
      <c r="X120" s="19" t="n">
        <v>0.117455180931702</v>
      </c>
      <c r="Y120" s="19" t="n">
        <v>-0.204262142063206</v>
      </c>
      <c r="Z120" s="23" t="n">
        <v>54</v>
      </c>
      <c r="AA120" s="28" t="s">
        <v>1221</v>
      </c>
      <c r="AB120" s="28" t="s">
        <v>1870</v>
      </c>
    </row>
    <row r="121" customFormat="false" ht="15" hidden="false" customHeight="false" outlineLevel="0" collapsed="false">
      <c r="A121" s="28" t="s">
        <v>1874</v>
      </c>
      <c r="B121" s="28" t="s">
        <v>214</v>
      </c>
      <c r="C121" s="28" t="s">
        <v>1716</v>
      </c>
      <c r="D121" s="23" t="n">
        <v>340737.391897869</v>
      </c>
      <c r="E121" s="23" t="n">
        <v>55221.1140147103</v>
      </c>
      <c r="F121" s="19" t="n">
        <v>0.00444781419597432</v>
      </c>
      <c r="G121" s="19" t="n">
        <v>0.117574818331586</v>
      </c>
      <c r="H121" s="19" t="n">
        <v>0.599105687846182</v>
      </c>
      <c r="I121" s="28" t="s">
        <v>1719</v>
      </c>
      <c r="J121" s="23" t="n">
        <v>617742</v>
      </c>
      <c r="K121" s="23" t="n">
        <v>12000</v>
      </c>
      <c r="L121" s="23" t="n">
        <v>12719299.5131359</v>
      </c>
      <c r="M121" s="23" t="n">
        <v>6608049.62995978</v>
      </c>
      <c r="N121" s="23" t="n">
        <v>11029856.2741343</v>
      </c>
      <c r="O121" s="23" t="n">
        <v>1495469.32956198</v>
      </c>
      <c r="P121" s="23" t="n">
        <v>0</v>
      </c>
      <c r="Q121" s="23" t="n">
        <v>2180587.54748119</v>
      </c>
      <c r="R121" s="23" t="n">
        <v>3245814.82271646</v>
      </c>
      <c r="S121" s="23" t="n">
        <v>39008.1511168374</v>
      </c>
      <c r="T121" s="23" t="n">
        <v>160693.013664725</v>
      </c>
      <c r="U121" s="23" t="n">
        <v>372885.650491157</v>
      </c>
      <c r="V121" s="23" t="n">
        <v>61323.6410567266</v>
      </c>
      <c r="W121" s="23" t="n">
        <v>29598.9831261456</v>
      </c>
      <c r="X121" s="19" t="n">
        <v>0.120708672083301</v>
      </c>
      <c r="Y121" s="19" t="n">
        <v>-0.189554502017341</v>
      </c>
      <c r="Z121" s="23" t="n">
        <v>55</v>
      </c>
      <c r="AA121" s="28" t="s">
        <v>1221</v>
      </c>
      <c r="AB121" s="28" t="s">
        <v>1870</v>
      </c>
    </row>
  </sheetData>
  <autoFilter ref="A1:AB121"/>
  <conditionalFormatting sqref="I2:I121">
    <cfRule type="expression" priority="2" aboveAverage="0" equalAverage="0" bottom="0" percent="0" rank="0" text="" dxfId="0">
      <formula>I2="Low"</formula>
    </cfRule>
    <cfRule type="expression" priority="3" aboveAverage="0" equalAverage="0" bottom="0" percent="0" rank="0" text="" dxfId="2">
      <formula>I2="Moderate"</formula>
    </cfRule>
    <cfRule type="expression" priority="4" aboveAverage="0" equalAverage="0" bottom="0" percent="0" rank="0" text="" dxfId="1">
      <formula>I2="High"</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J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6"/>
    <col collapsed="false" customWidth="true" hidden="false" outlineLevel="0" max="4" min="4" style="0" width="15"/>
    <col collapsed="false" customWidth="true" hidden="false" outlineLevel="0" max="5" min="5" style="0" width="22"/>
    <col collapsed="false" customWidth="true" hidden="false" outlineLevel="0" max="6" min="6" style="0" width="21"/>
    <col collapsed="false" customWidth="true" hidden="false" outlineLevel="0" max="7" min="7" style="0" width="20"/>
    <col collapsed="false" customWidth="true" hidden="false" outlineLevel="0" max="8" min="8" style="0" width="19"/>
    <col collapsed="false" customWidth="true" hidden="false" outlineLevel="0" max="9" min="9" style="0" width="12"/>
    <col collapsed="false" customWidth="true" hidden="false" outlineLevel="0" max="10" min="10" style="0" width="60"/>
  </cols>
  <sheetData>
    <row r="1" customFormat="false" ht="30" hidden="false" customHeight="true" outlineLevel="0" collapsed="false">
      <c r="A1" s="27" t="s">
        <v>157</v>
      </c>
      <c r="B1" s="27" t="s">
        <v>1599</v>
      </c>
      <c r="C1" s="27" t="s">
        <v>1875</v>
      </c>
      <c r="D1" s="27" t="s">
        <v>1876</v>
      </c>
      <c r="E1" s="27" t="s">
        <v>253</v>
      </c>
      <c r="F1" s="27" t="s">
        <v>1877</v>
      </c>
      <c r="G1" s="27" t="s">
        <v>1878</v>
      </c>
      <c r="H1" s="27" t="s">
        <v>1879</v>
      </c>
      <c r="I1" s="27" t="s">
        <v>442</v>
      </c>
      <c r="J1" s="27" t="s">
        <v>443</v>
      </c>
    </row>
    <row r="2" customFormat="false" ht="15" hidden="false" customHeight="false" outlineLevel="0" collapsed="false">
      <c r="A2" s="28" t="s">
        <v>180</v>
      </c>
      <c r="B2" s="19" t="n">
        <v>0</v>
      </c>
      <c r="C2" s="19" t="n">
        <v>0.11</v>
      </c>
      <c r="D2" s="23" t="n">
        <v>5</v>
      </c>
      <c r="E2" s="19" t="n">
        <v>0.0159324013037375</v>
      </c>
      <c r="F2" s="23" t="n">
        <v>172330.145205329</v>
      </c>
      <c r="G2" s="23" t="n">
        <v>1161628.104</v>
      </c>
      <c r="H2" s="23" t="n">
        <v>9887845.027</v>
      </c>
      <c r="I2" s="28" t="s">
        <v>493</v>
      </c>
      <c r="J2" s="28" t="s">
        <v>1880</v>
      </c>
    </row>
    <row r="3" customFormat="false" ht="15" hidden="false" customHeight="false" outlineLevel="0" collapsed="false">
      <c r="A3" s="28" t="s">
        <v>180</v>
      </c>
      <c r="B3" s="19" t="n">
        <v>0.01</v>
      </c>
      <c r="C3" s="19" t="n">
        <v>0.11</v>
      </c>
      <c r="D3" s="23" t="n">
        <v>5</v>
      </c>
      <c r="E3" s="19" t="n">
        <v>0.0159324013037375</v>
      </c>
      <c r="F3" s="23" t="n">
        <v>165219.802048795</v>
      </c>
      <c r="G3" s="23" t="n">
        <v>1161628.104</v>
      </c>
      <c r="H3" s="23" t="n">
        <v>9887845.027</v>
      </c>
      <c r="I3" s="28" t="s">
        <v>493</v>
      </c>
      <c r="J3" s="28" t="s">
        <v>1880</v>
      </c>
    </row>
    <row r="4" customFormat="false" ht="15" hidden="false" customHeight="false" outlineLevel="0" collapsed="false">
      <c r="A4" s="28" t="s">
        <v>180</v>
      </c>
      <c r="B4" s="19" t="n">
        <v>0.02</v>
      </c>
      <c r="C4" s="19" t="n">
        <v>0.11</v>
      </c>
      <c r="D4" s="23" t="n">
        <v>5</v>
      </c>
      <c r="E4" s="19" t="n">
        <v>0.0159324013037375</v>
      </c>
      <c r="F4" s="23" t="n">
        <v>157757.617030504</v>
      </c>
      <c r="G4" s="23" t="n">
        <v>1161628.104</v>
      </c>
      <c r="H4" s="23" t="n">
        <v>9887845.027</v>
      </c>
      <c r="I4" s="28" t="s">
        <v>493</v>
      </c>
      <c r="J4" s="28" t="s">
        <v>1880</v>
      </c>
    </row>
    <row r="5" customFormat="false" ht="15" hidden="false" customHeight="false" outlineLevel="0" collapsed="false">
      <c r="A5" s="28" t="s">
        <v>180</v>
      </c>
      <c r="B5" s="19" t="n">
        <v>0.03</v>
      </c>
      <c r="C5" s="19" t="n">
        <v>0.11</v>
      </c>
      <c r="D5" s="23" t="n">
        <v>5</v>
      </c>
      <c r="E5" s="19" t="n">
        <v>0.0159324013037375</v>
      </c>
      <c r="F5" s="23" t="n">
        <v>149932.073754406</v>
      </c>
      <c r="G5" s="23" t="n">
        <v>1161628.104</v>
      </c>
      <c r="H5" s="23" t="n">
        <v>9887845.027</v>
      </c>
      <c r="I5" s="28" t="s">
        <v>493</v>
      </c>
      <c r="J5" s="28" t="s">
        <v>1880</v>
      </c>
    </row>
    <row r="6" customFormat="false" ht="15" hidden="false" customHeight="false" outlineLevel="0" collapsed="false">
      <c r="A6" s="28" t="s">
        <v>180</v>
      </c>
      <c r="B6" s="19" t="n">
        <v>0.04</v>
      </c>
      <c r="C6" s="19" t="n">
        <v>0.11</v>
      </c>
      <c r="D6" s="23" t="n">
        <v>5</v>
      </c>
      <c r="E6" s="19" t="n">
        <v>0.0159324013037375</v>
      </c>
      <c r="F6" s="23" t="n">
        <v>141731.416408888</v>
      </c>
      <c r="G6" s="23" t="n">
        <v>1161628.104</v>
      </c>
      <c r="H6" s="23" t="n">
        <v>9887845.027</v>
      </c>
      <c r="I6" s="28" t="s">
        <v>493</v>
      </c>
      <c r="J6" s="28" t="s">
        <v>1880</v>
      </c>
    </row>
    <row r="7" customFormat="false" ht="15" hidden="false" customHeight="false" outlineLevel="0" collapsed="false">
      <c r="A7" s="28" t="s">
        <v>180</v>
      </c>
      <c r="B7" s="19" t="n">
        <v>0.05</v>
      </c>
      <c r="C7" s="19" t="n">
        <v>0.11</v>
      </c>
      <c r="D7" s="23" t="n">
        <v>5</v>
      </c>
      <c r="E7" s="19" t="n">
        <v>0.0159324013037375</v>
      </c>
      <c r="F7" s="23" t="n">
        <v>133143.64734542</v>
      </c>
      <c r="G7" s="23" t="n">
        <v>1161628.104</v>
      </c>
      <c r="H7" s="23" t="n">
        <v>9887845.027</v>
      </c>
      <c r="I7" s="28" t="s">
        <v>493</v>
      </c>
      <c r="J7" s="28" t="s">
        <v>1880</v>
      </c>
    </row>
    <row r="8" customFormat="false" ht="15" hidden="false" customHeight="false" outlineLevel="0" collapsed="false">
      <c r="A8" s="28" t="s">
        <v>180</v>
      </c>
      <c r="B8" s="19" t="n">
        <v>0.06</v>
      </c>
      <c r="C8" s="19" t="n">
        <v>0.11</v>
      </c>
      <c r="D8" s="23" t="n">
        <v>5</v>
      </c>
      <c r="E8" s="19" t="n">
        <v>0.0159324013037375</v>
      </c>
      <c r="F8" s="23" t="n">
        <v>124156.524657215</v>
      </c>
      <c r="G8" s="23" t="n">
        <v>1161628.104</v>
      </c>
      <c r="H8" s="23" t="n">
        <v>9887845.027</v>
      </c>
      <c r="I8" s="28" t="s">
        <v>493</v>
      </c>
      <c r="J8" s="28" t="s">
        <v>1880</v>
      </c>
    </row>
    <row r="9" customFormat="false" ht="15" hidden="false" customHeight="false" outlineLevel="0" collapsed="false">
      <c r="A9" s="28" t="s">
        <v>180</v>
      </c>
      <c r="B9" s="19" t="n">
        <v>0.07</v>
      </c>
      <c r="C9" s="19" t="n">
        <v>0.11</v>
      </c>
      <c r="D9" s="23" t="n">
        <v>5</v>
      </c>
      <c r="E9" s="19" t="n">
        <v>0.0159324013037375</v>
      </c>
      <c r="F9" s="23" t="n">
        <v>114757.559757877</v>
      </c>
      <c r="G9" s="23" t="n">
        <v>1161628.104</v>
      </c>
      <c r="H9" s="23" t="n">
        <v>9887845.027</v>
      </c>
      <c r="I9" s="28" t="s">
        <v>493</v>
      </c>
      <c r="J9" s="28" t="s">
        <v>1880</v>
      </c>
    </row>
    <row r="10" customFormat="false" ht="15" hidden="false" customHeight="false" outlineLevel="0" collapsed="false">
      <c r="A10" s="28" t="s">
        <v>180</v>
      </c>
      <c r="B10" s="19" t="n">
        <v>0.08</v>
      </c>
      <c r="C10" s="19" t="n">
        <v>0.11</v>
      </c>
      <c r="D10" s="23" t="n">
        <v>5</v>
      </c>
      <c r="E10" s="19" t="n">
        <v>0.0159324013037375</v>
      </c>
      <c r="F10" s="23" t="n">
        <v>104934.014960061</v>
      </c>
      <c r="G10" s="23" t="n">
        <v>1161628.104</v>
      </c>
      <c r="H10" s="23" t="n">
        <v>9887845.027</v>
      </c>
      <c r="I10" s="28" t="s">
        <v>493</v>
      </c>
      <c r="J10" s="28" t="s">
        <v>1880</v>
      </c>
    </row>
    <row r="11" customFormat="false" ht="15" hidden="false" customHeight="false" outlineLevel="0" collapsed="false">
      <c r="A11" s="28" t="s">
        <v>180</v>
      </c>
      <c r="B11" s="19" t="n">
        <v>0.09</v>
      </c>
      <c r="C11" s="19" t="n">
        <v>0.11</v>
      </c>
      <c r="D11" s="23" t="n">
        <v>5</v>
      </c>
      <c r="E11" s="19" t="n">
        <v>0.0159324013037375</v>
      </c>
      <c r="F11" s="23" t="n">
        <v>94672.90105412</v>
      </c>
      <c r="G11" s="23" t="n">
        <v>1161628.104</v>
      </c>
      <c r="H11" s="23" t="n">
        <v>9887845.027</v>
      </c>
      <c r="I11" s="28" t="s">
        <v>493</v>
      </c>
      <c r="J11" s="28" t="s">
        <v>1880</v>
      </c>
    </row>
    <row r="12" customFormat="false" ht="15" hidden="false" customHeight="false" outlineLevel="0" collapsed="false">
      <c r="A12" s="28" t="s">
        <v>180</v>
      </c>
      <c r="B12" s="19" t="n">
        <v>0.1</v>
      </c>
      <c r="C12" s="19" t="n">
        <v>0.11</v>
      </c>
      <c r="D12" s="23" t="n">
        <v>5</v>
      </c>
      <c r="E12" s="19" t="n">
        <v>0.0159324013037375</v>
      </c>
      <c r="F12" s="23" t="n">
        <v>83960.9748867623</v>
      </c>
      <c r="G12" s="23" t="n">
        <v>1161628.104</v>
      </c>
      <c r="H12" s="23" t="n">
        <v>9887845.027</v>
      </c>
      <c r="I12" s="28" t="s">
        <v>493</v>
      </c>
      <c r="J12" s="28" t="s">
        <v>1880</v>
      </c>
    </row>
    <row r="13" customFormat="false" ht="15" hidden="false" customHeight="false" outlineLevel="0" collapsed="false">
      <c r="A13" s="28" t="s">
        <v>180</v>
      </c>
      <c r="B13" s="19" t="n">
        <v>0.11</v>
      </c>
      <c r="C13" s="19" t="n">
        <v>0.11</v>
      </c>
      <c r="D13" s="23" t="n">
        <v>5</v>
      </c>
      <c r="E13" s="19" t="n">
        <v>0.0159324013037375</v>
      </c>
      <c r="F13" s="23" t="n">
        <v>72784.7369397036</v>
      </c>
      <c r="G13" s="23" t="n">
        <v>1161628.104</v>
      </c>
      <c r="H13" s="23" t="n">
        <v>9887845.027</v>
      </c>
      <c r="I13" s="28" t="s">
        <v>493</v>
      </c>
      <c r="J13" s="28" t="s">
        <v>1880</v>
      </c>
    </row>
    <row r="14" customFormat="false" ht="15" hidden="false" customHeight="false" outlineLevel="0" collapsed="false">
      <c r="A14" s="28" t="s">
        <v>180</v>
      </c>
      <c r="B14" s="19" t="n">
        <v>0.12</v>
      </c>
      <c r="C14" s="19" t="n">
        <v>0.11</v>
      </c>
      <c r="D14" s="23" t="n">
        <v>5</v>
      </c>
      <c r="E14" s="19" t="n">
        <v>0.0159324013037375</v>
      </c>
      <c r="F14" s="23" t="n">
        <v>61130.4289083208</v>
      </c>
      <c r="G14" s="23" t="n">
        <v>1161628.104</v>
      </c>
      <c r="H14" s="23" t="n">
        <v>9887845.027</v>
      </c>
      <c r="I14" s="28" t="s">
        <v>493</v>
      </c>
      <c r="J14" s="28" t="s">
        <v>1880</v>
      </c>
    </row>
    <row r="15" customFormat="false" ht="15" hidden="false" customHeight="false" outlineLevel="0" collapsed="false">
      <c r="A15" s="28" t="s">
        <v>180</v>
      </c>
      <c r="B15" s="19" t="n">
        <v>0.13</v>
      </c>
      <c r="C15" s="19" t="n">
        <v>0.11</v>
      </c>
      <c r="D15" s="23" t="n">
        <v>5</v>
      </c>
      <c r="E15" s="19" t="n">
        <v>0.0159324013037375</v>
      </c>
      <c r="F15" s="23" t="n">
        <v>48984.0312803057</v>
      </c>
      <c r="G15" s="23" t="n">
        <v>1161628.104</v>
      </c>
      <c r="H15" s="23" t="n">
        <v>9887845.027</v>
      </c>
      <c r="I15" s="28" t="s">
        <v>493</v>
      </c>
      <c r="J15" s="28" t="s">
        <v>1880</v>
      </c>
    </row>
    <row r="16" customFormat="false" ht="15" hidden="false" customHeight="false" outlineLevel="0" collapsed="false">
      <c r="A16" s="28" t="s">
        <v>180</v>
      </c>
      <c r="B16" s="19" t="n">
        <v>0.14</v>
      </c>
      <c r="C16" s="19" t="n">
        <v>0.11</v>
      </c>
      <c r="D16" s="23" t="n">
        <v>5</v>
      </c>
      <c r="E16" s="19" t="n">
        <v>0.0159324013037375</v>
      </c>
      <c r="F16" s="23" t="n">
        <v>36331.2609143169</v>
      </c>
      <c r="G16" s="23" t="n">
        <v>1161628.104</v>
      </c>
      <c r="H16" s="23" t="n">
        <v>9887845.027</v>
      </c>
      <c r="I16" s="28" t="s">
        <v>493</v>
      </c>
      <c r="J16" s="28" t="s">
        <v>1880</v>
      </c>
    </row>
    <row r="17" customFormat="false" ht="15" hidden="false" customHeight="false" outlineLevel="0" collapsed="false">
      <c r="A17" s="28" t="s">
        <v>180</v>
      </c>
      <c r="B17" s="19" t="n">
        <v>0.15</v>
      </c>
      <c r="C17" s="19" t="n">
        <v>0.11</v>
      </c>
      <c r="D17" s="23" t="n">
        <v>5</v>
      </c>
      <c r="E17" s="19" t="n">
        <v>0.0159324013037375</v>
      </c>
      <c r="F17" s="23" t="n">
        <v>23157.5686186365</v>
      </c>
      <c r="G17" s="23" t="n">
        <v>1161628.104</v>
      </c>
      <c r="H17" s="23" t="n">
        <v>9887845.027</v>
      </c>
      <c r="I17" s="28" t="s">
        <v>493</v>
      </c>
      <c r="J17" s="28" t="s">
        <v>1880</v>
      </c>
    </row>
    <row r="18" customFormat="false" ht="15" hidden="false" customHeight="false" outlineLevel="0" collapsed="false">
      <c r="A18" s="28" t="s">
        <v>184</v>
      </c>
      <c r="B18" s="19" t="n">
        <v>0</v>
      </c>
      <c r="C18" s="19" t="n">
        <v>0.11</v>
      </c>
      <c r="D18" s="23" t="n">
        <v>5</v>
      </c>
      <c r="E18" s="19" t="n">
        <v>0.0166742130385494</v>
      </c>
      <c r="F18" s="23" t="n">
        <v>179665.064678359</v>
      </c>
      <c r="G18" s="23" t="n">
        <v>1161628.104</v>
      </c>
      <c r="H18" s="23" t="n">
        <v>9887845.027</v>
      </c>
      <c r="I18" s="28" t="s">
        <v>493</v>
      </c>
      <c r="J18" s="28" t="s">
        <v>1880</v>
      </c>
    </row>
    <row r="19" customFormat="false" ht="15" hidden="false" customHeight="false" outlineLevel="0" collapsed="false">
      <c r="A19" s="28" t="s">
        <v>184</v>
      </c>
      <c r="B19" s="19" t="n">
        <v>0.01</v>
      </c>
      <c r="C19" s="19" t="n">
        <v>0.11</v>
      </c>
      <c r="D19" s="23" t="n">
        <v>5</v>
      </c>
      <c r="E19" s="19" t="n">
        <v>0.0166742130385494</v>
      </c>
      <c r="F19" s="23" t="n">
        <v>172740.309705749</v>
      </c>
      <c r="G19" s="23" t="n">
        <v>1161628.104</v>
      </c>
      <c r="H19" s="23" t="n">
        <v>9887845.027</v>
      </c>
      <c r="I19" s="28" t="s">
        <v>493</v>
      </c>
      <c r="J19" s="28" t="s">
        <v>1880</v>
      </c>
    </row>
    <row r="20" customFormat="false" ht="15" hidden="false" customHeight="false" outlineLevel="0" collapsed="false">
      <c r="A20" s="28" t="s">
        <v>184</v>
      </c>
      <c r="B20" s="19" t="n">
        <v>0.02</v>
      </c>
      <c r="C20" s="19" t="n">
        <v>0.11</v>
      </c>
      <c r="D20" s="23" t="n">
        <v>5</v>
      </c>
      <c r="E20" s="19" t="n">
        <v>0.0166742130385494</v>
      </c>
      <c r="F20" s="23" t="n">
        <v>165468.202563122</v>
      </c>
      <c r="G20" s="23" t="n">
        <v>1161628.104</v>
      </c>
      <c r="H20" s="23" t="n">
        <v>9887845.027</v>
      </c>
      <c r="I20" s="28" t="s">
        <v>493</v>
      </c>
      <c r="J20" s="28" t="s">
        <v>1880</v>
      </c>
    </row>
    <row r="21" customFormat="false" ht="15" hidden="false" customHeight="false" outlineLevel="0" collapsed="false">
      <c r="A21" s="28" t="s">
        <v>184</v>
      </c>
      <c r="B21" s="19" t="n">
        <v>0.03</v>
      </c>
      <c r="C21" s="19" t="n">
        <v>0.11</v>
      </c>
      <c r="D21" s="23" t="n">
        <v>5</v>
      </c>
      <c r="E21" s="19" t="n">
        <v>0.0166742130385494</v>
      </c>
      <c r="F21" s="23" t="n">
        <v>157837.316732865</v>
      </c>
      <c r="G21" s="23" t="n">
        <v>1161628.104</v>
      </c>
      <c r="H21" s="23" t="n">
        <v>9887845.027</v>
      </c>
      <c r="I21" s="28" t="s">
        <v>493</v>
      </c>
      <c r="J21" s="28" t="s">
        <v>1880</v>
      </c>
    </row>
    <row r="22" customFormat="false" ht="15" hidden="false" customHeight="false" outlineLevel="0" collapsed="false">
      <c r="A22" s="28" t="s">
        <v>184</v>
      </c>
      <c r="B22" s="19" t="n">
        <v>0.04</v>
      </c>
      <c r="C22" s="19" t="n">
        <v>0.11</v>
      </c>
      <c r="D22" s="23" t="n">
        <v>5</v>
      </c>
      <c r="E22" s="19" t="n">
        <v>0.0166742130385494</v>
      </c>
      <c r="F22" s="23" t="n">
        <v>149835.987531669</v>
      </c>
      <c r="G22" s="23" t="n">
        <v>1161628.104</v>
      </c>
      <c r="H22" s="23" t="n">
        <v>9887845.027</v>
      </c>
      <c r="I22" s="28" t="s">
        <v>493</v>
      </c>
      <c r="J22" s="28" t="s">
        <v>1880</v>
      </c>
    </row>
    <row r="23" customFormat="false" ht="15" hidden="false" customHeight="false" outlineLevel="0" collapsed="false">
      <c r="A23" s="28" t="s">
        <v>184</v>
      </c>
      <c r="B23" s="19" t="n">
        <v>0.05</v>
      </c>
      <c r="C23" s="19" t="n">
        <v>0.11</v>
      </c>
      <c r="D23" s="23" t="n">
        <v>5</v>
      </c>
      <c r="E23" s="19" t="n">
        <v>0.0166742130385494</v>
      </c>
      <c r="F23" s="23" t="n">
        <v>141452.309697984</v>
      </c>
      <c r="G23" s="23" t="n">
        <v>1161628.104</v>
      </c>
      <c r="H23" s="23" t="n">
        <v>9887845.027</v>
      </c>
      <c r="I23" s="28" t="s">
        <v>493</v>
      </c>
      <c r="J23" s="28" t="s">
        <v>1880</v>
      </c>
    </row>
    <row r="24" customFormat="false" ht="15" hidden="false" customHeight="false" outlineLevel="0" collapsed="false">
      <c r="A24" s="28" t="s">
        <v>184</v>
      </c>
      <c r="B24" s="19" t="n">
        <v>0.06</v>
      </c>
      <c r="C24" s="19" t="n">
        <v>0.11</v>
      </c>
      <c r="D24" s="23" t="n">
        <v>5</v>
      </c>
      <c r="E24" s="19" t="n">
        <v>0.0166742130385494</v>
      </c>
      <c r="F24" s="23" t="n">
        <v>132674.134979473</v>
      </c>
      <c r="G24" s="23" t="n">
        <v>1161628.104</v>
      </c>
      <c r="H24" s="23" t="n">
        <v>9887845.027</v>
      </c>
      <c r="I24" s="28" t="s">
        <v>493</v>
      </c>
      <c r="J24" s="28" t="s">
        <v>1880</v>
      </c>
    </row>
    <row r="25" customFormat="false" ht="15" hidden="false" customHeight="false" outlineLevel="0" collapsed="false">
      <c r="A25" s="28" t="s">
        <v>184</v>
      </c>
      <c r="B25" s="19" t="n">
        <v>0.07</v>
      </c>
      <c r="C25" s="19" t="n">
        <v>0.11</v>
      </c>
      <c r="D25" s="23" t="n">
        <v>5</v>
      </c>
      <c r="E25" s="19" t="n">
        <v>0.0166742130385494</v>
      </c>
      <c r="F25" s="23" t="n">
        <v>123489.069720471</v>
      </c>
      <c r="G25" s="23" t="n">
        <v>1161628.104</v>
      </c>
      <c r="H25" s="23" t="n">
        <v>9887845.027</v>
      </c>
      <c r="I25" s="28" t="s">
        <v>493</v>
      </c>
      <c r="J25" s="28" t="s">
        <v>1880</v>
      </c>
    </row>
    <row r="26" customFormat="false" ht="15" hidden="false" customHeight="false" outlineLevel="0" collapsed="false">
      <c r="A26" s="28" t="s">
        <v>184</v>
      </c>
      <c r="B26" s="19" t="n">
        <v>0.08</v>
      </c>
      <c r="C26" s="19" t="n">
        <v>0.11</v>
      </c>
      <c r="D26" s="23" t="n">
        <v>5</v>
      </c>
      <c r="E26" s="19" t="n">
        <v>0.0166742130385494</v>
      </c>
      <c r="F26" s="23" t="n">
        <v>113884.472449437</v>
      </c>
      <c r="G26" s="23" t="n">
        <v>1161628.104</v>
      </c>
      <c r="H26" s="23" t="n">
        <v>9887845.027</v>
      </c>
      <c r="I26" s="28" t="s">
        <v>493</v>
      </c>
      <c r="J26" s="28" t="s">
        <v>1880</v>
      </c>
    </row>
    <row r="27" customFormat="false" ht="15" hidden="false" customHeight="false" outlineLevel="0" collapsed="false">
      <c r="A27" s="28" t="s">
        <v>184</v>
      </c>
      <c r="B27" s="19" t="n">
        <v>0.09</v>
      </c>
      <c r="C27" s="19" t="n">
        <v>0.11</v>
      </c>
      <c r="D27" s="23" t="n">
        <v>5</v>
      </c>
      <c r="E27" s="19" t="n">
        <v>0.0166742130385494</v>
      </c>
      <c r="F27" s="23" t="n">
        <v>103847.451466411</v>
      </c>
      <c r="G27" s="23" t="n">
        <v>1161628.104</v>
      </c>
      <c r="H27" s="23" t="n">
        <v>9887845.027</v>
      </c>
      <c r="I27" s="28" t="s">
        <v>493</v>
      </c>
      <c r="J27" s="28" t="s">
        <v>1880</v>
      </c>
    </row>
    <row r="28" customFormat="false" ht="15" hidden="false" customHeight="false" outlineLevel="0" collapsed="false">
      <c r="A28" s="28" t="s">
        <v>184</v>
      </c>
      <c r="B28" s="19" t="n">
        <v>0.1</v>
      </c>
      <c r="C28" s="19" t="n">
        <v>0.11</v>
      </c>
      <c r="D28" s="23" t="n">
        <v>5</v>
      </c>
      <c r="E28" s="19" t="n">
        <v>0.0166742130385494</v>
      </c>
      <c r="F28" s="23" t="n">
        <v>93364.8624304692</v>
      </c>
      <c r="G28" s="23" t="n">
        <v>1161628.104</v>
      </c>
      <c r="H28" s="23" t="n">
        <v>9887845.027</v>
      </c>
      <c r="I28" s="28" t="s">
        <v>493</v>
      </c>
      <c r="J28" s="28" t="s">
        <v>1880</v>
      </c>
    </row>
    <row r="29" customFormat="false" ht="15" hidden="false" customHeight="false" outlineLevel="0" collapsed="false">
      <c r="A29" s="28" t="s">
        <v>184</v>
      </c>
      <c r="B29" s="19" t="n">
        <v>0.11</v>
      </c>
      <c r="C29" s="19" t="n">
        <v>0.11</v>
      </c>
      <c r="D29" s="23" t="n">
        <v>5</v>
      </c>
      <c r="E29" s="19" t="n">
        <v>0.0166742130385494</v>
      </c>
      <c r="F29" s="23" t="n">
        <v>82423.305947178</v>
      </c>
      <c r="G29" s="23" t="n">
        <v>1161628.104</v>
      </c>
      <c r="H29" s="23" t="n">
        <v>9887845.027</v>
      </c>
      <c r="I29" s="28" t="s">
        <v>493</v>
      </c>
      <c r="J29" s="28" t="s">
        <v>1880</v>
      </c>
    </row>
    <row r="30" customFormat="false" ht="15" hidden="false" customHeight="false" outlineLevel="0" collapsed="false">
      <c r="A30" s="28" t="s">
        <v>184</v>
      </c>
      <c r="B30" s="19" t="n">
        <v>0.12</v>
      </c>
      <c r="C30" s="19" t="n">
        <v>0.11</v>
      </c>
      <c r="D30" s="23" t="n">
        <v>5</v>
      </c>
      <c r="E30" s="19" t="n">
        <v>0.0166742130385494</v>
      </c>
      <c r="F30" s="23" t="n">
        <v>71009.1251560515</v>
      </c>
      <c r="G30" s="23" t="n">
        <v>1161628.104</v>
      </c>
      <c r="H30" s="23" t="n">
        <v>9887845.027</v>
      </c>
      <c r="I30" s="28" t="s">
        <v>493</v>
      </c>
      <c r="J30" s="28" t="s">
        <v>1880</v>
      </c>
    </row>
    <row r="31" customFormat="false" ht="15" hidden="false" customHeight="false" outlineLevel="0" collapsed="false">
      <c r="A31" s="28" t="s">
        <v>184</v>
      </c>
      <c r="B31" s="19" t="n">
        <v>0.13</v>
      </c>
      <c r="C31" s="19" t="n">
        <v>0.11</v>
      </c>
      <c r="D31" s="23" t="n">
        <v>5</v>
      </c>
      <c r="E31" s="19" t="n">
        <v>0.0166742130385494</v>
      </c>
      <c r="F31" s="23" t="n">
        <v>59108.4033180054</v>
      </c>
      <c r="G31" s="23" t="n">
        <v>1161628.104</v>
      </c>
      <c r="H31" s="23" t="n">
        <v>9887845.027</v>
      </c>
      <c r="I31" s="28" t="s">
        <v>493</v>
      </c>
      <c r="J31" s="28" t="s">
        <v>1880</v>
      </c>
    </row>
    <row r="32" customFormat="false" ht="15" hidden="false" customHeight="false" outlineLevel="0" collapsed="false">
      <c r="A32" s="28" t="s">
        <v>184</v>
      </c>
      <c r="B32" s="19" t="n">
        <v>0.14</v>
      </c>
      <c r="C32" s="19" t="n">
        <v>0.11</v>
      </c>
      <c r="D32" s="23" t="n">
        <v>5</v>
      </c>
      <c r="E32" s="19" t="n">
        <v>0.0166742130385494</v>
      </c>
      <c r="F32" s="23" t="n">
        <v>46706.961402812</v>
      </c>
      <c r="G32" s="23" t="n">
        <v>1161628.104</v>
      </c>
      <c r="H32" s="23" t="n">
        <v>9887845.027</v>
      </c>
      <c r="I32" s="28" t="s">
        <v>493</v>
      </c>
      <c r="J32" s="28" t="s">
        <v>1880</v>
      </c>
    </row>
    <row r="33" customFormat="false" ht="15" hidden="false" customHeight="false" outlineLevel="0" collapsed="false">
      <c r="A33" s="28" t="s">
        <v>184</v>
      </c>
      <c r="B33" s="19" t="n">
        <v>0.15</v>
      </c>
      <c r="C33" s="19" t="n">
        <v>0.11</v>
      </c>
      <c r="D33" s="23" t="n">
        <v>5</v>
      </c>
      <c r="E33" s="19" t="n">
        <v>0.0166742130385494</v>
      </c>
      <c r="F33" s="23" t="n">
        <v>33790.355676558</v>
      </c>
      <c r="G33" s="23" t="n">
        <v>1161628.104</v>
      </c>
      <c r="H33" s="23" t="n">
        <v>9887845.027</v>
      </c>
      <c r="I33" s="28" t="s">
        <v>493</v>
      </c>
      <c r="J33" s="28" t="s">
        <v>1880</v>
      </c>
    </row>
    <row r="34" customFormat="false" ht="15" hidden="false" customHeight="false" outlineLevel="0" collapsed="false">
      <c r="A34" s="28" t="s">
        <v>186</v>
      </c>
      <c r="B34" s="19" t="n">
        <v>0</v>
      </c>
      <c r="C34" s="19" t="n">
        <v>0.11</v>
      </c>
      <c r="D34" s="23" t="n">
        <v>5</v>
      </c>
      <c r="E34" s="19" t="n">
        <v>0.0168562131302764</v>
      </c>
      <c r="F34" s="23" t="n">
        <v>181464.653380255</v>
      </c>
      <c r="G34" s="23" t="n">
        <v>1161628.104</v>
      </c>
      <c r="H34" s="23" t="n">
        <v>9887845.027</v>
      </c>
      <c r="I34" s="28" t="s">
        <v>493</v>
      </c>
      <c r="J34" s="28" t="s">
        <v>1880</v>
      </c>
    </row>
    <row r="35" customFormat="false" ht="15" hidden="false" customHeight="false" outlineLevel="0" collapsed="false">
      <c r="A35" s="28" t="s">
        <v>186</v>
      </c>
      <c r="B35" s="19" t="n">
        <v>0.01</v>
      </c>
      <c r="C35" s="19" t="n">
        <v>0.11</v>
      </c>
      <c r="D35" s="23" t="n">
        <v>5</v>
      </c>
      <c r="E35" s="19" t="n">
        <v>0.0168562131302764</v>
      </c>
      <c r="F35" s="23" t="n">
        <v>174585.431613596</v>
      </c>
      <c r="G35" s="23" t="n">
        <v>1161628.104</v>
      </c>
      <c r="H35" s="23" t="n">
        <v>9887845.027</v>
      </c>
      <c r="I35" s="28" t="s">
        <v>493</v>
      </c>
      <c r="J35" s="28" t="s">
        <v>1880</v>
      </c>
    </row>
    <row r="36" customFormat="false" ht="15" hidden="false" customHeight="false" outlineLevel="0" collapsed="false">
      <c r="A36" s="28" t="s">
        <v>186</v>
      </c>
      <c r="B36" s="19" t="n">
        <v>0.02</v>
      </c>
      <c r="C36" s="19" t="n">
        <v>0.11</v>
      </c>
      <c r="D36" s="23" t="n">
        <v>5</v>
      </c>
      <c r="E36" s="19" t="n">
        <v>0.0168562131302764</v>
      </c>
      <c r="F36" s="23" t="n">
        <v>167359.959202105</v>
      </c>
      <c r="G36" s="23" t="n">
        <v>1161628.104</v>
      </c>
      <c r="H36" s="23" t="n">
        <v>9887845.027</v>
      </c>
      <c r="I36" s="28" t="s">
        <v>493</v>
      </c>
      <c r="J36" s="28" t="s">
        <v>1880</v>
      </c>
    </row>
    <row r="37" customFormat="false" ht="15" hidden="false" customHeight="false" outlineLevel="0" collapsed="false">
      <c r="A37" s="28" t="s">
        <v>186</v>
      </c>
      <c r="B37" s="19" t="n">
        <v>0.03</v>
      </c>
      <c r="C37" s="19" t="n">
        <v>0.11</v>
      </c>
      <c r="D37" s="23" t="n">
        <v>5</v>
      </c>
      <c r="E37" s="19" t="n">
        <v>0.0168562131302764</v>
      </c>
      <c r="F37" s="23" t="n">
        <v>159776.831679429</v>
      </c>
      <c r="G37" s="23" t="n">
        <v>1161628.104</v>
      </c>
      <c r="H37" s="23" t="n">
        <v>9887845.027</v>
      </c>
      <c r="I37" s="28" t="s">
        <v>493</v>
      </c>
      <c r="J37" s="28" t="s">
        <v>1880</v>
      </c>
    </row>
    <row r="38" customFormat="false" ht="15" hidden="false" customHeight="false" outlineLevel="0" collapsed="false">
      <c r="A38" s="28" t="s">
        <v>186</v>
      </c>
      <c r="B38" s="19" t="n">
        <v>0.04</v>
      </c>
      <c r="C38" s="19" t="n">
        <v>0.11</v>
      </c>
      <c r="D38" s="23" t="n">
        <v>5</v>
      </c>
      <c r="E38" s="19" t="n">
        <v>0.0168562131302764</v>
      </c>
      <c r="F38" s="23" t="n">
        <v>151824.406720169</v>
      </c>
      <c r="G38" s="23" t="n">
        <v>1161628.104</v>
      </c>
      <c r="H38" s="23" t="n">
        <v>9887845.027</v>
      </c>
      <c r="I38" s="28" t="s">
        <v>493</v>
      </c>
      <c r="J38" s="28" t="s">
        <v>1880</v>
      </c>
    </row>
    <row r="39" customFormat="false" ht="15" hidden="false" customHeight="false" outlineLevel="0" collapsed="false">
      <c r="A39" s="28" t="s">
        <v>186</v>
      </c>
      <c r="B39" s="19" t="n">
        <v>0.05</v>
      </c>
      <c r="C39" s="19" t="n">
        <v>0.11</v>
      </c>
      <c r="D39" s="23" t="n">
        <v>5</v>
      </c>
      <c r="E39" s="19" t="n">
        <v>0.0168562131302764</v>
      </c>
      <c r="F39" s="23" t="n">
        <v>143490.801729494</v>
      </c>
      <c r="G39" s="23" t="n">
        <v>1161628.104</v>
      </c>
      <c r="H39" s="23" t="n">
        <v>9887845.027</v>
      </c>
      <c r="I39" s="28" t="s">
        <v>493</v>
      </c>
      <c r="J39" s="28" t="s">
        <v>1880</v>
      </c>
    </row>
    <row r="40" customFormat="false" ht="15" hidden="false" customHeight="false" outlineLevel="0" collapsed="false">
      <c r="A40" s="28" t="s">
        <v>186</v>
      </c>
      <c r="B40" s="19" t="n">
        <v>0.06</v>
      </c>
      <c r="C40" s="19" t="n">
        <v>0.11</v>
      </c>
      <c r="D40" s="23" t="n">
        <v>5</v>
      </c>
      <c r="E40" s="19" t="n">
        <v>0.0168562131302764</v>
      </c>
      <c r="F40" s="23" t="n">
        <v>134763.891432758</v>
      </c>
      <c r="G40" s="23" t="n">
        <v>1161628.104</v>
      </c>
      <c r="H40" s="23" t="n">
        <v>9887845.027</v>
      </c>
      <c r="I40" s="28" t="s">
        <v>493</v>
      </c>
      <c r="J40" s="28" t="s">
        <v>1880</v>
      </c>
    </row>
    <row r="41" customFormat="false" ht="15" hidden="false" customHeight="false" outlineLevel="0" collapsed="false">
      <c r="A41" s="28" t="s">
        <v>186</v>
      </c>
      <c r="B41" s="19" t="n">
        <v>0.07</v>
      </c>
      <c r="C41" s="19" t="n">
        <v>0.11</v>
      </c>
      <c r="D41" s="23" t="n">
        <v>5</v>
      </c>
      <c r="E41" s="19" t="n">
        <v>0.0168562131302764</v>
      </c>
      <c r="F41" s="23" t="n">
        <v>125631.30546511</v>
      </c>
      <c r="G41" s="23" t="n">
        <v>1161628.104</v>
      </c>
      <c r="H41" s="23" t="n">
        <v>9887845.027</v>
      </c>
      <c r="I41" s="28" t="s">
        <v>493</v>
      </c>
      <c r="J41" s="28" t="s">
        <v>1880</v>
      </c>
    </row>
    <row r="42" customFormat="false" ht="15" hidden="false" customHeight="false" outlineLevel="0" collapsed="false">
      <c r="A42" s="28" t="s">
        <v>186</v>
      </c>
      <c r="B42" s="19" t="n">
        <v>0.08</v>
      </c>
      <c r="C42" s="19" t="n">
        <v>0.11</v>
      </c>
      <c r="D42" s="23" t="n">
        <v>5</v>
      </c>
      <c r="E42" s="19" t="n">
        <v>0.0168562131302764</v>
      </c>
      <c r="F42" s="23" t="n">
        <v>116080.425961116</v>
      </c>
      <c r="G42" s="23" t="n">
        <v>1161628.104</v>
      </c>
      <c r="H42" s="23" t="n">
        <v>9887845.027</v>
      </c>
      <c r="I42" s="28" t="s">
        <v>493</v>
      </c>
      <c r="J42" s="28" t="s">
        <v>1880</v>
      </c>
    </row>
    <row r="43" customFormat="false" ht="15" hidden="false" customHeight="false" outlineLevel="0" collapsed="false">
      <c r="A43" s="28" t="s">
        <v>186</v>
      </c>
      <c r="B43" s="19" t="n">
        <v>0.09</v>
      </c>
      <c r="C43" s="19" t="n">
        <v>0.11</v>
      </c>
      <c r="D43" s="23" t="n">
        <v>5</v>
      </c>
      <c r="E43" s="19" t="n">
        <v>0.0168562131302764</v>
      </c>
      <c r="F43" s="23" t="n">
        <v>106098.385144367</v>
      </c>
      <c r="G43" s="23" t="n">
        <v>1161628.104</v>
      </c>
      <c r="H43" s="23" t="n">
        <v>9887845.027</v>
      </c>
      <c r="I43" s="28" t="s">
        <v>493</v>
      </c>
      <c r="J43" s="28" t="s">
        <v>1880</v>
      </c>
    </row>
    <row r="44" customFormat="false" ht="15" hidden="false" customHeight="false" outlineLevel="0" collapsed="false">
      <c r="A44" s="28" t="s">
        <v>186</v>
      </c>
      <c r="B44" s="19" t="n">
        <v>0.1</v>
      </c>
      <c r="C44" s="19" t="n">
        <v>0.11</v>
      </c>
      <c r="D44" s="23" t="n">
        <v>5</v>
      </c>
      <c r="E44" s="19" t="n">
        <v>0.0168562131302764</v>
      </c>
      <c r="F44" s="23" t="n">
        <v>95672.0629170978</v>
      </c>
      <c r="G44" s="23" t="n">
        <v>1161628.104</v>
      </c>
      <c r="H44" s="23" t="n">
        <v>9887845.027</v>
      </c>
      <c r="I44" s="28" t="s">
        <v>493</v>
      </c>
      <c r="J44" s="28" t="s">
        <v>1880</v>
      </c>
    </row>
    <row r="45" customFormat="false" ht="15" hidden="false" customHeight="false" outlineLevel="0" collapsed="false">
      <c r="A45" s="28" t="s">
        <v>186</v>
      </c>
      <c r="B45" s="19" t="n">
        <v>0.11</v>
      </c>
      <c r="C45" s="19" t="n">
        <v>0.11</v>
      </c>
      <c r="D45" s="23" t="n">
        <v>5</v>
      </c>
      <c r="E45" s="19" t="n">
        <v>0.0168562131302764</v>
      </c>
      <c r="F45" s="23" t="n">
        <v>84788.0844498016</v>
      </c>
      <c r="G45" s="23" t="n">
        <v>1161628.104</v>
      </c>
      <c r="H45" s="23" t="n">
        <v>9887845.027</v>
      </c>
      <c r="I45" s="28" t="s">
        <v>493</v>
      </c>
      <c r="J45" s="28" t="s">
        <v>1880</v>
      </c>
    </row>
    <row r="46" customFormat="false" ht="15" hidden="false" customHeight="false" outlineLevel="0" collapsed="false">
      <c r="A46" s="28" t="s">
        <v>186</v>
      </c>
      <c r="B46" s="19" t="n">
        <v>0.12</v>
      </c>
      <c r="C46" s="19" t="n">
        <v>0.11</v>
      </c>
      <c r="D46" s="23" t="n">
        <v>5</v>
      </c>
      <c r="E46" s="19" t="n">
        <v>0.0168562131302764</v>
      </c>
      <c r="F46" s="23" t="n">
        <v>73432.8177708438</v>
      </c>
      <c r="G46" s="23" t="n">
        <v>1161628.104</v>
      </c>
      <c r="H46" s="23" t="n">
        <v>9887845.027</v>
      </c>
      <c r="I46" s="28" t="s">
        <v>493</v>
      </c>
      <c r="J46" s="28" t="s">
        <v>1880</v>
      </c>
    </row>
    <row r="47" customFormat="false" ht="15" hidden="false" customHeight="false" outlineLevel="0" collapsed="false">
      <c r="A47" s="28" t="s">
        <v>186</v>
      </c>
      <c r="B47" s="19" t="n">
        <v>0.13</v>
      </c>
      <c r="C47" s="19" t="n">
        <v>0.11</v>
      </c>
      <c r="D47" s="23" t="n">
        <v>5</v>
      </c>
      <c r="E47" s="19" t="n">
        <v>0.0168562131302764</v>
      </c>
      <c r="F47" s="23" t="n">
        <v>61592.3713560773</v>
      </c>
      <c r="G47" s="23" t="n">
        <v>1161628.104</v>
      </c>
      <c r="H47" s="23" t="n">
        <v>9887845.027</v>
      </c>
      <c r="I47" s="28" t="s">
        <v>493</v>
      </c>
      <c r="J47" s="28" t="s">
        <v>1880</v>
      </c>
    </row>
    <row r="48" customFormat="false" ht="15" hidden="false" customHeight="false" outlineLevel="0" collapsed="false">
      <c r="A48" s="28" t="s">
        <v>186</v>
      </c>
      <c r="B48" s="19" t="n">
        <v>0.14</v>
      </c>
      <c r="C48" s="19" t="n">
        <v>0.11</v>
      </c>
      <c r="D48" s="23" t="n">
        <v>5</v>
      </c>
      <c r="E48" s="19" t="n">
        <v>0.0168562131302764</v>
      </c>
      <c r="F48" s="23" t="n">
        <v>49252.5917184561</v>
      </c>
      <c r="G48" s="23" t="n">
        <v>1161628.104</v>
      </c>
      <c r="H48" s="23" t="n">
        <v>9887845.027</v>
      </c>
      <c r="I48" s="28" t="s">
        <v>493</v>
      </c>
      <c r="J48" s="28" t="s">
        <v>1880</v>
      </c>
    </row>
    <row r="49" customFormat="false" ht="15" hidden="false" customHeight="false" outlineLevel="0" collapsed="false">
      <c r="A49" s="28" t="s">
        <v>186</v>
      </c>
      <c r="B49" s="19" t="n">
        <v>0.15</v>
      </c>
      <c r="C49" s="19" t="n">
        <v>0.11</v>
      </c>
      <c r="D49" s="23" t="n">
        <v>5</v>
      </c>
      <c r="E49" s="19" t="n">
        <v>0.0168562131302764</v>
      </c>
      <c r="F49" s="23" t="n">
        <v>36399.0609976538</v>
      </c>
      <c r="G49" s="23" t="n">
        <v>1161628.104</v>
      </c>
      <c r="H49" s="23" t="n">
        <v>9887845.027</v>
      </c>
      <c r="I49" s="28" t="s">
        <v>493</v>
      </c>
      <c r="J49" s="28" t="s">
        <v>1880</v>
      </c>
    </row>
    <row r="50" customFormat="false" ht="15" hidden="false" customHeight="false" outlineLevel="0" collapsed="false">
      <c r="A50" s="28" t="s">
        <v>176</v>
      </c>
      <c r="B50" s="19" t="n">
        <v>0</v>
      </c>
      <c r="C50" s="19" t="n">
        <v>0.11</v>
      </c>
      <c r="D50" s="23" t="n">
        <v>5</v>
      </c>
      <c r="E50" s="19" t="n">
        <v>0.0135552291733122</v>
      </c>
      <c r="F50" s="23" t="n">
        <v>148825.03557718</v>
      </c>
      <c r="G50" s="23" t="n">
        <v>1161628.104</v>
      </c>
      <c r="H50" s="23" t="n">
        <v>9887845.027</v>
      </c>
      <c r="I50" s="28" t="s">
        <v>493</v>
      </c>
      <c r="J50" s="28" t="s">
        <v>1880</v>
      </c>
    </row>
    <row r="51" customFormat="false" ht="15" hidden="false" customHeight="false" outlineLevel="0" collapsed="false">
      <c r="A51" s="28" t="s">
        <v>176</v>
      </c>
      <c r="B51" s="19" t="n">
        <v>0.01</v>
      </c>
      <c r="C51" s="19" t="n">
        <v>0.11</v>
      </c>
      <c r="D51" s="23" t="n">
        <v>5</v>
      </c>
      <c r="E51" s="19" t="n">
        <v>0.0135552291733122</v>
      </c>
      <c r="F51" s="23" t="n">
        <v>141119.965972063</v>
      </c>
      <c r="G51" s="23" t="n">
        <v>1161628.104</v>
      </c>
      <c r="H51" s="23" t="n">
        <v>9887845.027</v>
      </c>
      <c r="I51" s="28" t="s">
        <v>493</v>
      </c>
      <c r="J51" s="28" t="s">
        <v>1880</v>
      </c>
    </row>
    <row r="52" customFormat="false" ht="15" hidden="false" customHeight="false" outlineLevel="0" collapsed="false">
      <c r="A52" s="28" t="s">
        <v>176</v>
      </c>
      <c r="B52" s="19" t="n">
        <v>0.02</v>
      </c>
      <c r="C52" s="19" t="n">
        <v>0.11</v>
      </c>
      <c r="D52" s="23" t="n">
        <v>5</v>
      </c>
      <c r="E52" s="19" t="n">
        <v>0.0135552291733122</v>
      </c>
      <c r="F52" s="23" t="n">
        <v>133048.667067545</v>
      </c>
      <c r="G52" s="23" t="n">
        <v>1161628.104</v>
      </c>
      <c r="H52" s="23" t="n">
        <v>9887845.027</v>
      </c>
      <c r="I52" s="28" t="s">
        <v>493</v>
      </c>
      <c r="J52" s="28" t="s">
        <v>1880</v>
      </c>
    </row>
    <row r="53" customFormat="false" ht="15" hidden="false" customHeight="false" outlineLevel="0" collapsed="false">
      <c r="A53" s="28" t="s">
        <v>176</v>
      </c>
      <c r="B53" s="19" t="n">
        <v>0.03</v>
      </c>
      <c r="C53" s="19" t="n">
        <v>0.11</v>
      </c>
      <c r="D53" s="23" t="n">
        <v>5</v>
      </c>
      <c r="E53" s="19" t="n">
        <v>0.0135552291733122</v>
      </c>
      <c r="F53" s="23" t="n">
        <v>124599.334447715</v>
      </c>
      <c r="G53" s="23" t="n">
        <v>1161628.104</v>
      </c>
      <c r="H53" s="23" t="n">
        <v>9887845.027</v>
      </c>
      <c r="I53" s="28" t="s">
        <v>493</v>
      </c>
      <c r="J53" s="28" t="s">
        <v>1880</v>
      </c>
    </row>
    <row r="54" customFormat="false" ht="15" hidden="false" customHeight="false" outlineLevel="0" collapsed="false">
      <c r="A54" s="28" t="s">
        <v>176</v>
      </c>
      <c r="B54" s="19" t="n">
        <v>0.04</v>
      </c>
      <c r="C54" s="19" t="n">
        <v>0.11</v>
      </c>
      <c r="D54" s="23" t="n">
        <v>5</v>
      </c>
      <c r="E54" s="19" t="n">
        <v>0.0135552291733122</v>
      </c>
      <c r="F54" s="23" t="n">
        <v>115759.920275827</v>
      </c>
      <c r="G54" s="23" t="n">
        <v>1161628.104</v>
      </c>
      <c r="H54" s="23" t="n">
        <v>9887845.027</v>
      </c>
      <c r="I54" s="28" t="s">
        <v>493</v>
      </c>
      <c r="J54" s="28" t="s">
        <v>1880</v>
      </c>
    </row>
    <row r="55" customFormat="false" ht="15" hidden="false" customHeight="false" outlineLevel="0" collapsed="false">
      <c r="A55" s="28" t="s">
        <v>176</v>
      </c>
      <c r="B55" s="19" t="n">
        <v>0.05</v>
      </c>
      <c r="C55" s="19" t="n">
        <v>0.11</v>
      </c>
      <c r="D55" s="23" t="n">
        <v>5</v>
      </c>
      <c r="E55" s="19" t="n">
        <v>0.0135552291733122</v>
      </c>
      <c r="F55" s="23" t="n">
        <v>106518.130844745</v>
      </c>
      <c r="G55" s="23" t="n">
        <v>1161628.104</v>
      </c>
      <c r="H55" s="23" t="n">
        <v>9887845.027</v>
      </c>
      <c r="I55" s="28" t="s">
        <v>493</v>
      </c>
      <c r="J55" s="28" t="s">
        <v>1880</v>
      </c>
    </row>
    <row r="56" customFormat="false" ht="15" hidden="false" customHeight="false" outlineLevel="0" collapsed="false">
      <c r="A56" s="28" t="s">
        <v>176</v>
      </c>
      <c r="B56" s="19" t="n">
        <v>0.06</v>
      </c>
      <c r="C56" s="19" t="n">
        <v>0.11</v>
      </c>
      <c r="D56" s="23" t="n">
        <v>5</v>
      </c>
      <c r="E56" s="19" t="n">
        <v>0.0135552291733122</v>
      </c>
      <c r="F56" s="23" t="n">
        <v>96861.4241273874</v>
      </c>
      <c r="G56" s="23" t="n">
        <v>1161628.104</v>
      </c>
      <c r="H56" s="23" t="n">
        <v>9887845.027</v>
      </c>
      <c r="I56" s="28" t="s">
        <v>493</v>
      </c>
      <c r="J56" s="28" t="s">
        <v>1880</v>
      </c>
    </row>
    <row r="57" customFormat="false" ht="15" hidden="false" customHeight="false" outlineLevel="0" collapsed="false">
      <c r="A57" s="28" t="s">
        <v>176</v>
      </c>
      <c r="B57" s="19" t="n">
        <v>0.07</v>
      </c>
      <c r="C57" s="19" t="n">
        <v>0.11</v>
      </c>
      <c r="D57" s="23" t="n">
        <v>5</v>
      </c>
      <c r="E57" s="19" t="n">
        <v>0.0135552291733122</v>
      </c>
      <c r="F57" s="23" t="n">
        <v>86777.0073271815</v>
      </c>
      <c r="G57" s="23" t="n">
        <v>1161628.104</v>
      </c>
      <c r="H57" s="23" t="n">
        <v>9887845.027</v>
      </c>
      <c r="I57" s="28" t="s">
        <v>493</v>
      </c>
      <c r="J57" s="28" t="s">
        <v>1880</v>
      </c>
    </row>
    <row r="58" customFormat="false" ht="15" hidden="false" customHeight="false" outlineLevel="0" collapsed="false">
      <c r="A58" s="28" t="s">
        <v>176</v>
      </c>
      <c r="B58" s="19" t="n">
        <v>0.08</v>
      </c>
      <c r="C58" s="19" t="n">
        <v>0.11</v>
      </c>
      <c r="D58" s="23" t="n">
        <v>5</v>
      </c>
      <c r="E58" s="19" t="n">
        <v>0.0135552291733122</v>
      </c>
      <c r="F58" s="23" t="n">
        <v>76251.8344285043</v>
      </c>
      <c r="G58" s="23" t="n">
        <v>1161628.104</v>
      </c>
      <c r="H58" s="23" t="n">
        <v>9887845.027</v>
      </c>
      <c r="I58" s="28" t="s">
        <v>493</v>
      </c>
      <c r="J58" s="28" t="s">
        <v>1880</v>
      </c>
    </row>
    <row r="59" customFormat="false" ht="15" hidden="false" customHeight="false" outlineLevel="0" collapsed="false">
      <c r="A59" s="28" t="s">
        <v>176</v>
      </c>
      <c r="B59" s="19" t="n">
        <v>0.09</v>
      </c>
      <c r="C59" s="19" t="n">
        <v>0.11</v>
      </c>
      <c r="D59" s="23" t="n">
        <v>5</v>
      </c>
      <c r="E59" s="19" t="n">
        <v>0.0135552291733122</v>
      </c>
      <c r="F59" s="23" t="n">
        <v>65272.6037471329</v>
      </c>
      <c r="G59" s="23" t="n">
        <v>1161628.104</v>
      </c>
      <c r="H59" s="23" t="n">
        <v>9887845.027</v>
      </c>
      <c r="I59" s="28" t="s">
        <v>493</v>
      </c>
      <c r="J59" s="28" t="s">
        <v>1880</v>
      </c>
    </row>
    <row r="60" customFormat="false" ht="15" hidden="false" customHeight="false" outlineLevel="0" collapsed="false">
      <c r="A60" s="28" t="s">
        <v>176</v>
      </c>
      <c r="B60" s="19" t="n">
        <v>0.1</v>
      </c>
      <c r="C60" s="19" t="n">
        <v>0.11</v>
      </c>
      <c r="D60" s="23" t="n">
        <v>5</v>
      </c>
      <c r="E60" s="19" t="n">
        <v>0.0135552291733122</v>
      </c>
      <c r="F60" s="23" t="n">
        <v>53825.755480691</v>
      </c>
      <c r="G60" s="23" t="n">
        <v>1161628.104</v>
      </c>
      <c r="H60" s="23" t="n">
        <v>9887845.027</v>
      </c>
      <c r="I60" s="28" t="s">
        <v>493</v>
      </c>
      <c r="J60" s="28" t="s">
        <v>1880</v>
      </c>
    </row>
    <row r="61" customFormat="false" ht="15" hidden="false" customHeight="false" outlineLevel="0" collapsed="false">
      <c r="A61" s="28" t="s">
        <v>176</v>
      </c>
      <c r="B61" s="19" t="n">
        <v>0.11</v>
      </c>
      <c r="C61" s="19" t="n">
        <v>0.11</v>
      </c>
      <c r="D61" s="23" t="n">
        <v>5</v>
      </c>
      <c r="E61" s="19" t="n">
        <v>0.0135552291733122</v>
      </c>
      <c r="F61" s="23" t="n">
        <v>41897.4692590964</v>
      </c>
      <c r="G61" s="23" t="n">
        <v>1161628.104</v>
      </c>
      <c r="H61" s="23" t="n">
        <v>9887845.027</v>
      </c>
      <c r="I61" s="28" t="s">
        <v>493</v>
      </c>
      <c r="J61" s="28" t="s">
        <v>1880</v>
      </c>
    </row>
    <row r="62" customFormat="false" ht="15" hidden="false" customHeight="false" outlineLevel="0" collapsed="false">
      <c r="A62" s="28" t="s">
        <v>176</v>
      </c>
      <c r="B62" s="19" t="n">
        <v>0.12</v>
      </c>
      <c r="C62" s="19" t="n">
        <v>0.11</v>
      </c>
      <c r="D62" s="23" t="n">
        <v>5</v>
      </c>
      <c r="E62" s="19" t="n">
        <v>0.0135552291733122</v>
      </c>
      <c r="F62" s="23" t="n">
        <v>29473.6616950083</v>
      </c>
      <c r="G62" s="23" t="n">
        <v>1161628.104</v>
      </c>
      <c r="H62" s="23" t="n">
        <v>9887845.027</v>
      </c>
      <c r="I62" s="28" t="s">
        <v>493</v>
      </c>
      <c r="J62" s="28" t="s">
        <v>1880</v>
      </c>
    </row>
    <row r="63" customFormat="false" ht="15" hidden="false" customHeight="false" outlineLevel="0" collapsed="false">
      <c r="A63" s="28" t="s">
        <v>176</v>
      </c>
      <c r="B63" s="19" t="n">
        <v>0.13</v>
      </c>
      <c r="C63" s="19" t="n">
        <v>0.11</v>
      </c>
      <c r="D63" s="23" t="n">
        <v>5</v>
      </c>
      <c r="E63" s="19" t="n">
        <v>0.0135552291733122</v>
      </c>
      <c r="F63" s="23" t="n">
        <v>16539.9839342751</v>
      </c>
      <c r="G63" s="23" t="n">
        <v>1161628.104</v>
      </c>
      <c r="H63" s="23" t="n">
        <v>9887845.027</v>
      </c>
      <c r="I63" s="28" t="s">
        <v>493</v>
      </c>
      <c r="J63" s="28" t="s">
        <v>1880</v>
      </c>
    </row>
    <row r="64" customFormat="false" ht="15" hidden="false" customHeight="false" outlineLevel="0" collapsed="false">
      <c r="A64" s="28" t="s">
        <v>176</v>
      </c>
      <c r="B64" s="19" t="n">
        <v>0.14</v>
      </c>
      <c r="C64" s="19" t="n">
        <v>0.11</v>
      </c>
      <c r="D64" s="23" t="n">
        <v>5</v>
      </c>
      <c r="E64" s="19" t="n">
        <v>0.0135552291733122</v>
      </c>
      <c r="F64" s="23" t="n">
        <v>3081.81920637935</v>
      </c>
      <c r="G64" s="23" t="n">
        <v>1161628.104</v>
      </c>
      <c r="H64" s="23" t="n">
        <v>9887845.027</v>
      </c>
      <c r="I64" s="28" t="s">
        <v>493</v>
      </c>
      <c r="J64" s="28" t="s">
        <v>1880</v>
      </c>
    </row>
    <row r="65" customFormat="false" ht="15" hidden="false" customHeight="false" outlineLevel="0" collapsed="false">
      <c r="A65" s="28" t="s">
        <v>176</v>
      </c>
      <c r="B65" s="19" t="n">
        <v>0.15</v>
      </c>
      <c r="C65" s="19" t="n">
        <v>0.11</v>
      </c>
      <c r="D65" s="23" t="n">
        <v>5</v>
      </c>
      <c r="E65" s="19" t="n">
        <v>0.0135552291733122</v>
      </c>
      <c r="F65" s="23" t="n">
        <v>0</v>
      </c>
      <c r="G65" s="23" t="n">
        <v>1161628.104</v>
      </c>
      <c r="H65" s="23" t="n">
        <v>9887845.027</v>
      </c>
      <c r="I65" s="28" t="s">
        <v>493</v>
      </c>
      <c r="J65" s="28" t="s">
        <v>1880</v>
      </c>
    </row>
  </sheetData>
  <autoFilter ref="A1:J6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7"/>
    <col collapsed="false" customWidth="true" hidden="false" outlineLevel="0" max="3" min="3" style="0" width="26"/>
    <col collapsed="false" customWidth="true" hidden="false" outlineLevel="0" max="4" min="4" style="0" width="16"/>
    <col collapsed="false" customWidth="true" hidden="false" outlineLevel="0" max="5" min="5" style="0" width="90"/>
    <col collapsed="false" customWidth="true" hidden="false" outlineLevel="0" max="6" min="6" style="0" width="60"/>
    <col collapsed="false" customWidth="true" hidden="false" outlineLevel="0" max="7" min="7" style="0" width="12"/>
  </cols>
  <sheetData>
    <row r="1" customFormat="false" ht="30" hidden="false" customHeight="true" outlineLevel="0" collapsed="false">
      <c r="A1" s="27" t="s">
        <v>1517</v>
      </c>
      <c r="B1" s="27" t="s">
        <v>1881</v>
      </c>
      <c r="C1" s="27" t="s">
        <v>1882</v>
      </c>
      <c r="D1" s="27" t="s">
        <v>238</v>
      </c>
      <c r="E1" s="27" t="s">
        <v>443</v>
      </c>
      <c r="F1" s="27" t="s">
        <v>1658</v>
      </c>
      <c r="G1" s="27" t="s">
        <v>442</v>
      </c>
    </row>
    <row r="2" customFormat="false" ht="15" hidden="false" customHeight="false" outlineLevel="0" collapsed="false">
      <c r="A2" s="28" t="s">
        <v>322</v>
      </c>
      <c r="B2" s="28" t="s">
        <v>1883</v>
      </c>
      <c r="C2" s="28" t="s">
        <v>1884</v>
      </c>
      <c r="D2" s="23" t="n">
        <v>5200000</v>
      </c>
      <c r="E2" s="28" t="s">
        <v>1885</v>
      </c>
      <c r="F2" s="28" t="s">
        <v>1886</v>
      </c>
      <c r="G2" s="28" t="s">
        <v>497</v>
      </c>
    </row>
    <row r="3" customFormat="false" ht="15" hidden="false" customHeight="false" outlineLevel="0" collapsed="false">
      <c r="A3" s="28" t="s">
        <v>322</v>
      </c>
      <c r="B3" s="28" t="s">
        <v>1887</v>
      </c>
      <c r="C3" s="28" t="s">
        <v>1884</v>
      </c>
      <c r="D3" s="23" t="n">
        <v>85000</v>
      </c>
      <c r="E3" s="28" t="s">
        <v>1885</v>
      </c>
      <c r="F3" s="28" t="s">
        <v>1888</v>
      </c>
      <c r="G3" s="28" t="s">
        <v>497</v>
      </c>
    </row>
    <row r="4" customFormat="false" ht="15" hidden="false" customHeight="false" outlineLevel="0" collapsed="false">
      <c r="A4" s="28" t="s">
        <v>1889</v>
      </c>
      <c r="B4" s="28" t="s">
        <v>1890</v>
      </c>
      <c r="C4" s="28" t="s">
        <v>1884</v>
      </c>
      <c r="D4" s="23" t="n">
        <v>63000</v>
      </c>
      <c r="E4" s="28" t="s">
        <v>1891</v>
      </c>
      <c r="F4" s="28" t="s">
        <v>1892</v>
      </c>
      <c r="G4" s="28" t="s">
        <v>497</v>
      </c>
    </row>
    <row r="5" customFormat="false" ht="15" hidden="false" customHeight="false" outlineLevel="0" collapsed="false">
      <c r="A5" s="28" t="s">
        <v>1889</v>
      </c>
      <c r="B5" s="28" t="s">
        <v>1893</v>
      </c>
      <c r="C5" s="28" t="s">
        <v>1894</v>
      </c>
      <c r="D5" s="19" t="n">
        <v>0.023</v>
      </c>
      <c r="E5" s="28" t="s">
        <v>1891</v>
      </c>
      <c r="F5" s="28" t="s">
        <v>1895</v>
      </c>
      <c r="G5" s="28" t="s">
        <v>497</v>
      </c>
    </row>
    <row r="6" customFormat="false" ht="15" hidden="false" customHeight="false" outlineLevel="0" collapsed="false">
      <c r="A6" s="28" t="s">
        <v>321</v>
      </c>
      <c r="B6" s="28" t="s">
        <v>1896</v>
      </c>
      <c r="C6" s="28" t="s">
        <v>1884</v>
      </c>
      <c r="D6" s="19" t="n">
        <v>0.024</v>
      </c>
      <c r="E6" s="28" t="s">
        <v>1897</v>
      </c>
      <c r="F6" s="28" t="s">
        <v>1898</v>
      </c>
      <c r="G6" s="28" t="s">
        <v>497</v>
      </c>
    </row>
    <row r="7" customFormat="false" ht="15" hidden="false" customHeight="false" outlineLevel="0" collapsed="false">
      <c r="A7" s="28" t="s">
        <v>321</v>
      </c>
      <c r="B7" s="28" t="s">
        <v>1899</v>
      </c>
      <c r="C7" s="28" t="s">
        <v>1900</v>
      </c>
      <c r="D7" s="19" t="n">
        <v>-0.027</v>
      </c>
      <c r="E7" s="28" t="s">
        <v>1885</v>
      </c>
      <c r="F7" s="28" t="s">
        <v>1901</v>
      </c>
      <c r="G7" s="28" t="s">
        <v>497</v>
      </c>
    </row>
    <row r="8" customFormat="false" ht="15" hidden="false" customHeight="false" outlineLevel="0" collapsed="false">
      <c r="A8" s="28" t="s">
        <v>322</v>
      </c>
      <c r="B8" s="28" t="s">
        <v>1902</v>
      </c>
      <c r="C8" s="28" t="s">
        <v>1903</v>
      </c>
      <c r="D8" s="23" t="n">
        <v>90133</v>
      </c>
      <c r="E8" s="28" t="s">
        <v>1885</v>
      </c>
      <c r="F8" s="28" t="s">
        <v>1904</v>
      </c>
      <c r="G8" s="28" t="s">
        <v>497</v>
      </c>
    </row>
    <row r="9" customFormat="false" ht="15" hidden="false" customHeight="false" outlineLevel="0" collapsed="false">
      <c r="A9" s="28" t="s">
        <v>1905</v>
      </c>
      <c r="B9" s="28" t="s">
        <v>1906</v>
      </c>
      <c r="C9" s="28" t="s">
        <v>1907</v>
      </c>
      <c r="D9" s="19" t="n">
        <v>0.046</v>
      </c>
      <c r="E9" s="28" t="s">
        <v>1908</v>
      </c>
      <c r="F9" s="28" t="s">
        <v>1909</v>
      </c>
      <c r="G9" s="28" t="s">
        <v>497</v>
      </c>
    </row>
    <row r="10" customFormat="false" ht="15" hidden="false" customHeight="false" outlineLevel="0" collapsed="false">
      <c r="A10" s="28" t="s">
        <v>1910</v>
      </c>
      <c r="B10" s="28" t="s">
        <v>1911</v>
      </c>
      <c r="C10" s="28" t="s">
        <v>1912</v>
      </c>
      <c r="D10" s="19" t="n">
        <v>0.0745</v>
      </c>
      <c r="E10" s="28" t="s">
        <v>1913</v>
      </c>
      <c r="F10" s="28" t="s">
        <v>1914</v>
      </c>
      <c r="G10" s="28" t="s">
        <v>497</v>
      </c>
    </row>
    <row r="11" customFormat="false" ht="15" hidden="false" customHeight="false" outlineLevel="0" collapsed="false">
      <c r="A11" s="28" t="s">
        <v>1915</v>
      </c>
      <c r="B11" s="28" t="s">
        <v>1916</v>
      </c>
      <c r="C11" s="28" t="s">
        <v>1917</v>
      </c>
      <c r="D11" s="19" t="n">
        <v>0.0671</v>
      </c>
      <c r="E11" s="28" t="s">
        <v>1918</v>
      </c>
      <c r="F11" s="28" t="s">
        <v>1919</v>
      </c>
      <c r="G11" s="28" t="s">
        <v>497</v>
      </c>
    </row>
    <row r="12" customFormat="false" ht="15" hidden="false" customHeight="false" outlineLevel="0" collapsed="false">
      <c r="A12" s="28" t="s">
        <v>322</v>
      </c>
      <c r="B12" s="28" t="s">
        <v>1920</v>
      </c>
      <c r="C12" s="28" t="s">
        <v>1921</v>
      </c>
      <c r="D12" s="23" t="n">
        <v>100000000000</v>
      </c>
      <c r="E12" s="28" t="s">
        <v>1922</v>
      </c>
      <c r="F12" s="28" t="s">
        <v>1923</v>
      </c>
      <c r="G12" s="28" t="s">
        <v>497</v>
      </c>
    </row>
  </sheetData>
  <autoFilter ref="A1:G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0"/>
    <col collapsed="false" customWidth="true" hidden="false" outlineLevel="0" max="3" min="3" style="0" width="90"/>
    <col collapsed="false" customWidth="true" hidden="false" outlineLevel="0" max="4" min="4" style="0" width="25"/>
    <col collapsed="false" customWidth="true" hidden="false" outlineLevel="0" max="5" min="5" style="0" width="12"/>
    <col collapsed="false" customWidth="true" hidden="false" outlineLevel="0" max="6" min="6" style="0" width="10"/>
    <col collapsed="false" customWidth="true" hidden="false" outlineLevel="0" max="7" min="7" style="0" width="21"/>
    <col collapsed="false" customWidth="true" hidden="false" outlineLevel="0" max="8" min="8" style="0" width="14"/>
  </cols>
  <sheetData>
    <row r="1" customFormat="false" ht="30" hidden="false" customHeight="true" outlineLevel="0" collapsed="false">
      <c r="A1" s="27" t="s">
        <v>1517</v>
      </c>
      <c r="B1" s="27" t="s">
        <v>1924</v>
      </c>
      <c r="C1" s="27" t="s">
        <v>1925</v>
      </c>
      <c r="D1" s="27" t="s">
        <v>1002</v>
      </c>
      <c r="E1" s="27" t="s">
        <v>1926</v>
      </c>
      <c r="F1" s="27" t="s">
        <v>1216</v>
      </c>
      <c r="G1" s="27" t="s">
        <v>1927</v>
      </c>
      <c r="H1" s="27" t="s">
        <v>442</v>
      </c>
    </row>
    <row r="2" customFormat="false" ht="15" hidden="false" customHeight="false" outlineLevel="0" collapsed="false">
      <c r="A2" s="28" t="s">
        <v>1928</v>
      </c>
      <c r="B2" s="28" t="s">
        <v>1929</v>
      </c>
      <c r="C2" s="28" t="s">
        <v>1930</v>
      </c>
      <c r="D2" s="28" t="s">
        <v>1012</v>
      </c>
      <c r="E2" s="28" t="s">
        <v>1931</v>
      </c>
      <c r="F2" s="28" t="s">
        <v>1932</v>
      </c>
      <c r="G2" s="28" t="s">
        <v>180</v>
      </c>
      <c r="H2" s="28" t="s">
        <v>1221</v>
      </c>
    </row>
    <row r="3" customFormat="false" ht="15" hidden="false" customHeight="false" outlineLevel="0" collapsed="false">
      <c r="A3" s="28" t="s">
        <v>1931</v>
      </c>
      <c r="B3" s="28" t="s">
        <v>1933</v>
      </c>
      <c r="C3" s="28" t="s">
        <v>1934</v>
      </c>
      <c r="D3" s="28" t="s">
        <v>1048</v>
      </c>
      <c r="E3" s="28" t="s">
        <v>1011</v>
      </c>
      <c r="F3" s="28" t="s">
        <v>1932</v>
      </c>
      <c r="G3" s="28" t="s">
        <v>216</v>
      </c>
      <c r="H3" s="28" t="s">
        <v>1221</v>
      </c>
    </row>
    <row r="4" customFormat="false" ht="15" hidden="false" customHeight="false" outlineLevel="0" collapsed="false">
      <c r="A4" s="28" t="s">
        <v>1935</v>
      </c>
      <c r="B4" s="28" t="s">
        <v>1936</v>
      </c>
      <c r="C4" s="28" t="s">
        <v>1937</v>
      </c>
      <c r="D4" s="28" t="s">
        <v>1807</v>
      </c>
      <c r="E4" s="28" t="s">
        <v>794</v>
      </c>
      <c r="F4" s="28" t="s">
        <v>1938</v>
      </c>
      <c r="G4" s="28" t="s">
        <v>180</v>
      </c>
      <c r="H4" s="28" t="s">
        <v>1221</v>
      </c>
    </row>
    <row r="5" customFormat="false" ht="15" hidden="false" customHeight="false" outlineLevel="0" collapsed="false">
      <c r="A5" s="28" t="s">
        <v>1011</v>
      </c>
      <c r="B5" s="28" t="s">
        <v>1939</v>
      </c>
      <c r="C5" s="28" t="s">
        <v>1940</v>
      </c>
      <c r="D5" s="28" t="s">
        <v>1807</v>
      </c>
      <c r="E5" s="28" t="s">
        <v>1941</v>
      </c>
      <c r="F5" s="28" t="s">
        <v>1932</v>
      </c>
      <c r="G5" s="28" t="s">
        <v>186</v>
      </c>
      <c r="H5" s="28" t="s">
        <v>1221</v>
      </c>
    </row>
    <row r="6" customFormat="false" ht="15" hidden="false" customHeight="false" outlineLevel="0" collapsed="false">
      <c r="A6" s="28" t="s">
        <v>1011</v>
      </c>
      <c r="B6" s="28" t="s">
        <v>1942</v>
      </c>
      <c r="C6" s="28" t="s">
        <v>1943</v>
      </c>
      <c r="D6" s="28" t="s">
        <v>1807</v>
      </c>
      <c r="E6" s="28" t="s">
        <v>1944</v>
      </c>
      <c r="F6" s="28" t="s">
        <v>1938</v>
      </c>
      <c r="G6" s="28" t="s">
        <v>207</v>
      </c>
      <c r="H6" s="28" t="s">
        <v>1221</v>
      </c>
    </row>
    <row r="7" customFormat="false" ht="15" hidden="false" customHeight="false" outlineLevel="0" collapsed="false">
      <c r="A7" s="28" t="s">
        <v>1941</v>
      </c>
      <c r="B7" s="28" t="s">
        <v>1945</v>
      </c>
      <c r="C7" s="28" t="s">
        <v>1946</v>
      </c>
      <c r="D7" s="28" t="s">
        <v>1807</v>
      </c>
      <c r="E7" s="28" t="s">
        <v>1947</v>
      </c>
      <c r="F7" s="28" t="s">
        <v>1938</v>
      </c>
      <c r="G7" s="28" t="s">
        <v>302</v>
      </c>
      <c r="H7" s="28" t="s">
        <v>1221</v>
      </c>
    </row>
    <row r="8" customFormat="false" ht="15" hidden="false" customHeight="false" outlineLevel="0" collapsed="false">
      <c r="A8" s="28" t="s">
        <v>1948</v>
      </c>
      <c r="B8" s="28" t="s">
        <v>1949</v>
      </c>
      <c r="C8" s="28" t="s">
        <v>1950</v>
      </c>
      <c r="D8" s="28" t="s">
        <v>1012</v>
      </c>
      <c r="E8" s="28" t="s">
        <v>785</v>
      </c>
      <c r="F8" s="28" t="s">
        <v>1932</v>
      </c>
      <c r="G8" s="28" t="s">
        <v>207</v>
      </c>
      <c r="H8" s="28" t="s">
        <v>1221</v>
      </c>
    </row>
    <row r="9" customFormat="false" ht="15" hidden="false" customHeight="false" outlineLevel="0" collapsed="false">
      <c r="A9" s="28" t="s">
        <v>1948</v>
      </c>
      <c r="B9" s="28" t="s">
        <v>1951</v>
      </c>
      <c r="C9" s="28" t="s">
        <v>1952</v>
      </c>
      <c r="D9" s="28" t="s">
        <v>1807</v>
      </c>
      <c r="E9" s="28" t="s">
        <v>1944</v>
      </c>
      <c r="F9" s="28" t="s">
        <v>1938</v>
      </c>
      <c r="G9" s="28" t="s">
        <v>210</v>
      </c>
      <c r="H9" s="28" t="s">
        <v>1221</v>
      </c>
    </row>
    <row r="10" customFormat="false" ht="15" hidden="false" customHeight="false" outlineLevel="0" collapsed="false">
      <c r="A10" s="28" t="s">
        <v>1948</v>
      </c>
      <c r="B10" s="28" t="s">
        <v>1953</v>
      </c>
      <c r="C10" s="28" t="s">
        <v>1954</v>
      </c>
      <c r="D10" s="28" t="s">
        <v>1048</v>
      </c>
      <c r="E10" s="28" t="s">
        <v>1947</v>
      </c>
      <c r="F10" s="28" t="s">
        <v>1938</v>
      </c>
      <c r="G10" s="28" t="s">
        <v>180</v>
      </c>
      <c r="H10" s="28" t="s">
        <v>1221</v>
      </c>
    </row>
  </sheetData>
  <autoFilter ref="A1:H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F4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32"/>
    <col collapsed="false" customWidth="true" hidden="false" outlineLevel="0" max="4" min="4" style="0" width="17"/>
    <col collapsed="false" customWidth="true" hidden="false" outlineLevel="0" max="5" min="5" style="0" width="19"/>
    <col collapsed="false" customWidth="true" hidden="false" outlineLevel="0" max="6" min="6" style="0" width="90"/>
  </cols>
  <sheetData>
    <row r="1" customFormat="false" ht="30" hidden="false" customHeight="true" outlineLevel="0" collapsed="false">
      <c r="A1" s="27" t="s">
        <v>1955</v>
      </c>
      <c r="B1" s="27" t="s">
        <v>1956</v>
      </c>
      <c r="C1" s="27" t="s">
        <v>1957</v>
      </c>
      <c r="D1" s="27" t="s">
        <v>1958</v>
      </c>
      <c r="E1" s="27" t="s">
        <v>1000</v>
      </c>
      <c r="F1" s="27" t="s">
        <v>369</v>
      </c>
    </row>
    <row r="2" customFormat="false" ht="15" hidden="false" customHeight="false" outlineLevel="0" collapsed="false">
      <c r="A2" s="28" t="s">
        <v>59</v>
      </c>
      <c r="B2" s="28" t="s">
        <v>60</v>
      </c>
      <c r="C2" s="28" t="s">
        <v>368</v>
      </c>
      <c r="D2" s="28" t="s">
        <v>175</v>
      </c>
      <c r="E2" s="28"/>
      <c r="F2" s="28" t="s">
        <v>1959</v>
      </c>
    </row>
    <row r="3" customFormat="false" ht="15" hidden="false" customHeight="false" outlineLevel="0" collapsed="false">
      <c r="A3" s="28" t="s">
        <v>59</v>
      </c>
      <c r="B3" s="28" t="s">
        <v>60</v>
      </c>
      <c r="C3" s="28" t="s">
        <v>238</v>
      </c>
      <c r="D3" s="28" t="s">
        <v>175</v>
      </c>
      <c r="E3" s="28"/>
      <c r="F3" s="28" t="s">
        <v>1960</v>
      </c>
    </row>
    <row r="4" customFormat="false" ht="15" hidden="false" customHeight="false" outlineLevel="0" collapsed="false">
      <c r="A4" s="28" t="s">
        <v>59</v>
      </c>
      <c r="B4" s="28" t="s">
        <v>60</v>
      </c>
      <c r="C4" s="28" t="s">
        <v>369</v>
      </c>
      <c r="D4" s="28" t="s">
        <v>55</v>
      </c>
      <c r="E4" s="28"/>
      <c r="F4" s="28" t="s">
        <v>1961</v>
      </c>
    </row>
    <row r="5" customFormat="false" ht="15" hidden="false" customHeight="false" outlineLevel="0" collapsed="false">
      <c r="A5" s="28" t="s">
        <v>62</v>
      </c>
      <c r="B5" s="28" t="s">
        <v>60</v>
      </c>
      <c r="C5" s="28" t="s">
        <v>430</v>
      </c>
      <c r="D5" s="28" t="s">
        <v>175</v>
      </c>
      <c r="E5" s="28"/>
      <c r="F5" s="28" t="s">
        <v>1962</v>
      </c>
    </row>
    <row r="6" customFormat="false" ht="15" hidden="false" customHeight="false" outlineLevel="0" collapsed="false">
      <c r="A6" s="28" t="s">
        <v>62</v>
      </c>
      <c r="B6" s="28" t="s">
        <v>60</v>
      </c>
      <c r="C6" s="28" t="s">
        <v>431</v>
      </c>
      <c r="D6" s="28" t="s">
        <v>175</v>
      </c>
      <c r="E6" s="28"/>
      <c r="F6" s="28" t="s">
        <v>1963</v>
      </c>
    </row>
    <row r="7" customFormat="false" ht="15" hidden="false" customHeight="false" outlineLevel="0" collapsed="false">
      <c r="A7" s="28" t="s">
        <v>62</v>
      </c>
      <c r="B7" s="28" t="s">
        <v>60</v>
      </c>
      <c r="C7" s="28" t="s">
        <v>432</v>
      </c>
      <c r="D7" s="28" t="s">
        <v>175</v>
      </c>
      <c r="E7" s="28"/>
      <c r="F7" s="28" t="s">
        <v>1964</v>
      </c>
    </row>
    <row r="8" customFormat="false" ht="15" hidden="false" customHeight="false" outlineLevel="0" collapsed="false">
      <c r="A8" s="28" t="s">
        <v>62</v>
      </c>
      <c r="B8" s="28" t="s">
        <v>60</v>
      </c>
      <c r="C8" s="28" t="s">
        <v>433</v>
      </c>
      <c r="D8" s="28" t="s">
        <v>175</v>
      </c>
      <c r="E8" s="28"/>
      <c r="F8" s="28" t="s">
        <v>1965</v>
      </c>
    </row>
    <row r="9" customFormat="false" ht="15" hidden="false" customHeight="false" outlineLevel="0" collapsed="false">
      <c r="A9" s="28" t="s">
        <v>62</v>
      </c>
      <c r="B9" s="28" t="s">
        <v>60</v>
      </c>
      <c r="C9" s="28" t="s">
        <v>434</v>
      </c>
      <c r="D9" s="28" t="s">
        <v>175</v>
      </c>
      <c r="E9" s="28" t="s">
        <v>1124</v>
      </c>
      <c r="F9" s="28" t="s">
        <v>1966</v>
      </c>
    </row>
    <row r="10" customFormat="false" ht="15" hidden="false" customHeight="false" outlineLevel="0" collapsed="false">
      <c r="A10" s="28" t="s">
        <v>62</v>
      </c>
      <c r="B10" s="28" t="s">
        <v>60</v>
      </c>
      <c r="C10" s="28" t="s">
        <v>435</v>
      </c>
      <c r="D10" s="28" t="s">
        <v>175</v>
      </c>
      <c r="E10" s="28" t="s">
        <v>1124</v>
      </c>
      <c r="F10" s="28" t="s">
        <v>1967</v>
      </c>
    </row>
    <row r="11" customFormat="false" ht="15" hidden="false" customHeight="false" outlineLevel="0" collapsed="false">
      <c r="A11" s="28" t="s">
        <v>62</v>
      </c>
      <c r="B11" s="28" t="s">
        <v>60</v>
      </c>
      <c r="C11" s="28" t="s">
        <v>436</v>
      </c>
      <c r="D11" s="28" t="s">
        <v>175</v>
      </c>
      <c r="E11" s="28" t="s">
        <v>1968</v>
      </c>
      <c r="F11" s="28" t="s">
        <v>1969</v>
      </c>
    </row>
    <row r="12" customFormat="false" ht="15" hidden="false" customHeight="false" outlineLevel="0" collapsed="false">
      <c r="A12" s="28" t="s">
        <v>62</v>
      </c>
      <c r="B12" s="28" t="s">
        <v>60</v>
      </c>
      <c r="C12" s="28" t="s">
        <v>437</v>
      </c>
      <c r="D12" s="28" t="s">
        <v>175</v>
      </c>
      <c r="E12" s="28"/>
      <c r="F12" s="28" t="s">
        <v>1970</v>
      </c>
    </row>
    <row r="13" customFormat="false" ht="15" hidden="false" customHeight="false" outlineLevel="0" collapsed="false">
      <c r="A13" s="28" t="s">
        <v>62</v>
      </c>
      <c r="B13" s="28" t="s">
        <v>60</v>
      </c>
      <c r="C13" s="28" t="s">
        <v>438</v>
      </c>
      <c r="D13" s="28" t="s">
        <v>175</v>
      </c>
      <c r="E13" s="28"/>
      <c r="F13" s="28" t="s">
        <v>1971</v>
      </c>
    </row>
    <row r="14" customFormat="false" ht="15" hidden="false" customHeight="false" outlineLevel="0" collapsed="false">
      <c r="A14" s="28" t="s">
        <v>62</v>
      </c>
      <c r="B14" s="28" t="s">
        <v>60</v>
      </c>
      <c r="C14" s="28" t="s">
        <v>439</v>
      </c>
      <c r="D14" s="28" t="s">
        <v>175</v>
      </c>
      <c r="E14" s="28" t="s">
        <v>1387</v>
      </c>
      <c r="F14" s="28" t="s">
        <v>1972</v>
      </c>
    </row>
    <row r="15" customFormat="false" ht="15" hidden="false" customHeight="false" outlineLevel="0" collapsed="false">
      <c r="A15" s="28" t="s">
        <v>62</v>
      </c>
      <c r="B15" s="28" t="s">
        <v>60</v>
      </c>
      <c r="C15" s="28" t="s">
        <v>440</v>
      </c>
      <c r="D15" s="28" t="s">
        <v>175</v>
      </c>
      <c r="E15" s="28" t="s">
        <v>1387</v>
      </c>
      <c r="F15" s="28" t="s">
        <v>1973</v>
      </c>
    </row>
    <row r="16" customFormat="false" ht="15" hidden="false" customHeight="false" outlineLevel="0" collapsed="false">
      <c r="A16" s="28" t="s">
        <v>62</v>
      </c>
      <c r="B16" s="28" t="s">
        <v>60</v>
      </c>
      <c r="C16" s="28" t="s">
        <v>441</v>
      </c>
      <c r="D16" s="28" t="s">
        <v>175</v>
      </c>
      <c r="E16" s="28" t="s">
        <v>1387</v>
      </c>
      <c r="F16" s="28" t="s">
        <v>1974</v>
      </c>
    </row>
    <row r="17" customFormat="false" ht="15" hidden="false" customHeight="false" outlineLevel="0" collapsed="false">
      <c r="A17" s="28" t="s">
        <v>62</v>
      </c>
      <c r="B17" s="28" t="s">
        <v>60</v>
      </c>
      <c r="C17" s="28" t="s">
        <v>442</v>
      </c>
      <c r="D17" s="28" t="s">
        <v>175</v>
      </c>
      <c r="E17" s="28"/>
      <c r="F17" s="28" t="s">
        <v>1975</v>
      </c>
    </row>
    <row r="18" customFormat="false" ht="15" hidden="false" customHeight="false" outlineLevel="0" collapsed="false">
      <c r="A18" s="28" t="s">
        <v>62</v>
      </c>
      <c r="B18" s="28" t="s">
        <v>60</v>
      </c>
      <c r="C18" s="28" t="s">
        <v>443</v>
      </c>
      <c r="D18" s="28" t="s">
        <v>175</v>
      </c>
      <c r="E18" s="28"/>
      <c r="F18" s="28" t="s">
        <v>1976</v>
      </c>
    </row>
    <row r="19" customFormat="false" ht="15" hidden="false" customHeight="false" outlineLevel="0" collapsed="false">
      <c r="A19" s="28" t="s">
        <v>62</v>
      </c>
      <c r="B19" s="28" t="s">
        <v>60</v>
      </c>
      <c r="C19" s="28" t="s">
        <v>444</v>
      </c>
      <c r="D19" s="28" t="s">
        <v>55</v>
      </c>
      <c r="E19" s="28"/>
      <c r="F19" s="28" t="s">
        <v>1977</v>
      </c>
    </row>
    <row r="20" customFormat="false" ht="15" hidden="false" customHeight="false" outlineLevel="0" collapsed="false">
      <c r="A20" s="28" t="s">
        <v>62</v>
      </c>
      <c r="B20" s="28" t="s">
        <v>60</v>
      </c>
      <c r="C20" s="28" t="s">
        <v>445</v>
      </c>
      <c r="D20" s="28" t="s">
        <v>55</v>
      </c>
      <c r="E20" s="28" t="s">
        <v>1124</v>
      </c>
      <c r="F20" s="28" t="s">
        <v>1978</v>
      </c>
    </row>
    <row r="21" customFormat="false" ht="15" hidden="false" customHeight="false" outlineLevel="0" collapsed="false">
      <c r="A21" s="28" t="s">
        <v>62</v>
      </c>
      <c r="B21" s="28" t="s">
        <v>60</v>
      </c>
      <c r="C21" s="28" t="s">
        <v>446</v>
      </c>
      <c r="D21" s="28" t="s">
        <v>55</v>
      </c>
      <c r="E21" s="28" t="s">
        <v>1124</v>
      </c>
      <c r="F21" s="28" t="s">
        <v>1979</v>
      </c>
    </row>
    <row r="22" customFormat="false" ht="15" hidden="false" customHeight="false" outlineLevel="0" collapsed="false">
      <c r="A22" s="28" t="s">
        <v>64</v>
      </c>
      <c r="B22" s="28" t="s">
        <v>60</v>
      </c>
      <c r="C22" s="28" t="s">
        <v>430</v>
      </c>
      <c r="D22" s="28" t="s">
        <v>175</v>
      </c>
      <c r="E22" s="28"/>
      <c r="F22" s="28" t="s">
        <v>1962</v>
      </c>
    </row>
    <row r="23" customFormat="false" ht="15" hidden="false" customHeight="false" outlineLevel="0" collapsed="false">
      <c r="A23" s="28" t="s">
        <v>64</v>
      </c>
      <c r="B23" s="28" t="s">
        <v>60</v>
      </c>
      <c r="C23" s="28" t="s">
        <v>626</v>
      </c>
      <c r="D23" s="28" t="s">
        <v>175</v>
      </c>
      <c r="E23" s="28"/>
      <c r="F23" s="28" t="s">
        <v>1980</v>
      </c>
    </row>
    <row r="24" customFormat="false" ht="15" hidden="false" customHeight="false" outlineLevel="0" collapsed="false">
      <c r="A24" s="28" t="s">
        <v>64</v>
      </c>
      <c r="B24" s="28" t="s">
        <v>60</v>
      </c>
      <c r="C24" s="28" t="s">
        <v>432</v>
      </c>
      <c r="D24" s="28" t="s">
        <v>175</v>
      </c>
      <c r="E24" s="28"/>
      <c r="F24" s="28" t="s">
        <v>1964</v>
      </c>
    </row>
    <row r="25" customFormat="false" ht="15" hidden="false" customHeight="false" outlineLevel="0" collapsed="false">
      <c r="A25" s="28" t="s">
        <v>64</v>
      </c>
      <c r="B25" s="28" t="s">
        <v>60</v>
      </c>
      <c r="C25" s="28" t="s">
        <v>433</v>
      </c>
      <c r="D25" s="28" t="s">
        <v>175</v>
      </c>
      <c r="E25" s="28"/>
      <c r="F25" s="28" t="s">
        <v>1965</v>
      </c>
    </row>
    <row r="26" customFormat="false" ht="15" hidden="false" customHeight="false" outlineLevel="0" collapsed="false">
      <c r="A26" s="28" t="s">
        <v>64</v>
      </c>
      <c r="B26" s="28" t="s">
        <v>60</v>
      </c>
      <c r="C26" s="28" t="s">
        <v>627</v>
      </c>
      <c r="D26" s="28" t="s">
        <v>175</v>
      </c>
      <c r="E26" s="28" t="s">
        <v>1124</v>
      </c>
      <c r="F26" s="28" t="s">
        <v>1981</v>
      </c>
    </row>
    <row r="27" customFormat="false" ht="15" hidden="false" customHeight="false" outlineLevel="0" collapsed="false">
      <c r="A27" s="28" t="s">
        <v>64</v>
      </c>
      <c r="B27" s="28" t="s">
        <v>60</v>
      </c>
      <c r="C27" s="28" t="s">
        <v>442</v>
      </c>
      <c r="D27" s="28" t="s">
        <v>175</v>
      </c>
      <c r="E27" s="28"/>
      <c r="F27" s="28" t="s">
        <v>1975</v>
      </c>
    </row>
    <row r="28" customFormat="false" ht="15" hidden="false" customHeight="false" outlineLevel="0" collapsed="false">
      <c r="A28" s="28" t="s">
        <v>64</v>
      </c>
      <c r="B28" s="28" t="s">
        <v>60</v>
      </c>
      <c r="C28" s="28" t="s">
        <v>443</v>
      </c>
      <c r="D28" s="28" t="s">
        <v>55</v>
      </c>
      <c r="E28" s="28"/>
      <c r="F28" s="28" t="s">
        <v>1976</v>
      </c>
    </row>
    <row r="29" customFormat="false" ht="15" hidden="false" customHeight="false" outlineLevel="0" collapsed="false">
      <c r="A29" s="28" t="s">
        <v>66</v>
      </c>
      <c r="B29" s="28" t="s">
        <v>55</v>
      </c>
      <c r="C29" s="28" t="s">
        <v>430</v>
      </c>
      <c r="D29" s="28" t="s">
        <v>1982</v>
      </c>
      <c r="E29" s="28"/>
      <c r="F29" s="28" t="s">
        <v>1962</v>
      </c>
    </row>
    <row r="30" customFormat="false" ht="15" hidden="false" customHeight="false" outlineLevel="0" collapsed="false">
      <c r="A30" s="28" t="s">
        <v>66</v>
      </c>
      <c r="B30" s="28" t="s">
        <v>55</v>
      </c>
      <c r="C30" s="28" t="s">
        <v>626</v>
      </c>
      <c r="D30" s="28" t="s">
        <v>1982</v>
      </c>
      <c r="E30" s="28"/>
      <c r="F30" s="28" t="s">
        <v>1980</v>
      </c>
    </row>
    <row r="31" customFormat="false" ht="15" hidden="false" customHeight="false" outlineLevel="0" collapsed="false">
      <c r="A31" s="28" t="s">
        <v>66</v>
      </c>
      <c r="B31" s="28" t="s">
        <v>55</v>
      </c>
      <c r="C31" s="28" t="s">
        <v>629</v>
      </c>
      <c r="D31" s="28" t="s">
        <v>1982</v>
      </c>
      <c r="E31" s="28" t="s">
        <v>1124</v>
      </c>
      <c r="F31" s="28" t="s">
        <v>1983</v>
      </c>
    </row>
    <row r="32" customFormat="false" ht="15" hidden="false" customHeight="false" outlineLevel="0" collapsed="false">
      <c r="A32" s="28" t="s">
        <v>66</v>
      </c>
      <c r="B32" s="28" t="s">
        <v>55</v>
      </c>
      <c r="C32" s="28" t="s">
        <v>705</v>
      </c>
      <c r="D32" s="28" t="s">
        <v>1982</v>
      </c>
      <c r="E32" s="28" t="s">
        <v>1124</v>
      </c>
      <c r="F32" s="28" t="s">
        <v>1984</v>
      </c>
    </row>
    <row r="33" customFormat="false" ht="15" hidden="false" customHeight="false" outlineLevel="0" collapsed="false">
      <c r="A33" s="28" t="s">
        <v>66</v>
      </c>
      <c r="B33" s="28" t="s">
        <v>55</v>
      </c>
      <c r="C33" s="28" t="s">
        <v>706</v>
      </c>
      <c r="D33" s="28" t="s">
        <v>1982</v>
      </c>
      <c r="E33" s="28" t="s">
        <v>1124</v>
      </c>
      <c r="F33" s="28" t="s">
        <v>1985</v>
      </c>
    </row>
    <row r="34" customFormat="false" ht="15" hidden="false" customHeight="false" outlineLevel="0" collapsed="false">
      <c r="A34" s="28" t="s">
        <v>66</v>
      </c>
      <c r="B34" s="28" t="s">
        <v>55</v>
      </c>
      <c r="C34" s="28" t="s">
        <v>636</v>
      </c>
      <c r="D34" s="28" t="s">
        <v>1982</v>
      </c>
      <c r="E34" s="28" t="s">
        <v>1124</v>
      </c>
      <c r="F34" s="28" t="s">
        <v>1986</v>
      </c>
    </row>
    <row r="35" customFormat="false" ht="15" hidden="false" customHeight="false" outlineLevel="0" collapsed="false">
      <c r="A35" s="28" t="s">
        <v>66</v>
      </c>
      <c r="B35" s="28" t="s">
        <v>55</v>
      </c>
      <c r="C35" s="28" t="s">
        <v>639</v>
      </c>
      <c r="D35" s="28" t="s">
        <v>1982</v>
      </c>
      <c r="E35" s="28" t="s">
        <v>1124</v>
      </c>
      <c r="F35" s="28" t="s">
        <v>639</v>
      </c>
    </row>
    <row r="36" customFormat="false" ht="15" hidden="false" customHeight="false" outlineLevel="0" collapsed="false">
      <c r="A36" s="28" t="s">
        <v>66</v>
      </c>
      <c r="B36" s="28" t="s">
        <v>55</v>
      </c>
      <c r="C36" s="28" t="s">
        <v>707</v>
      </c>
      <c r="D36" s="28" t="s">
        <v>1982</v>
      </c>
      <c r="E36" s="28" t="s">
        <v>1124</v>
      </c>
      <c r="F36" s="28" t="s">
        <v>1987</v>
      </c>
    </row>
    <row r="37" customFormat="false" ht="15" hidden="false" customHeight="false" outlineLevel="0" collapsed="false">
      <c r="A37" s="28" t="s">
        <v>66</v>
      </c>
      <c r="B37" s="28" t="s">
        <v>55</v>
      </c>
      <c r="C37" s="28" t="s">
        <v>708</v>
      </c>
      <c r="D37" s="28" t="s">
        <v>1982</v>
      </c>
      <c r="E37" s="28" t="s">
        <v>1124</v>
      </c>
      <c r="F37" s="28" t="s">
        <v>1988</v>
      </c>
    </row>
    <row r="38" customFormat="false" ht="15" hidden="false" customHeight="false" outlineLevel="0" collapsed="false">
      <c r="A38" s="28" t="s">
        <v>66</v>
      </c>
      <c r="B38" s="28" t="s">
        <v>55</v>
      </c>
      <c r="C38" s="28" t="s">
        <v>709</v>
      </c>
      <c r="D38" s="28" t="s">
        <v>1982</v>
      </c>
      <c r="E38" s="28" t="s">
        <v>1124</v>
      </c>
      <c r="F38" s="28" t="s">
        <v>1989</v>
      </c>
    </row>
    <row r="39" customFormat="false" ht="15" hidden="false" customHeight="false" outlineLevel="0" collapsed="false">
      <c r="A39" s="28" t="s">
        <v>66</v>
      </c>
      <c r="B39" s="28" t="s">
        <v>55</v>
      </c>
      <c r="C39" s="28" t="s">
        <v>442</v>
      </c>
      <c r="D39" s="28" t="s">
        <v>1982</v>
      </c>
      <c r="E39" s="28"/>
      <c r="F39" s="28" t="s">
        <v>1975</v>
      </c>
    </row>
    <row r="40" customFormat="false" ht="15" hidden="false" customHeight="false" outlineLevel="0" collapsed="false">
      <c r="A40" s="28" t="s">
        <v>66</v>
      </c>
      <c r="B40" s="28" t="s">
        <v>55</v>
      </c>
      <c r="C40" s="28" t="s">
        <v>443</v>
      </c>
      <c r="D40" s="28" t="s">
        <v>1982</v>
      </c>
      <c r="E40" s="28"/>
      <c r="F40" s="28" t="s">
        <v>1976</v>
      </c>
    </row>
    <row r="41" customFormat="false" ht="15" hidden="false" customHeight="false" outlineLevel="0" collapsed="false">
      <c r="A41" s="28" t="s">
        <v>66</v>
      </c>
      <c r="B41" s="28" t="s">
        <v>55</v>
      </c>
      <c r="C41" s="28" t="s">
        <v>710</v>
      </c>
      <c r="D41" s="28" t="s">
        <v>1982</v>
      </c>
      <c r="E41" s="28" t="s">
        <v>1124</v>
      </c>
      <c r="F41" s="28" t="s">
        <v>1990</v>
      </c>
    </row>
    <row r="42" customFormat="false" ht="15" hidden="false" customHeight="false" outlineLevel="0" collapsed="false">
      <c r="A42" s="28" t="s">
        <v>68</v>
      </c>
      <c r="B42" s="28" t="s">
        <v>60</v>
      </c>
      <c r="C42" s="28" t="s">
        <v>430</v>
      </c>
      <c r="D42" s="28" t="s">
        <v>175</v>
      </c>
      <c r="E42" s="28"/>
      <c r="F42" s="28" t="s">
        <v>1962</v>
      </c>
    </row>
    <row r="43" customFormat="false" ht="15" hidden="false" customHeight="false" outlineLevel="0" collapsed="false">
      <c r="A43" s="28" t="s">
        <v>68</v>
      </c>
      <c r="B43" s="28" t="s">
        <v>60</v>
      </c>
      <c r="C43" s="28" t="s">
        <v>712</v>
      </c>
      <c r="D43" s="28" t="s">
        <v>175</v>
      </c>
      <c r="E43" s="28"/>
      <c r="F43" s="28" t="s">
        <v>1991</v>
      </c>
    </row>
    <row r="44" customFormat="false" ht="15" hidden="false" customHeight="false" outlineLevel="0" collapsed="false">
      <c r="A44" s="28" t="s">
        <v>68</v>
      </c>
      <c r="B44" s="28" t="s">
        <v>60</v>
      </c>
      <c r="C44" s="28" t="s">
        <v>713</v>
      </c>
      <c r="D44" s="28" t="s">
        <v>175</v>
      </c>
      <c r="E44" s="28"/>
      <c r="F44" s="28" t="s">
        <v>1992</v>
      </c>
    </row>
    <row r="45" customFormat="false" ht="15" hidden="false" customHeight="false" outlineLevel="0" collapsed="false">
      <c r="A45" s="28" t="s">
        <v>68</v>
      </c>
      <c r="B45" s="28" t="s">
        <v>60</v>
      </c>
      <c r="C45" s="28" t="s">
        <v>434</v>
      </c>
      <c r="D45" s="28" t="s">
        <v>175</v>
      </c>
      <c r="E45" s="28" t="s">
        <v>1124</v>
      </c>
      <c r="F45" s="28" t="s">
        <v>1966</v>
      </c>
    </row>
    <row r="46" customFormat="false" ht="15" hidden="false" customHeight="false" outlineLevel="0" collapsed="false">
      <c r="A46" s="28" t="s">
        <v>68</v>
      </c>
      <c r="B46" s="28" t="s">
        <v>60</v>
      </c>
      <c r="C46" s="28" t="s">
        <v>714</v>
      </c>
      <c r="D46" s="28" t="s">
        <v>175</v>
      </c>
      <c r="E46" s="28" t="s">
        <v>714</v>
      </c>
      <c r="F46" s="28" t="s">
        <v>1993</v>
      </c>
    </row>
    <row r="47" customFormat="false" ht="15" hidden="false" customHeight="false" outlineLevel="0" collapsed="false">
      <c r="A47" s="28" t="s">
        <v>68</v>
      </c>
      <c r="B47" s="28" t="s">
        <v>60</v>
      </c>
      <c r="C47" s="28" t="s">
        <v>715</v>
      </c>
      <c r="D47" s="28" t="s">
        <v>175</v>
      </c>
      <c r="E47" s="28" t="s">
        <v>1968</v>
      </c>
      <c r="F47" s="28" t="s">
        <v>1994</v>
      </c>
    </row>
    <row r="48" customFormat="false" ht="15" hidden="false" customHeight="false" outlineLevel="0" collapsed="false">
      <c r="A48" s="28" t="s">
        <v>68</v>
      </c>
      <c r="B48" s="28" t="s">
        <v>60</v>
      </c>
      <c r="C48" s="28" t="s">
        <v>716</v>
      </c>
      <c r="D48" s="28" t="s">
        <v>175</v>
      </c>
      <c r="E48" s="28" t="s">
        <v>1968</v>
      </c>
      <c r="F48" s="28" t="s">
        <v>1995</v>
      </c>
    </row>
    <row r="49" customFormat="false" ht="15" hidden="false" customHeight="false" outlineLevel="0" collapsed="false">
      <c r="A49" s="28" t="s">
        <v>68</v>
      </c>
      <c r="B49" s="28" t="s">
        <v>60</v>
      </c>
      <c r="C49" s="28" t="s">
        <v>438</v>
      </c>
      <c r="D49" s="28" t="s">
        <v>175</v>
      </c>
      <c r="E49" s="28"/>
      <c r="F49" s="28" t="s">
        <v>1971</v>
      </c>
    </row>
    <row r="50" customFormat="false" ht="15" hidden="false" customHeight="false" outlineLevel="0" collapsed="false">
      <c r="A50" s="28" t="s">
        <v>68</v>
      </c>
      <c r="B50" s="28" t="s">
        <v>60</v>
      </c>
      <c r="C50" s="28" t="s">
        <v>717</v>
      </c>
      <c r="D50" s="28" t="s">
        <v>175</v>
      </c>
      <c r="E50" s="28" t="s">
        <v>1968</v>
      </c>
      <c r="F50" s="28" t="s">
        <v>1996</v>
      </c>
    </row>
    <row r="51" customFormat="false" ht="15" hidden="false" customHeight="false" outlineLevel="0" collapsed="false">
      <c r="A51" s="28" t="s">
        <v>68</v>
      </c>
      <c r="B51" s="28" t="s">
        <v>60</v>
      </c>
      <c r="C51" s="28" t="s">
        <v>718</v>
      </c>
      <c r="D51" s="28" t="s">
        <v>175</v>
      </c>
      <c r="E51" s="28" t="s">
        <v>1968</v>
      </c>
      <c r="F51" s="28" t="s">
        <v>1997</v>
      </c>
    </row>
    <row r="52" customFormat="false" ht="15" hidden="false" customHeight="false" outlineLevel="0" collapsed="false">
      <c r="A52" s="28" t="s">
        <v>68</v>
      </c>
      <c r="B52" s="28" t="s">
        <v>60</v>
      </c>
      <c r="C52" s="28" t="s">
        <v>439</v>
      </c>
      <c r="D52" s="28" t="s">
        <v>175</v>
      </c>
      <c r="E52" s="28" t="s">
        <v>1387</v>
      </c>
      <c r="F52" s="28" t="s">
        <v>1972</v>
      </c>
    </row>
    <row r="53" customFormat="false" ht="15" hidden="false" customHeight="false" outlineLevel="0" collapsed="false">
      <c r="A53" s="28" t="s">
        <v>68</v>
      </c>
      <c r="B53" s="28" t="s">
        <v>60</v>
      </c>
      <c r="C53" s="28" t="s">
        <v>440</v>
      </c>
      <c r="D53" s="28" t="s">
        <v>175</v>
      </c>
      <c r="E53" s="28" t="s">
        <v>1387</v>
      </c>
      <c r="F53" s="28" t="s">
        <v>1973</v>
      </c>
    </row>
    <row r="54" customFormat="false" ht="15" hidden="false" customHeight="false" outlineLevel="0" collapsed="false">
      <c r="A54" s="28" t="s">
        <v>68</v>
      </c>
      <c r="B54" s="28" t="s">
        <v>60</v>
      </c>
      <c r="C54" s="28" t="s">
        <v>719</v>
      </c>
      <c r="D54" s="28" t="s">
        <v>175</v>
      </c>
      <c r="E54" s="28" t="s">
        <v>1968</v>
      </c>
      <c r="F54" s="28" t="s">
        <v>1998</v>
      </c>
    </row>
    <row r="55" customFormat="false" ht="15" hidden="false" customHeight="false" outlineLevel="0" collapsed="false">
      <c r="A55" s="28" t="s">
        <v>68</v>
      </c>
      <c r="B55" s="28" t="s">
        <v>60</v>
      </c>
      <c r="C55" s="28" t="s">
        <v>720</v>
      </c>
      <c r="D55" s="28" t="s">
        <v>175</v>
      </c>
      <c r="E55" s="28" t="s">
        <v>1968</v>
      </c>
      <c r="F55" s="28" t="s">
        <v>1999</v>
      </c>
    </row>
    <row r="56" customFormat="false" ht="15" hidden="false" customHeight="false" outlineLevel="0" collapsed="false">
      <c r="A56" s="28" t="s">
        <v>68</v>
      </c>
      <c r="B56" s="28" t="s">
        <v>60</v>
      </c>
      <c r="C56" s="28" t="s">
        <v>721</v>
      </c>
      <c r="D56" s="28" t="s">
        <v>175</v>
      </c>
      <c r="E56" s="28" t="s">
        <v>1968</v>
      </c>
      <c r="F56" s="28" t="s">
        <v>2000</v>
      </c>
    </row>
    <row r="57" customFormat="false" ht="15" hidden="false" customHeight="false" outlineLevel="0" collapsed="false">
      <c r="A57" s="28" t="s">
        <v>68</v>
      </c>
      <c r="B57" s="28" t="s">
        <v>60</v>
      </c>
      <c r="C57" s="28" t="s">
        <v>722</v>
      </c>
      <c r="D57" s="28" t="s">
        <v>175</v>
      </c>
      <c r="E57" s="28"/>
      <c r="F57" s="28" t="s">
        <v>2001</v>
      </c>
    </row>
    <row r="58" customFormat="false" ht="15" hidden="false" customHeight="false" outlineLevel="0" collapsed="false">
      <c r="A58" s="28" t="s">
        <v>68</v>
      </c>
      <c r="B58" s="28" t="s">
        <v>60</v>
      </c>
      <c r="C58" s="28" t="s">
        <v>723</v>
      </c>
      <c r="D58" s="28" t="s">
        <v>175</v>
      </c>
      <c r="E58" s="28" t="s">
        <v>1968</v>
      </c>
      <c r="F58" s="28" t="s">
        <v>2002</v>
      </c>
    </row>
    <row r="59" customFormat="false" ht="15" hidden="false" customHeight="false" outlineLevel="0" collapsed="false">
      <c r="A59" s="28" t="s">
        <v>68</v>
      </c>
      <c r="B59" s="28" t="s">
        <v>60</v>
      </c>
      <c r="C59" s="28" t="s">
        <v>259</v>
      </c>
      <c r="D59" s="28" t="s">
        <v>175</v>
      </c>
      <c r="E59" s="28" t="s">
        <v>1968</v>
      </c>
      <c r="F59" s="28" t="s">
        <v>2003</v>
      </c>
    </row>
    <row r="60" customFormat="false" ht="15" hidden="false" customHeight="false" outlineLevel="0" collapsed="false">
      <c r="A60" s="28" t="s">
        <v>68</v>
      </c>
      <c r="B60" s="28" t="s">
        <v>60</v>
      </c>
      <c r="C60" s="28" t="s">
        <v>724</v>
      </c>
      <c r="D60" s="28" t="s">
        <v>175</v>
      </c>
      <c r="E60" s="28" t="s">
        <v>1968</v>
      </c>
      <c r="F60" s="28" t="s">
        <v>2004</v>
      </c>
    </row>
    <row r="61" customFormat="false" ht="15" hidden="false" customHeight="false" outlineLevel="0" collapsed="false">
      <c r="A61" s="28" t="s">
        <v>68</v>
      </c>
      <c r="B61" s="28" t="s">
        <v>60</v>
      </c>
      <c r="C61" s="28" t="s">
        <v>488</v>
      </c>
      <c r="D61" s="28" t="s">
        <v>175</v>
      </c>
      <c r="E61" s="28" t="s">
        <v>1124</v>
      </c>
      <c r="F61" s="28" t="s">
        <v>2005</v>
      </c>
    </row>
    <row r="62" customFormat="false" ht="15" hidden="false" customHeight="false" outlineLevel="0" collapsed="false">
      <c r="A62" s="28" t="s">
        <v>68</v>
      </c>
      <c r="B62" s="28" t="s">
        <v>60</v>
      </c>
      <c r="C62" s="28" t="s">
        <v>725</v>
      </c>
      <c r="D62" s="28" t="s">
        <v>175</v>
      </c>
      <c r="E62" s="28" t="s">
        <v>714</v>
      </c>
      <c r="F62" s="28" t="s">
        <v>2006</v>
      </c>
    </row>
    <row r="63" customFormat="false" ht="15" hidden="false" customHeight="false" outlineLevel="0" collapsed="false">
      <c r="A63" s="28" t="s">
        <v>68</v>
      </c>
      <c r="B63" s="28" t="s">
        <v>60</v>
      </c>
      <c r="C63" s="28" t="s">
        <v>726</v>
      </c>
      <c r="D63" s="28" t="s">
        <v>175</v>
      </c>
      <c r="E63" s="28" t="s">
        <v>1968</v>
      </c>
      <c r="F63" s="28" t="s">
        <v>2007</v>
      </c>
    </row>
    <row r="64" customFormat="false" ht="15" hidden="false" customHeight="false" outlineLevel="0" collapsed="false">
      <c r="A64" s="28" t="s">
        <v>68</v>
      </c>
      <c r="B64" s="28" t="s">
        <v>60</v>
      </c>
      <c r="C64" s="28" t="s">
        <v>727</v>
      </c>
      <c r="D64" s="28" t="s">
        <v>175</v>
      </c>
      <c r="E64" s="28" t="s">
        <v>1124</v>
      </c>
      <c r="F64" s="28" t="s">
        <v>2008</v>
      </c>
    </row>
    <row r="65" customFormat="false" ht="15" hidden="false" customHeight="false" outlineLevel="0" collapsed="false">
      <c r="A65" s="28" t="s">
        <v>68</v>
      </c>
      <c r="B65" s="28" t="s">
        <v>60</v>
      </c>
      <c r="C65" s="28" t="s">
        <v>728</v>
      </c>
      <c r="D65" s="28" t="s">
        <v>175</v>
      </c>
      <c r="E65" s="28" t="s">
        <v>1968</v>
      </c>
      <c r="F65" s="28" t="s">
        <v>2009</v>
      </c>
    </row>
    <row r="66" customFormat="false" ht="15" hidden="false" customHeight="false" outlineLevel="0" collapsed="false">
      <c r="A66" s="28" t="s">
        <v>68</v>
      </c>
      <c r="B66" s="28" t="s">
        <v>60</v>
      </c>
      <c r="C66" s="28" t="s">
        <v>729</v>
      </c>
      <c r="D66" s="28" t="s">
        <v>175</v>
      </c>
      <c r="E66" s="28" t="s">
        <v>1124</v>
      </c>
      <c r="F66" s="28" t="s">
        <v>2010</v>
      </c>
    </row>
    <row r="67" customFormat="false" ht="15" hidden="false" customHeight="false" outlineLevel="0" collapsed="false">
      <c r="A67" s="28" t="s">
        <v>68</v>
      </c>
      <c r="B67" s="28" t="s">
        <v>60</v>
      </c>
      <c r="C67" s="28" t="s">
        <v>730</v>
      </c>
      <c r="D67" s="28" t="s">
        <v>175</v>
      </c>
      <c r="E67" s="28" t="s">
        <v>1968</v>
      </c>
      <c r="F67" s="28" t="s">
        <v>2011</v>
      </c>
    </row>
    <row r="68" customFormat="false" ht="15" hidden="false" customHeight="false" outlineLevel="0" collapsed="false">
      <c r="A68" s="28" t="s">
        <v>68</v>
      </c>
      <c r="B68" s="28" t="s">
        <v>60</v>
      </c>
      <c r="C68" s="28" t="s">
        <v>731</v>
      </c>
      <c r="D68" s="28" t="s">
        <v>55</v>
      </c>
      <c r="E68" s="28"/>
      <c r="F68" s="28" t="s">
        <v>2012</v>
      </c>
    </row>
    <row r="69" customFormat="false" ht="15" hidden="false" customHeight="false" outlineLevel="0" collapsed="false">
      <c r="A69" s="28" t="s">
        <v>68</v>
      </c>
      <c r="B69" s="28" t="s">
        <v>60</v>
      </c>
      <c r="C69" s="28" t="s">
        <v>732</v>
      </c>
      <c r="D69" s="28" t="s">
        <v>55</v>
      </c>
      <c r="E69" s="28" t="s">
        <v>1968</v>
      </c>
      <c r="F69" s="28" t="s">
        <v>2013</v>
      </c>
    </row>
    <row r="70" customFormat="false" ht="15" hidden="false" customHeight="false" outlineLevel="0" collapsed="false">
      <c r="A70" s="28" t="s">
        <v>68</v>
      </c>
      <c r="B70" s="28" t="s">
        <v>60</v>
      </c>
      <c r="C70" s="28" t="s">
        <v>733</v>
      </c>
      <c r="D70" s="28" t="s">
        <v>55</v>
      </c>
      <c r="E70" s="28" t="s">
        <v>1968</v>
      </c>
      <c r="F70" s="28" t="s">
        <v>2014</v>
      </c>
    </row>
    <row r="71" customFormat="false" ht="15" hidden="false" customHeight="false" outlineLevel="0" collapsed="false">
      <c r="A71" s="28" t="s">
        <v>68</v>
      </c>
      <c r="B71" s="28" t="s">
        <v>60</v>
      </c>
      <c r="C71" s="28" t="s">
        <v>734</v>
      </c>
      <c r="D71" s="28" t="s">
        <v>55</v>
      </c>
      <c r="E71" s="28" t="s">
        <v>1968</v>
      </c>
      <c r="F71" s="28" t="s">
        <v>2015</v>
      </c>
    </row>
    <row r="72" customFormat="false" ht="15" hidden="false" customHeight="false" outlineLevel="0" collapsed="false">
      <c r="A72" s="28" t="s">
        <v>68</v>
      </c>
      <c r="B72" s="28" t="s">
        <v>60</v>
      </c>
      <c r="C72" s="28" t="s">
        <v>441</v>
      </c>
      <c r="D72" s="28" t="s">
        <v>55</v>
      </c>
      <c r="E72" s="28" t="s">
        <v>1387</v>
      </c>
      <c r="F72" s="28" t="s">
        <v>1974</v>
      </c>
    </row>
    <row r="73" customFormat="false" ht="15" hidden="false" customHeight="false" outlineLevel="0" collapsed="false">
      <c r="A73" s="28" t="s">
        <v>68</v>
      </c>
      <c r="B73" s="28" t="s">
        <v>60</v>
      </c>
      <c r="C73" s="28" t="s">
        <v>735</v>
      </c>
      <c r="D73" s="28" t="s">
        <v>55</v>
      </c>
      <c r="E73" s="28" t="s">
        <v>1387</v>
      </c>
      <c r="F73" s="28" t="s">
        <v>2016</v>
      </c>
    </row>
    <row r="74" customFormat="false" ht="15" hidden="false" customHeight="false" outlineLevel="0" collapsed="false">
      <c r="A74" s="28" t="s">
        <v>68</v>
      </c>
      <c r="B74" s="28" t="s">
        <v>60</v>
      </c>
      <c r="C74" s="28" t="s">
        <v>442</v>
      </c>
      <c r="D74" s="28" t="s">
        <v>55</v>
      </c>
      <c r="E74" s="28"/>
      <c r="F74" s="28" t="s">
        <v>1975</v>
      </c>
    </row>
    <row r="75" customFormat="false" ht="15" hidden="false" customHeight="false" outlineLevel="0" collapsed="false">
      <c r="A75" s="28" t="s">
        <v>68</v>
      </c>
      <c r="B75" s="28" t="s">
        <v>60</v>
      </c>
      <c r="C75" s="28" t="s">
        <v>443</v>
      </c>
      <c r="D75" s="28" t="s">
        <v>55</v>
      </c>
      <c r="E75" s="28"/>
      <c r="F75" s="28" t="s">
        <v>1976</v>
      </c>
    </row>
    <row r="76" customFormat="false" ht="15" hidden="false" customHeight="false" outlineLevel="0" collapsed="false">
      <c r="A76" s="28" t="s">
        <v>68</v>
      </c>
      <c r="B76" s="28" t="s">
        <v>60</v>
      </c>
      <c r="C76" s="28" t="s">
        <v>736</v>
      </c>
      <c r="D76" s="28" t="s">
        <v>55</v>
      </c>
      <c r="E76" s="28" t="s">
        <v>714</v>
      </c>
      <c r="F76" s="28" t="s">
        <v>2017</v>
      </c>
    </row>
    <row r="77" customFormat="false" ht="15" hidden="false" customHeight="false" outlineLevel="0" collapsed="false">
      <c r="A77" s="28" t="s">
        <v>68</v>
      </c>
      <c r="B77" s="28" t="s">
        <v>60</v>
      </c>
      <c r="C77" s="28" t="s">
        <v>737</v>
      </c>
      <c r="D77" s="28" t="s">
        <v>55</v>
      </c>
      <c r="E77" s="28" t="s">
        <v>1968</v>
      </c>
      <c r="F77" s="28" t="s">
        <v>2018</v>
      </c>
    </row>
    <row r="78" customFormat="false" ht="15" hidden="false" customHeight="false" outlineLevel="0" collapsed="false">
      <c r="A78" s="28" t="s">
        <v>70</v>
      </c>
      <c r="B78" s="28" t="s">
        <v>60</v>
      </c>
      <c r="C78" s="28" t="s">
        <v>430</v>
      </c>
      <c r="D78" s="28" t="s">
        <v>175</v>
      </c>
      <c r="E78" s="28"/>
      <c r="F78" s="28" t="s">
        <v>1962</v>
      </c>
    </row>
    <row r="79" customFormat="false" ht="15" hidden="false" customHeight="false" outlineLevel="0" collapsed="false">
      <c r="A79" s="28" t="s">
        <v>70</v>
      </c>
      <c r="B79" s="28" t="s">
        <v>60</v>
      </c>
      <c r="C79" s="28" t="s">
        <v>712</v>
      </c>
      <c r="D79" s="28" t="s">
        <v>175</v>
      </c>
      <c r="E79" s="28"/>
      <c r="F79" s="28" t="s">
        <v>1991</v>
      </c>
    </row>
    <row r="80" customFormat="false" ht="15" hidden="false" customHeight="false" outlineLevel="0" collapsed="false">
      <c r="A80" s="28" t="s">
        <v>70</v>
      </c>
      <c r="B80" s="28" t="s">
        <v>60</v>
      </c>
      <c r="C80" s="28" t="s">
        <v>713</v>
      </c>
      <c r="D80" s="28" t="s">
        <v>175</v>
      </c>
      <c r="E80" s="28"/>
      <c r="F80" s="28" t="s">
        <v>1992</v>
      </c>
    </row>
    <row r="81" customFormat="false" ht="15" hidden="false" customHeight="false" outlineLevel="0" collapsed="false">
      <c r="A81" s="28" t="s">
        <v>70</v>
      </c>
      <c r="B81" s="28" t="s">
        <v>60</v>
      </c>
      <c r="C81" s="28" t="s">
        <v>746</v>
      </c>
      <c r="D81" s="28" t="s">
        <v>175</v>
      </c>
      <c r="E81" s="28"/>
      <c r="F81" s="28" t="s">
        <v>2019</v>
      </c>
    </row>
    <row r="82" customFormat="false" ht="15" hidden="false" customHeight="false" outlineLevel="0" collapsed="false">
      <c r="A82" s="28" t="s">
        <v>70</v>
      </c>
      <c r="B82" s="28" t="s">
        <v>60</v>
      </c>
      <c r="C82" s="28" t="s">
        <v>434</v>
      </c>
      <c r="D82" s="28" t="s">
        <v>175</v>
      </c>
      <c r="E82" s="28" t="s">
        <v>1124</v>
      </c>
      <c r="F82" s="28" t="s">
        <v>1966</v>
      </c>
    </row>
    <row r="83" customFormat="false" ht="15" hidden="false" customHeight="false" outlineLevel="0" collapsed="false">
      <c r="A83" s="28" t="s">
        <v>70</v>
      </c>
      <c r="B83" s="28" t="s">
        <v>60</v>
      </c>
      <c r="C83" s="28" t="s">
        <v>747</v>
      </c>
      <c r="D83" s="28" t="s">
        <v>175</v>
      </c>
      <c r="E83" s="28" t="s">
        <v>714</v>
      </c>
      <c r="F83" s="28" t="s">
        <v>2020</v>
      </c>
    </row>
    <row r="84" customFormat="false" ht="15" hidden="false" customHeight="false" outlineLevel="0" collapsed="false">
      <c r="A84" s="28" t="s">
        <v>70</v>
      </c>
      <c r="B84" s="28" t="s">
        <v>60</v>
      </c>
      <c r="C84" s="28" t="s">
        <v>436</v>
      </c>
      <c r="D84" s="28" t="s">
        <v>175</v>
      </c>
      <c r="E84" s="28" t="s">
        <v>1968</v>
      </c>
      <c r="F84" s="28" t="s">
        <v>1969</v>
      </c>
    </row>
    <row r="85" customFormat="false" ht="15" hidden="false" customHeight="false" outlineLevel="0" collapsed="false">
      <c r="A85" s="28" t="s">
        <v>70</v>
      </c>
      <c r="B85" s="28" t="s">
        <v>60</v>
      </c>
      <c r="C85" s="28" t="s">
        <v>748</v>
      </c>
      <c r="D85" s="28" t="s">
        <v>175</v>
      </c>
      <c r="E85" s="28"/>
      <c r="F85" s="28" t="s">
        <v>2021</v>
      </c>
    </row>
    <row r="86" customFormat="false" ht="15" hidden="false" customHeight="false" outlineLevel="0" collapsed="false">
      <c r="A86" s="28" t="s">
        <v>70</v>
      </c>
      <c r="B86" s="28" t="s">
        <v>60</v>
      </c>
      <c r="C86" s="28" t="s">
        <v>749</v>
      </c>
      <c r="D86" s="28" t="s">
        <v>175</v>
      </c>
      <c r="E86" s="28"/>
      <c r="F86" s="28" t="s">
        <v>2022</v>
      </c>
    </row>
    <row r="87" customFormat="false" ht="15" hidden="false" customHeight="false" outlineLevel="0" collapsed="false">
      <c r="A87" s="28" t="s">
        <v>70</v>
      </c>
      <c r="B87" s="28" t="s">
        <v>60</v>
      </c>
      <c r="C87" s="28" t="s">
        <v>750</v>
      </c>
      <c r="D87" s="28" t="s">
        <v>175</v>
      </c>
      <c r="E87" s="28"/>
      <c r="F87" s="28" t="s">
        <v>2023</v>
      </c>
    </row>
    <row r="88" customFormat="false" ht="15" hidden="false" customHeight="false" outlineLevel="0" collapsed="false">
      <c r="A88" s="28" t="s">
        <v>70</v>
      </c>
      <c r="B88" s="28" t="s">
        <v>60</v>
      </c>
      <c r="C88" s="28" t="s">
        <v>751</v>
      </c>
      <c r="D88" s="28" t="s">
        <v>175</v>
      </c>
      <c r="E88" s="28" t="s">
        <v>1387</v>
      </c>
      <c r="F88" s="28" t="s">
        <v>2024</v>
      </c>
    </row>
    <row r="89" customFormat="false" ht="15" hidden="false" customHeight="false" outlineLevel="0" collapsed="false">
      <c r="A89" s="28" t="s">
        <v>70</v>
      </c>
      <c r="B89" s="28" t="s">
        <v>60</v>
      </c>
      <c r="C89" s="28" t="s">
        <v>752</v>
      </c>
      <c r="D89" s="28" t="s">
        <v>175</v>
      </c>
      <c r="E89" s="28" t="s">
        <v>1968</v>
      </c>
      <c r="F89" s="28" t="s">
        <v>2025</v>
      </c>
    </row>
    <row r="90" customFormat="false" ht="15" hidden="false" customHeight="false" outlineLevel="0" collapsed="false">
      <c r="A90" s="28" t="s">
        <v>70</v>
      </c>
      <c r="B90" s="28" t="s">
        <v>60</v>
      </c>
      <c r="C90" s="28" t="s">
        <v>753</v>
      </c>
      <c r="D90" s="28" t="s">
        <v>175</v>
      </c>
      <c r="E90" s="28" t="s">
        <v>1968</v>
      </c>
      <c r="F90" s="28" t="s">
        <v>2026</v>
      </c>
    </row>
    <row r="91" customFormat="false" ht="15" hidden="false" customHeight="false" outlineLevel="0" collapsed="false">
      <c r="A91" s="28" t="s">
        <v>70</v>
      </c>
      <c r="B91" s="28" t="s">
        <v>60</v>
      </c>
      <c r="C91" s="28" t="s">
        <v>754</v>
      </c>
      <c r="D91" s="28" t="s">
        <v>175</v>
      </c>
      <c r="E91" s="28" t="s">
        <v>1968</v>
      </c>
      <c r="F91" s="28" t="s">
        <v>2027</v>
      </c>
    </row>
    <row r="92" customFormat="false" ht="15" hidden="false" customHeight="false" outlineLevel="0" collapsed="false">
      <c r="A92" s="28" t="s">
        <v>70</v>
      </c>
      <c r="B92" s="28" t="s">
        <v>60</v>
      </c>
      <c r="C92" s="28" t="s">
        <v>755</v>
      </c>
      <c r="D92" s="28" t="s">
        <v>55</v>
      </c>
      <c r="E92" s="28" t="s">
        <v>1968</v>
      </c>
      <c r="F92" s="28" t="s">
        <v>2028</v>
      </c>
    </row>
    <row r="93" customFormat="false" ht="15" hidden="false" customHeight="false" outlineLevel="0" collapsed="false">
      <c r="A93" s="28" t="s">
        <v>70</v>
      </c>
      <c r="B93" s="28" t="s">
        <v>60</v>
      </c>
      <c r="C93" s="28" t="s">
        <v>756</v>
      </c>
      <c r="D93" s="28" t="s">
        <v>55</v>
      </c>
      <c r="E93" s="28" t="s">
        <v>1968</v>
      </c>
      <c r="F93" s="28" t="s">
        <v>2029</v>
      </c>
    </row>
    <row r="94" customFormat="false" ht="15" hidden="false" customHeight="false" outlineLevel="0" collapsed="false">
      <c r="A94" s="28" t="s">
        <v>70</v>
      </c>
      <c r="B94" s="28" t="s">
        <v>60</v>
      </c>
      <c r="C94" s="28" t="s">
        <v>757</v>
      </c>
      <c r="D94" s="28" t="s">
        <v>55</v>
      </c>
      <c r="E94" s="28" t="s">
        <v>1968</v>
      </c>
      <c r="F94" s="28" t="s">
        <v>2030</v>
      </c>
    </row>
    <row r="95" customFormat="false" ht="15" hidden="false" customHeight="false" outlineLevel="0" collapsed="false">
      <c r="A95" s="28" t="s">
        <v>70</v>
      </c>
      <c r="B95" s="28" t="s">
        <v>60</v>
      </c>
      <c r="C95" s="28" t="s">
        <v>758</v>
      </c>
      <c r="D95" s="28" t="s">
        <v>55</v>
      </c>
      <c r="E95" s="28" t="s">
        <v>1968</v>
      </c>
      <c r="F95" s="28" t="s">
        <v>2031</v>
      </c>
    </row>
    <row r="96" customFormat="false" ht="15" hidden="false" customHeight="false" outlineLevel="0" collapsed="false">
      <c r="A96" s="28" t="s">
        <v>70</v>
      </c>
      <c r="B96" s="28" t="s">
        <v>60</v>
      </c>
      <c r="C96" s="28" t="s">
        <v>440</v>
      </c>
      <c r="D96" s="28" t="s">
        <v>55</v>
      </c>
      <c r="E96" s="28" t="s">
        <v>1387</v>
      </c>
      <c r="F96" s="28" t="s">
        <v>1973</v>
      </c>
    </row>
    <row r="97" customFormat="false" ht="15" hidden="false" customHeight="false" outlineLevel="0" collapsed="false">
      <c r="A97" s="28" t="s">
        <v>70</v>
      </c>
      <c r="B97" s="28" t="s">
        <v>60</v>
      </c>
      <c r="C97" s="28" t="s">
        <v>446</v>
      </c>
      <c r="D97" s="28" t="s">
        <v>55</v>
      </c>
      <c r="E97" s="28" t="s">
        <v>1124</v>
      </c>
      <c r="F97" s="28" t="s">
        <v>1979</v>
      </c>
    </row>
    <row r="98" customFormat="false" ht="15" hidden="false" customHeight="false" outlineLevel="0" collapsed="false">
      <c r="A98" s="28" t="s">
        <v>70</v>
      </c>
      <c r="B98" s="28" t="s">
        <v>60</v>
      </c>
      <c r="C98" s="28" t="s">
        <v>442</v>
      </c>
      <c r="D98" s="28" t="s">
        <v>55</v>
      </c>
      <c r="E98" s="28"/>
      <c r="F98" s="28" t="s">
        <v>1975</v>
      </c>
    </row>
    <row r="99" customFormat="false" ht="15" hidden="false" customHeight="false" outlineLevel="0" collapsed="false">
      <c r="A99" s="28" t="s">
        <v>70</v>
      </c>
      <c r="B99" s="28" t="s">
        <v>60</v>
      </c>
      <c r="C99" s="28" t="s">
        <v>443</v>
      </c>
      <c r="D99" s="28" t="s">
        <v>55</v>
      </c>
      <c r="E99" s="28"/>
      <c r="F99" s="28" t="s">
        <v>1976</v>
      </c>
    </row>
    <row r="100" customFormat="false" ht="15" hidden="false" customHeight="false" outlineLevel="0" collapsed="false">
      <c r="A100" s="28" t="s">
        <v>70</v>
      </c>
      <c r="B100" s="28" t="s">
        <v>60</v>
      </c>
      <c r="C100" s="28" t="s">
        <v>736</v>
      </c>
      <c r="D100" s="28" t="s">
        <v>55</v>
      </c>
      <c r="E100" s="28" t="s">
        <v>714</v>
      </c>
      <c r="F100" s="28" t="s">
        <v>2017</v>
      </c>
    </row>
    <row r="101" customFormat="false" ht="15" hidden="false" customHeight="false" outlineLevel="0" collapsed="false">
      <c r="A101" s="28" t="s">
        <v>70</v>
      </c>
      <c r="B101" s="28" t="s">
        <v>60</v>
      </c>
      <c r="C101" s="28" t="s">
        <v>737</v>
      </c>
      <c r="D101" s="28" t="s">
        <v>55</v>
      </c>
      <c r="E101" s="28" t="s">
        <v>1968</v>
      </c>
      <c r="F101" s="28" t="s">
        <v>2018</v>
      </c>
    </row>
    <row r="102" customFormat="false" ht="15" hidden="false" customHeight="false" outlineLevel="0" collapsed="false">
      <c r="A102" s="28" t="s">
        <v>72</v>
      </c>
      <c r="B102" s="28" t="s">
        <v>73</v>
      </c>
      <c r="C102" s="28" t="s">
        <v>430</v>
      </c>
      <c r="D102" s="28" t="s">
        <v>175</v>
      </c>
      <c r="E102" s="28"/>
      <c r="F102" s="28" t="s">
        <v>1962</v>
      </c>
    </row>
    <row r="103" customFormat="false" ht="15" hidden="false" customHeight="false" outlineLevel="0" collapsed="false">
      <c r="A103" s="28" t="s">
        <v>72</v>
      </c>
      <c r="B103" s="28" t="s">
        <v>73</v>
      </c>
      <c r="C103" s="28" t="s">
        <v>778</v>
      </c>
      <c r="D103" s="28" t="s">
        <v>175</v>
      </c>
      <c r="E103" s="28" t="s">
        <v>714</v>
      </c>
      <c r="F103" s="28" t="s">
        <v>2032</v>
      </c>
    </row>
    <row r="104" customFormat="false" ht="15" hidden="false" customHeight="false" outlineLevel="0" collapsed="false">
      <c r="A104" s="28" t="s">
        <v>72</v>
      </c>
      <c r="B104" s="28" t="s">
        <v>73</v>
      </c>
      <c r="C104" s="28" t="s">
        <v>434</v>
      </c>
      <c r="D104" s="28" t="s">
        <v>175</v>
      </c>
      <c r="E104" s="28" t="s">
        <v>1124</v>
      </c>
      <c r="F104" s="28" t="s">
        <v>1966</v>
      </c>
    </row>
    <row r="105" customFormat="false" ht="15" hidden="false" customHeight="false" outlineLevel="0" collapsed="false">
      <c r="A105" s="28" t="s">
        <v>72</v>
      </c>
      <c r="B105" s="28" t="s">
        <v>73</v>
      </c>
      <c r="C105" s="28" t="s">
        <v>436</v>
      </c>
      <c r="D105" s="28" t="s">
        <v>175</v>
      </c>
      <c r="E105" s="28" t="s">
        <v>1968</v>
      </c>
      <c r="F105" s="28" t="s">
        <v>1969</v>
      </c>
    </row>
    <row r="106" customFormat="false" ht="15" hidden="false" customHeight="false" outlineLevel="0" collapsed="false">
      <c r="A106" s="28" t="s">
        <v>72</v>
      </c>
      <c r="B106" s="28" t="s">
        <v>73</v>
      </c>
      <c r="C106" s="28" t="s">
        <v>779</v>
      </c>
      <c r="D106" s="28" t="s">
        <v>55</v>
      </c>
      <c r="E106" s="28"/>
      <c r="F106" s="28" t="s">
        <v>2033</v>
      </c>
    </row>
    <row r="107" customFormat="false" ht="15" hidden="false" customHeight="false" outlineLevel="0" collapsed="false">
      <c r="A107" s="28" t="s">
        <v>72</v>
      </c>
      <c r="B107" s="28" t="s">
        <v>73</v>
      </c>
      <c r="C107" s="28" t="s">
        <v>780</v>
      </c>
      <c r="D107" s="28" t="s">
        <v>55</v>
      </c>
      <c r="E107" s="28" t="s">
        <v>1124</v>
      </c>
      <c r="F107" s="28" t="s">
        <v>2034</v>
      </c>
    </row>
    <row r="108" customFormat="false" ht="15" hidden="false" customHeight="false" outlineLevel="0" collapsed="false">
      <c r="A108" s="28" t="s">
        <v>72</v>
      </c>
      <c r="B108" s="28" t="s">
        <v>73</v>
      </c>
      <c r="C108" s="28" t="s">
        <v>781</v>
      </c>
      <c r="D108" s="28" t="s">
        <v>55</v>
      </c>
      <c r="E108" s="28" t="s">
        <v>1124</v>
      </c>
      <c r="F108" s="28" t="s">
        <v>2035</v>
      </c>
    </row>
    <row r="109" customFormat="false" ht="15" hidden="false" customHeight="false" outlineLevel="0" collapsed="false">
      <c r="A109" s="28" t="s">
        <v>72</v>
      </c>
      <c r="B109" s="28" t="s">
        <v>73</v>
      </c>
      <c r="C109" s="28" t="s">
        <v>782</v>
      </c>
      <c r="D109" s="28" t="s">
        <v>55</v>
      </c>
      <c r="E109" s="28" t="s">
        <v>1124</v>
      </c>
      <c r="F109" s="28" t="s">
        <v>2036</v>
      </c>
    </row>
    <row r="110" customFormat="false" ht="15" hidden="false" customHeight="false" outlineLevel="0" collapsed="false">
      <c r="A110" s="28" t="s">
        <v>75</v>
      </c>
      <c r="B110" s="28" t="s">
        <v>60</v>
      </c>
      <c r="C110" s="28" t="s">
        <v>430</v>
      </c>
      <c r="D110" s="28" t="s">
        <v>175</v>
      </c>
      <c r="E110" s="28"/>
      <c r="F110" s="28" t="s">
        <v>1962</v>
      </c>
    </row>
    <row r="111" customFormat="false" ht="15" hidden="false" customHeight="false" outlineLevel="0" collapsed="false">
      <c r="A111" s="28" t="s">
        <v>75</v>
      </c>
      <c r="B111" s="28" t="s">
        <v>60</v>
      </c>
      <c r="C111" s="28" t="s">
        <v>843</v>
      </c>
      <c r="D111" s="28" t="s">
        <v>175</v>
      </c>
      <c r="E111" s="28"/>
      <c r="F111" s="28" t="s">
        <v>2037</v>
      </c>
    </row>
    <row r="112" customFormat="false" ht="15" hidden="false" customHeight="false" outlineLevel="0" collapsed="false">
      <c r="A112" s="28" t="s">
        <v>75</v>
      </c>
      <c r="B112" s="28" t="s">
        <v>60</v>
      </c>
      <c r="C112" s="28" t="s">
        <v>844</v>
      </c>
      <c r="D112" s="28" t="s">
        <v>175</v>
      </c>
      <c r="E112" s="28"/>
      <c r="F112" s="28" t="s">
        <v>2038</v>
      </c>
    </row>
    <row r="113" customFormat="false" ht="15" hidden="false" customHeight="false" outlineLevel="0" collapsed="false">
      <c r="A113" s="28" t="s">
        <v>75</v>
      </c>
      <c r="B113" s="28" t="s">
        <v>60</v>
      </c>
      <c r="C113" s="28" t="s">
        <v>845</v>
      </c>
      <c r="D113" s="28" t="s">
        <v>175</v>
      </c>
      <c r="E113" s="28" t="s">
        <v>1124</v>
      </c>
      <c r="F113" s="28" t="s">
        <v>2039</v>
      </c>
    </row>
    <row r="114" customFormat="false" ht="15" hidden="false" customHeight="false" outlineLevel="0" collapsed="false">
      <c r="A114" s="28" t="s">
        <v>75</v>
      </c>
      <c r="B114" s="28" t="s">
        <v>60</v>
      </c>
      <c r="C114" s="28" t="s">
        <v>137</v>
      </c>
      <c r="D114" s="28" t="s">
        <v>175</v>
      </c>
      <c r="E114" s="28" t="s">
        <v>1124</v>
      </c>
      <c r="F114" s="28" t="s">
        <v>2040</v>
      </c>
    </row>
    <row r="115" customFormat="false" ht="15" hidden="false" customHeight="false" outlineLevel="0" collapsed="false">
      <c r="A115" s="28" t="s">
        <v>75</v>
      </c>
      <c r="B115" s="28" t="s">
        <v>60</v>
      </c>
      <c r="C115" s="28" t="s">
        <v>715</v>
      </c>
      <c r="D115" s="28" t="s">
        <v>175</v>
      </c>
      <c r="E115" s="28" t="s">
        <v>1968</v>
      </c>
      <c r="F115" s="28" t="s">
        <v>1994</v>
      </c>
    </row>
    <row r="116" customFormat="false" ht="15" hidden="false" customHeight="false" outlineLevel="0" collapsed="false">
      <c r="A116" s="28" t="s">
        <v>75</v>
      </c>
      <c r="B116" s="28" t="s">
        <v>60</v>
      </c>
      <c r="C116" s="28" t="s">
        <v>440</v>
      </c>
      <c r="D116" s="28" t="s">
        <v>175</v>
      </c>
      <c r="E116" s="28" t="s">
        <v>1387</v>
      </c>
      <c r="F116" s="28" t="s">
        <v>1973</v>
      </c>
    </row>
    <row r="117" customFormat="false" ht="15" hidden="false" customHeight="false" outlineLevel="0" collapsed="false">
      <c r="A117" s="28" t="s">
        <v>75</v>
      </c>
      <c r="B117" s="28" t="s">
        <v>60</v>
      </c>
      <c r="C117" s="28" t="s">
        <v>441</v>
      </c>
      <c r="D117" s="28" t="s">
        <v>175</v>
      </c>
      <c r="E117" s="28" t="s">
        <v>1387</v>
      </c>
      <c r="F117" s="28" t="s">
        <v>1974</v>
      </c>
    </row>
    <row r="118" customFormat="false" ht="15" hidden="false" customHeight="false" outlineLevel="0" collapsed="false">
      <c r="A118" s="28" t="s">
        <v>75</v>
      </c>
      <c r="B118" s="28" t="s">
        <v>60</v>
      </c>
      <c r="C118" s="28" t="s">
        <v>439</v>
      </c>
      <c r="D118" s="28" t="s">
        <v>175</v>
      </c>
      <c r="E118" s="28" t="s">
        <v>1387</v>
      </c>
      <c r="F118" s="28" t="s">
        <v>1972</v>
      </c>
    </row>
    <row r="119" customFormat="false" ht="15" hidden="false" customHeight="false" outlineLevel="0" collapsed="false">
      <c r="A119" s="28" t="s">
        <v>75</v>
      </c>
      <c r="B119" s="28" t="s">
        <v>60</v>
      </c>
      <c r="C119" s="28" t="s">
        <v>846</v>
      </c>
      <c r="D119" s="28" t="s">
        <v>175</v>
      </c>
      <c r="E119" s="28" t="s">
        <v>1124</v>
      </c>
      <c r="F119" s="28" t="s">
        <v>2041</v>
      </c>
    </row>
    <row r="120" customFormat="false" ht="15" hidden="false" customHeight="false" outlineLevel="0" collapsed="false">
      <c r="A120" s="28" t="s">
        <v>75</v>
      </c>
      <c r="B120" s="28" t="s">
        <v>60</v>
      </c>
      <c r="C120" s="28" t="s">
        <v>237</v>
      </c>
      <c r="D120" s="28" t="s">
        <v>55</v>
      </c>
      <c r="E120" s="28"/>
      <c r="F120" s="28" t="s">
        <v>2042</v>
      </c>
    </row>
    <row r="121" customFormat="false" ht="15" hidden="false" customHeight="false" outlineLevel="0" collapsed="false">
      <c r="A121" s="28" t="s">
        <v>75</v>
      </c>
      <c r="B121" s="28" t="s">
        <v>60</v>
      </c>
      <c r="C121" s="28" t="s">
        <v>442</v>
      </c>
      <c r="D121" s="28" t="s">
        <v>55</v>
      </c>
      <c r="E121" s="28"/>
      <c r="F121" s="28" t="s">
        <v>1975</v>
      </c>
    </row>
    <row r="122" customFormat="false" ht="15" hidden="false" customHeight="false" outlineLevel="0" collapsed="false">
      <c r="A122" s="28" t="s">
        <v>75</v>
      </c>
      <c r="B122" s="28" t="s">
        <v>60</v>
      </c>
      <c r="C122" s="28" t="s">
        <v>443</v>
      </c>
      <c r="D122" s="28" t="s">
        <v>55</v>
      </c>
      <c r="E122" s="28"/>
      <c r="F122" s="28" t="s">
        <v>1976</v>
      </c>
    </row>
    <row r="123" customFormat="false" ht="15" hidden="false" customHeight="false" outlineLevel="0" collapsed="false">
      <c r="A123" s="28" t="s">
        <v>75</v>
      </c>
      <c r="B123" s="28" t="s">
        <v>60</v>
      </c>
      <c r="C123" s="28" t="s">
        <v>847</v>
      </c>
      <c r="D123" s="28" t="s">
        <v>55</v>
      </c>
      <c r="E123" s="28" t="s">
        <v>1124</v>
      </c>
      <c r="F123" s="28" t="s">
        <v>2043</v>
      </c>
    </row>
    <row r="124" customFormat="false" ht="15" hidden="false" customHeight="false" outlineLevel="0" collapsed="false">
      <c r="A124" s="28" t="s">
        <v>75</v>
      </c>
      <c r="B124" s="28" t="s">
        <v>60</v>
      </c>
      <c r="C124" s="28" t="s">
        <v>736</v>
      </c>
      <c r="D124" s="28" t="s">
        <v>55</v>
      </c>
      <c r="E124" s="28" t="s">
        <v>714</v>
      </c>
      <c r="F124" s="28" t="s">
        <v>2017</v>
      </c>
    </row>
    <row r="125" customFormat="false" ht="15" hidden="false" customHeight="false" outlineLevel="0" collapsed="false">
      <c r="A125" s="28" t="s">
        <v>77</v>
      </c>
      <c r="B125" s="28" t="s">
        <v>55</v>
      </c>
      <c r="C125" s="28" t="s">
        <v>430</v>
      </c>
      <c r="D125" s="28" t="s">
        <v>1982</v>
      </c>
      <c r="E125" s="28"/>
      <c r="F125" s="28" t="s">
        <v>1962</v>
      </c>
    </row>
    <row r="126" customFormat="false" ht="15" hidden="false" customHeight="false" outlineLevel="0" collapsed="false">
      <c r="A126" s="28" t="s">
        <v>77</v>
      </c>
      <c r="B126" s="28" t="s">
        <v>55</v>
      </c>
      <c r="C126" s="28" t="s">
        <v>860</v>
      </c>
      <c r="D126" s="28" t="s">
        <v>1982</v>
      </c>
      <c r="E126" s="28"/>
      <c r="F126" s="28" t="s">
        <v>2044</v>
      </c>
    </row>
    <row r="127" customFormat="false" ht="15" hidden="false" customHeight="false" outlineLevel="0" collapsed="false">
      <c r="A127" s="28" t="s">
        <v>77</v>
      </c>
      <c r="B127" s="28" t="s">
        <v>55</v>
      </c>
      <c r="C127" s="28" t="s">
        <v>237</v>
      </c>
      <c r="D127" s="28" t="s">
        <v>1982</v>
      </c>
      <c r="E127" s="28"/>
      <c r="F127" s="28" t="s">
        <v>2042</v>
      </c>
    </row>
    <row r="128" customFormat="false" ht="15" hidden="false" customHeight="false" outlineLevel="0" collapsed="false">
      <c r="A128" s="28" t="s">
        <v>77</v>
      </c>
      <c r="B128" s="28" t="s">
        <v>55</v>
      </c>
      <c r="C128" s="28" t="s">
        <v>843</v>
      </c>
      <c r="D128" s="28" t="s">
        <v>1982</v>
      </c>
      <c r="E128" s="28"/>
      <c r="F128" s="28" t="s">
        <v>2037</v>
      </c>
    </row>
    <row r="129" customFormat="false" ht="15" hidden="false" customHeight="false" outlineLevel="0" collapsed="false">
      <c r="A129" s="28" t="s">
        <v>77</v>
      </c>
      <c r="B129" s="28" t="s">
        <v>55</v>
      </c>
      <c r="C129" s="28" t="s">
        <v>844</v>
      </c>
      <c r="D129" s="28" t="s">
        <v>1982</v>
      </c>
      <c r="E129" s="28"/>
      <c r="F129" s="28" t="s">
        <v>2038</v>
      </c>
    </row>
    <row r="130" customFormat="false" ht="15" hidden="false" customHeight="false" outlineLevel="0" collapsed="false">
      <c r="A130" s="28" t="s">
        <v>77</v>
      </c>
      <c r="B130" s="28" t="s">
        <v>55</v>
      </c>
      <c r="C130" s="28" t="s">
        <v>845</v>
      </c>
      <c r="D130" s="28" t="s">
        <v>1982</v>
      </c>
      <c r="E130" s="28" t="s">
        <v>1124</v>
      </c>
      <c r="F130" s="28" t="s">
        <v>2039</v>
      </c>
    </row>
    <row r="131" customFormat="false" ht="15" hidden="false" customHeight="false" outlineLevel="0" collapsed="false">
      <c r="A131" s="28" t="s">
        <v>77</v>
      </c>
      <c r="B131" s="28" t="s">
        <v>55</v>
      </c>
      <c r="C131" s="28" t="s">
        <v>137</v>
      </c>
      <c r="D131" s="28" t="s">
        <v>1982</v>
      </c>
      <c r="E131" s="28" t="s">
        <v>1124</v>
      </c>
      <c r="F131" s="28" t="s">
        <v>2040</v>
      </c>
    </row>
    <row r="132" customFormat="false" ht="15" hidden="false" customHeight="false" outlineLevel="0" collapsed="false">
      <c r="A132" s="28" t="s">
        <v>77</v>
      </c>
      <c r="B132" s="28" t="s">
        <v>55</v>
      </c>
      <c r="C132" s="28" t="s">
        <v>861</v>
      </c>
      <c r="D132" s="28" t="s">
        <v>1982</v>
      </c>
      <c r="E132" s="28" t="s">
        <v>1387</v>
      </c>
      <c r="F132" s="28" t="s">
        <v>861</v>
      </c>
    </row>
    <row r="133" customFormat="false" ht="15" hidden="false" customHeight="false" outlineLevel="0" collapsed="false">
      <c r="A133" s="28" t="s">
        <v>77</v>
      </c>
      <c r="B133" s="28" t="s">
        <v>55</v>
      </c>
      <c r="C133" s="28" t="s">
        <v>862</v>
      </c>
      <c r="D133" s="28" t="s">
        <v>1982</v>
      </c>
      <c r="E133" s="28" t="s">
        <v>1968</v>
      </c>
      <c r="F133" s="28" t="s">
        <v>2045</v>
      </c>
    </row>
    <row r="134" customFormat="false" ht="15" hidden="false" customHeight="false" outlineLevel="0" collapsed="false">
      <c r="A134" s="28" t="s">
        <v>77</v>
      </c>
      <c r="B134" s="28" t="s">
        <v>55</v>
      </c>
      <c r="C134" s="28" t="s">
        <v>440</v>
      </c>
      <c r="D134" s="28" t="s">
        <v>1982</v>
      </c>
      <c r="E134" s="28" t="s">
        <v>1387</v>
      </c>
      <c r="F134" s="28" t="s">
        <v>1973</v>
      </c>
    </row>
    <row r="135" customFormat="false" ht="15" hidden="false" customHeight="false" outlineLevel="0" collapsed="false">
      <c r="A135" s="28" t="s">
        <v>77</v>
      </c>
      <c r="B135" s="28" t="s">
        <v>55</v>
      </c>
      <c r="C135" s="28" t="s">
        <v>441</v>
      </c>
      <c r="D135" s="28" t="s">
        <v>1982</v>
      </c>
      <c r="E135" s="28" t="s">
        <v>1387</v>
      </c>
      <c r="F135" s="28" t="s">
        <v>1974</v>
      </c>
    </row>
    <row r="136" customFormat="false" ht="15" hidden="false" customHeight="false" outlineLevel="0" collapsed="false">
      <c r="A136" s="28" t="s">
        <v>77</v>
      </c>
      <c r="B136" s="28" t="s">
        <v>55</v>
      </c>
      <c r="C136" s="28" t="s">
        <v>439</v>
      </c>
      <c r="D136" s="28" t="s">
        <v>1982</v>
      </c>
      <c r="E136" s="28" t="s">
        <v>1387</v>
      </c>
      <c r="F136" s="28" t="s">
        <v>1972</v>
      </c>
    </row>
    <row r="137" customFormat="false" ht="15" hidden="false" customHeight="false" outlineLevel="0" collapsed="false">
      <c r="A137" s="28" t="s">
        <v>77</v>
      </c>
      <c r="B137" s="28" t="s">
        <v>55</v>
      </c>
      <c r="C137" s="28" t="s">
        <v>863</v>
      </c>
      <c r="D137" s="28" t="s">
        <v>1982</v>
      </c>
      <c r="E137" s="28" t="s">
        <v>1968</v>
      </c>
      <c r="F137" s="28" t="s">
        <v>2046</v>
      </c>
    </row>
    <row r="138" customFormat="false" ht="15" hidden="false" customHeight="false" outlineLevel="0" collapsed="false">
      <c r="A138" s="28" t="s">
        <v>77</v>
      </c>
      <c r="B138" s="28" t="s">
        <v>55</v>
      </c>
      <c r="C138" s="28" t="s">
        <v>734</v>
      </c>
      <c r="D138" s="28" t="s">
        <v>1982</v>
      </c>
      <c r="E138" s="28" t="s">
        <v>1968</v>
      </c>
      <c r="F138" s="28" t="s">
        <v>2015</v>
      </c>
    </row>
    <row r="139" customFormat="false" ht="15" hidden="false" customHeight="false" outlineLevel="0" collapsed="false">
      <c r="A139" s="28" t="s">
        <v>77</v>
      </c>
      <c r="B139" s="28" t="s">
        <v>55</v>
      </c>
      <c r="C139" s="28" t="s">
        <v>864</v>
      </c>
      <c r="D139" s="28" t="s">
        <v>1982</v>
      </c>
      <c r="E139" s="28" t="s">
        <v>1124</v>
      </c>
      <c r="F139" s="28" t="s">
        <v>2047</v>
      </c>
    </row>
    <row r="140" customFormat="false" ht="15" hidden="false" customHeight="false" outlineLevel="0" collapsed="false">
      <c r="A140" s="28" t="s">
        <v>77</v>
      </c>
      <c r="B140" s="28" t="s">
        <v>55</v>
      </c>
      <c r="C140" s="28" t="s">
        <v>865</v>
      </c>
      <c r="D140" s="28" t="s">
        <v>1982</v>
      </c>
      <c r="E140" s="28" t="s">
        <v>1124</v>
      </c>
      <c r="F140" s="28" t="s">
        <v>2048</v>
      </c>
    </row>
    <row r="141" customFormat="false" ht="15" hidden="false" customHeight="false" outlineLevel="0" collapsed="false">
      <c r="A141" s="28" t="s">
        <v>77</v>
      </c>
      <c r="B141" s="28" t="s">
        <v>55</v>
      </c>
      <c r="C141" s="28" t="s">
        <v>866</v>
      </c>
      <c r="D141" s="28" t="s">
        <v>1982</v>
      </c>
      <c r="E141" s="28" t="s">
        <v>1124</v>
      </c>
      <c r="F141" s="28" t="s">
        <v>2049</v>
      </c>
    </row>
    <row r="142" customFormat="false" ht="15" hidden="false" customHeight="false" outlineLevel="0" collapsed="false">
      <c r="A142" s="28" t="s">
        <v>77</v>
      </c>
      <c r="B142" s="28" t="s">
        <v>55</v>
      </c>
      <c r="C142" s="28" t="s">
        <v>442</v>
      </c>
      <c r="D142" s="28" t="s">
        <v>1982</v>
      </c>
      <c r="E142" s="28"/>
      <c r="F142" s="28" t="s">
        <v>1975</v>
      </c>
    </row>
    <row r="143" customFormat="false" ht="15" hidden="false" customHeight="false" outlineLevel="0" collapsed="false">
      <c r="A143" s="28" t="s">
        <v>77</v>
      </c>
      <c r="B143" s="28" t="s">
        <v>55</v>
      </c>
      <c r="C143" s="28" t="s">
        <v>443</v>
      </c>
      <c r="D143" s="28" t="s">
        <v>1982</v>
      </c>
      <c r="E143" s="28"/>
      <c r="F143" s="28" t="s">
        <v>1976</v>
      </c>
    </row>
    <row r="144" customFormat="false" ht="15" hidden="false" customHeight="false" outlineLevel="0" collapsed="false">
      <c r="A144" s="28" t="s">
        <v>79</v>
      </c>
      <c r="B144" s="28" t="s">
        <v>73</v>
      </c>
      <c r="C144" s="28" t="s">
        <v>868</v>
      </c>
      <c r="D144" s="28" t="s">
        <v>175</v>
      </c>
      <c r="E144" s="28" t="s">
        <v>714</v>
      </c>
      <c r="F144" s="28" t="s">
        <v>2050</v>
      </c>
    </row>
    <row r="145" customFormat="false" ht="15" hidden="false" customHeight="false" outlineLevel="0" collapsed="false">
      <c r="A145" s="28" t="s">
        <v>79</v>
      </c>
      <c r="B145" s="28" t="s">
        <v>73</v>
      </c>
      <c r="C145" s="28" t="s">
        <v>869</v>
      </c>
      <c r="D145" s="28" t="s">
        <v>175</v>
      </c>
      <c r="E145" s="28" t="s">
        <v>1124</v>
      </c>
      <c r="F145" s="28" t="s">
        <v>2051</v>
      </c>
    </row>
    <row r="146" customFormat="false" ht="15" hidden="false" customHeight="false" outlineLevel="0" collapsed="false">
      <c r="A146" s="28" t="s">
        <v>79</v>
      </c>
      <c r="B146" s="28" t="s">
        <v>73</v>
      </c>
      <c r="C146" s="28" t="s">
        <v>870</v>
      </c>
      <c r="D146" s="28" t="s">
        <v>175</v>
      </c>
      <c r="E146" s="28" t="s">
        <v>1124</v>
      </c>
      <c r="F146" s="28" t="s">
        <v>2052</v>
      </c>
    </row>
    <row r="147" customFormat="false" ht="15" hidden="false" customHeight="false" outlineLevel="0" collapsed="false">
      <c r="A147" s="28" t="s">
        <v>79</v>
      </c>
      <c r="B147" s="28" t="s">
        <v>73</v>
      </c>
      <c r="C147" s="28" t="s">
        <v>871</v>
      </c>
      <c r="D147" s="28" t="s">
        <v>175</v>
      </c>
      <c r="E147" s="28" t="s">
        <v>1124</v>
      </c>
      <c r="F147" s="28" t="s">
        <v>2053</v>
      </c>
    </row>
    <row r="148" customFormat="false" ht="15" hidden="false" customHeight="false" outlineLevel="0" collapsed="false">
      <c r="A148" s="28" t="s">
        <v>79</v>
      </c>
      <c r="B148" s="28" t="s">
        <v>73</v>
      </c>
      <c r="C148" s="28" t="s">
        <v>872</v>
      </c>
      <c r="D148" s="28" t="s">
        <v>55</v>
      </c>
      <c r="E148" s="28" t="s">
        <v>1124</v>
      </c>
      <c r="F148" s="28" t="s">
        <v>2054</v>
      </c>
    </row>
    <row r="149" customFormat="false" ht="15" hidden="false" customHeight="false" outlineLevel="0" collapsed="false">
      <c r="A149" s="28" t="s">
        <v>81</v>
      </c>
      <c r="B149" s="28" t="s">
        <v>60</v>
      </c>
      <c r="C149" s="28" t="s">
        <v>430</v>
      </c>
      <c r="D149" s="28" t="s">
        <v>175</v>
      </c>
      <c r="E149" s="28"/>
      <c r="F149" s="28" t="s">
        <v>1962</v>
      </c>
    </row>
    <row r="150" customFormat="false" ht="15" hidden="false" customHeight="false" outlineLevel="0" collapsed="false">
      <c r="A150" s="28" t="s">
        <v>81</v>
      </c>
      <c r="B150" s="28" t="s">
        <v>60</v>
      </c>
      <c r="C150" s="28" t="s">
        <v>220</v>
      </c>
      <c r="D150" s="28" t="s">
        <v>175</v>
      </c>
      <c r="E150" s="28"/>
      <c r="F150" s="28" t="s">
        <v>2055</v>
      </c>
    </row>
    <row r="151" customFormat="false" ht="15" hidden="false" customHeight="false" outlineLevel="0" collapsed="false">
      <c r="A151" s="28" t="s">
        <v>81</v>
      </c>
      <c r="B151" s="28" t="s">
        <v>60</v>
      </c>
      <c r="C151" s="28" t="s">
        <v>873</v>
      </c>
      <c r="D151" s="28" t="s">
        <v>175</v>
      </c>
      <c r="E151" s="28"/>
      <c r="F151" s="28" t="s">
        <v>2056</v>
      </c>
    </row>
    <row r="152" customFormat="false" ht="15" hidden="false" customHeight="false" outlineLevel="0" collapsed="false">
      <c r="A152" s="28" t="s">
        <v>81</v>
      </c>
      <c r="B152" s="28" t="s">
        <v>60</v>
      </c>
      <c r="C152" s="28" t="s">
        <v>627</v>
      </c>
      <c r="D152" s="28" t="s">
        <v>175</v>
      </c>
      <c r="E152" s="28" t="s">
        <v>1124</v>
      </c>
      <c r="F152" s="28" t="s">
        <v>1981</v>
      </c>
    </row>
    <row r="153" customFormat="false" ht="15" hidden="false" customHeight="false" outlineLevel="0" collapsed="false">
      <c r="A153" s="28" t="s">
        <v>83</v>
      </c>
      <c r="B153" s="28" t="s">
        <v>55</v>
      </c>
      <c r="C153" s="28" t="s">
        <v>444</v>
      </c>
      <c r="D153" s="28" t="s">
        <v>1982</v>
      </c>
      <c r="E153" s="28"/>
      <c r="F153" s="28" t="s">
        <v>1977</v>
      </c>
    </row>
    <row r="154" customFormat="false" ht="15" hidden="false" customHeight="false" outlineLevel="0" collapsed="false">
      <c r="A154" s="28" t="s">
        <v>83</v>
      </c>
      <c r="B154" s="28" t="s">
        <v>55</v>
      </c>
      <c r="C154" s="28" t="s">
        <v>873</v>
      </c>
      <c r="D154" s="28" t="s">
        <v>1982</v>
      </c>
      <c r="E154" s="28"/>
      <c r="F154" s="28" t="s">
        <v>2056</v>
      </c>
    </row>
    <row r="155" customFormat="false" ht="15" hidden="false" customHeight="false" outlineLevel="0" collapsed="false">
      <c r="A155" s="28" t="s">
        <v>83</v>
      </c>
      <c r="B155" s="28" t="s">
        <v>55</v>
      </c>
      <c r="C155" s="28" t="s">
        <v>220</v>
      </c>
      <c r="D155" s="28" t="s">
        <v>1982</v>
      </c>
      <c r="E155" s="28"/>
      <c r="F155" s="28" t="s">
        <v>2055</v>
      </c>
    </row>
    <row r="156" customFormat="false" ht="15" hidden="false" customHeight="false" outlineLevel="0" collapsed="false">
      <c r="A156" s="28" t="s">
        <v>83</v>
      </c>
      <c r="B156" s="28" t="s">
        <v>55</v>
      </c>
      <c r="C156" s="28" t="s">
        <v>627</v>
      </c>
      <c r="D156" s="28" t="s">
        <v>1982</v>
      </c>
      <c r="E156" s="28" t="s">
        <v>1124</v>
      </c>
      <c r="F156" s="28" t="s">
        <v>1981</v>
      </c>
    </row>
    <row r="157" customFormat="false" ht="15" hidden="false" customHeight="false" outlineLevel="0" collapsed="false">
      <c r="A157" s="28" t="s">
        <v>85</v>
      </c>
      <c r="B157" s="28" t="s">
        <v>55</v>
      </c>
      <c r="C157" s="28" t="s">
        <v>157</v>
      </c>
      <c r="D157" s="28" t="s">
        <v>1982</v>
      </c>
      <c r="E157" s="28"/>
      <c r="F157" s="28" t="s">
        <v>2057</v>
      </c>
    </row>
    <row r="158" customFormat="false" ht="15" hidden="false" customHeight="false" outlineLevel="0" collapsed="false">
      <c r="A158" s="28" t="s">
        <v>85</v>
      </c>
      <c r="B158" s="28" t="s">
        <v>55</v>
      </c>
      <c r="C158" s="28" t="s">
        <v>158</v>
      </c>
      <c r="D158" s="28" t="s">
        <v>1982</v>
      </c>
      <c r="E158" s="28"/>
      <c r="F158" s="28" t="s">
        <v>2058</v>
      </c>
    </row>
    <row r="159" customFormat="false" ht="15" hidden="false" customHeight="false" outlineLevel="0" collapsed="false">
      <c r="A159" s="28" t="s">
        <v>85</v>
      </c>
      <c r="B159" s="28" t="s">
        <v>55</v>
      </c>
      <c r="C159" s="28" t="s">
        <v>159</v>
      </c>
      <c r="D159" s="28" t="s">
        <v>1982</v>
      </c>
      <c r="E159" s="28"/>
      <c r="F159" s="28" t="s">
        <v>2059</v>
      </c>
    </row>
    <row r="160" customFormat="false" ht="15" hidden="false" customHeight="false" outlineLevel="0" collapsed="false">
      <c r="A160" s="28" t="s">
        <v>85</v>
      </c>
      <c r="B160" s="28" t="s">
        <v>55</v>
      </c>
      <c r="C160" s="28" t="s">
        <v>160</v>
      </c>
      <c r="D160" s="28" t="s">
        <v>1982</v>
      </c>
      <c r="E160" s="28" t="s">
        <v>714</v>
      </c>
      <c r="F160" s="28" t="s">
        <v>2060</v>
      </c>
    </row>
    <row r="161" customFormat="false" ht="15" hidden="false" customHeight="false" outlineLevel="0" collapsed="false">
      <c r="A161" s="28" t="s">
        <v>85</v>
      </c>
      <c r="B161" s="28" t="s">
        <v>55</v>
      </c>
      <c r="C161" s="28" t="s">
        <v>161</v>
      </c>
      <c r="D161" s="28" t="s">
        <v>1982</v>
      </c>
      <c r="E161" s="28"/>
      <c r="F161" s="28" t="s">
        <v>2061</v>
      </c>
    </row>
    <row r="162" customFormat="false" ht="15" hidden="false" customHeight="false" outlineLevel="0" collapsed="false">
      <c r="A162" s="28" t="s">
        <v>85</v>
      </c>
      <c r="B162" s="28" t="s">
        <v>55</v>
      </c>
      <c r="C162" s="28" t="s">
        <v>369</v>
      </c>
      <c r="D162" s="28" t="s">
        <v>1982</v>
      </c>
      <c r="E162" s="28"/>
      <c r="F162" s="28" t="s">
        <v>1961</v>
      </c>
    </row>
    <row r="163" customFormat="false" ht="15" hidden="false" customHeight="false" outlineLevel="0" collapsed="false">
      <c r="A163" s="28" t="s">
        <v>85</v>
      </c>
      <c r="B163" s="28" t="s">
        <v>55</v>
      </c>
      <c r="C163" s="28" t="s">
        <v>875</v>
      </c>
      <c r="D163" s="28" t="s">
        <v>1982</v>
      </c>
      <c r="E163" s="28"/>
      <c r="F163" s="28" t="s">
        <v>2062</v>
      </c>
    </row>
    <row r="164" customFormat="false" ht="15" hidden="false" customHeight="false" outlineLevel="0" collapsed="false">
      <c r="A164" s="28" t="s">
        <v>85</v>
      </c>
      <c r="B164" s="28" t="s">
        <v>55</v>
      </c>
      <c r="C164" s="28" t="s">
        <v>876</v>
      </c>
      <c r="D164" s="28" t="s">
        <v>1982</v>
      </c>
      <c r="E164" s="28"/>
      <c r="F164" s="28" t="s">
        <v>2063</v>
      </c>
    </row>
    <row r="165" customFormat="false" ht="15" hidden="false" customHeight="false" outlineLevel="0" collapsed="false">
      <c r="A165" s="28" t="s">
        <v>85</v>
      </c>
      <c r="B165" s="28" t="s">
        <v>55</v>
      </c>
      <c r="C165" s="28" t="s">
        <v>877</v>
      </c>
      <c r="D165" s="28" t="s">
        <v>1982</v>
      </c>
      <c r="E165" s="28"/>
      <c r="F165" s="28" t="s">
        <v>2064</v>
      </c>
    </row>
    <row r="166" customFormat="false" ht="15" hidden="false" customHeight="false" outlineLevel="0" collapsed="false">
      <c r="A166" s="28" t="s">
        <v>85</v>
      </c>
      <c r="B166" s="28" t="s">
        <v>55</v>
      </c>
      <c r="C166" s="28" t="s">
        <v>878</v>
      </c>
      <c r="D166" s="28" t="s">
        <v>1982</v>
      </c>
      <c r="E166" s="28"/>
      <c r="F166" s="28" t="s">
        <v>2065</v>
      </c>
    </row>
    <row r="167" customFormat="false" ht="15" hidden="false" customHeight="false" outlineLevel="0" collapsed="false">
      <c r="A167" s="28" t="s">
        <v>85</v>
      </c>
      <c r="B167" s="28" t="s">
        <v>55</v>
      </c>
      <c r="C167" s="28" t="s">
        <v>879</v>
      </c>
      <c r="D167" s="28" t="s">
        <v>1982</v>
      </c>
      <c r="E167" s="28"/>
      <c r="F167" s="28" t="s">
        <v>2066</v>
      </c>
    </row>
    <row r="168" customFormat="false" ht="15" hidden="false" customHeight="false" outlineLevel="0" collapsed="false">
      <c r="A168" s="28" t="s">
        <v>85</v>
      </c>
      <c r="B168" s="28" t="s">
        <v>55</v>
      </c>
      <c r="C168" s="28" t="s">
        <v>880</v>
      </c>
      <c r="D168" s="28" t="s">
        <v>1982</v>
      </c>
      <c r="E168" s="28"/>
      <c r="F168" s="28" t="s">
        <v>2067</v>
      </c>
    </row>
    <row r="169" customFormat="false" ht="15" hidden="false" customHeight="false" outlineLevel="0" collapsed="false">
      <c r="A169" s="28" t="s">
        <v>87</v>
      </c>
      <c r="B169" s="28" t="s">
        <v>60</v>
      </c>
      <c r="C169" s="28" t="s">
        <v>157</v>
      </c>
      <c r="D169" s="28" t="s">
        <v>175</v>
      </c>
      <c r="E169" s="28"/>
      <c r="F169" s="28" t="s">
        <v>2057</v>
      </c>
    </row>
    <row r="170" customFormat="false" ht="15" hidden="false" customHeight="false" outlineLevel="0" collapsed="false">
      <c r="A170" s="28" t="s">
        <v>87</v>
      </c>
      <c r="B170" s="28" t="s">
        <v>60</v>
      </c>
      <c r="C170" s="28" t="s">
        <v>158</v>
      </c>
      <c r="D170" s="28" t="s">
        <v>175</v>
      </c>
      <c r="E170" s="28"/>
      <c r="F170" s="28" t="s">
        <v>2058</v>
      </c>
    </row>
    <row r="171" customFormat="false" ht="15" hidden="false" customHeight="false" outlineLevel="0" collapsed="false">
      <c r="A171" s="28" t="s">
        <v>87</v>
      </c>
      <c r="B171" s="28" t="s">
        <v>60</v>
      </c>
      <c r="C171" s="28" t="s">
        <v>159</v>
      </c>
      <c r="D171" s="28" t="s">
        <v>175</v>
      </c>
      <c r="E171" s="28"/>
      <c r="F171" s="28" t="s">
        <v>2059</v>
      </c>
    </row>
    <row r="172" customFormat="false" ht="15" hidden="false" customHeight="false" outlineLevel="0" collapsed="false">
      <c r="A172" s="28" t="s">
        <v>87</v>
      </c>
      <c r="B172" s="28" t="s">
        <v>60</v>
      </c>
      <c r="C172" s="28" t="s">
        <v>160</v>
      </c>
      <c r="D172" s="28" t="s">
        <v>175</v>
      </c>
      <c r="E172" s="28" t="s">
        <v>714</v>
      </c>
      <c r="F172" s="28" t="s">
        <v>2060</v>
      </c>
    </row>
    <row r="173" customFormat="false" ht="15" hidden="false" customHeight="false" outlineLevel="0" collapsed="false">
      <c r="A173" s="28" t="s">
        <v>87</v>
      </c>
      <c r="B173" s="28" t="s">
        <v>60</v>
      </c>
      <c r="C173" s="28" t="s">
        <v>868</v>
      </c>
      <c r="D173" s="28" t="s">
        <v>175</v>
      </c>
      <c r="E173" s="28" t="s">
        <v>714</v>
      </c>
      <c r="F173" s="28" t="s">
        <v>2050</v>
      </c>
    </row>
    <row r="174" customFormat="false" ht="15" hidden="false" customHeight="false" outlineLevel="0" collapsed="false">
      <c r="A174" s="28" t="s">
        <v>87</v>
      </c>
      <c r="B174" s="28" t="s">
        <v>60</v>
      </c>
      <c r="C174" s="28" t="s">
        <v>903</v>
      </c>
      <c r="D174" s="28" t="s">
        <v>175</v>
      </c>
      <c r="E174" s="28"/>
      <c r="F174" s="28" t="s">
        <v>2068</v>
      </c>
    </row>
    <row r="175" customFormat="false" ht="15" hidden="false" customHeight="false" outlineLevel="0" collapsed="false">
      <c r="A175" s="28" t="s">
        <v>87</v>
      </c>
      <c r="B175" s="28" t="s">
        <v>60</v>
      </c>
      <c r="C175" s="28" t="s">
        <v>436</v>
      </c>
      <c r="D175" s="28" t="s">
        <v>175</v>
      </c>
      <c r="E175" s="28" t="s">
        <v>1968</v>
      </c>
      <c r="F175" s="28" t="s">
        <v>1969</v>
      </c>
    </row>
    <row r="176" customFormat="false" ht="15" hidden="false" customHeight="false" outlineLevel="0" collapsed="false">
      <c r="A176" s="28" t="s">
        <v>89</v>
      </c>
      <c r="B176" s="28" t="s">
        <v>60</v>
      </c>
      <c r="C176" s="28" t="s">
        <v>157</v>
      </c>
      <c r="D176" s="28" t="s">
        <v>175</v>
      </c>
      <c r="E176" s="28"/>
      <c r="F176" s="28" t="s">
        <v>2057</v>
      </c>
    </row>
    <row r="177" customFormat="false" ht="15" hidden="false" customHeight="false" outlineLevel="0" collapsed="false">
      <c r="A177" s="28" t="s">
        <v>89</v>
      </c>
      <c r="B177" s="28" t="s">
        <v>60</v>
      </c>
      <c r="C177" s="28" t="s">
        <v>868</v>
      </c>
      <c r="D177" s="28" t="s">
        <v>175</v>
      </c>
      <c r="E177" s="28" t="s">
        <v>714</v>
      </c>
      <c r="F177" s="28" t="s">
        <v>2050</v>
      </c>
    </row>
    <row r="178" customFormat="false" ht="15" hidden="false" customHeight="false" outlineLevel="0" collapsed="false">
      <c r="A178" s="28" t="s">
        <v>89</v>
      </c>
      <c r="B178" s="28" t="s">
        <v>60</v>
      </c>
      <c r="C178" s="28" t="s">
        <v>629</v>
      </c>
      <c r="D178" s="28" t="s">
        <v>175</v>
      </c>
      <c r="E178" s="28" t="s">
        <v>1124</v>
      </c>
      <c r="F178" s="28" t="s">
        <v>1983</v>
      </c>
    </row>
    <row r="179" customFormat="false" ht="15" hidden="false" customHeight="false" outlineLevel="0" collapsed="false">
      <c r="A179" s="28" t="s">
        <v>89</v>
      </c>
      <c r="B179" s="28" t="s">
        <v>60</v>
      </c>
      <c r="C179" s="28" t="s">
        <v>632</v>
      </c>
      <c r="D179" s="28" t="s">
        <v>175</v>
      </c>
      <c r="E179" s="28" t="s">
        <v>1124</v>
      </c>
      <c r="F179" s="28" t="s">
        <v>2069</v>
      </c>
    </row>
    <row r="180" customFormat="false" ht="15" hidden="false" customHeight="false" outlineLevel="0" collapsed="false">
      <c r="A180" s="28" t="s">
        <v>89</v>
      </c>
      <c r="B180" s="28" t="s">
        <v>60</v>
      </c>
      <c r="C180" s="28" t="s">
        <v>916</v>
      </c>
      <c r="D180" s="28" t="s">
        <v>175</v>
      </c>
      <c r="E180" s="28" t="s">
        <v>1124</v>
      </c>
      <c r="F180" s="28" t="s">
        <v>2070</v>
      </c>
    </row>
    <row r="181" customFormat="false" ht="15" hidden="false" customHeight="false" outlineLevel="0" collapsed="false">
      <c r="A181" s="28" t="s">
        <v>89</v>
      </c>
      <c r="B181" s="28" t="s">
        <v>60</v>
      </c>
      <c r="C181" s="28" t="s">
        <v>917</v>
      </c>
      <c r="D181" s="28" t="s">
        <v>175</v>
      </c>
      <c r="E181" s="28" t="s">
        <v>1124</v>
      </c>
      <c r="F181" s="28" t="s">
        <v>2071</v>
      </c>
    </row>
    <row r="182" customFormat="false" ht="15" hidden="false" customHeight="false" outlineLevel="0" collapsed="false">
      <c r="A182" s="28" t="s">
        <v>89</v>
      </c>
      <c r="B182" s="28" t="s">
        <v>60</v>
      </c>
      <c r="C182" s="28" t="s">
        <v>918</v>
      </c>
      <c r="D182" s="28" t="s">
        <v>175</v>
      </c>
      <c r="E182" s="28" t="s">
        <v>1124</v>
      </c>
      <c r="F182" s="28" t="s">
        <v>2072</v>
      </c>
    </row>
    <row r="183" customFormat="false" ht="15" hidden="false" customHeight="false" outlineLevel="0" collapsed="false">
      <c r="A183" s="28" t="s">
        <v>89</v>
      </c>
      <c r="B183" s="28" t="s">
        <v>60</v>
      </c>
      <c r="C183" s="28" t="s">
        <v>919</v>
      </c>
      <c r="D183" s="28" t="s">
        <v>55</v>
      </c>
      <c r="E183" s="28" t="s">
        <v>1124</v>
      </c>
      <c r="F183" s="28" t="s">
        <v>2073</v>
      </c>
    </row>
    <row r="184" customFormat="false" ht="15" hidden="false" customHeight="false" outlineLevel="0" collapsed="false">
      <c r="A184" s="28" t="s">
        <v>89</v>
      </c>
      <c r="B184" s="28" t="s">
        <v>60</v>
      </c>
      <c r="C184" s="28" t="s">
        <v>649</v>
      </c>
      <c r="D184" s="28" t="s">
        <v>55</v>
      </c>
      <c r="E184" s="28" t="s">
        <v>1124</v>
      </c>
      <c r="F184" s="28" t="s">
        <v>2074</v>
      </c>
    </row>
    <row r="185" customFormat="false" ht="15" hidden="false" customHeight="false" outlineLevel="0" collapsed="false">
      <c r="A185" s="28" t="s">
        <v>89</v>
      </c>
      <c r="B185" s="28" t="s">
        <v>60</v>
      </c>
      <c r="C185" s="28" t="s">
        <v>639</v>
      </c>
      <c r="D185" s="28" t="s">
        <v>55</v>
      </c>
      <c r="E185" s="28" t="s">
        <v>1124</v>
      </c>
      <c r="F185" s="28" t="s">
        <v>639</v>
      </c>
    </row>
    <row r="186" customFormat="false" ht="15" hidden="false" customHeight="false" outlineLevel="0" collapsed="false">
      <c r="A186" s="28" t="s">
        <v>89</v>
      </c>
      <c r="B186" s="28" t="s">
        <v>60</v>
      </c>
      <c r="C186" s="28" t="s">
        <v>636</v>
      </c>
      <c r="D186" s="28" t="s">
        <v>55</v>
      </c>
      <c r="E186" s="28" t="s">
        <v>1124</v>
      </c>
      <c r="F186" s="28" t="s">
        <v>1986</v>
      </c>
    </row>
    <row r="187" customFormat="false" ht="15" hidden="false" customHeight="false" outlineLevel="0" collapsed="false">
      <c r="A187" s="28" t="s">
        <v>91</v>
      </c>
      <c r="B187" s="28" t="s">
        <v>73</v>
      </c>
      <c r="C187" s="28" t="s">
        <v>157</v>
      </c>
      <c r="D187" s="28" t="s">
        <v>175</v>
      </c>
      <c r="E187" s="28"/>
      <c r="F187" s="28" t="s">
        <v>2057</v>
      </c>
    </row>
    <row r="188" customFormat="false" ht="15" hidden="false" customHeight="false" outlineLevel="0" collapsed="false">
      <c r="A188" s="28" t="s">
        <v>91</v>
      </c>
      <c r="B188" s="28" t="s">
        <v>73</v>
      </c>
      <c r="C188" s="28" t="s">
        <v>920</v>
      </c>
      <c r="D188" s="28" t="s">
        <v>175</v>
      </c>
      <c r="E188" s="28"/>
      <c r="F188" s="28" t="s">
        <v>2075</v>
      </c>
    </row>
    <row r="189" customFormat="false" ht="15" hidden="false" customHeight="false" outlineLevel="0" collapsed="false">
      <c r="A189" s="28" t="s">
        <v>91</v>
      </c>
      <c r="B189" s="28" t="s">
        <v>73</v>
      </c>
      <c r="C189" s="28" t="s">
        <v>433</v>
      </c>
      <c r="D189" s="28" t="s">
        <v>175</v>
      </c>
      <c r="E189" s="28"/>
      <c r="F189" s="28" t="s">
        <v>1965</v>
      </c>
    </row>
    <row r="190" customFormat="false" ht="15" hidden="false" customHeight="false" outlineLevel="0" collapsed="false">
      <c r="A190" s="28" t="s">
        <v>91</v>
      </c>
      <c r="B190" s="28" t="s">
        <v>73</v>
      </c>
      <c r="C190" s="28" t="s">
        <v>921</v>
      </c>
      <c r="D190" s="28" t="s">
        <v>175</v>
      </c>
      <c r="E190" s="28" t="s">
        <v>1124</v>
      </c>
      <c r="F190" s="28" t="s">
        <v>2076</v>
      </c>
    </row>
    <row r="191" customFormat="false" ht="15" hidden="false" customHeight="false" outlineLevel="0" collapsed="false">
      <c r="A191" s="28" t="s">
        <v>93</v>
      </c>
      <c r="B191" s="28" t="s">
        <v>60</v>
      </c>
      <c r="C191" s="28" t="s">
        <v>157</v>
      </c>
      <c r="D191" s="28" t="s">
        <v>175</v>
      </c>
      <c r="E191" s="28"/>
      <c r="F191" s="28" t="s">
        <v>2057</v>
      </c>
    </row>
    <row r="192" customFormat="false" ht="15" hidden="false" customHeight="false" outlineLevel="0" collapsed="false">
      <c r="A192" s="28" t="s">
        <v>93</v>
      </c>
      <c r="B192" s="28" t="s">
        <v>60</v>
      </c>
      <c r="C192" s="28" t="s">
        <v>432</v>
      </c>
      <c r="D192" s="28" t="s">
        <v>175</v>
      </c>
      <c r="E192" s="28"/>
      <c r="F192" s="28" t="s">
        <v>1964</v>
      </c>
    </row>
    <row r="193" customFormat="false" ht="15" hidden="false" customHeight="false" outlineLevel="0" collapsed="false">
      <c r="A193" s="28" t="s">
        <v>93</v>
      </c>
      <c r="B193" s="28" t="s">
        <v>60</v>
      </c>
      <c r="C193" s="28" t="s">
        <v>873</v>
      </c>
      <c r="D193" s="28" t="s">
        <v>175</v>
      </c>
      <c r="E193" s="28"/>
      <c r="F193" s="28" t="s">
        <v>2056</v>
      </c>
    </row>
    <row r="194" customFormat="false" ht="15" hidden="false" customHeight="false" outlineLevel="0" collapsed="false">
      <c r="A194" s="28" t="s">
        <v>93</v>
      </c>
      <c r="B194" s="28" t="s">
        <v>60</v>
      </c>
      <c r="C194" s="28" t="s">
        <v>845</v>
      </c>
      <c r="D194" s="28" t="s">
        <v>175</v>
      </c>
      <c r="E194" s="28" t="s">
        <v>1124</v>
      </c>
      <c r="F194" s="28" t="s">
        <v>2039</v>
      </c>
    </row>
    <row r="195" customFormat="false" ht="15" hidden="false" customHeight="false" outlineLevel="0" collapsed="false">
      <c r="A195" s="28" t="s">
        <v>93</v>
      </c>
      <c r="B195" s="28" t="s">
        <v>60</v>
      </c>
      <c r="C195" s="28" t="s">
        <v>938</v>
      </c>
      <c r="D195" s="28" t="s">
        <v>175</v>
      </c>
      <c r="E195" s="28" t="s">
        <v>1124</v>
      </c>
      <c r="F195" s="28" t="s">
        <v>2077</v>
      </c>
    </row>
    <row r="196" customFormat="false" ht="15" hidden="false" customHeight="false" outlineLevel="0" collapsed="false">
      <c r="A196" s="28" t="s">
        <v>93</v>
      </c>
      <c r="B196" s="28" t="s">
        <v>60</v>
      </c>
      <c r="C196" s="28" t="s">
        <v>440</v>
      </c>
      <c r="D196" s="28" t="s">
        <v>175</v>
      </c>
      <c r="E196" s="28" t="s">
        <v>1387</v>
      </c>
      <c r="F196" s="28" t="s">
        <v>1973</v>
      </c>
    </row>
    <row r="197" customFormat="false" ht="15" hidden="false" customHeight="false" outlineLevel="0" collapsed="false">
      <c r="A197" s="28" t="s">
        <v>93</v>
      </c>
      <c r="B197" s="28" t="s">
        <v>60</v>
      </c>
      <c r="C197" s="28" t="s">
        <v>843</v>
      </c>
      <c r="D197" s="28" t="s">
        <v>55</v>
      </c>
      <c r="E197" s="28"/>
      <c r="F197" s="28" t="s">
        <v>2037</v>
      </c>
    </row>
    <row r="198" customFormat="false" ht="15" hidden="false" customHeight="false" outlineLevel="0" collapsed="false">
      <c r="A198" s="28" t="s">
        <v>93</v>
      </c>
      <c r="B198" s="28" t="s">
        <v>60</v>
      </c>
      <c r="C198" s="28" t="s">
        <v>441</v>
      </c>
      <c r="D198" s="28" t="s">
        <v>55</v>
      </c>
      <c r="E198" s="28" t="s">
        <v>1387</v>
      </c>
      <c r="F198" s="28" t="s">
        <v>1974</v>
      </c>
    </row>
    <row r="199" customFormat="false" ht="15" hidden="false" customHeight="false" outlineLevel="0" collapsed="false">
      <c r="A199" s="28" t="s">
        <v>93</v>
      </c>
      <c r="B199" s="28" t="s">
        <v>60</v>
      </c>
      <c r="C199" s="28" t="s">
        <v>939</v>
      </c>
      <c r="D199" s="28" t="s">
        <v>55</v>
      </c>
      <c r="E199" s="28"/>
      <c r="F199" s="28" t="s">
        <v>2078</v>
      </c>
    </row>
    <row r="200" customFormat="false" ht="15" hidden="false" customHeight="false" outlineLevel="0" collapsed="false">
      <c r="A200" s="28" t="s">
        <v>95</v>
      </c>
      <c r="B200" s="28" t="s">
        <v>73</v>
      </c>
      <c r="C200" s="28" t="s">
        <v>430</v>
      </c>
      <c r="D200" s="28" t="s">
        <v>175</v>
      </c>
      <c r="E200" s="28"/>
      <c r="F200" s="28" t="s">
        <v>1962</v>
      </c>
    </row>
    <row r="201" customFormat="false" ht="15" hidden="false" customHeight="false" outlineLevel="0" collapsed="false">
      <c r="A201" s="28" t="s">
        <v>95</v>
      </c>
      <c r="B201" s="28" t="s">
        <v>73</v>
      </c>
      <c r="C201" s="28" t="s">
        <v>939</v>
      </c>
      <c r="D201" s="28" t="s">
        <v>175</v>
      </c>
      <c r="E201" s="28"/>
      <c r="F201" s="28" t="s">
        <v>2078</v>
      </c>
    </row>
    <row r="202" customFormat="false" ht="15" hidden="false" customHeight="false" outlineLevel="0" collapsed="false">
      <c r="A202" s="28" t="s">
        <v>95</v>
      </c>
      <c r="B202" s="28" t="s">
        <v>73</v>
      </c>
      <c r="C202" s="28" t="s">
        <v>988</v>
      </c>
      <c r="D202" s="28" t="s">
        <v>175</v>
      </c>
      <c r="E202" s="28" t="s">
        <v>1124</v>
      </c>
      <c r="F202" s="28" t="s">
        <v>2079</v>
      </c>
    </row>
    <row r="203" customFormat="false" ht="15" hidden="false" customHeight="false" outlineLevel="0" collapsed="false">
      <c r="A203" s="28" t="s">
        <v>95</v>
      </c>
      <c r="B203" s="28" t="s">
        <v>73</v>
      </c>
      <c r="C203" s="28" t="s">
        <v>989</v>
      </c>
      <c r="D203" s="28" t="s">
        <v>175</v>
      </c>
      <c r="E203" s="28" t="s">
        <v>1968</v>
      </c>
      <c r="F203" s="28" t="s">
        <v>2080</v>
      </c>
    </row>
    <row r="204" customFormat="false" ht="15" hidden="false" customHeight="false" outlineLevel="0" collapsed="false">
      <c r="A204" s="28" t="s">
        <v>95</v>
      </c>
      <c r="B204" s="28" t="s">
        <v>73</v>
      </c>
      <c r="C204" s="28" t="s">
        <v>990</v>
      </c>
      <c r="D204" s="28" t="s">
        <v>175</v>
      </c>
      <c r="E204" s="28" t="s">
        <v>1124</v>
      </c>
      <c r="F204" s="28" t="s">
        <v>2081</v>
      </c>
    </row>
    <row r="205" customFormat="false" ht="15" hidden="false" customHeight="false" outlineLevel="0" collapsed="false">
      <c r="A205" s="28" t="s">
        <v>95</v>
      </c>
      <c r="B205" s="28" t="s">
        <v>73</v>
      </c>
      <c r="C205" s="28" t="s">
        <v>991</v>
      </c>
      <c r="D205" s="28" t="s">
        <v>175</v>
      </c>
      <c r="E205" s="28" t="s">
        <v>1968</v>
      </c>
      <c r="F205" s="28" t="s">
        <v>2082</v>
      </c>
    </row>
    <row r="206" customFormat="false" ht="15" hidden="false" customHeight="false" outlineLevel="0" collapsed="false">
      <c r="A206" s="28" t="s">
        <v>95</v>
      </c>
      <c r="B206" s="28" t="s">
        <v>73</v>
      </c>
      <c r="C206" s="28" t="s">
        <v>992</v>
      </c>
      <c r="D206" s="28" t="s">
        <v>55</v>
      </c>
      <c r="E206" s="28" t="s">
        <v>1124</v>
      </c>
      <c r="F206" s="28" t="s">
        <v>2083</v>
      </c>
    </row>
    <row r="207" customFormat="false" ht="15" hidden="false" customHeight="false" outlineLevel="0" collapsed="false">
      <c r="A207" s="28" t="s">
        <v>95</v>
      </c>
      <c r="B207" s="28" t="s">
        <v>73</v>
      </c>
      <c r="C207" s="28" t="s">
        <v>442</v>
      </c>
      <c r="D207" s="28" t="s">
        <v>55</v>
      </c>
      <c r="E207" s="28"/>
      <c r="F207" s="28" t="s">
        <v>1975</v>
      </c>
    </row>
    <row r="208" customFormat="false" ht="15" hidden="false" customHeight="false" outlineLevel="0" collapsed="false">
      <c r="A208" s="28" t="s">
        <v>95</v>
      </c>
      <c r="B208" s="28" t="s">
        <v>73</v>
      </c>
      <c r="C208" s="28" t="s">
        <v>443</v>
      </c>
      <c r="D208" s="28" t="s">
        <v>55</v>
      </c>
      <c r="E208" s="28"/>
      <c r="F208" s="28" t="s">
        <v>1976</v>
      </c>
    </row>
    <row r="209" customFormat="false" ht="15" hidden="false" customHeight="false" outlineLevel="0" collapsed="false">
      <c r="A209" s="28" t="s">
        <v>95</v>
      </c>
      <c r="B209" s="28" t="s">
        <v>73</v>
      </c>
      <c r="C209" s="28" t="s">
        <v>993</v>
      </c>
      <c r="D209" s="28" t="s">
        <v>175</v>
      </c>
      <c r="E209" s="28" t="s">
        <v>1968</v>
      </c>
      <c r="F209" s="28" t="s">
        <v>2084</v>
      </c>
    </row>
    <row r="210" customFormat="false" ht="15" hidden="false" customHeight="false" outlineLevel="0" collapsed="false">
      <c r="A210" s="28" t="s">
        <v>95</v>
      </c>
      <c r="B210" s="28" t="s">
        <v>73</v>
      </c>
      <c r="C210" s="28" t="s">
        <v>844</v>
      </c>
      <c r="D210" s="28" t="s">
        <v>55</v>
      </c>
      <c r="E210" s="28"/>
      <c r="F210" s="28" t="s">
        <v>2038</v>
      </c>
    </row>
    <row r="211" customFormat="false" ht="15" hidden="false" customHeight="false" outlineLevel="0" collapsed="false">
      <c r="A211" s="28" t="s">
        <v>95</v>
      </c>
      <c r="B211" s="28" t="s">
        <v>73</v>
      </c>
      <c r="C211" s="28" t="s">
        <v>994</v>
      </c>
      <c r="D211" s="28" t="s">
        <v>55</v>
      </c>
      <c r="E211" s="28"/>
      <c r="F211" s="28" t="s">
        <v>2085</v>
      </c>
    </row>
    <row r="212" customFormat="false" ht="15" hidden="false" customHeight="false" outlineLevel="0" collapsed="false">
      <c r="A212" s="28" t="s">
        <v>97</v>
      </c>
      <c r="B212" s="28" t="s">
        <v>60</v>
      </c>
      <c r="C212" s="28" t="s">
        <v>432</v>
      </c>
      <c r="D212" s="28" t="s">
        <v>175</v>
      </c>
      <c r="E212" s="28"/>
      <c r="F212" s="28" t="s">
        <v>1964</v>
      </c>
    </row>
    <row r="213" customFormat="false" ht="15" hidden="false" customHeight="false" outlineLevel="0" collapsed="false">
      <c r="A213" s="28" t="s">
        <v>97</v>
      </c>
      <c r="B213" s="28" t="s">
        <v>60</v>
      </c>
      <c r="C213" s="28" t="s">
        <v>999</v>
      </c>
      <c r="D213" s="28" t="s">
        <v>175</v>
      </c>
      <c r="E213" s="28"/>
      <c r="F213" s="28" t="s">
        <v>2086</v>
      </c>
    </row>
    <row r="214" customFormat="false" ht="15" hidden="false" customHeight="false" outlineLevel="0" collapsed="false">
      <c r="A214" s="28" t="s">
        <v>97</v>
      </c>
      <c r="B214" s="28" t="s">
        <v>60</v>
      </c>
      <c r="C214" s="28" t="s">
        <v>237</v>
      </c>
      <c r="D214" s="28" t="s">
        <v>175</v>
      </c>
      <c r="E214" s="28"/>
      <c r="F214" s="28" t="s">
        <v>2042</v>
      </c>
    </row>
    <row r="215" customFormat="false" ht="15" hidden="false" customHeight="false" outlineLevel="0" collapsed="false">
      <c r="A215" s="28" t="s">
        <v>97</v>
      </c>
      <c r="B215" s="28" t="s">
        <v>60</v>
      </c>
      <c r="C215" s="28" t="s">
        <v>238</v>
      </c>
      <c r="D215" s="28" t="s">
        <v>175</v>
      </c>
      <c r="E215" s="28"/>
      <c r="F215" s="28" t="s">
        <v>1960</v>
      </c>
    </row>
    <row r="216" customFormat="false" ht="15" hidden="false" customHeight="false" outlineLevel="0" collapsed="false">
      <c r="A216" s="28" t="s">
        <v>97</v>
      </c>
      <c r="B216" s="28" t="s">
        <v>60</v>
      </c>
      <c r="C216" s="28" t="s">
        <v>1000</v>
      </c>
      <c r="D216" s="28" t="s">
        <v>175</v>
      </c>
      <c r="E216" s="28"/>
      <c r="F216" s="28" t="s">
        <v>2087</v>
      </c>
    </row>
    <row r="217" customFormat="false" ht="15" hidden="false" customHeight="false" outlineLevel="0" collapsed="false">
      <c r="A217" s="28" t="s">
        <v>97</v>
      </c>
      <c r="B217" s="28" t="s">
        <v>60</v>
      </c>
      <c r="C217" s="28" t="s">
        <v>626</v>
      </c>
      <c r="D217" s="28" t="s">
        <v>175</v>
      </c>
      <c r="E217" s="28"/>
      <c r="F217" s="28" t="s">
        <v>1980</v>
      </c>
    </row>
    <row r="218" customFormat="false" ht="15" hidden="false" customHeight="false" outlineLevel="0" collapsed="false">
      <c r="A218" s="28" t="s">
        <v>97</v>
      </c>
      <c r="B218" s="28" t="s">
        <v>60</v>
      </c>
      <c r="C218" s="28" t="s">
        <v>1001</v>
      </c>
      <c r="D218" s="28" t="s">
        <v>175</v>
      </c>
      <c r="E218" s="28"/>
      <c r="F218" s="28" t="s">
        <v>2088</v>
      </c>
    </row>
    <row r="219" customFormat="false" ht="15" hidden="false" customHeight="false" outlineLevel="0" collapsed="false">
      <c r="A219" s="28" t="s">
        <v>97</v>
      </c>
      <c r="B219" s="28" t="s">
        <v>60</v>
      </c>
      <c r="C219" s="28" t="s">
        <v>1002</v>
      </c>
      <c r="D219" s="28" t="s">
        <v>175</v>
      </c>
      <c r="E219" s="28"/>
      <c r="F219" s="28" t="s">
        <v>2089</v>
      </c>
    </row>
    <row r="220" customFormat="false" ht="15" hidden="false" customHeight="false" outlineLevel="0" collapsed="false">
      <c r="A220" s="28" t="s">
        <v>97</v>
      </c>
      <c r="B220" s="28" t="s">
        <v>60</v>
      </c>
      <c r="C220" s="28" t="s">
        <v>1003</v>
      </c>
      <c r="D220" s="28" t="s">
        <v>175</v>
      </c>
      <c r="E220" s="28"/>
      <c r="F220" s="28" t="s">
        <v>2090</v>
      </c>
    </row>
    <row r="221" customFormat="false" ht="15" hidden="false" customHeight="false" outlineLevel="0" collapsed="false">
      <c r="A221" s="28" t="s">
        <v>97</v>
      </c>
      <c r="B221" s="28" t="s">
        <v>60</v>
      </c>
      <c r="C221" s="28" t="s">
        <v>1004</v>
      </c>
      <c r="D221" s="28" t="s">
        <v>175</v>
      </c>
      <c r="E221" s="28"/>
      <c r="F221" s="28" t="s">
        <v>2091</v>
      </c>
    </row>
    <row r="222" customFormat="false" ht="15" hidden="false" customHeight="false" outlineLevel="0" collapsed="false">
      <c r="A222" s="28" t="s">
        <v>97</v>
      </c>
      <c r="B222" s="28" t="s">
        <v>60</v>
      </c>
      <c r="C222" s="28" t="s">
        <v>1005</v>
      </c>
      <c r="D222" s="28" t="s">
        <v>175</v>
      </c>
      <c r="E222" s="28"/>
      <c r="F222" s="28" t="s">
        <v>2092</v>
      </c>
    </row>
    <row r="223" customFormat="false" ht="15" hidden="false" customHeight="false" outlineLevel="0" collapsed="false">
      <c r="A223" s="28" t="s">
        <v>97</v>
      </c>
      <c r="B223" s="28" t="s">
        <v>60</v>
      </c>
      <c r="C223" s="28" t="s">
        <v>1006</v>
      </c>
      <c r="D223" s="28" t="s">
        <v>175</v>
      </c>
      <c r="E223" s="28"/>
      <c r="F223" s="28" t="s">
        <v>2093</v>
      </c>
    </row>
    <row r="224" customFormat="false" ht="15" hidden="false" customHeight="false" outlineLevel="0" collapsed="false">
      <c r="A224" s="28" t="s">
        <v>97</v>
      </c>
      <c r="B224" s="28" t="s">
        <v>60</v>
      </c>
      <c r="C224" s="28" t="s">
        <v>442</v>
      </c>
      <c r="D224" s="28" t="s">
        <v>55</v>
      </c>
      <c r="E224" s="28"/>
      <c r="F224" s="28" t="s">
        <v>1975</v>
      </c>
    </row>
    <row r="225" customFormat="false" ht="15" hidden="false" customHeight="false" outlineLevel="0" collapsed="false">
      <c r="A225" s="28" t="s">
        <v>99</v>
      </c>
      <c r="B225" s="28" t="s">
        <v>73</v>
      </c>
      <c r="C225" s="28" t="s">
        <v>999</v>
      </c>
      <c r="D225" s="28" t="s">
        <v>175</v>
      </c>
      <c r="E225" s="28"/>
      <c r="F225" s="28" t="s">
        <v>2086</v>
      </c>
    </row>
    <row r="226" customFormat="false" ht="15" hidden="false" customHeight="false" outlineLevel="0" collapsed="false">
      <c r="A226" s="28" t="s">
        <v>99</v>
      </c>
      <c r="B226" s="28" t="s">
        <v>73</v>
      </c>
      <c r="C226" s="28" t="s">
        <v>1132</v>
      </c>
      <c r="D226" s="28" t="s">
        <v>175</v>
      </c>
      <c r="E226" s="28"/>
      <c r="F226" s="28" t="s">
        <v>2094</v>
      </c>
    </row>
    <row r="227" customFormat="false" ht="15" hidden="false" customHeight="false" outlineLevel="0" collapsed="false">
      <c r="A227" s="28" t="s">
        <v>99</v>
      </c>
      <c r="B227" s="28" t="s">
        <v>73</v>
      </c>
      <c r="C227" s="28" t="s">
        <v>1133</v>
      </c>
      <c r="D227" s="28" t="s">
        <v>175</v>
      </c>
      <c r="E227" s="28"/>
      <c r="F227" s="28" t="s">
        <v>2095</v>
      </c>
    </row>
    <row r="228" customFormat="false" ht="15" hidden="false" customHeight="false" outlineLevel="0" collapsed="false">
      <c r="A228" s="28" t="s">
        <v>99</v>
      </c>
      <c r="B228" s="28" t="s">
        <v>73</v>
      </c>
      <c r="C228" s="28" t="s">
        <v>1134</v>
      </c>
      <c r="D228" s="28" t="s">
        <v>175</v>
      </c>
      <c r="E228" s="28" t="s">
        <v>1968</v>
      </c>
      <c r="F228" s="28" t="s">
        <v>2096</v>
      </c>
    </row>
    <row r="229" customFormat="false" ht="15" hidden="false" customHeight="false" outlineLevel="0" collapsed="false">
      <c r="A229" s="28" t="s">
        <v>99</v>
      </c>
      <c r="B229" s="28" t="s">
        <v>73</v>
      </c>
      <c r="C229" s="28" t="s">
        <v>1135</v>
      </c>
      <c r="D229" s="28" t="s">
        <v>175</v>
      </c>
      <c r="E229" s="28" t="s">
        <v>1968</v>
      </c>
      <c r="F229" s="28" t="s">
        <v>2097</v>
      </c>
    </row>
    <row r="230" customFormat="false" ht="15" hidden="false" customHeight="false" outlineLevel="0" collapsed="false">
      <c r="A230" s="28" t="s">
        <v>99</v>
      </c>
      <c r="B230" s="28" t="s">
        <v>73</v>
      </c>
      <c r="C230" s="28" t="s">
        <v>1136</v>
      </c>
      <c r="D230" s="28" t="s">
        <v>175</v>
      </c>
      <c r="E230" s="28" t="s">
        <v>1968</v>
      </c>
      <c r="F230" s="28" t="s">
        <v>2098</v>
      </c>
    </row>
    <row r="231" customFormat="false" ht="15" hidden="false" customHeight="false" outlineLevel="0" collapsed="false">
      <c r="A231" s="28" t="s">
        <v>99</v>
      </c>
      <c r="B231" s="28" t="s">
        <v>73</v>
      </c>
      <c r="C231" s="28" t="s">
        <v>1137</v>
      </c>
      <c r="D231" s="28" t="s">
        <v>175</v>
      </c>
      <c r="E231" s="28" t="s">
        <v>1968</v>
      </c>
      <c r="F231" s="28" t="s">
        <v>2099</v>
      </c>
    </row>
    <row r="232" customFormat="false" ht="15" hidden="false" customHeight="false" outlineLevel="0" collapsed="false">
      <c r="A232" s="28" t="s">
        <v>99</v>
      </c>
      <c r="B232" s="28" t="s">
        <v>73</v>
      </c>
      <c r="C232" s="28" t="s">
        <v>237</v>
      </c>
      <c r="D232" s="28" t="s">
        <v>55</v>
      </c>
      <c r="E232" s="28"/>
      <c r="F232" s="28" t="s">
        <v>2042</v>
      </c>
    </row>
    <row r="233" customFormat="false" ht="15" hidden="false" customHeight="false" outlineLevel="0" collapsed="false">
      <c r="A233" s="28" t="s">
        <v>99</v>
      </c>
      <c r="B233" s="28" t="s">
        <v>73</v>
      </c>
      <c r="C233" s="28" t="s">
        <v>1000</v>
      </c>
      <c r="D233" s="28" t="s">
        <v>55</v>
      </c>
      <c r="E233" s="28"/>
      <c r="F233" s="28" t="s">
        <v>2087</v>
      </c>
    </row>
    <row r="234" customFormat="false" ht="15" hidden="false" customHeight="false" outlineLevel="0" collapsed="false">
      <c r="A234" s="28" t="s">
        <v>99</v>
      </c>
      <c r="B234" s="28" t="s">
        <v>73</v>
      </c>
      <c r="C234" s="28" t="s">
        <v>1138</v>
      </c>
      <c r="D234" s="28" t="s">
        <v>55</v>
      </c>
      <c r="E234" s="28"/>
      <c r="F234" s="28" t="s">
        <v>2100</v>
      </c>
    </row>
    <row r="235" customFormat="false" ht="15" hidden="false" customHeight="false" outlineLevel="0" collapsed="false">
      <c r="A235" s="28" t="s">
        <v>99</v>
      </c>
      <c r="B235" s="28" t="s">
        <v>73</v>
      </c>
      <c r="C235" s="28" t="s">
        <v>1139</v>
      </c>
      <c r="D235" s="28" t="s">
        <v>55</v>
      </c>
      <c r="E235" s="28" t="s">
        <v>1968</v>
      </c>
      <c r="F235" s="28" t="s">
        <v>2101</v>
      </c>
    </row>
    <row r="236" customFormat="false" ht="15" hidden="false" customHeight="false" outlineLevel="0" collapsed="false">
      <c r="A236" s="28" t="s">
        <v>99</v>
      </c>
      <c r="B236" s="28" t="s">
        <v>73</v>
      </c>
      <c r="C236" s="28" t="s">
        <v>1140</v>
      </c>
      <c r="D236" s="28" t="s">
        <v>55</v>
      </c>
      <c r="E236" s="28" t="s">
        <v>1968</v>
      </c>
      <c r="F236" s="28" t="s">
        <v>2102</v>
      </c>
    </row>
    <row r="237" customFormat="false" ht="15" hidden="false" customHeight="false" outlineLevel="0" collapsed="false">
      <c r="A237" s="28" t="s">
        <v>99</v>
      </c>
      <c r="B237" s="28" t="s">
        <v>73</v>
      </c>
      <c r="C237" s="28" t="s">
        <v>1141</v>
      </c>
      <c r="D237" s="28" t="s">
        <v>55</v>
      </c>
      <c r="E237" s="28" t="s">
        <v>1968</v>
      </c>
      <c r="F237" s="28" t="s">
        <v>2103</v>
      </c>
    </row>
    <row r="238" customFormat="false" ht="15" hidden="false" customHeight="false" outlineLevel="0" collapsed="false">
      <c r="A238" s="28" t="s">
        <v>99</v>
      </c>
      <c r="B238" s="28" t="s">
        <v>73</v>
      </c>
      <c r="C238" s="28" t="s">
        <v>1142</v>
      </c>
      <c r="D238" s="28" t="s">
        <v>55</v>
      </c>
      <c r="E238" s="28" t="s">
        <v>1968</v>
      </c>
      <c r="F238" s="28" t="s">
        <v>2104</v>
      </c>
    </row>
    <row r="239" customFormat="false" ht="15" hidden="false" customHeight="false" outlineLevel="0" collapsed="false">
      <c r="A239" s="28" t="s">
        <v>99</v>
      </c>
      <c r="B239" s="28" t="s">
        <v>73</v>
      </c>
      <c r="C239" s="28" t="s">
        <v>1143</v>
      </c>
      <c r="D239" s="28" t="s">
        <v>55</v>
      </c>
      <c r="E239" s="28" t="s">
        <v>1968</v>
      </c>
      <c r="F239" s="28" t="s">
        <v>2105</v>
      </c>
    </row>
    <row r="240" customFormat="false" ht="15" hidden="false" customHeight="false" outlineLevel="0" collapsed="false">
      <c r="A240" s="28" t="s">
        <v>99</v>
      </c>
      <c r="B240" s="28" t="s">
        <v>73</v>
      </c>
      <c r="C240" s="28" t="s">
        <v>1144</v>
      </c>
      <c r="D240" s="28" t="s">
        <v>55</v>
      </c>
      <c r="E240" s="28" t="s">
        <v>1124</v>
      </c>
      <c r="F240" s="28" t="s">
        <v>2106</v>
      </c>
    </row>
    <row r="241" customFormat="false" ht="15" hidden="false" customHeight="false" outlineLevel="0" collapsed="false">
      <c r="A241" s="28" t="s">
        <v>99</v>
      </c>
      <c r="B241" s="28" t="s">
        <v>73</v>
      </c>
      <c r="C241" s="28" t="s">
        <v>1145</v>
      </c>
      <c r="D241" s="28" t="s">
        <v>55</v>
      </c>
      <c r="E241" s="28" t="s">
        <v>1124</v>
      </c>
      <c r="F241" s="28" t="s">
        <v>2107</v>
      </c>
    </row>
    <row r="242" customFormat="false" ht="15" hidden="false" customHeight="false" outlineLevel="0" collapsed="false">
      <c r="A242" s="28" t="s">
        <v>99</v>
      </c>
      <c r="B242" s="28" t="s">
        <v>73</v>
      </c>
      <c r="C242" s="28" t="s">
        <v>442</v>
      </c>
      <c r="D242" s="28" t="s">
        <v>55</v>
      </c>
      <c r="E242" s="28"/>
      <c r="F242" s="28" t="s">
        <v>1975</v>
      </c>
    </row>
    <row r="243" customFormat="false" ht="15" hidden="false" customHeight="false" outlineLevel="0" collapsed="false">
      <c r="A243" s="28" t="s">
        <v>99</v>
      </c>
      <c r="B243" s="28" t="s">
        <v>73</v>
      </c>
      <c r="C243" s="28" t="s">
        <v>443</v>
      </c>
      <c r="D243" s="28" t="s">
        <v>55</v>
      </c>
      <c r="E243" s="28"/>
      <c r="F243" s="28" t="s">
        <v>1976</v>
      </c>
    </row>
    <row r="244" customFormat="false" ht="15" hidden="false" customHeight="false" outlineLevel="0" collapsed="false">
      <c r="A244" s="28" t="s">
        <v>99</v>
      </c>
      <c r="B244" s="28" t="s">
        <v>73</v>
      </c>
      <c r="C244" s="28" t="s">
        <v>1146</v>
      </c>
      <c r="D244" s="28" t="s">
        <v>55</v>
      </c>
      <c r="E244" s="28" t="s">
        <v>1968</v>
      </c>
      <c r="F244" s="28" t="s">
        <v>2108</v>
      </c>
    </row>
    <row r="245" customFormat="false" ht="15" hidden="false" customHeight="false" outlineLevel="0" collapsed="false">
      <c r="A245" s="28" t="s">
        <v>99</v>
      </c>
      <c r="B245" s="28" t="s">
        <v>73</v>
      </c>
      <c r="C245" s="28" t="s">
        <v>1147</v>
      </c>
      <c r="D245" s="28" t="s">
        <v>55</v>
      </c>
      <c r="E245" s="28" t="s">
        <v>1968</v>
      </c>
      <c r="F245" s="28" t="s">
        <v>2109</v>
      </c>
    </row>
    <row r="246" customFormat="false" ht="15" hidden="false" customHeight="false" outlineLevel="0" collapsed="false">
      <c r="A246" s="28" t="s">
        <v>101</v>
      </c>
      <c r="B246" s="28" t="s">
        <v>73</v>
      </c>
      <c r="C246" s="28" t="s">
        <v>712</v>
      </c>
      <c r="D246" s="28" t="s">
        <v>175</v>
      </c>
      <c r="E246" s="28"/>
      <c r="F246" s="28" t="s">
        <v>1991</v>
      </c>
    </row>
    <row r="247" customFormat="false" ht="15" hidden="false" customHeight="false" outlineLevel="0" collapsed="false">
      <c r="A247" s="28" t="s">
        <v>101</v>
      </c>
      <c r="B247" s="28" t="s">
        <v>73</v>
      </c>
      <c r="C247" s="28" t="s">
        <v>1170</v>
      </c>
      <c r="D247" s="28" t="s">
        <v>175</v>
      </c>
      <c r="E247" s="28" t="s">
        <v>1124</v>
      </c>
      <c r="F247" s="28" t="s">
        <v>2110</v>
      </c>
    </row>
    <row r="248" customFormat="false" ht="15" hidden="false" customHeight="false" outlineLevel="0" collapsed="false">
      <c r="A248" s="28" t="s">
        <v>101</v>
      </c>
      <c r="B248" s="28" t="s">
        <v>73</v>
      </c>
      <c r="C248" s="28" t="s">
        <v>1171</v>
      </c>
      <c r="D248" s="28" t="s">
        <v>175</v>
      </c>
      <c r="E248" s="28" t="s">
        <v>1124</v>
      </c>
      <c r="F248" s="28" t="s">
        <v>2111</v>
      </c>
    </row>
    <row r="249" customFormat="false" ht="15" hidden="false" customHeight="false" outlineLevel="0" collapsed="false">
      <c r="A249" s="28" t="s">
        <v>101</v>
      </c>
      <c r="B249" s="28" t="s">
        <v>73</v>
      </c>
      <c r="C249" s="28" t="s">
        <v>237</v>
      </c>
      <c r="D249" s="28" t="s">
        <v>55</v>
      </c>
      <c r="E249" s="28"/>
      <c r="F249" s="28" t="s">
        <v>2042</v>
      </c>
    </row>
    <row r="250" customFormat="false" ht="15" hidden="false" customHeight="false" outlineLevel="0" collapsed="false">
      <c r="A250" s="28" t="s">
        <v>101</v>
      </c>
      <c r="B250" s="28" t="s">
        <v>73</v>
      </c>
      <c r="C250" s="28" t="s">
        <v>873</v>
      </c>
      <c r="D250" s="28" t="s">
        <v>55</v>
      </c>
      <c r="E250" s="28"/>
      <c r="F250" s="28" t="s">
        <v>2056</v>
      </c>
    </row>
    <row r="251" customFormat="false" ht="15" hidden="false" customHeight="false" outlineLevel="0" collapsed="false">
      <c r="A251" s="28" t="s">
        <v>101</v>
      </c>
      <c r="B251" s="28" t="s">
        <v>73</v>
      </c>
      <c r="C251" s="28" t="s">
        <v>733</v>
      </c>
      <c r="D251" s="28" t="s">
        <v>55</v>
      </c>
      <c r="E251" s="28" t="s">
        <v>1968</v>
      </c>
      <c r="F251" s="28" t="s">
        <v>2014</v>
      </c>
    </row>
    <row r="252" customFormat="false" ht="15" hidden="false" customHeight="false" outlineLevel="0" collapsed="false">
      <c r="A252" s="28" t="s">
        <v>101</v>
      </c>
      <c r="B252" s="28" t="s">
        <v>73</v>
      </c>
      <c r="C252" s="28" t="s">
        <v>440</v>
      </c>
      <c r="D252" s="28" t="s">
        <v>55</v>
      </c>
      <c r="E252" s="28" t="s">
        <v>1387</v>
      </c>
      <c r="F252" s="28" t="s">
        <v>1973</v>
      </c>
    </row>
    <row r="253" customFormat="false" ht="15" hidden="false" customHeight="false" outlineLevel="0" collapsed="false">
      <c r="A253" s="28" t="s">
        <v>101</v>
      </c>
      <c r="B253" s="28" t="s">
        <v>73</v>
      </c>
      <c r="C253" s="28" t="s">
        <v>1172</v>
      </c>
      <c r="D253" s="28" t="s">
        <v>55</v>
      </c>
      <c r="E253" s="28" t="s">
        <v>1124</v>
      </c>
      <c r="F253" s="28" t="s">
        <v>2112</v>
      </c>
    </row>
    <row r="254" customFormat="false" ht="15" hidden="false" customHeight="false" outlineLevel="0" collapsed="false">
      <c r="A254" s="28" t="s">
        <v>101</v>
      </c>
      <c r="B254" s="28" t="s">
        <v>73</v>
      </c>
      <c r="C254" s="28" t="s">
        <v>1173</v>
      </c>
      <c r="D254" s="28" t="s">
        <v>55</v>
      </c>
      <c r="E254" s="28" t="s">
        <v>1124</v>
      </c>
      <c r="F254" s="28" t="s">
        <v>2113</v>
      </c>
    </row>
    <row r="255" customFormat="false" ht="15" hidden="false" customHeight="false" outlineLevel="0" collapsed="false">
      <c r="A255" s="28" t="s">
        <v>101</v>
      </c>
      <c r="B255" s="28" t="s">
        <v>73</v>
      </c>
      <c r="C255" s="28" t="s">
        <v>1174</v>
      </c>
      <c r="D255" s="28" t="s">
        <v>55</v>
      </c>
      <c r="E255" s="28"/>
      <c r="F255" s="28" t="s">
        <v>2114</v>
      </c>
    </row>
    <row r="256" customFormat="false" ht="15" hidden="false" customHeight="false" outlineLevel="0" collapsed="false">
      <c r="A256" s="28" t="s">
        <v>101</v>
      </c>
      <c r="B256" s="28" t="s">
        <v>73</v>
      </c>
      <c r="C256" s="28" t="s">
        <v>442</v>
      </c>
      <c r="D256" s="28" t="s">
        <v>55</v>
      </c>
      <c r="E256" s="28"/>
      <c r="F256" s="28" t="s">
        <v>1975</v>
      </c>
    </row>
    <row r="257" customFormat="false" ht="15" hidden="false" customHeight="false" outlineLevel="0" collapsed="false">
      <c r="A257" s="28" t="s">
        <v>101</v>
      </c>
      <c r="B257" s="28" t="s">
        <v>73</v>
      </c>
      <c r="C257" s="28" t="s">
        <v>443</v>
      </c>
      <c r="D257" s="28" t="s">
        <v>55</v>
      </c>
      <c r="E257" s="28"/>
      <c r="F257" s="28" t="s">
        <v>1976</v>
      </c>
    </row>
    <row r="258" customFormat="false" ht="15" hidden="false" customHeight="false" outlineLevel="0" collapsed="false">
      <c r="A258" s="28" t="s">
        <v>103</v>
      </c>
      <c r="B258" s="28" t="s">
        <v>60</v>
      </c>
      <c r="C258" s="28" t="s">
        <v>236</v>
      </c>
      <c r="D258" s="28" t="s">
        <v>175</v>
      </c>
      <c r="E258" s="28"/>
      <c r="F258" s="28" t="s">
        <v>2115</v>
      </c>
    </row>
    <row r="259" customFormat="false" ht="15" hidden="false" customHeight="false" outlineLevel="0" collapsed="false">
      <c r="A259" s="28" t="s">
        <v>103</v>
      </c>
      <c r="B259" s="28" t="s">
        <v>60</v>
      </c>
      <c r="C259" s="28" t="s">
        <v>157</v>
      </c>
      <c r="D259" s="28" t="s">
        <v>175</v>
      </c>
      <c r="E259" s="28"/>
      <c r="F259" s="28" t="s">
        <v>2057</v>
      </c>
    </row>
    <row r="260" customFormat="false" ht="15" hidden="false" customHeight="false" outlineLevel="0" collapsed="false">
      <c r="A260" s="28" t="s">
        <v>103</v>
      </c>
      <c r="B260" s="28" t="s">
        <v>60</v>
      </c>
      <c r="C260" s="28" t="s">
        <v>1208</v>
      </c>
      <c r="D260" s="28" t="s">
        <v>175</v>
      </c>
      <c r="E260" s="28"/>
      <c r="F260" s="28" t="s">
        <v>2116</v>
      </c>
    </row>
    <row r="261" customFormat="false" ht="15" hidden="false" customHeight="false" outlineLevel="0" collapsed="false">
      <c r="A261" s="28" t="s">
        <v>103</v>
      </c>
      <c r="B261" s="28" t="s">
        <v>60</v>
      </c>
      <c r="C261" s="28" t="s">
        <v>1209</v>
      </c>
      <c r="D261" s="28" t="s">
        <v>175</v>
      </c>
      <c r="E261" s="28"/>
      <c r="F261" s="28" t="s">
        <v>2117</v>
      </c>
    </row>
    <row r="262" customFormat="false" ht="15" hidden="false" customHeight="false" outlineLevel="0" collapsed="false">
      <c r="A262" s="28" t="s">
        <v>103</v>
      </c>
      <c r="B262" s="28" t="s">
        <v>60</v>
      </c>
      <c r="C262" s="28" t="s">
        <v>1210</v>
      </c>
      <c r="D262" s="28" t="s">
        <v>175</v>
      </c>
      <c r="E262" s="28" t="s">
        <v>1968</v>
      </c>
      <c r="F262" s="28" t="s">
        <v>2118</v>
      </c>
    </row>
    <row r="263" customFormat="false" ht="15" hidden="false" customHeight="false" outlineLevel="0" collapsed="false">
      <c r="A263" s="28" t="s">
        <v>103</v>
      </c>
      <c r="B263" s="28" t="s">
        <v>60</v>
      </c>
      <c r="C263" s="28" t="s">
        <v>1211</v>
      </c>
      <c r="D263" s="28" t="s">
        <v>175</v>
      </c>
      <c r="E263" s="28"/>
      <c r="F263" s="28" t="s">
        <v>2119</v>
      </c>
    </row>
    <row r="264" customFormat="false" ht="15" hidden="false" customHeight="false" outlineLevel="0" collapsed="false">
      <c r="A264" s="28" t="s">
        <v>103</v>
      </c>
      <c r="B264" s="28" t="s">
        <v>60</v>
      </c>
      <c r="C264" s="28" t="s">
        <v>237</v>
      </c>
      <c r="D264" s="28" t="s">
        <v>55</v>
      </c>
      <c r="E264" s="28"/>
      <c r="F264" s="28" t="s">
        <v>2042</v>
      </c>
    </row>
    <row r="265" customFormat="false" ht="15" hidden="false" customHeight="false" outlineLevel="0" collapsed="false">
      <c r="A265" s="28" t="s">
        <v>103</v>
      </c>
      <c r="B265" s="28" t="s">
        <v>60</v>
      </c>
      <c r="C265" s="28" t="s">
        <v>1000</v>
      </c>
      <c r="D265" s="28" t="s">
        <v>55</v>
      </c>
      <c r="E265" s="28"/>
      <c r="F265" s="28" t="s">
        <v>2087</v>
      </c>
    </row>
    <row r="266" customFormat="false" ht="15" hidden="false" customHeight="false" outlineLevel="0" collapsed="false">
      <c r="A266" s="28" t="s">
        <v>103</v>
      </c>
      <c r="B266" s="28" t="s">
        <v>60</v>
      </c>
      <c r="C266" s="28" t="s">
        <v>145</v>
      </c>
      <c r="D266" s="28" t="s">
        <v>55</v>
      </c>
      <c r="E266" s="28"/>
      <c r="F266" s="28" t="s">
        <v>2120</v>
      </c>
    </row>
    <row r="267" customFormat="false" ht="15" hidden="false" customHeight="false" outlineLevel="0" collapsed="false">
      <c r="A267" s="28" t="s">
        <v>103</v>
      </c>
      <c r="B267" s="28" t="s">
        <v>60</v>
      </c>
      <c r="C267" s="28" t="s">
        <v>442</v>
      </c>
      <c r="D267" s="28" t="s">
        <v>55</v>
      </c>
      <c r="E267" s="28"/>
      <c r="F267" s="28" t="s">
        <v>1975</v>
      </c>
    </row>
    <row r="268" customFormat="false" ht="15" hidden="false" customHeight="false" outlineLevel="0" collapsed="false">
      <c r="A268" s="28" t="s">
        <v>103</v>
      </c>
      <c r="B268" s="28" t="s">
        <v>60</v>
      </c>
      <c r="C268" s="28" t="s">
        <v>1212</v>
      </c>
      <c r="D268" s="28" t="s">
        <v>55</v>
      </c>
      <c r="E268" s="28"/>
      <c r="F268" s="28" t="s">
        <v>2121</v>
      </c>
    </row>
    <row r="269" customFormat="false" ht="15" hidden="false" customHeight="false" outlineLevel="0" collapsed="false">
      <c r="A269" s="28" t="s">
        <v>103</v>
      </c>
      <c r="B269" s="28" t="s">
        <v>60</v>
      </c>
      <c r="C269" s="28" t="s">
        <v>1213</v>
      </c>
      <c r="D269" s="28" t="s">
        <v>55</v>
      </c>
      <c r="E269" s="28"/>
      <c r="F269" s="28" t="s">
        <v>2122</v>
      </c>
    </row>
    <row r="270" customFormat="false" ht="15" hidden="false" customHeight="false" outlineLevel="0" collapsed="false">
      <c r="A270" s="28" t="s">
        <v>103</v>
      </c>
      <c r="B270" s="28" t="s">
        <v>60</v>
      </c>
      <c r="C270" s="28" t="s">
        <v>1214</v>
      </c>
      <c r="D270" s="28" t="s">
        <v>55</v>
      </c>
      <c r="E270" s="28"/>
      <c r="F270" s="28" t="s">
        <v>2123</v>
      </c>
    </row>
    <row r="271" customFormat="false" ht="15" hidden="false" customHeight="false" outlineLevel="0" collapsed="false">
      <c r="A271" s="28" t="s">
        <v>103</v>
      </c>
      <c r="B271" s="28" t="s">
        <v>60</v>
      </c>
      <c r="C271" s="28" t="s">
        <v>1215</v>
      </c>
      <c r="D271" s="28" t="s">
        <v>55</v>
      </c>
      <c r="E271" s="28" t="s">
        <v>1968</v>
      </c>
      <c r="F271" s="28" t="s">
        <v>2124</v>
      </c>
    </row>
    <row r="272" customFormat="false" ht="15" hidden="false" customHeight="false" outlineLevel="0" collapsed="false">
      <c r="A272" s="28" t="s">
        <v>103</v>
      </c>
      <c r="B272" s="28" t="s">
        <v>60</v>
      </c>
      <c r="C272" s="28" t="s">
        <v>1216</v>
      </c>
      <c r="D272" s="28" t="s">
        <v>55</v>
      </c>
      <c r="E272" s="28"/>
      <c r="F272" s="28" t="s">
        <v>2125</v>
      </c>
    </row>
    <row r="273" customFormat="false" ht="15" hidden="false" customHeight="false" outlineLevel="0" collapsed="false">
      <c r="A273" s="28" t="s">
        <v>109</v>
      </c>
      <c r="B273" s="28" t="s">
        <v>60</v>
      </c>
      <c r="C273" s="28" t="s">
        <v>430</v>
      </c>
      <c r="D273" s="28" t="s">
        <v>175</v>
      </c>
      <c r="E273" s="28"/>
      <c r="F273" s="28" t="s">
        <v>1962</v>
      </c>
    </row>
    <row r="274" customFormat="false" ht="15" hidden="false" customHeight="false" outlineLevel="0" collapsed="false">
      <c r="A274" s="28" t="s">
        <v>109</v>
      </c>
      <c r="B274" s="28" t="s">
        <v>60</v>
      </c>
      <c r="C274" s="28" t="s">
        <v>1411</v>
      </c>
      <c r="D274" s="28" t="s">
        <v>175</v>
      </c>
      <c r="E274" s="28"/>
      <c r="F274" s="28" t="s">
        <v>2126</v>
      </c>
    </row>
    <row r="275" customFormat="false" ht="15" hidden="false" customHeight="false" outlineLevel="0" collapsed="false">
      <c r="A275" s="28" t="s">
        <v>109</v>
      </c>
      <c r="B275" s="28" t="s">
        <v>60</v>
      </c>
      <c r="C275" s="28" t="s">
        <v>237</v>
      </c>
      <c r="D275" s="28" t="s">
        <v>175</v>
      </c>
      <c r="E275" s="28"/>
      <c r="F275" s="28" t="s">
        <v>2042</v>
      </c>
    </row>
    <row r="276" customFormat="false" ht="15" hidden="false" customHeight="false" outlineLevel="0" collapsed="false">
      <c r="A276" s="28" t="s">
        <v>109</v>
      </c>
      <c r="B276" s="28" t="s">
        <v>60</v>
      </c>
      <c r="C276" s="28" t="s">
        <v>1412</v>
      </c>
      <c r="D276" s="28" t="s">
        <v>175</v>
      </c>
      <c r="E276" s="28" t="s">
        <v>1124</v>
      </c>
      <c r="F276" s="28" t="s">
        <v>2127</v>
      </c>
    </row>
    <row r="277" customFormat="false" ht="15" hidden="false" customHeight="false" outlineLevel="0" collapsed="false">
      <c r="A277" s="28" t="s">
        <v>109</v>
      </c>
      <c r="B277" s="28" t="s">
        <v>60</v>
      </c>
      <c r="C277" s="28" t="s">
        <v>1413</v>
      </c>
      <c r="D277" s="28" t="s">
        <v>175</v>
      </c>
      <c r="E277" s="28" t="s">
        <v>1968</v>
      </c>
      <c r="F277" s="28" t="s">
        <v>2128</v>
      </c>
    </row>
    <row r="278" customFormat="false" ht="15" hidden="false" customHeight="false" outlineLevel="0" collapsed="false">
      <c r="A278" s="28" t="s">
        <v>109</v>
      </c>
      <c r="B278" s="28" t="s">
        <v>60</v>
      </c>
      <c r="C278" s="28" t="s">
        <v>1414</v>
      </c>
      <c r="D278" s="28" t="s">
        <v>175</v>
      </c>
      <c r="E278" s="28" t="s">
        <v>1124</v>
      </c>
      <c r="F278" s="28" t="s">
        <v>2129</v>
      </c>
    </row>
    <row r="279" customFormat="false" ht="15" hidden="false" customHeight="false" outlineLevel="0" collapsed="false">
      <c r="A279" s="28" t="s">
        <v>109</v>
      </c>
      <c r="B279" s="28" t="s">
        <v>60</v>
      </c>
      <c r="C279" s="28" t="s">
        <v>1415</v>
      </c>
      <c r="D279" s="28" t="s">
        <v>175</v>
      </c>
      <c r="E279" s="28"/>
      <c r="F279" s="28" t="s">
        <v>2130</v>
      </c>
    </row>
    <row r="280" customFormat="false" ht="15" hidden="false" customHeight="false" outlineLevel="0" collapsed="false">
      <c r="A280" s="28" t="s">
        <v>109</v>
      </c>
      <c r="B280" s="28" t="s">
        <v>60</v>
      </c>
      <c r="C280" s="28" t="s">
        <v>1416</v>
      </c>
      <c r="D280" s="28" t="s">
        <v>55</v>
      </c>
      <c r="E280" s="28" t="s">
        <v>714</v>
      </c>
      <c r="F280" s="28" t="s">
        <v>2131</v>
      </c>
    </row>
    <row r="281" customFormat="false" ht="15" hidden="false" customHeight="false" outlineLevel="0" collapsed="false">
      <c r="A281" s="28" t="s">
        <v>109</v>
      </c>
      <c r="B281" s="28" t="s">
        <v>60</v>
      </c>
      <c r="C281" s="28" t="s">
        <v>442</v>
      </c>
      <c r="D281" s="28" t="s">
        <v>55</v>
      </c>
      <c r="E281" s="28"/>
      <c r="F281" s="28" t="s">
        <v>1975</v>
      </c>
    </row>
    <row r="282" customFormat="false" ht="15" hidden="false" customHeight="false" outlineLevel="0" collapsed="false">
      <c r="A282" s="28" t="s">
        <v>109</v>
      </c>
      <c r="B282" s="28" t="s">
        <v>60</v>
      </c>
      <c r="C282" s="28" t="s">
        <v>443</v>
      </c>
      <c r="D282" s="28" t="s">
        <v>55</v>
      </c>
      <c r="E282" s="28"/>
      <c r="F282" s="28" t="s">
        <v>1976</v>
      </c>
    </row>
    <row r="283" customFormat="false" ht="15" hidden="false" customHeight="false" outlineLevel="0" collapsed="false">
      <c r="A283" s="28" t="s">
        <v>109</v>
      </c>
      <c r="B283" s="28" t="s">
        <v>60</v>
      </c>
      <c r="C283" s="28" t="s">
        <v>1417</v>
      </c>
      <c r="D283" s="28" t="s">
        <v>55</v>
      </c>
      <c r="E283" s="28" t="s">
        <v>1124</v>
      </c>
      <c r="F283" s="28" t="s">
        <v>2132</v>
      </c>
    </row>
    <row r="284" customFormat="false" ht="15" hidden="false" customHeight="false" outlineLevel="0" collapsed="false">
      <c r="A284" s="28" t="s">
        <v>111</v>
      </c>
      <c r="B284" s="28" t="s">
        <v>73</v>
      </c>
      <c r="C284" s="28" t="s">
        <v>157</v>
      </c>
      <c r="D284" s="28" t="s">
        <v>175</v>
      </c>
      <c r="E284" s="28"/>
      <c r="F284" s="28" t="s">
        <v>2057</v>
      </c>
    </row>
    <row r="285" customFormat="false" ht="15" hidden="false" customHeight="false" outlineLevel="0" collapsed="false">
      <c r="A285" s="28" t="s">
        <v>111</v>
      </c>
      <c r="B285" s="28" t="s">
        <v>73</v>
      </c>
      <c r="C285" s="28" t="s">
        <v>432</v>
      </c>
      <c r="D285" s="28" t="s">
        <v>175</v>
      </c>
      <c r="E285" s="28"/>
      <c r="F285" s="28" t="s">
        <v>1964</v>
      </c>
    </row>
    <row r="286" customFormat="false" ht="15" hidden="false" customHeight="false" outlineLevel="0" collapsed="false">
      <c r="A286" s="28" t="s">
        <v>111</v>
      </c>
      <c r="B286" s="28" t="s">
        <v>73</v>
      </c>
      <c r="C286" s="28" t="s">
        <v>293</v>
      </c>
      <c r="D286" s="28" t="s">
        <v>175</v>
      </c>
      <c r="E286" s="28" t="s">
        <v>714</v>
      </c>
      <c r="F286" s="28" t="s">
        <v>2133</v>
      </c>
    </row>
    <row r="287" customFormat="false" ht="15" hidden="false" customHeight="false" outlineLevel="0" collapsed="false">
      <c r="A287" s="28" t="s">
        <v>111</v>
      </c>
      <c r="B287" s="28" t="s">
        <v>73</v>
      </c>
      <c r="C287" s="28" t="s">
        <v>1447</v>
      </c>
      <c r="D287" s="28" t="s">
        <v>175</v>
      </c>
      <c r="E287" s="28" t="s">
        <v>1968</v>
      </c>
      <c r="F287" s="28" t="s">
        <v>2134</v>
      </c>
    </row>
    <row r="288" customFormat="false" ht="15" hidden="false" customHeight="false" outlineLevel="0" collapsed="false">
      <c r="A288" s="28" t="s">
        <v>111</v>
      </c>
      <c r="B288" s="28" t="s">
        <v>73</v>
      </c>
      <c r="C288" s="28" t="s">
        <v>158</v>
      </c>
      <c r="D288" s="28" t="s">
        <v>55</v>
      </c>
      <c r="E288" s="28"/>
      <c r="F288" s="28" t="s">
        <v>2058</v>
      </c>
    </row>
    <row r="289" customFormat="false" ht="15" hidden="false" customHeight="false" outlineLevel="0" collapsed="false">
      <c r="A289" s="28" t="s">
        <v>111</v>
      </c>
      <c r="B289" s="28" t="s">
        <v>73</v>
      </c>
      <c r="C289" s="28" t="s">
        <v>1448</v>
      </c>
      <c r="D289" s="28" t="s">
        <v>55</v>
      </c>
      <c r="E289" s="28" t="s">
        <v>1124</v>
      </c>
      <c r="F289" s="28" t="s">
        <v>2135</v>
      </c>
    </row>
    <row r="290" customFormat="false" ht="15" hidden="false" customHeight="false" outlineLevel="0" collapsed="false">
      <c r="A290" s="28" t="s">
        <v>111</v>
      </c>
      <c r="B290" s="28" t="s">
        <v>73</v>
      </c>
      <c r="C290" s="28" t="s">
        <v>1449</v>
      </c>
      <c r="D290" s="28" t="s">
        <v>55</v>
      </c>
      <c r="E290" s="28"/>
      <c r="F290" s="28" t="s">
        <v>1449</v>
      </c>
    </row>
    <row r="291" customFormat="false" ht="15" hidden="false" customHeight="false" outlineLevel="0" collapsed="false">
      <c r="A291" s="28" t="s">
        <v>111</v>
      </c>
      <c r="B291" s="28" t="s">
        <v>73</v>
      </c>
      <c r="C291" s="28" t="s">
        <v>442</v>
      </c>
      <c r="D291" s="28" t="s">
        <v>55</v>
      </c>
      <c r="E291" s="28"/>
      <c r="F291" s="28" t="s">
        <v>1975</v>
      </c>
    </row>
    <row r="292" customFormat="false" ht="15" hidden="false" customHeight="false" outlineLevel="0" collapsed="false">
      <c r="A292" s="28" t="s">
        <v>111</v>
      </c>
      <c r="B292" s="28" t="s">
        <v>73</v>
      </c>
      <c r="C292" s="28" t="s">
        <v>443</v>
      </c>
      <c r="D292" s="28" t="s">
        <v>55</v>
      </c>
      <c r="E292" s="28"/>
      <c r="F292" s="28" t="s">
        <v>1976</v>
      </c>
    </row>
    <row r="293" customFormat="false" ht="15" hidden="false" customHeight="false" outlineLevel="0" collapsed="false">
      <c r="A293" s="28" t="s">
        <v>111</v>
      </c>
      <c r="B293" s="28" t="s">
        <v>73</v>
      </c>
      <c r="C293" s="28" t="s">
        <v>1450</v>
      </c>
      <c r="D293" s="28" t="s">
        <v>55</v>
      </c>
      <c r="E293" s="28" t="s">
        <v>1124</v>
      </c>
      <c r="F293" s="28" t="s">
        <v>2136</v>
      </c>
    </row>
    <row r="294" customFormat="false" ht="15" hidden="false" customHeight="false" outlineLevel="0" collapsed="false">
      <c r="A294" s="28" t="s">
        <v>113</v>
      </c>
      <c r="B294" s="28" t="s">
        <v>60</v>
      </c>
      <c r="C294" s="28" t="s">
        <v>430</v>
      </c>
      <c r="D294" s="28" t="s">
        <v>175</v>
      </c>
      <c r="E294" s="28"/>
      <c r="F294" s="28" t="s">
        <v>1962</v>
      </c>
    </row>
    <row r="295" customFormat="false" ht="15" hidden="false" customHeight="false" outlineLevel="0" collapsed="false">
      <c r="A295" s="28" t="s">
        <v>113</v>
      </c>
      <c r="B295" s="28" t="s">
        <v>60</v>
      </c>
      <c r="C295" s="28" t="s">
        <v>1467</v>
      </c>
      <c r="D295" s="28" t="s">
        <v>175</v>
      </c>
      <c r="E295" s="28" t="s">
        <v>1124</v>
      </c>
      <c r="F295" s="28" t="s">
        <v>2137</v>
      </c>
    </row>
    <row r="296" customFormat="false" ht="15" hidden="false" customHeight="false" outlineLevel="0" collapsed="false">
      <c r="A296" s="28" t="s">
        <v>113</v>
      </c>
      <c r="B296" s="28" t="s">
        <v>60</v>
      </c>
      <c r="C296" s="28" t="s">
        <v>240</v>
      </c>
      <c r="D296" s="28" t="s">
        <v>175</v>
      </c>
      <c r="E296" s="28" t="s">
        <v>1124</v>
      </c>
      <c r="F296" s="28" t="s">
        <v>19</v>
      </c>
    </row>
    <row r="297" customFormat="false" ht="15" hidden="false" customHeight="false" outlineLevel="0" collapsed="false">
      <c r="A297" s="28" t="s">
        <v>113</v>
      </c>
      <c r="B297" s="28" t="s">
        <v>60</v>
      </c>
      <c r="C297" s="28" t="s">
        <v>245</v>
      </c>
      <c r="D297" s="28" t="s">
        <v>175</v>
      </c>
      <c r="E297" s="28" t="s">
        <v>1968</v>
      </c>
      <c r="F297" s="28" t="s">
        <v>2138</v>
      </c>
    </row>
    <row r="298" customFormat="false" ht="15" hidden="false" customHeight="false" outlineLevel="0" collapsed="false">
      <c r="A298" s="28" t="s">
        <v>113</v>
      </c>
      <c r="B298" s="28" t="s">
        <v>60</v>
      </c>
      <c r="C298" s="28" t="s">
        <v>400</v>
      </c>
      <c r="D298" s="28" t="s">
        <v>175</v>
      </c>
      <c r="E298" s="28"/>
      <c r="F298" s="28" t="s">
        <v>2139</v>
      </c>
    </row>
    <row r="299" customFormat="false" ht="15" hidden="false" customHeight="false" outlineLevel="0" collapsed="false">
      <c r="A299" s="28" t="s">
        <v>113</v>
      </c>
      <c r="B299" s="28" t="s">
        <v>60</v>
      </c>
      <c r="C299" s="28" t="s">
        <v>1468</v>
      </c>
      <c r="D299" s="28" t="s">
        <v>175</v>
      </c>
      <c r="E299" s="28" t="s">
        <v>1968</v>
      </c>
      <c r="F299" s="28" t="s">
        <v>2140</v>
      </c>
    </row>
    <row r="300" customFormat="false" ht="15" hidden="false" customHeight="false" outlineLevel="0" collapsed="false">
      <c r="A300" s="28" t="s">
        <v>113</v>
      </c>
      <c r="B300" s="28" t="s">
        <v>60</v>
      </c>
      <c r="C300" s="28" t="s">
        <v>1469</v>
      </c>
      <c r="D300" s="28" t="s">
        <v>175</v>
      </c>
      <c r="E300" s="28" t="s">
        <v>1124</v>
      </c>
      <c r="F300" s="28" t="s">
        <v>2141</v>
      </c>
    </row>
    <row r="301" customFormat="false" ht="15" hidden="false" customHeight="false" outlineLevel="0" collapsed="false">
      <c r="A301" s="28" t="s">
        <v>113</v>
      </c>
      <c r="B301" s="28" t="s">
        <v>60</v>
      </c>
      <c r="C301" s="28" t="s">
        <v>1470</v>
      </c>
      <c r="D301" s="28" t="s">
        <v>175</v>
      </c>
      <c r="E301" s="28" t="s">
        <v>1124</v>
      </c>
      <c r="F301" s="28" t="s">
        <v>2142</v>
      </c>
    </row>
    <row r="302" customFormat="false" ht="15" hidden="false" customHeight="false" outlineLevel="0" collapsed="false">
      <c r="A302" s="28" t="s">
        <v>113</v>
      </c>
      <c r="B302" s="28" t="s">
        <v>60</v>
      </c>
      <c r="C302" s="28" t="s">
        <v>1471</v>
      </c>
      <c r="D302" s="28" t="s">
        <v>175</v>
      </c>
      <c r="E302" s="28" t="s">
        <v>1124</v>
      </c>
      <c r="F302" s="28" t="s">
        <v>2143</v>
      </c>
    </row>
    <row r="303" customFormat="false" ht="15" hidden="false" customHeight="false" outlineLevel="0" collapsed="false">
      <c r="A303" s="28" t="s">
        <v>113</v>
      </c>
      <c r="B303" s="28" t="s">
        <v>60</v>
      </c>
      <c r="C303" s="28" t="s">
        <v>1472</v>
      </c>
      <c r="D303" s="28" t="s">
        <v>175</v>
      </c>
      <c r="E303" s="28" t="s">
        <v>1124</v>
      </c>
      <c r="F303" s="28" t="s">
        <v>2144</v>
      </c>
    </row>
    <row r="304" customFormat="false" ht="15" hidden="false" customHeight="false" outlineLevel="0" collapsed="false">
      <c r="A304" s="28" t="s">
        <v>113</v>
      </c>
      <c r="B304" s="28" t="s">
        <v>60</v>
      </c>
      <c r="C304" s="28" t="s">
        <v>1473</v>
      </c>
      <c r="D304" s="28" t="s">
        <v>175</v>
      </c>
      <c r="E304" s="28" t="s">
        <v>1968</v>
      </c>
      <c r="F304" s="28" t="s">
        <v>2145</v>
      </c>
    </row>
    <row r="305" customFormat="false" ht="15" hidden="false" customHeight="false" outlineLevel="0" collapsed="false">
      <c r="A305" s="28" t="s">
        <v>113</v>
      </c>
      <c r="B305" s="28" t="s">
        <v>60</v>
      </c>
      <c r="C305" s="28" t="s">
        <v>1474</v>
      </c>
      <c r="D305" s="28" t="s">
        <v>175</v>
      </c>
      <c r="E305" s="28" t="s">
        <v>1124</v>
      </c>
      <c r="F305" s="28" t="s">
        <v>2146</v>
      </c>
    </row>
    <row r="306" customFormat="false" ht="15" hidden="false" customHeight="false" outlineLevel="0" collapsed="false">
      <c r="A306" s="28" t="s">
        <v>113</v>
      </c>
      <c r="B306" s="28" t="s">
        <v>60</v>
      </c>
      <c r="C306" s="28" t="s">
        <v>1475</v>
      </c>
      <c r="D306" s="28" t="s">
        <v>175</v>
      </c>
      <c r="E306" s="28" t="s">
        <v>1124</v>
      </c>
      <c r="F306" s="28" t="s">
        <v>2147</v>
      </c>
    </row>
    <row r="307" customFormat="false" ht="15" hidden="false" customHeight="false" outlineLevel="0" collapsed="false">
      <c r="A307" s="28" t="s">
        <v>113</v>
      </c>
      <c r="B307" s="28" t="s">
        <v>60</v>
      </c>
      <c r="C307" s="28" t="s">
        <v>442</v>
      </c>
      <c r="D307" s="28" t="s">
        <v>55</v>
      </c>
      <c r="E307" s="28"/>
      <c r="F307" s="28" t="s">
        <v>1975</v>
      </c>
    </row>
    <row r="308" customFormat="false" ht="15" hidden="false" customHeight="false" outlineLevel="0" collapsed="false">
      <c r="A308" s="28" t="s">
        <v>113</v>
      </c>
      <c r="B308" s="28" t="s">
        <v>60</v>
      </c>
      <c r="C308" s="28" t="s">
        <v>443</v>
      </c>
      <c r="D308" s="28" t="s">
        <v>55</v>
      </c>
      <c r="E308" s="28"/>
      <c r="F308" s="28" t="s">
        <v>1976</v>
      </c>
    </row>
    <row r="309" customFormat="false" ht="15" hidden="false" customHeight="false" outlineLevel="0" collapsed="false">
      <c r="A309" s="28" t="s">
        <v>113</v>
      </c>
      <c r="B309" s="28" t="s">
        <v>60</v>
      </c>
      <c r="C309" s="28" t="s">
        <v>247</v>
      </c>
      <c r="D309" s="28" t="s">
        <v>55</v>
      </c>
      <c r="E309" s="28" t="s">
        <v>1968</v>
      </c>
      <c r="F309" s="28" t="s">
        <v>2148</v>
      </c>
    </row>
    <row r="310" customFormat="false" ht="15" hidden="false" customHeight="false" outlineLevel="0" collapsed="false">
      <c r="A310" s="28" t="s">
        <v>113</v>
      </c>
      <c r="B310" s="28" t="s">
        <v>60</v>
      </c>
      <c r="C310" s="28" t="s">
        <v>1476</v>
      </c>
      <c r="D310" s="28" t="s">
        <v>55</v>
      </c>
      <c r="E310" s="28" t="s">
        <v>1968</v>
      </c>
      <c r="F310" s="28" t="s">
        <v>2149</v>
      </c>
    </row>
    <row r="311" customFormat="false" ht="15" hidden="false" customHeight="false" outlineLevel="0" collapsed="false">
      <c r="A311" s="28" t="s">
        <v>113</v>
      </c>
      <c r="B311" s="28" t="s">
        <v>60</v>
      </c>
      <c r="C311" s="28" t="s">
        <v>1477</v>
      </c>
      <c r="D311" s="28" t="s">
        <v>55</v>
      </c>
      <c r="E311" s="28" t="s">
        <v>1968</v>
      </c>
      <c r="F311" s="28" t="s">
        <v>2150</v>
      </c>
    </row>
    <row r="312" customFormat="false" ht="15" hidden="false" customHeight="false" outlineLevel="0" collapsed="false">
      <c r="A312" s="28" t="s">
        <v>113</v>
      </c>
      <c r="B312" s="28" t="s">
        <v>60</v>
      </c>
      <c r="C312" s="28" t="s">
        <v>249</v>
      </c>
      <c r="D312" s="28" t="s">
        <v>55</v>
      </c>
      <c r="E312" s="28" t="s">
        <v>1968</v>
      </c>
      <c r="F312" s="28" t="s">
        <v>1354</v>
      </c>
    </row>
    <row r="313" customFormat="false" ht="15" hidden="false" customHeight="false" outlineLevel="0" collapsed="false">
      <c r="A313" s="28" t="s">
        <v>113</v>
      </c>
      <c r="B313" s="28" t="s">
        <v>60</v>
      </c>
      <c r="C313" s="28" t="s">
        <v>1478</v>
      </c>
      <c r="D313" s="28" t="s">
        <v>55</v>
      </c>
      <c r="E313" s="28" t="s">
        <v>1124</v>
      </c>
      <c r="F313" s="28" t="s">
        <v>2151</v>
      </c>
    </row>
    <row r="314" customFormat="false" ht="15" hidden="false" customHeight="false" outlineLevel="0" collapsed="false">
      <c r="A314" s="28" t="s">
        <v>113</v>
      </c>
      <c r="B314" s="28" t="s">
        <v>60</v>
      </c>
      <c r="C314" s="28" t="s">
        <v>269</v>
      </c>
      <c r="D314" s="28" t="s">
        <v>55</v>
      </c>
      <c r="E314" s="28" t="s">
        <v>1968</v>
      </c>
      <c r="F314" s="28" t="s">
        <v>2152</v>
      </c>
    </row>
    <row r="315" customFormat="false" ht="15" hidden="false" customHeight="false" outlineLevel="0" collapsed="false">
      <c r="A315" s="28" t="s">
        <v>115</v>
      </c>
      <c r="B315" s="28" t="s">
        <v>73</v>
      </c>
      <c r="C315" s="28" t="s">
        <v>1491</v>
      </c>
      <c r="D315" s="28" t="s">
        <v>175</v>
      </c>
      <c r="E315" s="28"/>
      <c r="F315" s="28" t="s">
        <v>2153</v>
      </c>
    </row>
    <row r="316" customFormat="false" ht="15" hidden="false" customHeight="false" outlineLevel="0" collapsed="false">
      <c r="A316" s="28" t="s">
        <v>115</v>
      </c>
      <c r="B316" s="28" t="s">
        <v>73</v>
      </c>
      <c r="C316" s="28" t="s">
        <v>1492</v>
      </c>
      <c r="D316" s="28" t="s">
        <v>175</v>
      </c>
      <c r="E316" s="28" t="s">
        <v>714</v>
      </c>
      <c r="F316" s="28" t="s">
        <v>2154</v>
      </c>
    </row>
    <row r="317" customFormat="false" ht="15" hidden="false" customHeight="false" outlineLevel="0" collapsed="false">
      <c r="A317" s="28" t="s">
        <v>115</v>
      </c>
      <c r="B317" s="28" t="s">
        <v>73</v>
      </c>
      <c r="C317" s="28" t="s">
        <v>1493</v>
      </c>
      <c r="D317" s="28" t="s">
        <v>175</v>
      </c>
      <c r="E317" s="28" t="s">
        <v>1124</v>
      </c>
      <c r="F317" s="28" t="s">
        <v>2155</v>
      </c>
    </row>
    <row r="318" customFormat="false" ht="15" hidden="false" customHeight="false" outlineLevel="0" collapsed="false">
      <c r="A318" s="28" t="s">
        <v>115</v>
      </c>
      <c r="B318" s="28" t="s">
        <v>73</v>
      </c>
      <c r="C318" s="28" t="s">
        <v>1494</v>
      </c>
      <c r="D318" s="28" t="s">
        <v>175</v>
      </c>
      <c r="E318" s="28" t="s">
        <v>1124</v>
      </c>
      <c r="F318" s="28" t="s">
        <v>2156</v>
      </c>
    </row>
    <row r="319" customFormat="false" ht="15" hidden="false" customHeight="false" outlineLevel="0" collapsed="false">
      <c r="A319" s="28" t="s">
        <v>115</v>
      </c>
      <c r="B319" s="28" t="s">
        <v>73</v>
      </c>
      <c r="C319" s="28" t="s">
        <v>1495</v>
      </c>
      <c r="D319" s="28" t="s">
        <v>175</v>
      </c>
      <c r="E319" s="28" t="s">
        <v>1124</v>
      </c>
      <c r="F319" s="28" t="s">
        <v>2157</v>
      </c>
    </row>
    <row r="320" customFormat="false" ht="15" hidden="false" customHeight="false" outlineLevel="0" collapsed="false">
      <c r="A320" s="28" t="s">
        <v>115</v>
      </c>
      <c r="B320" s="28" t="s">
        <v>73</v>
      </c>
      <c r="C320" s="28" t="s">
        <v>1496</v>
      </c>
      <c r="D320" s="28" t="s">
        <v>55</v>
      </c>
      <c r="E320" s="28" t="s">
        <v>1124</v>
      </c>
      <c r="F320" s="28" t="s">
        <v>2158</v>
      </c>
    </row>
    <row r="321" customFormat="false" ht="15" hidden="false" customHeight="false" outlineLevel="0" collapsed="false">
      <c r="A321" s="28" t="s">
        <v>115</v>
      </c>
      <c r="B321" s="28" t="s">
        <v>73</v>
      </c>
      <c r="C321" s="28" t="s">
        <v>1497</v>
      </c>
      <c r="D321" s="28" t="s">
        <v>55</v>
      </c>
      <c r="E321" s="28"/>
      <c r="F321" s="28" t="s">
        <v>2159</v>
      </c>
    </row>
    <row r="322" customFormat="false" ht="15" hidden="false" customHeight="false" outlineLevel="0" collapsed="false">
      <c r="A322" s="28" t="s">
        <v>115</v>
      </c>
      <c r="B322" s="28" t="s">
        <v>73</v>
      </c>
      <c r="C322" s="28" t="s">
        <v>1498</v>
      </c>
      <c r="D322" s="28" t="s">
        <v>55</v>
      </c>
      <c r="E322" s="28"/>
      <c r="F322" s="28" t="s">
        <v>2160</v>
      </c>
    </row>
    <row r="323" customFormat="false" ht="15" hidden="false" customHeight="false" outlineLevel="0" collapsed="false">
      <c r="A323" s="28" t="s">
        <v>115</v>
      </c>
      <c r="B323" s="28" t="s">
        <v>73</v>
      </c>
      <c r="C323" s="28" t="s">
        <v>1499</v>
      </c>
      <c r="D323" s="28" t="s">
        <v>55</v>
      </c>
      <c r="E323" s="28" t="s">
        <v>1124</v>
      </c>
      <c r="F323" s="28" t="s">
        <v>2161</v>
      </c>
    </row>
    <row r="324" customFormat="false" ht="15" hidden="false" customHeight="false" outlineLevel="0" collapsed="false">
      <c r="A324" s="28" t="s">
        <v>115</v>
      </c>
      <c r="B324" s="28" t="s">
        <v>73</v>
      </c>
      <c r="C324" s="28" t="s">
        <v>1500</v>
      </c>
      <c r="D324" s="28" t="s">
        <v>55</v>
      </c>
      <c r="E324" s="28" t="s">
        <v>1124</v>
      </c>
      <c r="F324" s="28" t="s">
        <v>2162</v>
      </c>
    </row>
    <row r="325" customFormat="false" ht="15" hidden="false" customHeight="false" outlineLevel="0" collapsed="false">
      <c r="A325" s="28" t="s">
        <v>115</v>
      </c>
      <c r="B325" s="28" t="s">
        <v>73</v>
      </c>
      <c r="C325" s="28" t="s">
        <v>442</v>
      </c>
      <c r="D325" s="28" t="s">
        <v>55</v>
      </c>
      <c r="E325" s="28"/>
      <c r="F325" s="28" t="s">
        <v>1975</v>
      </c>
    </row>
    <row r="326" customFormat="false" ht="15" hidden="false" customHeight="false" outlineLevel="0" collapsed="false">
      <c r="A326" s="28" t="s">
        <v>115</v>
      </c>
      <c r="B326" s="28" t="s">
        <v>73</v>
      </c>
      <c r="C326" s="28" t="s">
        <v>443</v>
      </c>
      <c r="D326" s="28" t="s">
        <v>55</v>
      </c>
      <c r="E326" s="28"/>
      <c r="F326" s="28" t="s">
        <v>1976</v>
      </c>
    </row>
    <row r="327" customFormat="false" ht="15" hidden="false" customHeight="false" outlineLevel="0" collapsed="false">
      <c r="A327" s="28" t="s">
        <v>115</v>
      </c>
      <c r="B327" s="28" t="s">
        <v>73</v>
      </c>
      <c r="C327" s="28" t="s">
        <v>1501</v>
      </c>
      <c r="D327" s="28" t="s">
        <v>55</v>
      </c>
      <c r="E327" s="28" t="s">
        <v>1124</v>
      </c>
      <c r="F327" s="28" t="s">
        <v>2163</v>
      </c>
    </row>
    <row r="328" customFormat="false" ht="15" hidden="false" customHeight="false" outlineLevel="0" collapsed="false">
      <c r="A328" s="28" t="s">
        <v>115</v>
      </c>
      <c r="B328" s="28" t="s">
        <v>73</v>
      </c>
      <c r="C328" s="28" t="s">
        <v>1502</v>
      </c>
      <c r="D328" s="28" t="s">
        <v>55</v>
      </c>
      <c r="E328" s="28" t="s">
        <v>1124</v>
      </c>
      <c r="F328" s="28" t="s">
        <v>2164</v>
      </c>
    </row>
    <row r="329" customFormat="false" ht="15" hidden="false" customHeight="false" outlineLevel="0" collapsed="false">
      <c r="A329" s="28" t="s">
        <v>117</v>
      </c>
      <c r="B329" s="28" t="s">
        <v>60</v>
      </c>
      <c r="C329" s="28" t="s">
        <v>1517</v>
      </c>
      <c r="D329" s="28" t="s">
        <v>175</v>
      </c>
      <c r="E329" s="28"/>
      <c r="F329" s="28" t="s">
        <v>2165</v>
      </c>
    </row>
    <row r="330" customFormat="false" ht="15" hidden="false" customHeight="false" outlineLevel="0" collapsed="false">
      <c r="A330" s="28" t="s">
        <v>117</v>
      </c>
      <c r="B330" s="28" t="s">
        <v>60</v>
      </c>
      <c r="C330" s="28" t="s">
        <v>903</v>
      </c>
      <c r="D330" s="28" t="s">
        <v>175</v>
      </c>
      <c r="E330" s="28"/>
      <c r="F330" s="28" t="s">
        <v>2068</v>
      </c>
    </row>
    <row r="331" customFormat="false" ht="15" hidden="false" customHeight="false" outlineLevel="0" collapsed="false">
      <c r="A331" s="28" t="s">
        <v>117</v>
      </c>
      <c r="B331" s="28" t="s">
        <v>60</v>
      </c>
      <c r="C331" s="28" t="s">
        <v>436</v>
      </c>
      <c r="D331" s="28" t="s">
        <v>175</v>
      </c>
      <c r="E331" s="28" t="s">
        <v>1968</v>
      </c>
      <c r="F331" s="28" t="s">
        <v>1969</v>
      </c>
    </row>
    <row r="332" customFormat="false" ht="15" hidden="false" customHeight="false" outlineLevel="0" collapsed="false">
      <c r="A332" s="28" t="s">
        <v>117</v>
      </c>
      <c r="B332" s="28" t="s">
        <v>60</v>
      </c>
      <c r="C332" s="28" t="s">
        <v>442</v>
      </c>
      <c r="D332" s="28" t="s">
        <v>55</v>
      </c>
      <c r="E332" s="28"/>
      <c r="F332" s="28" t="s">
        <v>1975</v>
      </c>
    </row>
    <row r="333" customFormat="false" ht="15" hidden="false" customHeight="false" outlineLevel="0" collapsed="false">
      <c r="A333" s="28" t="s">
        <v>117</v>
      </c>
      <c r="B333" s="28" t="s">
        <v>60</v>
      </c>
      <c r="C333" s="28" t="s">
        <v>443</v>
      </c>
      <c r="D333" s="28" t="s">
        <v>55</v>
      </c>
      <c r="E333" s="28"/>
      <c r="F333" s="28" t="s">
        <v>1976</v>
      </c>
    </row>
    <row r="334" customFormat="false" ht="15" hidden="false" customHeight="false" outlineLevel="0" collapsed="false">
      <c r="A334" s="28" t="s">
        <v>119</v>
      </c>
      <c r="B334" s="28" t="s">
        <v>60</v>
      </c>
      <c r="C334" s="28" t="s">
        <v>430</v>
      </c>
      <c r="D334" s="28" t="s">
        <v>175</v>
      </c>
      <c r="E334" s="28"/>
      <c r="F334" s="28" t="s">
        <v>1962</v>
      </c>
    </row>
    <row r="335" customFormat="false" ht="15" hidden="false" customHeight="false" outlineLevel="0" collapsed="false">
      <c r="A335" s="28" t="s">
        <v>119</v>
      </c>
      <c r="B335" s="28" t="s">
        <v>60</v>
      </c>
      <c r="C335" s="28" t="s">
        <v>240</v>
      </c>
      <c r="D335" s="28" t="s">
        <v>175</v>
      </c>
      <c r="E335" s="28" t="s">
        <v>1124</v>
      </c>
      <c r="F335" s="28" t="s">
        <v>19</v>
      </c>
    </row>
    <row r="336" customFormat="false" ht="15" hidden="false" customHeight="false" outlineLevel="0" collapsed="false">
      <c r="A336" s="28" t="s">
        <v>119</v>
      </c>
      <c r="B336" s="28" t="s">
        <v>60</v>
      </c>
      <c r="C336" s="28" t="s">
        <v>68</v>
      </c>
      <c r="D336" s="28" t="s">
        <v>175</v>
      </c>
      <c r="E336" s="28" t="s">
        <v>1124</v>
      </c>
      <c r="F336" s="28" t="s">
        <v>2166</v>
      </c>
    </row>
    <row r="337" customFormat="false" ht="15" hidden="false" customHeight="false" outlineLevel="0" collapsed="false">
      <c r="A337" s="28" t="s">
        <v>119</v>
      </c>
      <c r="B337" s="28" t="s">
        <v>60</v>
      </c>
      <c r="C337" s="28" t="s">
        <v>242</v>
      </c>
      <c r="D337" s="28" t="s">
        <v>175</v>
      </c>
      <c r="E337" s="28" t="s">
        <v>1124</v>
      </c>
      <c r="F337" s="28" t="s">
        <v>2167</v>
      </c>
    </row>
    <row r="338" customFormat="false" ht="15" hidden="false" customHeight="false" outlineLevel="0" collapsed="false">
      <c r="A338" s="28" t="s">
        <v>119</v>
      </c>
      <c r="B338" s="28" t="s">
        <v>60</v>
      </c>
      <c r="C338" s="28" t="s">
        <v>1559</v>
      </c>
      <c r="D338" s="28" t="s">
        <v>175</v>
      </c>
      <c r="E338" s="28" t="s">
        <v>714</v>
      </c>
      <c r="F338" s="28" t="s">
        <v>1685</v>
      </c>
    </row>
    <row r="339" customFormat="false" ht="15" hidden="false" customHeight="false" outlineLevel="0" collapsed="false">
      <c r="A339" s="28" t="s">
        <v>119</v>
      </c>
      <c r="B339" s="28" t="s">
        <v>60</v>
      </c>
      <c r="C339" s="28" t="s">
        <v>1560</v>
      </c>
      <c r="D339" s="28" t="s">
        <v>175</v>
      </c>
      <c r="E339" s="28" t="s">
        <v>714</v>
      </c>
      <c r="F339" s="28" t="s">
        <v>2168</v>
      </c>
    </row>
    <row r="340" customFormat="false" ht="15" hidden="false" customHeight="false" outlineLevel="0" collapsed="false">
      <c r="A340" s="28" t="s">
        <v>119</v>
      </c>
      <c r="B340" s="28" t="s">
        <v>60</v>
      </c>
      <c r="C340" s="28" t="s">
        <v>1561</v>
      </c>
      <c r="D340" s="28" t="s">
        <v>175</v>
      </c>
      <c r="E340" s="28" t="s">
        <v>714</v>
      </c>
      <c r="F340" s="28" t="s">
        <v>2169</v>
      </c>
    </row>
    <row r="341" customFormat="false" ht="15" hidden="false" customHeight="false" outlineLevel="0" collapsed="false">
      <c r="A341" s="28" t="s">
        <v>119</v>
      </c>
      <c r="B341" s="28" t="s">
        <v>60</v>
      </c>
      <c r="C341" s="28" t="s">
        <v>621</v>
      </c>
      <c r="D341" s="28" t="s">
        <v>175</v>
      </c>
      <c r="E341" s="28" t="s">
        <v>1124</v>
      </c>
      <c r="F341" s="28" t="s">
        <v>2170</v>
      </c>
    </row>
    <row r="342" customFormat="false" ht="15" hidden="false" customHeight="false" outlineLevel="0" collapsed="false">
      <c r="A342" s="28" t="s">
        <v>119</v>
      </c>
      <c r="B342" s="28" t="s">
        <v>60</v>
      </c>
      <c r="C342" s="28" t="s">
        <v>1562</v>
      </c>
      <c r="D342" s="28" t="s">
        <v>175</v>
      </c>
      <c r="E342" s="28" t="s">
        <v>1124</v>
      </c>
      <c r="F342" s="28" t="s">
        <v>2171</v>
      </c>
    </row>
    <row r="343" customFormat="false" ht="15" hidden="false" customHeight="false" outlineLevel="0" collapsed="false">
      <c r="A343" s="28" t="s">
        <v>119</v>
      </c>
      <c r="B343" s="28" t="s">
        <v>60</v>
      </c>
      <c r="C343" s="28" t="s">
        <v>251</v>
      </c>
      <c r="D343" s="28" t="s">
        <v>175</v>
      </c>
      <c r="E343" s="28" t="s">
        <v>1968</v>
      </c>
      <c r="F343" s="28" t="s">
        <v>2172</v>
      </c>
    </row>
    <row r="344" customFormat="false" ht="15" hidden="false" customHeight="false" outlineLevel="0" collapsed="false">
      <c r="A344" s="28" t="s">
        <v>119</v>
      </c>
      <c r="B344" s="28" t="s">
        <v>60</v>
      </c>
      <c r="C344" s="28" t="s">
        <v>255</v>
      </c>
      <c r="D344" s="28" t="s">
        <v>175</v>
      </c>
      <c r="E344" s="28" t="s">
        <v>1968</v>
      </c>
      <c r="F344" s="28" t="s">
        <v>2173</v>
      </c>
    </row>
    <row r="345" customFormat="false" ht="15" hidden="false" customHeight="false" outlineLevel="0" collapsed="false">
      <c r="A345" s="28" t="s">
        <v>119</v>
      </c>
      <c r="B345" s="28" t="s">
        <v>60</v>
      </c>
      <c r="C345" s="28" t="s">
        <v>257</v>
      </c>
      <c r="D345" s="28" t="s">
        <v>175</v>
      </c>
      <c r="E345" s="28" t="s">
        <v>1968</v>
      </c>
      <c r="F345" s="28" t="s">
        <v>258</v>
      </c>
    </row>
    <row r="346" customFormat="false" ht="15" hidden="false" customHeight="false" outlineLevel="0" collapsed="false">
      <c r="A346" s="28" t="s">
        <v>119</v>
      </c>
      <c r="B346" s="28" t="s">
        <v>60</v>
      </c>
      <c r="C346" s="28" t="s">
        <v>259</v>
      </c>
      <c r="D346" s="28" t="s">
        <v>175</v>
      </c>
      <c r="E346" s="28" t="s">
        <v>1968</v>
      </c>
      <c r="F346" s="28" t="s">
        <v>2003</v>
      </c>
    </row>
    <row r="347" customFormat="false" ht="15" hidden="false" customHeight="false" outlineLevel="0" collapsed="false">
      <c r="A347" s="28" t="s">
        <v>119</v>
      </c>
      <c r="B347" s="28" t="s">
        <v>60</v>
      </c>
      <c r="C347" s="28" t="s">
        <v>261</v>
      </c>
      <c r="D347" s="28" t="s">
        <v>175</v>
      </c>
      <c r="E347" s="28" t="s">
        <v>1968</v>
      </c>
      <c r="F347" s="28" t="s">
        <v>2174</v>
      </c>
    </row>
    <row r="348" customFormat="false" ht="15" hidden="false" customHeight="false" outlineLevel="0" collapsed="false">
      <c r="A348" s="28" t="s">
        <v>119</v>
      </c>
      <c r="B348" s="28" t="s">
        <v>60</v>
      </c>
      <c r="C348" s="28" t="s">
        <v>244</v>
      </c>
      <c r="D348" s="28" t="s">
        <v>175</v>
      </c>
      <c r="E348" s="28" t="s">
        <v>1968</v>
      </c>
      <c r="F348" s="28" t="s">
        <v>23</v>
      </c>
    </row>
    <row r="349" customFormat="false" ht="15" hidden="false" customHeight="false" outlineLevel="0" collapsed="false">
      <c r="A349" s="28" t="s">
        <v>119</v>
      </c>
      <c r="B349" s="28" t="s">
        <v>60</v>
      </c>
      <c r="C349" s="28" t="s">
        <v>263</v>
      </c>
      <c r="D349" s="28" t="s">
        <v>175</v>
      </c>
      <c r="E349" s="28" t="s">
        <v>1968</v>
      </c>
      <c r="F349" s="28" t="s">
        <v>2175</v>
      </c>
    </row>
    <row r="350" customFormat="false" ht="15" hidden="false" customHeight="false" outlineLevel="0" collapsed="false">
      <c r="A350" s="28" t="s">
        <v>119</v>
      </c>
      <c r="B350" s="28" t="s">
        <v>60</v>
      </c>
      <c r="C350" s="28" t="s">
        <v>1563</v>
      </c>
      <c r="D350" s="28" t="s">
        <v>175</v>
      </c>
      <c r="E350" s="28" t="s">
        <v>1968</v>
      </c>
      <c r="F350" s="28" t="s">
        <v>2176</v>
      </c>
    </row>
    <row r="351" customFormat="false" ht="15" hidden="false" customHeight="false" outlineLevel="0" collapsed="false">
      <c r="A351" s="28" t="s">
        <v>119</v>
      </c>
      <c r="B351" s="28" t="s">
        <v>60</v>
      </c>
      <c r="C351" s="28" t="s">
        <v>1469</v>
      </c>
      <c r="D351" s="28" t="s">
        <v>175</v>
      </c>
      <c r="E351" s="28" t="s">
        <v>1124</v>
      </c>
      <c r="F351" s="28" t="s">
        <v>2141</v>
      </c>
    </row>
    <row r="352" customFormat="false" ht="15" hidden="false" customHeight="false" outlineLevel="0" collapsed="false">
      <c r="A352" s="28" t="s">
        <v>119</v>
      </c>
      <c r="B352" s="28" t="s">
        <v>60</v>
      </c>
      <c r="C352" s="28" t="s">
        <v>245</v>
      </c>
      <c r="D352" s="28" t="s">
        <v>175</v>
      </c>
      <c r="E352" s="28" t="s">
        <v>1968</v>
      </c>
      <c r="F352" s="28" t="s">
        <v>2138</v>
      </c>
    </row>
    <row r="353" customFormat="false" ht="15" hidden="false" customHeight="false" outlineLevel="0" collapsed="false">
      <c r="A353" s="28" t="s">
        <v>119</v>
      </c>
      <c r="B353" s="28" t="s">
        <v>60</v>
      </c>
      <c r="C353" s="28" t="s">
        <v>1564</v>
      </c>
      <c r="D353" s="28" t="s">
        <v>175</v>
      </c>
      <c r="E353" s="28" t="s">
        <v>1124</v>
      </c>
      <c r="F353" s="28" t="s">
        <v>2177</v>
      </c>
    </row>
    <row r="354" customFormat="false" ht="15" hidden="false" customHeight="false" outlineLevel="0" collapsed="false">
      <c r="A354" s="28" t="s">
        <v>119</v>
      </c>
      <c r="B354" s="28" t="s">
        <v>60</v>
      </c>
      <c r="C354" s="28" t="s">
        <v>1467</v>
      </c>
      <c r="D354" s="28" t="s">
        <v>55</v>
      </c>
      <c r="E354" s="28" t="s">
        <v>1124</v>
      </c>
      <c r="F354" s="28" t="s">
        <v>2137</v>
      </c>
    </row>
    <row r="355" customFormat="false" ht="15" hidden="false" customHeight="false" outlineLevel="0" collapsed="false">
      <c r="A355" s="28" t="s">
        <v>119</v>
      </c>
      <c r="B355" s="28" t="s">
        <v>60</v>
      </c>
      <c r="C355" s="28" t="s">
        <v>1565</v>
      </c>
      <c r="D355" s="28" t="s">
        <v>55</v>
      </c>
      <c r="E355" s="28" t="s">
        <v>1968</v>
      </c>
      <c r="F355" s="28" t="s">
        <v>2178</v>
      </c>
    </row>
    <row r="356" customFormat="false" ht="15" hidden="false" customHeight="false" outlineLevel="0" collapsed="false">
      <c r="A356" s="28" t="s">
        <v>119</v>
      </c>
      <c r="B356" s="28" t="s">
        <v>60</v>
      </c>
      <c r="C356" s="28" t="s">
        <v>253</v>
      </c>
      <c r="D356" s="28" t="s">
        <v>55</v>
      </c>
      <c r="E356" s="28" t="s">
        <v>1968</v>
      </c>
      <c r="F356" s="28" t="s">
        <v>2179</v>
      </c>
    </row>
    <row r="357" customFormat="false" ht="15" hidden="false" customHeight="false" outlineLevel="0" collapsed="false">
      <c r="A357" s="28" t="s">
        <v>119</v>
      </c>
      <c r="B357" s="28" t="s">
        <v>60</v>
      </c>
      <c r="C357" s="28" t="s">
        <v>472</v>
      </c>
      <c r="D357" s="28" t="s">
        <v>55</v>
      </c>
      <c r="E357" s="28" t="s">
        <v>1124</v>
      </c>
      <c r="F357" s="28" t="s">
        <v>472</v>
      </c>
    </row>
    <row r="358" customFormat="false" ht="15" hidden="false" customHeight="false" outlineLevel="0" collapsed="false">
      <c r="A358" s="28" t="s">
        <v>119</v>
      </c>
      <c r="B358" s="28" t="s">
        <v>60</v>
      </c>
      <c r="C358" s="28" t="s">
        <v>488</v>
      </c>
      <c r="D358" s="28" t="s">
        <v>55</v>
      </c>
      <c r="E358" s="28" t="s">
        <v>1124</v>
      </c>
      <c r="F358" s="28" t="s">
        <v>2005</v>
      </c>
    </row>
    <row r="359" customFormat="false" ht="15" hidden="false" customHeight="false" outlineLevel="0" collapsed="false">
      <c r="A359" s="28" t="s">
        <v>119</v>
      </c>
      <c r="B359" s="28" t="s">
        <v>60</v>
      </c>
      <c r="C359" s="28" t="s">
        <v>1566</v>
      </c>
      <c r="D359" s="28" t="s">
        <v>55</v>
      </c>
      <c r="E359" s="28" t="s">
        <v>1124</v>
      </c>
      <c r="F359" s="28" t="s">
        <v>2180</v>
      </c>
    </row>
    <row r="360" customFormat="false" ht="15" hidden="false" customHeight="false" outlineLevel="0" collapsed="false">
      <c r="A360" s="28" t="s">
        <v>119</v>
      </c>
      <c r="B360" s="28" t="s">
        <v>60</v>
      </c>
      <c r="C360" s="28" t="s">
        <v>1567</v>
      </c>
      <c r="D360" s="28" t="s">
        <v>55</v>
      </c>
      <c r="E360" s="28" t="s">
        <v>1124</v>
      </c>
      <c r="F360" s="28" t="s">
        <v>2181</v>
      </c>
    </row>
    <row r="361" customFormat="false" ht="15" hidden="false" customHeight="false" outlineLevel="0" collapsed="false">
      <c r="A361" s="28" t="s">
        <v>119</v>
      </c>
      <c r="B361" s="28" t="s">
        <v>60</v>
      </c>
      <c r="C361" s="28" t="s">
        <v>442</v>
      </c>
      <c r="D361" s="28" t="s">
        <v>55</v>
      </c>
      <c r="E361" s="28"/>
      <c r="F361" s="28" t="s">
        <v>1975</v>
      </c>
    </row>
    <row r="362" customFormat="false" ht="15" hidden="false" customHeight="false" outlineLevel="0" collapsed="false">
      <c r="A362" s="28" t="s">
        <v>119</v>
      </c>
      <c r="B362" s="28" t="s">
        <v>60</v>
      </c>
      <c r="C362" s="28" t="s">
        <v>443</v>
      </c>
      <c r="D362" s="28" t="s">
        <v>55</v>
      </c>
      <c r="E362" s="28"/>
      <c r="F362" s="28" t="s">
        <v>1976</v>
      </c>
    </row>
    <row r="363" customFormat="false" ht="15" hidden="false" customHeight="false" outlineLevel="0" collapsed="false">
      <c r="A363" s="28" t="s">
        <v>119</v>
      </c>
      <c r="B363" s="28" t="s">
        <v>60</v>
      </c>
      <c r="C363" s="28" t="s">
        <v>247</v>
      </c>
      <c r="D363" s="28" t="s">
        <v>55</v>
      </c>
      <c r="E363" s="28" t="s">
        <v>1968</v>
      </c>
      <c r="F363" s="28" t="s">
        <v>2148</v>
      </c>
    </row>
    <row r="364" customFormat="false" ht="15" hidden="false" customHeight="false" outlineLevel="0" collapsed="false">
      <c r="A364" s="28" t="s">
        <v>119</v>
      </c>
      <c r="B364" s="28" t="s">
        <v>60</v>
      </c>
      <c r="C364" s="28" t="s">
        <v>1568</v>
      </c>
      <c r="D364" s="28" t="s">
        <v>55</v>
      </c>
      <c r="E364" s="28" t="s">
        <v>714</v>
      </c>
      <c r="F364" s="28" t="s">
        <v>2182</v>
      </c>
    </row>
    <row r="365" customFormat="false" ht="15" hidden="false" customHeight="false" outlineLevel="0" collapsed="false">
      <c r="A365" s="28" t="s">
        <v>119</v>
      </c>
      <c r="B365" s="28" t="s">
        <v>60</v>
      </c>
      <c r="C365" s="28" t="s">
        <v>1569</v>
      </c>
      <c r="D365" s="28" t="s">
        <v>55</v>
      </c>
      <c r="E365" s="28" t="s">
        <v>714</v>
      </c>
      <c r="F365" s="28" t="s">
        <v>2183</v>
      </c>
    </row>
    <row r="366" customFormat="false" ht="15" hidden="false" customHeight="false" outlineLevel="0" collapsed="false">
      <c r="A366" s="28" t="s">
        <v>121</v>
      </c>
      <c r="B366" s="28" t="s">
        <v>73</v>
      </c>
      <c r="C366" s="28" t="s">
        <v>1584</v>
      </c>
      <c r="D366" s="28" t="s">
        <v>175</v>
      </c>
      <c r="E366" s="28"/>
      <c r="F366" s="28" t="s">
        <v>2184</v>
      </c>
    </row>
    <row r="367" customFormat="false" ht="15" hidden="false" customHeight="false" outlineLevel="0" collapsed="false">
      <c r="A367" s="28" t="s">
        <v>121</v>
      </c>
      <c r="B367" s="28" t="s">
        <v>73</v>
      </c>
      <c r="C367" s="28" t="s">
        <v>430</v>
      </c>
      <c r="D367" s="28" t="s">
        <v>175</v>
      </c>
      <c r="E367" s="28"/>
      <c r="F367" s="28" t="s">
        <v>1962</v>
      </c>
    </row>
    <row r="368" customFormat="false" ht="15" hidden="false" customHeight="false" outlineLevel="0" collapsed="false">
      <c r="A368" s="28" t="s">
        <v>121</v>
      </c>
      <c r="B368" s="28" t="s">
        <v>73</v>
      </c>
      <c r="C368" s="28" t="s">
        <v>236</v>
      </c>
      <c r="D368" s="28" t="s">
        <v>175</v>
      </c>
      <c r="E368" s="28"/>
      <c r="F368" s="28" t="s">
        <v>2115</v>
      </c>
    </row>
    <row r="369" customFormat="false" ht="15" hidden="false" customHeight="false" outlineLevel="0" collapsed="false">
      <c r="A369" s="28" t="s">
        <v>121</v>
      </c>
      <c r="B369" s="28" t="s">
        <v>73</v>
      </c>
      <c r="C369" s="28" t="s">
        <v>238</v>
      </c>
      <c r="D369" s="28" t="s">
        <v>175</v>
      </c>
      <c r="E369" s="28"/>
      <c r="F369" s="28" t="s">
        <v>1960</v>
      </c>
    </row>
    <row r="370" customFormat="false" ht="15" hidden="false" customHeight="false" outlineLevel="0" collapsed="false">
      <c r="A370" s="28" t="s">
        <v>121</v>
      </c>
      <c r="B370" s="28" t="s">
        <v>73</v>
      </c>
      <c r="C370" s="28" t="s">
        <v>1585</v>
      </c>
      <c r="D370" s="28" t="s">
        <v>175</v>
      </c>
      <c r="E370" s="28"/>
      <c r="F370" s="28" t="s">
        <v>2185</v>
      </c>
    </row>
    <row r="371" customFormat="false" ht="15" hidden="false" customHeight="false" outlineLevel="0" collapsed="false">
      <c r="A371" s="28" t="s">
        <v>121</v>
      </c>
      <c r="B371" s="28" t="s">
        <v>73</v>
      </c>
      <c r="C371" s="28" t="s">
        <v>237</v>
      </c>
      <c r="D371" s="28" t="s">
        <v>55</v>
      </c>
      <c r="E371" s="28"/>
      <c r="F371" s="28" t="s">
        <v>2042</v>
      </c>
    </row>
    <row r="372" customFormat="false" ht="15" hidden="false" customHeight="false" outlineLevel="0" collapsed="false">
      <c r="A372" s="28" t="s">
        <v>121</v>
      </c>
      <c r="B372" s="28" t="s">
        <v>73</v>
      </c>
      <c r="C372" s="28" t="s">
        <v>442</v>
      </c>
      <c r="D372" s="28" t="s">
        <v>55</v>
      </c>
      <c r="E372" s="28"/>
      <c r="F372" s="28" t="s">
        <v>1975</v>
      </c>
    </row>
    <row r="373" customFormat="false" ht="15" hidden="false" customHeight="false" outlineLevel="0" collapsed="false">
      <c r="A373" s="28" t="s">
        <v>121</v>
      </c>
      <c r="B373" s="28" t="s">
        <v>73</v>
      </c>
      <c r="C373" s="28" t="s">
        <v>443</v>
      </c>
      <c r="D373" s="28" t="s">
        <v>55</v>
      </c>
      <c r="E373" s="28"/>
      <c r="F373" s="28" t="s">
        <v>1976</v>
      </c>
    </row>
    <row r="374" customFormat="false" ht="15" hidden="false" customHeight="false" outlineLevel="0" collapsed="false">
      <c r="A374" s="28" t="s">
        <v>123</v>
      </c>
      <c r="B374" s="28" t="s">
        <v>73</v>
      </c>
      <c r="C374" s="28" t="s">
        <v>1640</v>
      </c>
      <c r="D374" s="28" t="s">
        <v>175</v>
      </c>
      <c r="E374" s="28"/>
      <c r="F374" s="28" t="s">
        <v>2186</v>
      </c>
    </row>
    <row r="375" customFormat="false" ht="15" hidden="false" customHeight="false" outlineLevel="0" collapsed="false">
      <c r="A375" s="28" t="s">
        <v>123</v>
      </c>
      <c r="B375" s="28" t="s">
        <v>73</v>
      </c>
      <c r="C375" s="28" t="s">
        <v>221</v>
      </c>
      <c r="D375" s="28" t="s">
        <v>175</v>
      </c>
      <c r="E375" s="28" t="s">
        <v>1124</v>
      </c>
      <c r="F375" s="28" t="s">
        <v>19</v>
      </c>
    </row>
    <row r="376" customFormat="false" ht="15" hidden="false" customHeight="false" outlineLevel="0" collapsed="false">
      <c r="A376" s="28" t="s">
        <v>123</v>
      </c>
      <c r="B376" s="28" t="s">
        <v>73</v>
      </c>
      <c r="C376" s="28" t="s">
        <v>1641</v>
      </c>
      <c r="D376" s="28" t="s">
        <v>175</v>
      </c>
      <c r="E376" s="28" t="s">
        <v>714</v>
      </c>
      <c r="F376" s="28" t="s">
        <v>2187</v>
      </c>
    </row>
    <row r="377" customFormat="false" ht="15" hidden="false" customHeight="false" outlineLevel="0" collapsed="false">
      <c r="A377" s="28" t="s">
        <v>123</v>
      </c>
      <c r="B377" s="28" t="s">
        <v>73</v>
      </c>
      <c r="C377" s="28" t="s">
        <v>1642</v>
      </c>
      <c r="D377" s="28" t="s">
        <v>175</v>
      </c>
      <c r="E377" s="28" t="s">
        <v>714</v>
      </c>
      <c r="F377" s="28" t="s">
        <v>2188</v>
      </c>
    </row>
    <row r="378" customFormat="false" ht="15" hidden="false" customHeight="false" outlineLevel="0" collapsed="false">
      <c r="A378" s="28" t="s">
        <v>123</v>
      </c>
      <c r="B378" s="28" t="s">
        <v>73</v>
      </c>
      <c r="C378" s="28" t="s">
        <v>1643</v>
      </c>
      <c r="D378" s="28" t="s">
        <v>175</v>
      </c>
      <c r="E378" s="28"/>
      <c r="F378" s="28" t="s">
        <v>2189</v>
      </c>
    </row>
    <row r="379" customFormat="false" ht="15" hidden="false" customHeight="false" outlineLevel="0" collapsed="false">
      <c r="A379" s="28" t="s">
        <v>123</v>
      </c>
      <c r="B379" s="28" t="s">
        <v>73</v>
      </c>
      <c r="C379" s="28" t="s">
        <v>1644</v>
      </c>
      <c r="D379" s="28" t="s">
        <v>175</v>
      </c>
      <c r="E379" s="28"/>
      <c r="F379" s="28" t="s">
        <v>2190</v>
      </c>
    </row>
    <row r="380" customFormat="false" ht="15" hidden="false" customHeight="false" outlineLevel="0" collapsed="false">
      <c r="A380" s="28" t="s">
        <v>123</v>
      </c>
      <c r="B380" s="28" t="s">
        <v>73</v>
      </c>
      <c r="C380" s="28" t="s">
        <v>1645</v>
      </c>
      <c r="D380" s="28" t="s">
        <v>175</v>
      </c>
      <c r="E380" s="28"/>
      <c r="F380" s="28" t="s">
        <v>2191</v>
      </c>
    </row>
    <row r="381" customFormat="false" ht="15" hidden="false" customHeight="false" outlineLevel="0" collapsed="false">
      <c r="A381" s="28" t="s">
        <v>123</v>
      </c>
      <c r="B381" s="28" t="s">
        <v>73</v>
      </c>
      <c r="C381" s="28" t="s">
        <v>1646</v>
      </c>
      <c r="D381" s="28" t="s">
        <v>175</v>
      </c>
      <c r="E381" s="28"/>
      <c r="F381" s="28" t="s">
        <v>2192</v>
      </c>
    </row>
    <row r="382" customFormat="false" ht="15" hidden="false" customHeight="false" outlineLevel="0" collapsed="false">
      <c r="A382" s="28" t="s">
        <v>123</v>
      </c>
      <c r="B382" s="28" t="s">
        <v>73</v>
      </c>
      <c r="C382" s="28" t="s">
        <v>145</v>
      </c>
      <c r="D382" s="28" t="s">
        <v>175</v>
      </c>
      <c r="E382" s="28"/>
      <c r="F382" s="28" t="s">
        <v>2120</v>
      </c>
    </row>
    <row r="383" customFormat="false" ht="15" hidden="false" customHeight="false" outlineLevel="0" collapsed="false">
      <c r="A383" s="28" t="s">
        <v>123</v>
      </c>
      <c r="B383" s="28" t="s">
        <v>73</v>
      </c>
      <c r="C383" s="28" t="s">
        <v>443</v>
      </c>
      <c r="D383" s="28" t="s">
        <v>175</v>
      </c>
      <c r="E383" s="28"/>
      <c r="F383" s="28" t="s">
        <v>1976</v>
      </c>
    </row>
    <row r="384" customFormat="false" ht="15" hidden="false" customHeight="false" outlineLevel="0" collapsed="false">
      <c r="A384" s="28" t="s">
        <v>123</v>
      </c>
      <c r="B384" s="28" t="s">
        <v>73</v>
      </c>
      <c r="C384" s="28" t="s">
        <v>1647</v>
      </c>
      <c r="D384" s="28" t="s">
        <v>55</v>
      </c>
      <c r="E384" s="28" t="s">
        <v>714</v>
      </c>
      <c r="F384" s="28" t="s">
        <v>2193</v>
      </c>
    </row>
    <row r="385" customFormat="false" ht="15" hidden="false" customHeight="false" outlineLevel="0" collapsed="false">
      <c r="A385" s="28" t="s">
        <v>123</v>
      </c>
      <c r="B385" s="28" t="s">
        <v>73</v>
      </c>
      <c r="C385" s="28" t="s">
        <v>442</v>
      </c>
      <c r="D385" s="28" t="s">
        <v>55</v>
      </c>
      <c r="E385" s="28"/>
      <c r="F385" s="28" t="s">
        <v>1975</v>
      </c>
    </row>
    <row r="386" customFormat="false" ht="15" hidden="false" customHeight="false" outlineLevel="0" collapsed="false">
      <c r="A386" s="28" t="s">
        <v>125</v>
      </c>
      <c r="B386" s="28" t="s">
        <v>73</v>
      </c>
      <c r="C386" s="28" t="s">
        <v>1654</v>
      </c>
      <c r="D386" s="28" t="s">
        <v>175</v>
      </c>
      <c r="E386" s="28"/>
      <c r="F386" s="28" t="s">
        <v>2194</v>
      </c>
    </row>
    <row r="387" customFormat="false" ht="15" hidden="false" customHeight="false" outlineLevel="0" collapsed="false">
      <c r="A387" s="28" t="s">
        <v>125</v>
      </c>
      <c r="B387" s="28" t="s">
        <v>73</v>
      </c>
      <c r="C387" s="28" t="s">
        <v>1655</v>
      </c>
      <c r="D387" s="28" t="s">
        <v>175</v>
      </c>
      <c r="E387" s="28" t="s">
        <v>1124</v>
      </c>
      <c r="F387" s="28" t="s">
        <v>2195</v>
      </c>
    </row>
    <row r="388" customFormat="false" ht="15" hidden="false" customHeight="false" outlineLevel="0" collapsed="false">
      <c r="A388" s="28" t="s">
        <v>125</v>
      </c>
      <c r="B388" s="28" t="s">
        <v>73</v>
      </c>
      <c r="C388" s="28" t="s">
        <v>1656</v>
      </c>
      <c r="D388" s="28" t="s">
        <v>175</v>
      </c>
      <c r="E388" s="28" t="s">
        <v>1124</v>
      </c>
      <c r="F388" s="28" t="s">
        <v>2196</v>
      </c>
    </row>
    <row r="389" customFormat="false" ht="15" hidden="false" customHeight="false" outlineLevel="0" collapsed="false">
      <c r="A389" s="28" t="s">
        <v>125</v>
      </c>
      <c r="B389" s="28" t="s">
        <v>73</v>
      </c>
      <c r="C389" s="28" t="s">
        <v>1657</v>
      </c>
      <c r="D389" s="28" t="s">
        <v>175</v>
      </c>
      <c r="E389" s="28" t="s">
        <v>714</v>
      </c>
      <c r="F389" s="28" t="s">
        <v>2197</v>
      </c>
    </row>
    <row r="390" customFormat="false" ht="15" hidden="false" customHeight="false" outlineLevel="0" collapsed="false">
      <c r="A390" s="28" t="s">
        <v>125</v>
      </c>
      <c r="B390" s="28" t="s">
        <v>73</v>
      </c>
      <c r="C390" s="28" t="s">
        <v>1658</v>
      </c>
      <c r="D390" s="28" t="s">
        <v>175</v>
      </c>
      <c r="E390" s="28"/>
      <c r="F390" s="28" t="s">
        <v>2198</v>
      </c>
    </row>
    <row r="391" customFormat="false" ht="15" hidden="false" customHeight="false" outlineLevel="0" collapsed="false">
      <c r="A391" s="28" t="s">
        <v>125</v>
      </c>
      <c r="B391" s="28" t="s">
        <v>73</v>
      </c>
      <c r="C391" s="28" t="s">
        <v>1659</v>
      </c>
      <c r="D391" s="28" t="s">
        <v>55</v>
      </c>
      <c r="E391" s="28" t="s">
        <v>1124</v>
      </c>
      <c r="F391" s="28" t="s">
        <v>2199</v>
      </c>
    </row>
    <row r="392" customFormat="false" ht="15" hidden="false" customHeight="false" outlineLevel="0" collapsed="false">
      <c r="A392" s="28" t="s">
        <v>125</v>
      </c>
      <c r="B392" s="28" t="s">
        <v>73</v>
      </c>
      <c r="C392" s="28" t="s">
        <v>1660</v>
      </c>
      <c r="D392" s="28" t="s">
        <v>55</v>
      </c>
      <c r="E392" s="28"/>
      <c r="F392" s="28" t="s">
        <v>2200</v>
      </c>
    </row>
    <row r="393" customFormat="false" ht="15" hidden="false" customHeight="false" outlineLevel="0" collapsed="false">
      <c r="A393" s="28" t="s">
        <v>125</v>
      </c>
      <c r="B393" s="28" t="s">
        <v>73</v>
      </c>
      <c r="C393" s="28" t="s">
        <v>442</v>
      </c>
      <c r="D393" s="28" t="s">
        <v>55</v>
      </c>
      <c r="E393" s="28"/>
      <c r="F393" s="28" t="s">
        <v>1975</v>
      </c>
    </row>
    <row r="394" customFormat="false" ht="15" hidden="false" customHeight="false" outlineLevel="0" collapsed="false">
      <c r="A394" s="28" t="s">
        <v>125</v>
      </c>
      <c r="B394" s="28" t="s">
        <v>73</v>
      </c>
      <c r="C394" s="28" t="s">
        <v>443</v>
      </c>
      <c r="D394" s="28" t="s">
        <v>55</v>
      </c>
      <c r="E394" s="28"/>
      <c r="F394" s="28" t="s">
        <v>1976</v>
      </c>
    </row>
    <row r="395" customFormat="false" ht="15" hidden="false" customHeight="false" outlineLevel="0" collapsed="false">
      <c r="A395" s="28" t="s">
        <v>125</v>
      </c>
      <c r="B395" s="28" t="s">
        <v>73</v>
      </c>
      <c r="C395" s="28" t="s">
        <v>1661</v>
      </c>
      <c r="D395" s="28" t="s">
        <v>55</v>
      </c>
      <c r="E395" s="28" t="s">
        <v>1968</v>
      </c>
      <c r="F395" s="28" t="s">
        <v>2201</v>
      </c>
    </row>
    <row r="396" customFormat="false" ht="15" hidden="false" customHeight="false" outlineLevel="0" collapsed="false">
      <c r="A396" s="28" t="s">
        <v>125</v>
      </c>
      <c r="B396" s="28" t="s">
        <v>73</v>
      </c>
      <c r="C396" s="28" t="s">
        <v>1662</v>
      </c>
      <c r="D396" s="28" t="s">
        <v>55</v>
      </c>
      <c r="E396" s="28" t="s">
        <v>1968</v>
      </c>
      <c r="F396" s="28" t="s">
        <v>2202</v>
      </c>
    </row>
    <row r="397" customFormat="false" ht="15" hidden="false" customHeight="false" outlineLevel="0" collapsed="false">
      <c r="A397" s="28" t="s">
        <v>127</v>
      </c>
      <c r="B397" s="28" t="s">
        <v>73</v>
      </c>
      <c r="C397" s="28" t="s">
        <v>712</v>
      </c>
      <c r="D397" s="28" t="s">
        <v>175</v>
      </c>
      <c r="E397" s="28"/>
      <c r="F397" s="28" t="s">
        <v>1991</v>
      </c>
    </row>
    <row r="398" customFormat="false" ht="15" hidden="false" customHeight="false" outlineLevel="0" collapsed="false">
      <c r="A398" s="28" t="s">
        <v>127</v>
      </c>
      <c r="B398" s="28" t="s">
        <v>73</v>
      </c>
      <c r="C398" s="28" t="s">
        <v>1668</v>
      </c>
      <c r="D398" s="28" t="s">
        <v>175</v>
      </c>
      <c r="E398" s="28"/>
      <c r="F398" s="28" t="s">
        <v>2203</v>
      </c>
    </row>
    <row r="399" customFormat="false" ht="15" hidden="false" customHeight="false" outlineLevel="0" collapsed="false">
      <c r="A399" s="28" t="s">
        <v>127</v>
      </c>
      <c r="B399" s="28" t="s">
        <v>73</v>
      </c>
      <c r="C399" s="28" t="s">
        <v>1669</v>
      </c>
      <c r="D399" s="28" t="s">
        <v>175</v>
      </c>
      <c r="E399" s="28" t="s">
        <v>1968</v>
      </c>
      <c r="F399" s="28" t="s">
        <v>2204</v>
      </c>
    </row>
    <row r="400" customFormat="false" ht="15" hidden="false" customHeight="false" outlineLevel="0" collapsed="false">
      <c r="A400" s="28" t="s">
        <v>127</v>
      </c>
      <c r="B400" s="28" t="s">
        <v>73</v>
      </c>
      <c r="C400" s="28" t="s">
        <v>1670</v>
      </c>
      <c r="D400" s="28" t="s">
        <v>175</v>
      </c>
      <c r="E400" s="28" t="s">
        <v>1968</v>
      </c>
      <c r="F400" s="28" t="s">
        <v>2205</v>
      </c>
    </row>
    <row r="401" customFormat="false" ht="15" hidden="false" customHeight="false" outlineLevel="0" collapsed="false">
      <c r="A401" s="28" t="s">
        <v>127</v>
      </c>
      <c r="B401" s="28" t="s">
        <v>73</v>
      </c>
      <c r="C401" s="28" t="s">
        <v>1391</v>
      </c>
      <c r="D401" s="28" t="s">
        <v>175</v>
      </c>
      <c r="E401" s="28"/>
      <c r="F401" s="28" t="s">
        <v>1392</v>
      </c>
    </row>
    <row r="402" customFormat="false" ht="15" hidden="false" customHeight="false" outlineLevel="0" collapsed="false">
      <c r="A402" s="28" t="s">
        <v>127</v>
      </c>
      <c r="B402" s="28" t="s">
        <v>73</v>
      </c>
      <c r="C402" s="28" t="s">
        <v>1671</v>
      </c>
      <c r="D402" s="28" t="s">
        <v>55</v>
      </c>
      <c r="E402" s="28"/>
      <c r="F402" s="28" t="s">
        <v>1671</v>
      </c>
    </row>
    <row r="403" customFormat="false" ht="15" hidden="false" customHeight="false" outlineLevel="0" collapsed="false">
      <c r="A403" s="28" t="s">
        <v>127</v>
      </c>
      <c r="B403" s="28" t="s">
        <v>73</v>
      </c>
      <c r="C403" s="28" t="s">
        <v>1672</v>
      </c>
      <c r="D403" s="28" t="s">
        <v>55</v>
      </c>
      <c r="E403" s="28"/>
      <c r="F403" s="28" t="s">
        <v>2206</v>
      </c>
    </row>
    <row r="404" customFormat="false" ht="15" hidden="false" customHeight="false" outlineLevel="0" collapsed="false">
      <c r="A404" s="28" t="s">
        <v>127</v>
      </c>
      <c r="B404" s="28" t="s">
        <v>73</v>
      </c>
      <c r="C404" s="28" t="s">
        <v>442</v>
      </c>
      <c r="D404" s="28" t="s">
        <v>55</v>
      </c>
      <c r="E404" s="28"/>
      <c r="F404" s="28" t="s">
        <v>1975</v>
      </c>
    </row>
    <row r="405" customFormat="false" ht="15" hidden="false" customHeight="false" outlineLevel="0" collapsed="false">
      <c r="A405" s="28" t="s">
        <v>127</v>
      </c>
      <c r="B405" s="28" t="s">
        <v>73</v>
      </c>
      <c r="C405" s="28" t="s">
        <v>443</v>
      </c>
      <c r="D405" s="28" t="s">
        <v>55</v>
      </c>
      <c r="E405" s="28"/>
      <c r="F405" s="28" t="s">
        <v>1976</v>
      </c>
    </row>
    <row r="406" customFormat="false" ht="15" hidden="false" customHeight="false" outlineLevel="0" collapsed="false">
      <c r="A406" s="28" t="s">
        <v>129</v>
      </c>
      <c r="B406" s="28" t="s">
        <v>60</v>
      </c>
      <c r="C406" s="28" t="s">
        <v>1491</v>
      </c>
      <c r="D406" s="28" t="s">
        <v>175</v>
      </c>
      <c r="E406" s="28"/>
      <c r="F406" s="28" t="s">
        <v>2153</v>
      </c>
    </row>
    <row r="407" customFormat="false" ht="15" hidden="false" customHeight="false" outlineLevel="0" collapsed="false">
      <c r="A407" s="28" t="s">
        <v>129</v>
      </c>
      <c r="B407" s="28" t="s">
        <v>60</v>
      </c>
      <c r="C407" s="28" t="s">
        <v>236</v>
      </c>
      <c r="D407" s="28" t="s">
        <v>175</v>
      </c>
      <c r="E407" s="28"/>
      <c r="F407" s="28" t="s">
        <v>2115</v>
      </c>
    </row>
    <row r="408" customFormat="false" ht="15" hidden="false" customHeight="false" outlineLevel="0" collapsed="false">
      <c r="A408" s="28" t="s">
        <v>129</v>
      </c>
      <c r="B408" s="28" t="s">
        <v>60</v>
      </c>
      <c r="C408" s="28" t="s">
        <v>238</v>
      </c>
      <c r="D408" s="28" t="s">
        <v>175</v>
      </c>
      <c r="E408" s="28"/>
      <c r="F408" s="28" t="s">
        <v>1960</v>
      </c>
    </row>
    <row r="409" customFormat="false" ht="15" hidden="false" customHeight="false" outlineLevel="0" collapsed="false">
      <c r="A409" s="28" t="s">
        <v>129</v>
      </c>
      <c r="B409" s="28" t="s">
        <v>60</v>
      </c>
      <c r="C409" s="28" t="s">
        <v>442</v>
      </c>
      <c r="D409" s="28" t="s">
        <v>175</v>
      </c>
      <c r="E409" s="28"/>
      <c r="F409" s="28" t="s">
        <v>1975</v>
      </c>
    </row>
    <row r="410" customFormat="false" ht="15" hidden="false" customHeight="false" outlineLevel="0" collapsed="false">
      <c r="A410" s="28" t="s">
        <v>129</v>
      </c>
      <c r="B410" s="28" t="s">
        <v>60</v>
      </c>
      <c r="C410" s="28" t="s">
        <v>237</v>
      </c>
      <c r="D410" s="28" t="s">
        <v>55</v>
      </c>
      <c r="E410" s="28"/>
      <c r="F410" s="28" t="s">
        <v>2042</v>
      </c>
    </row>
    <row r="411" customFormat="false" ht="15" hidden="false" customHeight="false" outlineLevel="0" collapsed="false">
      <c r="A411" s="28" t="s">
        <v>129</v>
      </c>
      <c r="B411" s="28" t="s">
        <v>60</v>
      </c>
      <c r="C411" s="28" t="s">
        <v>443</v>
      </c>
      <c r="D411" s="28" t="s">
        <v>55</v>
      </c>
      <c r="E411" s="28"/>
      <c r="F411" s="28" t="s">
        <v>1976</v>
      </c>
    </row>
    <row r="412" customFormat="false" ht="15" hidden="false" customHeight="false" outlineLevel="0" collapsed="false">
      <c r="A412" s="28" t="s">
        <v>131</v>
      </c>
      <c r="B412" s="28" t="s">
        <v>60</v>
      </c>
      <c r="C412" s="28" t="s">
        <v>1730</v>
      </c>
      <c r="D412" s="28" t="s">
        <v>175</v>
      </c>
      <c r="E412" s="28"/>
      <c r="F412" s="28" t="s">
        <v>2207</v>
      </c>
    </row>
    <row r="413" customFormat="false" ht="15" hidden="false" customHeight="false" outlineLevel="0" collapsed="false">
      <c r="A413" s="28" t="s">
        <v>131</v>
      </c>
      <c r="B413" s="28" t="s">
        <v>60</v>
      </c>
      <c r="C413" s="28" t="s">
        <v>1731</v>
      </c>
      <c r="D413" s="28" t="s">
        <v>175</v>
      </c>
      <c r="E413" s="28"/>
      <c r="F413" s="28" t="s">
        <v>2208</v>
      </c>
    </row>
    <row r="414" customFormat="false" ht="15" hidden="false" customHeight="false" outlineLevel="0" collapsed="false">
      <c r="A414" s="28" t="s">
        <v>131</v>
      </c>
      <c r="B414" s="28" t="s">
        <v>60</v>
      </c>
      <c r="C414" s="28" t="s">
        <v>1640</v>
      </c>
      <c r="D414" s="28" t="s">
        <v>175</v>
      </c>
      <c r="E414" s="28"/>
      <c r="F414" s="28" t="s">
        <v>2186</v>
      </c>
    </row>
    <row r="415" customFormat="false" ht="15" hidden="false" customHeight="false" outlineLevel="0" collapsed="false">
      <c r="A415" s="28" t="s">
        <v>131</v>
      </c>
      <c r="B415" s="28" t="s">
        <v>60</v>
      </c>
      <c r="C415" s="28" t="s">
        <v>1002</v>
      </c>
      <c r="D415" s="28" t="s">
        <v>175</v>
      </c>
      <c r="E415" s="28"/>
      <c r="F415" s="28" t="s">
        <v>2089</v>
      </c>
    </row>
    <row r="416" customFormat="false" ht="15" hidden="false" customHeight="false" outlineLevel="0" collapsed="false">
      <c r="A416" s="28" t="s">
        <v>131</v>
      </c>
      <c r="B416" s="28" t="s">
        <v>60</v>
      </c>
      <c r="C416" s="28" t="s">
        <v>1216</v>
      </c>
      <c r="D416" s="28" t="s">
        <v>175</v>
      </c>
      <c r="E416" s="28"/>
      <c r="F416" s="28" t="s">
        <v>2125</v>
      </c>
    </row>
    <row r="417" customFormat="false" ht="15" hidden="false" customHeight="false" outlineLevel="0" collapsed="false">
      <c r="A417" s="28" t="s">
        <v>131</v>
      </c>
      <c r="B417" s="28" t="s">
        <v>60</v>
      </c>
      <c r="C417" s="28" t="s">
        <v>1732</v>
      </c>
      <c r="D417" s="28" t="s">
        <v>175</v>
      </c>
      <c r="E417" s="28"/>
      <c r="F417" s="28" t="s">
        <v>2209</v>
      </c>
    </row>
    <row r="418" customFormat="false" ht="15" hidden="false" customHeight="false" outlineLevel="0" collapsed="false">
      <c r="A418" s="28" t="s">
        <v>131</v>
      </c>
      <c r="B418" s="28" t="s">
        <v>60</v>
      </c>
      <c r="C418" s="28" t="s">
        <v>1733</v>
      </c>
      <c r="D418" s="28" t="s">
        <v>175</v>
      </c>
      <c r="E418" s="28"/>
      <c r="F418" s="28" t="s">
        <v>2210</v>
      </c>
    </row>
    <row r="419" customFormat="false" ht="15" hidden="false" customHeight="false" outlineLevel="0" collapsed="false">
      <c r="A419" s="28" t="s">
        <v>131</v>
      </c>
      <c r="B419" s="28" t="s">
        <v>60</v>
      </c>
      <c r="C419" s="28" t="s">
        <v>1734</v>
      </c>
      <c r="D419" s="28" t="s">
        <v>175</v>
      </c>
      <c r="E419" s="28"/>
      <c r="F419" s="28" t="s">
        <v>2211</v>
      </c>
    </row>
    <row r="420" customFormat="false" ht="15" hidden="false" customHeight="false" outlineLevel="0" collapsed="false">
      <c r="A420" s="28" t="s">
        <v>131</v>
      </c>
      <c r="B420" s="28" t="s">
        <v>60</v>
      </c>
      <c r="C420" s="28" t="s">
        <v>1735</v>
      </c>
      <c r="D420" s="28" t="s">
        <v>175</v>
      </c>
      <c r="E420" s="28"/>
      <c r="F420" s="28" t="s">
        <v>2212</v>
      </c>
    </row>
    <row r="421" customFormat="false" ht="15" hidden="false" customHeight="false" outlineLevel="0" collapsed="false">
      <c r="A421" s="28" t="s">
        <v>131</v>
      </c>
      <c r="B421" s="28" t="s">
        <v>60</v>
      </c>
      <c r="C421" s="28" t="s">
        <v>1736</v>
      </c>
      <c r="D421" s="28" t="s">
        <v>175</v>
      </c>
      <c r="E421" s="28"/>
      <c r="F421" s="28" t="s">
        <v>2213</v>
      </c>
    </row>
    <row r="422" customFormat="false" ht="15" hidden="false" customHeight="false" outlineLevel="0" collapsed="false">
      <c r="A422" s="28" t="s">
        <v>131</v>
      </c>
      <c r="B422" s="28" t="s">
        <v>60</v>
      </c>
      <c r="C422" s="28" t="s">
        <v>1737</v>
      </c>
      <c r="D422" s="28" t="s">
        <v>175</v>
      </c>
      <c r="E422" s="28"/>
      <c r="F422" s="28" t="s">
        <v>2214</v>
      </c>
    </row>
    <row r="423" customFormat="false" ht="15" hidden="false" customHeight="false" outlineLevel="0" collapsed="false">
      <c r="A423" s="28" t="s">
        <v>131</v>
      </c>
      <c r="B423" s="28" t="s">
        <v>60</v>
      </c>
      <c r="C423" s="28" t="s">
        <v>1738</v>
      </c>
      <c r="D423" s="28" t="s">
        <v>175</v>
      </c>
      <c r="E423" s="28" t="s">
        <v>1124</v>
      </c>
      <c r="F423" s="28" t="s">
        <v>2215</v>
      </c>
    </row>
    <row r="424" customFormat="false" ht="15" hidden="false" customHeight="false" outlineLevel="0" collapsed="false">
      <c r="A424" s="28" t="s">
        <v>131</v>
      </c>
      <c r="B424" s="28" t="s">
        <v>60</v>
      </c>
      <c r="C424" s="28" t="s">
        <v>1739</v>
      </c>
      <c r="D424" s="28" t="s">
        <v>175</v>
      </c>
      <c r="E424" s="28" t="s">
        <v>1124</v>
      </c>
      <c r="F424" s="28" t="s">
        <v>2216</v>
      </c>
    </row>
    <row r="425" customFormat="false" ht="15" hidden="false" customHeight="false" outlineLevel="0" collapsed="false">
      <c r="A425" s="28" t="s">
        <v>131</v>
      </c>
      <c r="B425" s="28" t="s">
        <v>60</v>
      </c>
      <c r="C425" s="28" t="s">
        <v>1740</v>
      </c>
      <c r="D425" s="28" t="s">
        <v>175</v>
      </c>
      <c r="E425" s="28" t="s">
        <v>1124</v>
      </c>
      <c r="F425" s="28" t="s">
        <v>2217</v>
      </c>
    </row>
    <row r="426" customFormat="false" ht="15" hidden="false" customHeight="false" outlineLevel="0" collapsed="false">
      <c r="A426" s="28" t="s">
        <v>131</v>
      </c>
      <c r="B426" s="28" t="s">
        <v>60</v>
      </c>
      <c r="C426" s="28" t="s">
        <v>1741</v>
      </c>
      <c r="D426" s="28" t="s">
        <v>175</v>
      </c>
      <c r="E426" s="28" t="s">
        <v>1124</v>
      </c>
      <c r="F426" s="28" t="s">
        <v>2218</v>
      </c>
    </row>
    <row r="427" customFormat="false" ht="15" hidden="false" customHeight="false" outlineLevel="0" collapsed="false">
      <c r="A427" s="28" t="s">
        <v>131</v>
      </c>
      <c r="B427" s="28" t="s">
        <v>60</v>
      </c>
      <c r="C427" s="28" t="s">
        <v>1742</v>
      </c>
      <c r="D427" s="28" t="s">
        <v>175</v>
      </c>
      <c r="E427" s="28" t="s">
        <v>1124</v>
      </c>
      <c r="F427" s="28" t="s">
        <v>2219</v>
      </c>
    </row>
    <row r="428" customFormat="false" ht="15" hidden="false" customHeight="false" outlineLevel="0" collapsed="false">
      <c r="A428" s="28" t="s">
        <v>131</v>
      </c>
      <c r="B428" s="28" t="s">
        <v>60</v>
      </c>
      <c r="C428" s="28" t="s">
        <v>1743</v>
      </c>
      <c r="D428" s="28" t="s">
        <v>175</v>
      </c>
      <c r="E428" s="28"/>
      <c r="F428" s="28" t="s">
        <v>2220</v>
      </c>
    </row>
    <row r="429" customFormat="false" ht="15" hidden="false" customHeight="false" outlineLevel="0" collapsed="false">
      <c r="A429" s="28" t="s">
        <v>131</v>
      </c>
      <c r="B429" s="28" t="s">
        <v>60</v>
      </c>
      <c r="C429" s="28" t="s">
        <v>145</v>
      </c>
      <c r="D429" s="28" t="s">
        <v>55</v>
      </c>
      <c r="E429" s="28"/>
      <c r="F429" s="28" t="s">
        <v>2120</v>
      </c>
    </row>
    <row r="430" customFormat="false" ht="15" hidden="false" customHeight="false" outlineLevel="0" collapsed="false">
      <c r="A430" s="28" t="s">
        <v>131</v>
      </c>
      <c r="B430" s="28" t="s">
        <v>60</v>
      </c>
      <c r="C430" s="28" t="s">
        <v>442</v>
      </c>
      <c r="D430" s="28" t="s">
        <v>55</v>
      </c>
      <c r="E430" s="28"/>
      <c r="F430" s="28" t="s">
        <v>1975</v>
      </c>
    </row>
    <row r="431" customFormat="false" ht="15" hidden="false" customHeight="false" outlineLevel="0" collapsed="false">
      <c r="A431" s="28" t="s">
        <v>131</v>
      </c>
      <c r="B431" s="28" t="s">
        <v>60</v>
      </c>
      <c r="C431" s="28" t="s">
        <v>443</v>
      </c>
      <c r="D431" s="28" t="s">
        <v>55</v>
      </c>
      <c r="E431" s="28"/>
      <c r="F431" s="28" t="s">
        <v>1976</v>
      </c>
    </row>
    <row r="432" customFormat="false" ht="15" hidden="false" customHeight="false" outlineLevel="0" collapsed="false">
      <c r="A432" s="28" t="s">
        <v>133</v>
      </c>
      <c r="B432" s="28" t="s">
        <v>73</v>
      </c>
      <c r="C432" s="28" t="s">
        <v>1861</v>
      </c>
      <c r="D432" s="28" t="s">
        <v>175</v>
      </c>
      <c r="E432" s="28"/>
      <c r="F432" s="28" t="s">
        <v>2221</v>
      </c>
    </row>
    <row r="433" customFormat="false" ht="15" hidden="false" customHeight="false" outlineLevel="0" collapsed="false">
      <c r="A433" s="28" t="s">
        <v>133</v>
      </c>
      <c r="B433" s="28" t="s">
        <v>73</v>
      </c>
      <c r="C433" s="28" t="s">
        <v>157</v>
      </c>
      <c r="D433" s="28" t="s">
        <v>175</v>
      </c>
      <c r="E433" s="28"/>
      <c r="F433" s="28" t="s">
        <v>2057</v>
      </c>
    </row>
    <row r="434" customFormat="false" ht="15" hidden="false" customHeight="false" outlineLevel="0" collapsed="false">
      <c r="A434" s="28" t="s">
        <v>133</v>
      </c>
      <c r="B434" s="28" t="s">
        <v>73</v>
      </c>
      <c r="C434" s="28" t="s">
        <v>1491</v>
      </c>
      <c r="D434" s="28" t="s">
        <v>175</v>
      </c>
      <c r="E434" s="28"/>
      <c r="F434" s="28" t="s">
        <v>2153</v>
      </c>
    </row>
    <row r="435" customFormat="false" ht="15" hidden="false" customHeight="false" outlineLevel="0" collapsed="false">
      <c r="A435" s="28" t="s">
        <v>133</v>
      </c>
      <c r="B435" s="28" t="s">
        <v>73</v>
      </c>
      <c r="C435" s="28" t="s">
        <v>916</v>
      </c>
      <c r="D435" s="28" t="s">
        <v>175</v>
      </c>
      <c r="E435" s="28" t="s">
        <v>1124</v>
      </c>
      <c r="F435" s="28" t="s">
        <v>2070</v>
      </c>
    </row>
    <row r="436" customFormat="false" ht="15" hidden="false" customHeight="false" outlineLevel="0" collapsed="false">
      <c r="A436" s="28" t="s">
        <v>133</v>
      </c>
      <c r="B436" s="28" t="s">
        <v>73</v>
      </c>
      <c r="C436" s="28" t="s">
        <v>918</v>
      </c>
      <c r="D436" s="28" t="s">
        <v>175</v>
      </c>
      <c r="E436" s="28" t="s">
        <v>1124</v>
      </c>
      <c r="F436" s="28" t="s">
        <v>2072</v>
      </c>
    </row>
    <row r="437" customFormat="false" ht="15" hidden="false" customHeight="false" outlineLevel="0" collapsed="false">
      <c r="A437" s="28" t="s">
        <v>133</v>
      </c>
      <c r="B437" s="28" t="s">
        <v>73</v>
      </c>
      <c r="C437" s="28" t="s">
        <v>251</v>
      </c>
      <c r="D437" s="28" t="s">
        <v>175</v>
      </c>
      <c r="E437" s="28" t="s">
        <v>1968</v>
      </c>
      <c r="F437" s="28" t="s">
        <v>2172</v>
      </c>
    </row>
    <row r="438" customFormat="false" ht="15" hidden="false" customHeight="false" outlineLevel="0" collapsed="false">
      <c r="A438" s="28" t="s">
        <v>133</v>
      </c>
      <c r="B438" s="28" t="s">
        <v>73</v>
      </c>
      <c r="C438" s="28" t="s">
        <v>245</v>
      </c>
      <c r="D438" s="28" t="s">
        <v>175</v>
      </c>
      <c r="E438" s="28" t="s">
        <v>1968</v>
      </c>
      <c r="F438" s="28" t="s">
        <v>2138</v>
      </c>
    </row>
    <row r="439" customFormat="false" ht="15" hidden="false" customHeight="false" outlineLevel="0" collapsed="false">
      <c r="A439" s="28" t="s">
        <v>133</v>
      </c>
      <c r="B439" s="28" t="s">
        <v>73</v>
      </c>
      <c r="C439" s="28" t="s">
        <v>244</v>
      </c>
      <c r="D439" s="28" t="s">
        <v>175</v>
      </c>
      <c r="E439" s="28" t="s">
        <v>1968</v>
      </c>
      <c r="F439" s="28" t="s">
        <v>23</v>
      </c>
    </row>
    <row r="440" customFormat="false" ht="15" hidden="false" customHeight="false" outlineLevel="0" collapsed="false">
      <c r="A440" s="28" t="s">
        <v>133</v>
      </c>
      <c r="B440" s="28" t="s">
        <v>73</v>
      </c>
      <c r="C440" s="28" t="s">
        <v>1380</v>
      </c>
      <c r="D440" s="28" t="s">
        <v>175</v>
      </c>
      <c r="E440" s="28"/>
      <c r="F440" s="28" t="s">
        <v>2222</v>
      </c>
    </row>
    <row r="441" customFormat="false" ht="15" hidden="false" customHeight="false" outlineLevel="0" collapsed="false">
      <c r="A441" s="28" t="s">
        <v>133</v>
      </c>
      <c r="B441" s="28" t="s">
        <v>73</v>
      </c>
      <c r="C441" s="28" t="s">
        <v>1559</v>
      </c>
      <c r="D441" s="28" t="s">
        <v>175</v>
      </c>
      <c r="E441" s="28" t="s">
        <v>714</v>
      </c>
      <c r="F441" s="28" t="s">
        <v>1685</v>
      </c>
    </row>
    <row r="442" customFormat="false" ht="15" hidden="false" customHeight="false" outlineLevel="0" collapsed="false">
      <c r="A442" s="28" t="s">
        <v>133</v>
      </c>
      <c r="B442" s="28" t="s">
        <v>73</v>
      </c>
      <c r="C442" s="28" t="s">
        <v>1564</v>
      </c>
      <c r="D442" s="28" t="s">
        <v>175</v>
      </c>
      <c r="E442" s="28" t="s">
        <v>1124</v>
      </c>
      <c r="F442" s="28" t="s">
        <v>2177</v>
      </c>
    </row>
    <row r="443" customFormat="false" ht="15" hidden="false" customHeight="false" outlineLevel="0" collapsed="false">
      <c r="A443" s="28" t="s">
        <v>133</v>
      </c>
      <c r="B443" s="28" t="s">
        <v>73</v>
      </c>
      <c r="C443" s="28" t="s">
        <v>240</v>
      </c>
      <c r="D443" s="28" t="s">
        <v>55</v>
      </c>
      <c r="E443" s="28" t="s">
        <v>1124</v>
      </c>
      <c r="F443" s="28" t="s">
        <v>19</v>
      </c>
    </row>
    <row r="444" customFormat="false" ht="15" hidden="false" customHeight="false" outlineLevel="0" collapsed="false">
      <c r="A444" s="28" t="s">
        <v>133</v>
      </c>
      <c r="B444" s="28" t="s">
        <v>73</v>
      </c>
      <c r="C444" s="28" t="s">
        <v>68</v>
      </c>
      <c r="D444" s="28" t="s">
        <v>55</v>
      </c>
      <c r="E444" s="28" t="s">
        <v>1124</v>
      </c>
      <c r="F444" s="28" t="s">
        <v>2166</v>
      </c>
    </row>
    <row r="445" customFormat="false" ht="15" hidden="false" customHeight="false" outlineLevel="0" collapsed="false">
      <c r="A445" s="28" t="s">
        <v>133</v>
      </c>
      <c r="B445" s="28" t="s">
        <v>73</v>
      </c>
      <c r="C445" s="28" t="s">
        <v>242</v>
      </c>
      <c r="D445" s="28" t="s">
        <v>55</v>
      </c>
      <c r="E445" s="28" t="s">
        <v>1124</v>
      </c>
      <c r="F445" s="28" t="s">
        <v>2167</v>
      </c>
    </row>
    <row r="446" customFormat="false" ht="15" hidden="false" customHeight="false" outlineLevel="0" collapsed="false">
      <c r="A446" s="28" t="s">
        <v>133</v>
      </c>
      <c r="B446" s="28" t="s">
        <v>73</v>
      </c>
      <c r="C446" s="28" t="s">
        <v>1467</v>
      </c>
      <c r="D446" s="28" t="s">
        <v>55</v>
      </c>
      <c r="E446" s="28" t="s">
        <v>1124</v>
      </c>
      <c r="F446" s="28" t="s">
        <v>2137</v>
      </c>
    </row>
    <row r="447" customFormat="false" ht="15" hidden="false" customHeight="false" outlineLevel="0" collapsed="false">
      <c r="A447" s="28" t="s">
        <v>133</v>
      </c>
      <c r="B447" s="28" t="s">
        <v>73</v>
      </c>
      <c r="C447" s="28" t="s">
        <v>472</v>
      </c>
      <c r="D447" s="28" t="s">
        <v>55</v>
      </c>
      <c r="E447" s="28" t="s">
        <v>1124</v>
      </c>
      <c r="F447" s="28" t="s">
        <v>472</v>
      </c>
    </row>
    <row r="448" customFormat="false" ht="15" hidden="false" customHeight="false" outlineLevel="0" collapsed="false">
      <c r="A448" s="28" t="s">
        <v>133</v>
      </c>
      <c r="B448" s="28" t="s">
        <v>73</v>
      </c>
      <c r="C448" s="28" t="s">
        <v>448</v>
      </c>
      <c r="D448" s="28" t="s">
        <v>55</v>
      </c>
      <c r="E448" s="28" t="s">
        <v>1124</v>
      </c>
      <c r="F448" s="28" t="s">
        <v>448</v>
      </c>
    </row>
    <row r="449" customFormat="false" ht="15" hidden="false" customHeight="false" outlineLevel="0" collapsed="false">
      <c r="A449" s="28" t="s">
        <v>133</v>
      </c>
      <c r="B449" s="28" t="s">
        <v>73</v>
      </c>
      <c r="C449" s="28" t="s">
        <v>1862</v>
      </c>
      <c r="D449" s="28" t="s">
        <v>55</v>
      </c>
      <c r="E449" s="28" t="s">
        <v>1124</v>
      </c>
      <c r="F449" s="28" t="s">
        <v>2223</v>
      </c>
    </row>
    <row r="450" customFormat="false" ht="15" hidden="false" customHeight="false" outlineLevel="0" collapsed="false">
      <c r="A450" s="28" t="s">
        <v>133</v>
      </c>
      <c r="B450" s="28" t="s">
        <v>73</v>
      </c>
      <c r="C450" s="28" t="s">
        <v>1469</v>
      </c>
      <c r="D450" s="28" t="s">
        <v>55</v>
      </c>
      <c r="E450" s="28" t="s">
        <v>1124</v>
      </c>
      <c r="F450" s="28" t="s">
        <v>2141</v>
      </c>
    </row>
    <row r="451" customFormat="false" ht="15" hidden="false" customHeight="false" outlineLevel="0" collapsed="false">
      <c r="A451" s="28" t="s">
        <v>133</v>
      </c>
      <c r="B451" s="28" t="s">
        <v>73</v>
      </c>
      <c r="C451" s="28" t="s">
        <v>1863</v>
      </c>
      <c r="D451" s="28" t="s">
        <v>55</v>
      </c>
      <c r="E451" s="28" t="s">
        <v>1124</v>
      </c>
      <c r="F451" s="28" t="s">
        <v>1863</v>
      </c>
    </row>
    <row r="452" customFormat="false" ht="15" hidden="false" customHeight="false" outlineLevel="0" collapsed="false">
      <c r="A452" s="28" t="s">
        <v>133</v>
      </c>
      <c r="B452" s="28" t="s">
        <v>73</v>
      </c>
      <c r="C452" s="28" t="s">
        <v>1864</v>
      </c>
      <c r="D452" s="28" t="s">
        <v>55</v>
      </c>
      <c r="E452" s="28" t="s">
        <v>1124</v>
      </c>
      <c r="F452" s="28" t="s">
        <v>1864</v>
      </c>
    </row>
    <row r="453" customFormat="false" ht="15" hidden="false" customHeight="false" outlineLevel="0" collapsed="false">
      <c r="A453" s="28" t="s">
        <v>133</v>
      </c>
      <c r="B453" s="28" t="s">
        <v>73</v>
      </c>
      <c r="C453" s="28" t="s">
        <v>639</v>
      </c>
      <c r="D453" s="28" t="s">
        <v>55</v>
      </c>
      <c r="E453" s="28" t="s">
        <v>1124</v>
      </c>
      <c r="F453" s="28" t="s">
        <v>639</v>
      </c>
    </row>
    <row r="454" customFormat="false" ht="15" hidden="false" customHeight="false" outlineLevel="0" collapsed="false">
      <c r="A454" s="28" t="s">
        <v>133</v>
      </c>
      <c r="B454" s="28" t="s">
        <v>73</v>
      </c>
      <c r="C454" s="28" t="s">
        <v>1865</v>
      </c>
      <c r="D454" s="28" t="s">
        <v>55</v>
      </c>
      <c r="E454" s="28" t="s">
        <v>1124</v>
      </c>
      <c r="F454" s="28" t="s">
        <v>2224</v>
      </c>
    </row>
    <row r="455" customFormat="false" ht="15" hidden="false" customHeight="false" outlineLevel="0" collapsed="false">
      <c r="A455" s="28" t="s">
        <v>133</v>
      </c>
      <c r="B455" s="28" t="s">
        <v>73</v>
      </c>
      <c r="C455" s="28" t="s">
        <v>1866</v>
      </c>
      <c r="D455" s="28" t="s">
        <v>55</v>
      </c>
      <c r="E455" s="28" t="s">
        <v>1968</v>
      </c>
      <c r="F455" s="28" t="s">
        <v>2225</v>
      </c>
    </row>
    <row r="456" customFormat="false" ht="15" hidden="false" customHeight="false" outlineLevel="0" collapsed="false">
      <c r="A456" s="28" t="s">
        <v>133</v>
      </c>
      <c r="B456" s="28" t="s">
        <v>73</v>
      </c>
      <c r="C456" s="28" t="s">
        <v>1867</v>
      </c>
      <c r="D456" s="28" t="s">
        <v>55</v>
      </c>
      <c r="E456" s="28" t="s">
        <v>1968</v>
      </c>
      <c r="F456" s="28" t="s">
        <v>2226</v>
      </c>
    </row>
    <row r="457" customFormat="false" ht="15" hidden="false" customHeight="false" outlineLevel="0" collapsed="false">
      <c r="A457" s="28" t="s">
        <v>133</v>
      </c>
      <c r="B457" s="28" t="s">
        <v>73</v>
      </c>
      <c r="C457" s="28" t="s">
        <v>1561</v>
      </c>
      <c r="D457" s="28" t="s">
        <v>55</v>
      </c>
      <c r="E457" s="28" t="s">
        <v>714</v>
      </c>
      <c r="F457" s="28" t="s">
        <v>2169</v>
      </c>
    </row>
    <row r="458" customFormat="false" ht="15" hidden="false" customHeight="false" outlineLevel="0" collapsed="false">
      <c r="A458" s="28" t="s">
        <v>133</v>
      </c>
      <c r="B458" s="28" t="s">
        <v>73</v>
      </c>
      <c r="C458" s="28" t="s">
        <v>442</v>
      </c>
      <c r="D458" s="28" t="s">
        <v>55</v>
      </c>
      <c r="E458" s="28"/>
      <c r="F458" s="28" t="s">
        <v>1975</v>
      </c>
    </row>
    <row r="459" customFormat="false" ht="15" hidden="false" customHeight="false" outlineLevel="0" collapsed="false">
      <c r="A459" s="28" t="s">
        <v>133</v>
      </c>
      <c r="B459" s="28" t="s">
        <v>73</v>
      </c>
      <c r="C459" s="28" t="s">
        <v>443</v>
      </c>
      <c r="D459" s="28" t="s">
        <v>55</v>
      </c>
      <c r="E459" s="28"/>
      <c r="F459" s="28" t="s">
        <v>1976</v>
      </c>
    </row>
    <row r="460" customFormat="false" ht="15" hidden="false" customHeight="false" outlineLevel="0" collapsed="false">
      <c r="A460" s="28" t="s">
        <v>135</v>
      </c>
      <c r="B460" s="28" t="s">
        <v>55</v>
      </c>
      <c r="C460" s="28" t="s">
        <v>157</v>
      </c>
      <c r="D460" s="28" t="s">
        <v>1982</v>
      </c>
      <c r="E460" s="28"/>
      <c r="F460" s="28" t="s">
        <v>2057</v>
      </c>
    </row>
    <row r="461" customFormat="false" ht="15" hidden="false" customHeight="false" outlineLevel="0" collapsed="false">
      <c r="A461" s="28" t="s">
        <v>135</v>
      </c>
      <c r="B461" s="28" t="s">
        <v>55</v>
      </c>
      <c r="C461" s="28" t="s">
        <v>1599</v>
      </c>
      <c r="D461" s="28" t="s">
        <v>1982</v>
      </c>
      <c r="E461" s="28" t="s">
        <v>1968</v>
      </c>
      <c r="F461" s="28" t="s">
        <v>2227</v>
      </c>
    </row>
    <row r="462" customFormat="false" ht="15" hidden="false" customHeight="false" outlineLevel="0" collapsed="false">
      <c r="A462" s="28" t="s">
        <v>135</v>
      </c>
      <c r="B462" s="28" t="s">
        <v>55</v>
      </c>
      <c r="C462" s="28" t="s">
        <v>1875</v>
      </c>
      <c r="D462" s="28" t="s">
        <v>1982</v>
      </c>
      <c r="E462" s="28" t="s">
        <v>1968</v>
      </c>
      <c r="F462" s="28" t="s">
        <v>2228</v>
      </c>
    </row>
    <row r="463" customFormat="false" ht="15" hidden="false" customHeight="false" outlineLevel="0" collapsed="false">
      <c r="A463" s="28" t="s">
        <v>135</v>
      </c>
      <c r="B463" s="28" t="s">
        <v>55</v>
      </c>
      <c r="C463" s="28" t="s">
        <v>1876</v>
      </c>
      <c r="D463" s="28" t="s">
        <v>1982</v>
      </c>
      <c r="E463" s="28" t="s">
        <v>714</v>
      </c>
      <c r="F463" s="28" t="s">
        <v>2229</v>
      </c>
    </row>
    <row r="464" customFormat="false" ht="15" hidden="false" customHeight="false" outlineLevel="0" collapsed="false">
      <c r="A464" s="28" t="s">
        <v>135</v>
      </c>
      <c r="B464" s="28" t="s">
        <v>55</v>
      </c>
      <c r="C464" s="28" t="s">
        <v>253</v>
      </c>
      <c r="D464" s="28" t="s">
        <v>1982</v>
      </c>
      <c r="E464" s="28" t="s">
        <v>1968</v>
      </c>
      <c r="F464" s="28" t="s">
        <v>2179</v>
      </c>
    </row>
    <row r="465" customFormat="false" ht="15" hidden="false" customHeight="false" outlineLevel="0" collapsed="false">
      <c r="A465" s="28" t="s">
        <v>135</v>
      </c>
      <c r="B465" s="28" t="s">
        <v>55</v>
      </c>
      <c r="C465" s="28" t="s">
        <v>1877</v>
      </c>
      <c r="D465" s="28" t="s">
        <v>1982</v>
      </c>
      <c r="E465" s="28" t="s">
        <v>1124</v>
      </c>
      <c r="F465" s="28" t="s">
        <v>2230</v>
      </c>
    </row>
    <row r="466" customFormat="false" ht="15" hidden="false" customHeight="false" outlineLevel="0" collapsed="false">
      <c r="A466" s="28" t="s">
        <v>135</v>
      </c>
      <c r="B466" s="28" t="s">
        <v>55</v>
      </c>
      <c r="C466" s="28" t="s">
        <v>1878</v>
      </c>
      <c r="D466" s="28" t="s">
        <v>1982</v>
      </c>
      <c r="E466" s="28" t="s">
        <v>1124</v>
      </c>
      <c r="F466" s="28" t="s">
        <v>1878</v>
      </c>
    </row>
    <row r="467" customFormat="false" ht="15" hidden="false" customHeight="false" outlineLevel="0" collapsed="false">
      <c r="A467" s="28" t="s">
        <v>135</v>
      </c>
      <c r="B467" s="28" t="s">
        <v>55</v>
      </c>
      <c r="C467" s="28" t="s">
        <v>1879</v>
      </c>
      <c r="D467" s="28" t="s">
        <v>1982</v>
      </c>
      <c r="E467" s="28" t="s">
        <v>1124</v>
      </c>
      <c r="F467" s="28" t="s">
        <v>1879</v>
      </c>
    </row>
    <row r="468" customFormat="false" ht="15" hidden="false" customHeight="false" outlineLevel="0" collapsed="false">
      <c r="A468" s="28" t="s">
        <v>135</v>
      </c>
      <c r="B468" s="28" t="s">
        <v>55</v>
      </c>
      <c r="C468" s="28" t="s">
        <v>442</v>
      </c>
      <c r="D468" s="28" t="s">
        <v>1982</v>
      </c>
      <c r="E468" s="28"/>
      <c r="F468" s="28" t="s">
        <v>1975</v>
      </c>
    </row>
    <row r="469" customFormat="false" ht="15" hidden="false" customHeight="false" outlineLevel="0" collapsed="false">
      <c r="A469" s="28" t="s">
        <v>135</v>
      </c>
      <c r="B469" s="28" t="s">
        <v>55</v>
      </c>
      <c r="C469" s="28" t="s">
        <v>443</v>
      </c>
      <c r="D469" s="28" t="s">
        <v>1982</v>
      </c>
      <c r="E469" s="28"/>
      <c r="F469" s="28" t="s">
        <v>1976</v>
      </c>
    </row>
    <row r="470" customFormat="false" ht="15" hidden="false" customHeight="false" outlineLevel="0" collapsed="false">
      <c r="A470" s="28" t="s">
        <v>137</v>
      </c>
      <c r="B470" s="28" t="s">
        <v>73</v>
      </c>
      <c r="C470" s="28" t="s">
        <v>1517</v>
      </c>
      <c r="D470" s="28" t="s">
        <v>175</v>
      </c>
      <c r="E470" s="28"/>
      <c r="F470" s="28" t="s">
        <v>2165</v>
      </c>
    </row>
    <row r="471" customFormat="false" ht="15" hidden="false" customHeight="false" outlineLevel="0" collapsed="false">
      <c r="A471" s="28" t="s">
        <v>137</v>
      </c>
      <c r="B471" s="28" t="s">
        <v>73</v>
      </c>
      <c r="C471" s="28" t="s">
        <v>1881</v>
      </c>
      <c r="D471" s="28" t="s">
        <v>175</v>
      </c>
      <c r="E471" s="28"/>
      <c r="F471" s="28" t="s">
        <v>2231</v>
      </c>
    </row>
    <row r="472" customFormat="false" ht="15" hidden="false" customHeight="false" outlineLevel="0" collapsed="false">
      <c r="A472" s="28" t="s">
        <v>137</v>
      </c>
      <c r="B472" s="28" t="s">
        <v>73</v>
      </c>
      <c r="C472" s="28" t="s">
        <v>1882</v>
      </c>
      <c r="D472" s="28" t="s">
        <v>175</v>
      </c>
      <c r="E472" s="28"/>
      <c r="F472" s="28" t="s">
        <v>2232</v>
      </c>
    </row>
    <row r="473" customFormat="false" ht="15" hidden="false" customHeight="false" outlineLevel="0" collapsed="false">
      <c r="A473" s="28" t="s">
        <v>137</v>
      </c>
      <c r="B473" s="28" t="s">
        <v>73</v>
      </c>
      <c r="C473" s="28" t="s">
        <v>238</v>
      </c>
      <c r="D473" s="28" t="s">
        <v>175</v>
      </c>
      <c r="E473" s="28"/>
      <c r="F473" s="28" t="s">
        <v>1960</v>
      </c>
    </row>
    <row r="474" customFormat="false" ht="15" hidden="false" customHeight="false" outlineLevel="0" collapsed="false">
      <c r="A474" s="28" t="s">
        <v>137</v>
      </c>
      <c r="B474" s="28" t="s">
        <v>73</v>
      </c>
      <c r="C474" s="28" t="s">
        <v>443</v>
      </c>
      <c r="D474" s="28" t="s">
        <v>175</v>
      </c>
      <c r="E474" s="28"/>
      <c r="F474" s="28" t="s">
        <v>1976</v>
      </c>
    </row>
    <row r="475" customFormat="false" ht="15" hidden="false" customHeight="false" outlineLevel="0" collapsed="false">
      <c r="A475" s="28" t="s">
        <v>137</v>
      </c>
      <c r="B475" s="28" t="s">
        <v>73</v>
      </c>
      <c r="C475" s="28" t="s">
        <v>1658</v>
      </c>
      <c r="D475" s="28" t="s">
        <v>55</v>
      </c>
      <c r="E475" s="28"/>
      <c r="F475" s="28" t="s">
        <v>2198</v>
      </c>
    </row>
    <row r="476" customFormat="false" ht="15" hidden="false" customHeight="false" outlineLevel="0" collapsed="false">
      <c r="A476" s="28" t="s">
        <v>137</v>
      </c>
      <c r="B476" s="28" t="s">
        <v>73</v>
      </c>
      <c r="C476" s="28" t="s">
        <v>442</v>
      </c>
      <c r="D476" s="28" t="s">
        <v>55</v>
      </c>
      <c r="E476" s="28"/>
      <c r="F476" s="28" t="s">
        <v>1975</v>
      </c>
    </row>
    <row r="477" customFormat="false" ht="15" hidden="false" customHeight="false" outlineLevel="0" collapsed="false">
      <c r="A477" s="28" t="s">
        <v>139</v>
      </c>
      <c r="B477" s="28" t="s">
        <v>73</v>
      </c>
      <c r="C477" s="28" t="s">
        <v>1517</v>
      </c>
      <c r="D477" s="28" t="s">
        <v>175</v>
      </c>
      <c r="E477" s="28"/>
      <c r="F477" s="28" t="s">
        <v>2165</v>
      </c>
    </row>
    <row r="478" customFormat="false" ht="15" hidden="false" customHeight="false" outlineLevel="0" collapsed="false">
      <c r="A478" s="28" t="s">
        <v>139</v>
      </c>
      <c r="B478" s="28" t="s">
        <v>73</v>
      </c>
      <c r="C478" s="28" t="s">
        <v>1924</v>
      </c>
      <c r="D478" s="28" t="s">
        <v>175</v>
      </c>
      <c r="E478" s="28"/>
      <c r="F478" s="28" t="s">
        <v>2233</v>
      </c>
    </row>
    <row r="479" customFormat="false" ht="15" hidden="false" customHeight="false" outlineLevel="0" collapsed="false">
      <c r="A479" s="28" t="s">
        <v>139</v>
      </c>
      <c r="B479" s="28" t="s">
        <v>73</v>
      </c>
      <c r="C479" s="28" t="s">
        <v>1925</v>
      </c>
      <c r="D479" s="28" t="s">
        <v>175</v>
      </c>
      <c r="E479" s="28"/>
      <c r="F479" s="28" t="s">
        <v>2234</v>
      </c>
    </row>
    <row r="480" customFormat="false" ht="15" hidden="false" customHeight="false" outlineLevel="0" collapsed="false">
      <c r="A480" s="28" t="s">
        <v>139</v>
      </c>
      <c r="B480" s="28" t="s">
        <v>73</v>
      </c>
      <c r="C480" s="28" t="s">
        <v>1002</v>
      </c>
      <c r="D480" s="28" t="s">
        <v>175</v>
      </c>
      <c r="E480" s="28"/>
      <c r="F480" s="28" t="s">
        <v>2089</v>
      </c>
    </row>
    <row r="481" customFormat="false" ht="15" hidden="false" customHeight="false" outlineLevel="0" collapsed="false">
      <c r="A481" s="28" t="s">
        <v>139</v>
      </c>
      <c r="B481" s="28" t="s">
        <v>73</v>
      </c>
      <c r="C481" s="28" t="s">
        <v>1926</v>
      </c>
      <c r="D481" s="28" t="s">
        <v>175</v>
      </c>
      <c r="E481" s="28"/>
      <c r="F481" s="28" t="s">
        <v>2235</v>
      </c>
    </row>
    <row r="482" customFormat="false" ht="15" hidden="false" customHeight="false" outlineLevel="0" collapsed="false">
      <c r="A482" s="28" t="s">
        <v>139</v>
      </c>
      <c r="B482" s="28" t="s">
        <v>73</v>
      </c>
      <c r="C482" s="28" t="s">
        <v>1216</v>
      </c>
      <c r="D482" s="28" t="s">
        <v>175</v>
      </c>
      <c r="E482" s="28"/>
      <c r="F482" s="28" t="s">
        <v>2125</v>
      </c>
    </row>
    <row r="483" customFormat="false" ht="15" hidden="false" customHeight="false" outlineLevel="0" collapsed="false">
      <c r="A483" s="28" t="s">
        <v>139</v>
      </c>
      <c r="B483" s="28" t="s">
        <v>73</v>
      </c>
      <c r="C483" s="28" t="s">
        <v>1927</v>
      </c>
      <c r="D483" s="28" t="s">
        <v>175</v>
      </c>
      <c r="E483" s="28"/>
      <c r="F483" s="28" t="s">
        <v>2236</v>
      </c>
    </row>
    <row r="484" customFormat="false" ht="15" hidden="false" customHeight="false" outlineLevel="0" collapsed="false">
      <c r="A484" s="28" t="s">
        <v>139</v>
      </c>
      <c r="B484" s="28" t="s">
        <v>73</v>
      </c>
      <c r="C484" s="28" t="s">
        <v>442</v>
      </c>
      <c r="D484" s="28" t="s">
        <v>55</v>
      </c>
      <c r="E484" s="28"/>
      <c r="F484" s="28" t="s">
        <v>1975</v>
      </c>
    </row>
    <row r="485" customFormat="false" ht="15" hidden="false" customHeight="false" outlineLevel="0" collapsed="false">
      <c r="A485" s="28" t="s">
        <v>107</v>
      </c>
      <c r="B485" s="28" t="s">
        <v>55</v>
      </c>
      <c r="C485" s="28" t="s">
        <v>236</v>
      </c>
      <c r="D485" s="28" t="s">
        <v>1982</v>
      </c>
      <c r="E485" s="28"/>
      <c r="F485" s="28" t="s">
        <v>2115</v>
      </c>
    </row>
    <row r="486" customFormat="false" ht="15" hidden="false" customHeight="false" outlineLevel="0" collapsed="false">
      <c r="A486" s="28" t="s">
        <v>107</v>
      </c>
      <c r="B486" s="28" t="s">
        <v>55</v>
      </c>
      <c r="C486" s="28" t="s">
        <v>237</v>
      </c>
      <c r="D486" s="28" t="s">
        <v>1982</v>
      </c>
      <c r="E486" s="28"/>
      <c r="F486" s="28" t="s">
        <v>2042</v>
      </c>
    </row>
    <row r="487" customFormat="false" ht="15" hidden="false" customHeight="false" outlineLevel="0" collapsed="false">
      <c r="A487" s="28" t="s">
        <v>107</v>
      </c>
      <c r="B487" s="28" t="s">
        <v>55</v>
      </c>
      <c r="C487" s="28" t="s">
        <v>1000</v>
      </c>
      <c r="D487" s="28" t="s">
        <v>1982</v>
      </c>
      <c r="E487" s="28"/>
      <c r="F487" s="28" t="s">
        <v>2087</v>
      </c>
    </row>
    <row r="488" customFormat="false" ht="15" hidden="false" customHeight="false" outlineLevel="0" collapsed="false">
      <c r="A488" s="28" t="s">
        <v>107</v>
      </c>
      <c r="B488" s="28" t="s">
        <v>55</v>
      </c>
      <c r="C488" s="28" t="s">
        <v>1324</v>
      </c>
      <c r="D488" s="28" t="s">
        <v>1982</v>
      </c>
      <c r="E488" s="28"/>
      <c r="F488" s="28" t="s">
        <v>1324</v>
      </c>
    </row>
    <row r="489" customFormat="false" ht="15" hidden="false" customHeight="false" outlineLevel="0" collapsed="false">
      <c r="A489" s="28" t="s">
        <v>107</v>
      </c>
      <c r="B489" s="28" t="s">
        <v>55</v>
      </c>
      <c r="C489" s="28" t="s">
        <v>1325</v>
      </c>
      <c r="D489" s="28" t="s">
        <v>1982</v>
      </c>
      <c r="E489" s="28"/>
      <c r="F489" s="28" t="s">
        <v>1325</v>
      </c>
    </row>
    <row r="490" customFormat="false" ht="15" hidden="false" customHeight="false" outlineLevel="0" collapsed="false">
      <c r="A490" s="28" t="s">
        <v>107</v>
      </c>
      <c r="B490" s="28" t="s">
        <v>55</v>
      </c>
      <c r="C490" s="28" t="s">
        <v>1326</v>
      </c>
      <c r="D490" s="28" t="s">
        <v>1982</v>
      </c>
      <c r="E490" s="28"/>
      <c r="F490" s="28" t="s">
        <v>1326</v>
      </c>
    </row>
    <row r="491" customFormat="false" ht="15" hidden="false" customHeight="false" outlineLevel="0" collapsed="false">
      <c r="A491" s="28" t="s">
        <v>107</v>
      </c>
      <c r="B491" s="28" t="s">
        <v>55</v>
      </c>
      <c r="C491" s="28" t="s">
        <v>1327</v>
      </c>
      <c r="D491" s="28" t="s">
        <v>1982</v>
      </c>
      <c r="E491" s="28"/>
      <c r="F491" s="28" t="s">
        <v>1327</v>
      </c>
    </row>
    <row r="492" customFormat="false" ht="15" hidden="false" customHeight="false" outlineLevel="0" collapsed="false">
      <c r="A492" s="28" t="s">
        <v>107</v>
      </c>
      <c r="B492" s="28" t="s">
        <v>55</v>
      </c>
      <c r="C492" s="28" t="s">
        <v>1328</v>
      </c>
      <c r="D492" s="28" t="s">
        <v>1982</v>
      </c>
      <c r="E492" s="28"/>
      <c r="F492" s="28" t="s">
        <v>1328</v>
      </c>
    </row>
    <row r="493" customFormat="false" ht="15" hidden="false" customHeight="false" outlineLevel="0" collapsed="false">
      <c r="A493" s="28" t="s">
        <v>105</v>
      </c>
      <c r="B493" s="28" t="s">
        <v>55</v>
      </c>
      <c r="C493" s="28" t="s">
        <v>236</v>
      </c>
      <c r="D493" s="28" t="s">
        <v>1982</v>
      </c>
      <c r="E493" s="28"/>
      <c r="F493" s="28" t="s">
        <v>2115</v>
      </c>
    </row>
    <row r="494" customFormat="false" ht="15" hidden="false" customHeight="false" outlineLevel="0" collapsed="false">
      <c r="A494" s="28" t="s">
        <v>105</v>
      </c>
      <c r="B494" s="28" t="s">
        <v>55</v>
      </c>
      <c r="C494" s="28" t="s">
        <v>157</v>
      </c>
      <c r="D494" s="28" t="s">
        <v>1982</v>
      </c>
      <c r="E494" s="28"/>
      <c r="F494" s="28" t="s">
        <v>2057</v>
      </c>
    </row>
    <row r="495" customFormat="false" ht="15" hidden="false" customHeight="false" outlineLevel="0" collapsed="false">
      <c r="A495" s="28" t="s">
        <v>105</v>
      </c>
      <c r="B495" s="28" t="s">
        <v>55</v>
      </c>
      <c r="C495" s="28" t="s">
        <v>238</v>
      </c>
      <c r="D495" s="28" t="s">
        <v>1982</v>
      </c>
      <c r="E495" s="28"/>
      <c r="F495" s="28" t="s">
        <v>1960</v>
      </c>
    </row>
    <row r="496" customFormat="false" ht="15" hidden="false" customHeight="false" outlineLevel="0" collapsed="false">
      <c r="A496" s="28" t="s">
        <v>105</v>
      </c>
      <c r="B496" s="28" t="s">
        <v>55</v>
      </c>
      <c r="C496" s="28" t="s">
        <v>1245</v>
      </c>
      <c r="D496" s="28" t="s">
        <v>1982</v>
      </c>
      <c r="E496" s="28"/>
      <c r="F496" s="28" t="s">
        <v>1245</v>
      </c>
    </row>
  </sheetData>
  <autoFilter ref="A1:F4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70"/>
    <col collapsed="false" customWidth="true" hidden="false" outlineLevel="0" max="3" min="3" style="0" width="100"/>
    <col collapsed="false" customWidth="true" hidden="false" outlineLevel="0" max="4" min="4" style="0" width="60"/>
  </cols>
  <sheetData>
    <row r="1" customFormat="false" ht="30" hidden="false" customHeight="true" outlineLevel="0" collapsed="false">
      <c r="A1" s="27" t="s">
        <v>2237</v>
      </c>
      <c r="B1" s="27" t="s">
        <v>443</v>
      </c>
      <c r="C1" s="27" t="s">
        <v>2238</v>
      </c>
      <c r="D1" s="27" t="s">
        <v>2239</v>
      </c>
    </row>
    <row r="2" customFormat="false" ht="15" hidden="false" customHeight="false" outlineLevel="0" collapsed="false">
      <c r="A2" s="28" t="s">
        <v>2240</v>
      </c>
      <c r="B2" s="28" t="s">
        <v>2241</v>
      </c>
      <c r="C2" s="28" t="s">
        <v>2242</v>
      </c>
      <c r="D2" s="28" t="s">
        <v>2243</v>
      </c>
    </row>
    <row r="3" customFormat="false" ht="15" hidden="false" customHeight="false" outlineLevel="0" collapsed="false">
      <c r="A3" s="28" t="s">
        <v>2244</v>
      </c>
      <c r="B3" s="28" t="s">
        <v>2245</v>
      </c>
      <c r="C3" s="28" t="s">
        <v>2246</v>
      </c>
      <c r="D3" s="28" t="s">
        <v>2247</v>
      </c>
    </row>
    <row r="4" customFormat="false" ht="15" hidden="false" customHeight="false" outlineLevel="0" collapsed="false">
      <c r="A4" s="28" t="s">
        <v>2248</v>
      </c>
      <c r="B4" s="28" t="s">
        <v>2249</v>
      </c>
      <c r="C4" s="28" t="s">
        <v>2250</v>
      </c>
      <c r="D4" s="28" t="s">
        <v>2251</v>
      </c>
    </row>
    <row r="5" customFormat="false" ht="15" hidden="false" customHeight="false" outlineLevel="0" collapsed="false">
      <c r="A5" s="28" t="s">
        <v>2252</v>
      </c>
      <c r="B5" s="28" t="s">
        <v>2253</v>
      </c>
      <c r="C5" s="28" t="s">
        <v>2254</v>
      </c>
      <c r="D5" s="28" t="s">
        <v>2255</v>
      </c>
    </row>
    <row r="6" customFormat="false" ht="15" hidden="false" customHeight="false" outlineLevel="0" collapsed="false">
      <c r="A6" s="28" t="s">
        <v>2256</v>
      </c>
      <c r="B6" s="28" t="s">
        <v>2257</v>
      </c>
      <c r="C6" s="28" t="s">
        <v>2258</v>
      </c>
      <c r="D6" s="28" t="s">
        <v>2259</v>
      </c>
    </row>
    <row r="7" customFormat="false" ht="15" hidden="false" customHeight="false" outlineLevel="0" collapsed="false">
      <c r="A7" s="28" t="s">
        <v>2260</v>
      </c>
      <c r="B7" s="28" t="s">
        <v>2261</v>
      </c>
      <c r="C7" s="28" t="s">
        <v>2262</v>
      </c>
      <c r="D7" s="28" t="s">
        <v>2263</v>
      </c>
    </row>
    <row r="8" customFormat="false" ht="15" hidden="false" customHeight="false" outlineLevel="0" collapsed="false">
      <c r="A8" s="28" t="s">
        <v>2264</v>
      </c>
      <c r="B8" s="28" t="s">
        <v>2265</v>
      </c>
      <c r="C8" s="28" t="s">
        <v>2266</v>
      </c>
      <c r="D8" s="28" t="s">
        <v>2267</v>
      </c>
    </row>
    <row r="9" customFormat="false" ht="15" hidden="false" customHeight="false" outlineLevel="0" collapsed="false">
      <c r="A9" s="28" t="s">
        <v>2268</v>
      </c>
      <c r="B9" s="28" t="s">
        <v>2269</v>
      </c>
      <c r="C9" s="28" t="s">
        <v>2270</v>
      </c>
      <c r="D9" s="28" t="s">
        <v>117</v>
      </c>
    </row>
    <row r="10" customFormat="false" ht="15" hidden="false" customHeight="false" outlineLevel="0" collapsed="false">
      <c r="A10" s="28" t="s">
        <v>2271</v>
      </c>
      <c r="B10" s="28" t="s">
        <v>2272</v>
      </c>
      <c r="C10" s="28" t="s">
        <v>2273</v>
      </c>
      <c r="D10" s="28" t="s">
        <v>117</v>
      </c>
    </row>
    <row r="11" customFormat="false" ht="15" hidden="false" customHeight="false" outlineLevel="0" collapsed="false">
      <c r="A11" s="28" t="s">
        <v>2274</v>
      </c>
      <c r="B11" s="28" t="s">
        <v>2275</v>
      </c>
      <c r="C11" s="28" t="s">
        <v>2276</v>
      </c>
      <c r="D11" s="28" t="s">
        <v>121</v>
      </c>
    </row>
    <row r="12" customFormat="false" ht="15" hidden="false" customHeight="false" outlineLevel="0" collapsed="false">
      <c r="A12" s="28" t="s">
        <v>2277</v>
      </c>
      <c r="B12" s="28" t="s">
        <v>2278</v>
      </c>
      <c r="C12" s="28" t="s">
        <v>2279</v>
      </c>
      <c r="D12" s="28" t="s">
        <v>121</v>
      </c>
    </row>
    <row r="13" customFormat="false" ht="15" hidden="false" customHeight="false" outlineLevel="0" collapsed="false">
      <c r="A13" s="28" t="s">
        <v>2280</v>
      </c>
      <c r="B13" s="28" t="s">
        <v>2281</v>
      </c>
      <c r="C13" s="28" t="s">
        <v>2282</v>
      </c>
      <c r="D13" s="28" t="s">
        <v>2283</v>
      </c>
    </row>
    <row r="14" customFormat="false" ht="15" hidden="false" customHeight="false" outlineLevel="0" collapsed="false">
      <c r="A14" s="28" t="s">
        <v>2284</v>
      </c>
      <c r="B14" s="28" t="s">
        <v>2285</v>
      </c>
      <c r="C14" s="28" t="s">
        <v>2286</v>
      </c>
      <c r="D14" s="28" t="s">
        <v>2287</v>
      </c>
    </row>
    <row r="15" customFormat="false" ht="15" hidden="false" customHeight="false" outlineLevel="0" collapsed="false">
      <c r="A15" s="28" t="s">
        <v>2288</v>
      </c>
      <c r="B15" s="28" t="s">
        <v>2289</v>
      </c>
      <c r="C15" s="28" t="s">
        <v>2290</v>
      </c>
      <c r="D15" s="28" t="s">
        <v>2291</v>
      </c>
    </row>
    <row r="16" customFormat="false" ht="15" hidden="false" customHeight="false" outlineLevel="0" collapsed="false">
      <c r="A16" s="28" t="s">
        <v>2292</v>
      </c>
      <c r="B16" s="28" t="s">
        <v>2293</v>
      </c>
      <c r="C16" s="28" t="s">
        <v>2294</v>
      </c>
      <c r="D16" s="28" t="s">
        <v>115</v>
      </c>
    </row>
    <row r="17" customFormat="false" ht="15" hidden="false" customHeight="false" outlineLevel="0" collapsed="false">
      <c r="A17" s="28" t="s">
        <v>2295</v>
      </c>
      <c r="B17" s="28" t="s">
        <v>2296</v>
      </c>
      <c r="C17" s="28" t="s">
        <v>1627</v>
      </c>
      <c r="D17" s="28" t="s">
        <v>2297</v>
      </c>
    </row>
    <row r="18" customFormat="false" ht="15" hidden="false" customHeight="false" outlineLevel="0" collapsed="false">
      <c r="A18" s="28" t="s">
        <v>2298</v>
      </c>
      <c r="B18" s="28" t="s">
        <v>2299</v>
      </c>
      <c r="C18" s="28" t="s">
        <v>1632</v>
      </c>
      <c r="D18" s="28" t="s">
        <v>123</v>
      </c>
    </row>
    <row r="19" customFormat="false" ht="15" hidden="false" customHeight="false" outlineLevel="0" collapsed="false">
      <c r="A19" s="28" t="s">
        <v>2300</v>
      </c>
      <c r="B19" s="28" t="s">
        <v>2301</v>
      </c>
      <c r="C19" s="28" t="s">
        <v>1637</v>
      </c>
      <c r="D19" s="28" t="s">
        <v>123</v>
      </c>
    </row>
    <row r="20" customFormat="false" ht="15" hidden="false" customHeight="false" outlineLevel="0" collapsed="false">
      <c r="A20" s="28" t="s">
        <v>2302</v>
      </c>
      <c r="B20" s="28" t="s">
        <v>2303</v>
      </c>
      <c r="C20" s="28" t="s">
        <v>1908</v>
      </c>
      <c r="D20" s="28" t="s">
        <v>137</v>
      </c>
    </row>
    <row r="21" customFormat="false" ht="15" hidden="false" customHeight="false" outlineLevel="0" collapsed="false">
      <c r="A21" s="28" t="s">
        <v>2304</v>
      </c>
      <c r="B21" s="28" t="s">
        <v>2305</v>
      </c>
      <c r="C21" s="28" t="s">
        <v>1913</v>
      </c>
      <c r="D21" s="28" t="s">
        <v>2306</v>
      </c>
    </row>
    <row r="22" customFormat="false" ht="15" hidden="false" customHeight="false" outlineLevel="0" collapsed="false">
      <c r="A22" s="28" t="s">
        <v>2307</v>
      </c>
      <c r="B22" s="28" t="s">
        <v>2308</v>
      </c>
      <c r="C22" s="28" t="s">
        <v>1922</v>
      </c>
      <c r="D22" s="28" t="s">
        <v>137</v>
      </c>
    </row>
    <row r="23" customFormat="false" ht="15" hidden="false" customHeight="false" outlineLevel="0" collapsed="false">
      <c r="A23" s="28" t="s">
        <v>2309</v>
      </c>
      <c r="B23" s="28" t="s">
        <v>2310</v>
      </c>
      <c r="C23" s="28" t="s">
        <v>1897</v>
      </c>
      <c r="D23" s="28" t="s">
        <v>137</v>
      </c>
    </row>
    <row r="24" customFormat="false" ht="15" hidden="false" customHeight="false" outlineLevel="0" collapsed="false">
      <c r="A24" s="28" t="s">
        <v>2311</v>
      </c>
      <c r="B24" s="28" t="s">
        <v>2312</v>
      </c>
      <c r="C24" s="28" t="s">
        <v>2313</v>
      </c>
      <c r="D24" s="28" t="s">
        <v>119</v>
      </c>
    </row>
    <row r="25" customFormat="false" ht="15" hidden="false" customHeight="false" outlineLevel="0" collapsed="false">
      <c r="A25" s="28" t="s">
        <v>2314</v>
      </c>
      <c r="B25" s="28" t="s">
        <v>2315</v>
      </c>
      <c r="C25" s="28" t="s">
        <v>2316</v>
      </c>
      <c r="D25" s="28" t="s">
        <v>2317</v>
      </c>
    </row>
  </sheetData>
  <autoFilter ref="A1:D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6BF"/>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50"/>
  </cols>
  <sheetData>
    <row r="1" customFormat="false" ht="30" hidden="false" customHeight="true" outlineLevel="0" collapsed="false">
      <c r="A1" s="27" t="s">
        <v>2318</v>
      </c>
      <c r="B1" s="27" t="s">
        <v>2319</v>
      </c>
      <c r="C1" s="27" t="s">
        <v>1658</v>
      </c>
    </row>
    <row r="2" customFormat="false" ht="15" hidden="false" customHeight="false" outlineLevel="0" collapsed="false">
      <c r="A2" s="35" t="n">
        <v>1</v>
      </c>
      <c r="B2" s="36" t="s">
        <v>2320</v>
      </c>
      <c r="C2" s="36" t="s">
        <v>2321</v>
      </c>
    </row>
    <row r="3" customFormat="false" ht="23.85" hidden="false" customHeight="false" outlineLevel="0" collapsed="false">
      <c r="A3" s="35" t="n">
        <v>2</v>
      </c>
      <c r="B3" s="36" t="s">
        <v>2322</v>
      </c>
      <c r="C3" s="36" t="s">
        <v>2323</v>
      </c>
    </row>
    <row r="4" customFormat="false" ht="23.85" hidden="false" customHeight="false" outlineLevel="0" collapsed="false">
      <c r="A4" s="35" t="n">
        <v>3</v>
      </c>
      <c r="B4" s="36" t="s">
        <v>2324</v>
      </c>
      <c r="C4" s="36" t="s">
        <v>2325</v>
      </c>
    </row>
    <row r="5" customFormat="false" ht="35.05" hidden="false" customHeight="false" outlineLevel="0" collapsed="false">
      <c r="A5" s="35" t="n">
        <v>4</v>
      </c>
      <c r="B5" s="36" t="s">
        <v>2326</v>
      </c>
      <c r="C5" s="36" t="s">
        <v>2327</v>
      </c>
    </row>
    <row r="6" customFormat="false" ht="23.85" hidden="false" customHeight="false" outlineLevel="0" collapsed="false">
      <c r="A6" s="35" t="n">
        <v>5</v>
      </c>
      <c r="B6" s="36" t="s">
        <v>2328</v>
      </c>
      <c r="C6" s="36" t="s">
        <v>2329</v>
      </c>
    </row>
    <row r="7" customFormat="false" ht="23.85" hidden="false" customHeight="false" outlineLevel="0" collapsed="false">
      <c r="A7" s="35" t="n">
        <v>6</v>
      </c>
      <c r="B7" s="36" t="s">
        <v>2330</v>
      </c>
      <c r="C7" s="36" t="s">
        <v>2331</v>
      </c>
    </row>
    <row r="8" customFormat="false" ht="23.85" hidden="false" customHeight="false" outlineLevel="0" collapsed="false">
      <c r="A8" s="35" t="n">
        <v>7</v>
      </c>
      <c r="B8" s="36" t="s">
        <v>2332</v>
      </c>
      <c r="C8" s="36" t="s">
        <v>2333</v>
      </c>
    </row>
    <row r="9" customFormat="false" ht="23.85" hidden="false" customHeight="false" outlineLevel="0" collapsed="false">
      <c r="A9" s="35" t="n">
        <v>8</v>
      </c>
      <c r="B9" s="36" t="s">
        <v>2334</v>
      </c>
      <c r="C9" s="36" t="s">
        <v>2335</v>
      </c>
    </row>
    <row r="10" customFormat="false" ht="35.05" hidden="false" customHeight="false" outlineLevel="0" collapsed="false">
      <c r="A10" s="35" t="n">
        <v>9</v>
      </c>
      <c r="B10" s="36" t="s">
        <v>957</v>
      </c>
      <c r="C10" s="36" t="s">
        <v>2336</v>
      </c>
    </row>
    <row r="11" customFormat="false" ht="23.85" hidden="false" customHeight="false" outlineLevel="0" collapsed="false">
      <c r="A11" s="35" t="n">
        <v>10</v>
      </c>
      <c r="B11" s="36" t="s">
        <v>2337</v>
      </c>
      <c r="C11" s="36" t="s">
        <v>2338</v>
      </c>
    </row>
    <row r="12" customFormat="false" ht="23.85" hidden="false" customHeight="false" outlineLevel="0" collapsed="false">
      <c r="A12" s="35" t="n">
        <v>11</v>
      </c>
      <c r="B12" s="36" t="s">
        <v>943</v>
      </c>
      <c r="C12" s="36" t="s">
        <v>2339</v>
      </c>
    </row>
    <row r="13" customFormat="false" ht="35.05" hidden="false" customHeight="false" outlineLevel="0" collapsed="false">
      <c r="A13" s="35" t="n">
        <v>12</v>
      </c>
      <c r="B13" s="36" t="s">
        <v>2340</v>
      </c>
      <c r="C13" s="36" t="s">
        <v>2341</v>
      </c>
    </row>
    <row r="14" customFormat="false" ht="23.85" hidden="false" customHeight="false" outlineLevel="0" collapsed="false">
      <c r="A14" s="35" t="n">
        <v>13</v>
      </c>
      <c r="B14" s="36" t="s">
        <v>2342</v>
      </c>
      <c r="C14" s="36" t="s">
        <v>2343</v>
      </c>
    </row>
    <row r="15" customFormat="false" ht="35.05" hidden="false" customHeight="false" outlineLevel="0" collapsed="false">
      <c r="A15" s="35" t="n">
        <v>14</v>
      </c>
      <c r="B15" s="36" t="s">
        <v>2344</v>
      </c>
      <c r="C15" s="36" t="s">
        <v>2345</v>
      </c>
    </row>
    <row r="16" customFormat="false" ht="23.85" hidden="false" customHeight="false" outlineLevel="0" collapsed="false">
      <c r="A16" s="35" t="n">
        <v>15</v>
      </c>
      <c r="B16" s="36" t="s">
        <v>2346</v>
      </c>
      <c r="C16" s="36" t="s">
        <v>2347</v>
      </c>
    </row>
    <row r="17" customFormat="false" ht="23.85" hidden="false" customHeight="false" outlineLevel="0" collapsed="false">
      <c r="A17" s="35" t="n">
        <v>16</v>
      </c>
      <c r="B17" s="36" t="s">
        <v>2348</v>
      </c>
      <c r="C17" s="36" t="s">
        <v>2349</v>
      </c>
    </row>
    <row r="18" customFormat="false" ht="23.85" hidden="false" customHeight="false" outlineLevel="0" collapsed="false">
      <c r="A18" s="35" t="n">
        <v>17</v>
      </c>
      <c r="B18" s="36" t="s">
        <v>2350</v>
      </c>
      <c r="C18" s="36" t="s">
        <v>2351</v>
      </c>
    </row>
    <row r="19" customFormat="false" ht="23.85" hidden="false" customHeight="false" outlineLevel="0" collapsed="false">
      <c r="A19" s="35" t="n">
        <v>18</v>
      </c>
      <c r="B19" s="36" t="s">
        <v>2352</v>
      </c>
      <c r="C19" s="36" t="s">
        <v>2353</v>
      </c>
    </row>
    <row r="20" customFormat="false" ht="23.85" hidden="false" customHeight="false" outlineLevel="0" collapsed="false">
      <c r="A20" s="35" t="n">
        <v>19</v>
      </c>
      <c r="B20" s="36" t="s">
        <v>2354</v>
      </c>
      <c r="C20" s="36" t="s">
        <v>2355</v>
      </c>
    </row>
    <row r="21" customFormat="false" ht="23.85" hidden="false" customHeight="false" outlineLevel="0" collapsed="false">
      <c r="A21" s="35" t="n">
        <v>20</v>
      </c>
      <c r="B21" s="36" t="s">
        <v>2356</v>
      </c>
      <c r="C21" s="36" t="s">
        <v>2357</v>
      </c>
    </row>
    <row r="22" customFormat="false" ht="23.85" hidden="false" customHeight="false" outlineLevel="0" collapsed="false">
      <c r="A22" s="35" t="n">
        <v>21</v>
      </c>
      <c r="B22" s="36" t="s">
        <v>2358</v>
      </c>
      <c r="C22" s="36" t="s">
        <v>2359</v>
      </c>
    </row>
    <row r="23" customFormat="false" ht="23.85" hidden="false" customHeight="false" outlineLevel="0" collapsed="false">
      <c r="A23" s="35" t="n">
        <v>22</v>
      </c>
      <c r="B23" s="36" t="s">
        <v>2360</v>
      </c>
      <c r="C23" s="36" t="s">
        <v>2361</v>
      </c>
    </row>
    <row r="24" customFormat="false" ht="23.85" hidden="false" customHeight="false" outlineLevel="0" collapsed="false">
      <c r="A24" s="35" t="n">
        <v>23</v>
      </c>
      <c r="B24" s="36" t="s">
        <v>2362</v>
      </c>
      <c r="C24" s="36" t="s">
        <v>2363</v>
      </c>
    </row>
    <row r="25" customFormat="false" ht="23.85" hidden="false" customHeight="false" outlineLevel="0" collapsed="false">
      <c r="A25" s="35" t="n">
        <v>24</v>
      </c>
      <c r="B25" s="36" t="s">
        <v>2364</v>
      </c>
      <c r="C25" s="36" t="s">
        <v>2365</v>
      </c>
    </row>
    <row r="26" customFormat="false" ht="15" hidden="false" customHeight="false" outlineLevel="0" collapsed="false">
      <c r="A26" s="35" t="n">
        <v>25</v>
      </c>
      <c r="B26" s="36" t="s">
        <v>2366</v>
      </c>
      <c r="C26" s="36" t="s">
        <v>2367</v>
      </c>
    </row>
    <row r="27" customFormat="false" ht="15" hidden="false" customHeight="false" outlineLevel="0" collapsed="false">
      <c r="A27" s="35" t="n">
        <v>26</v>
      </c>
      <c r="B27" s="36" t="s">
        <v>2368</v>
      </c>
      <c r="C27" s="36" t="s">
        <v>2369</v>
      </c>
    </row>
  </sheetData>
  <autoFilter ref="A1:C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2026-09-30T17:20:39Z</dcterms:created>
  <dc:creator>openpyxl</dc:creator>
  <dc:description/>
  <dc:language>en-US</dc:language>
  <cp:lastModifiedBy/>
  <dcterms:modified xsi:type="dcterms:W3CDTF">2026-09-30T17:20:41Z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